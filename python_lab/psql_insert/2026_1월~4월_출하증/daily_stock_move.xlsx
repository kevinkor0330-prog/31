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90600BB-FEA1-4DFF-85E0-3BAEFB306AF0}" xr6:coauthVersionLast="46" xr6:coauthVersionMax="46" xr10:uidLastSave="{00000000-0000-0000-0000-000000000000}"/>
  <bookViews>
    <workbookView xWindow="2280" yWindow="2700" windowWidth="25035" windowHeight="12660" xr2:uid="{4F0DB3D2-9EDB-482B-8745-3B8CE50C10C4}"/>
  </bookViews>
  <sheets>
    <sheet name="출하일보전송용260416" sheetId="1" r:id="rId1"/>
  </sheets>
  <externalReferences>
    <externalReference r:id="rId2"/>
    <externalReference r:id="rId3"/>
  </externalReferences>
  <definedNames>
    <definedName name="_xlnm._FilterDatabase" localSheetId="0" hidden="1">출하일보전송용260416!$A$1:$S$113</definedName>
    <definedName name="_xlnm._FilterDatabase" hidden="1">#REF!</definedName>
    <definedName name="SDF" localSheetId="0" hidden="1">#REF!</definedName>
    <definedName name="SDF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0" i="1" l="1"/>
  <c r="R110" i="1"/>
  <c r="Q110" i="1"/>
  <c r="O110" i="1"/>
  <c r="N110" i="1"/>
  <c r="M110" i="1"/>
  <c r="L110" i="1"/>
  <c r="K110" i="1"/>
  <c r="J110" i="1"/>
  <c r="I110" i="1"/>
  <c r="B110" i="1"/>
  <c r="A110" i="1"/>
  <c r="S109" i="1"/>
  <c r="R109" i="1"/>
  <c r="Q109" i="1"/>
  <c r="O109" i="1"/>
  <c r="N109" i="1"/>
  <c r="M109" i="1"/>
  <c r="L109" i="1"/>
  <c r="K109" i="1"/>
  <c r="J109" i="1"/>
  <c r="I109" i="1"/>
  <c r="B109" i="1"/>
  <c r="A109" i="1"/>
  <c r="S108" i="1"/>
  <c r="R108" i="1"/>
  <c r="Q108" i="1"/>
  <c r="O108" i="1"/>
  <c r="N108" i="1"/>
  <c r="M108" i="1"/>
  <c r="L108" i="1"/>
  <c r="K108" i="1"/>
  <c r="J108" i="1"/>
  <c r="I108" i="1"/>
  <c r="B108" i="1"/>
  <c r="A108" i="1"/>
  <c r="S107" i="1"/>
  <c r="R107" i="1"/>
  <c r="Q107" i="1"/>
  <c r="O107" i="1"/>
  <c r="N107" i="1"/>
  <c r="M107" i="1"/>
  <c r="L107" i="1"/>
  <c r="K107" i="1"/>
  <c r="J107" i="1"/>
  <c r="I107" i="1"/>
  <c r="B107" i="1"/>
  <c r="A107" i="1"/>
  <c r="S106" i="1"/>
  <c r="R106" i="1"/>
  <c r="Q106" i="1"/>
  <c r="O106" i="1"/>
  <c r="N106" i="1"/>
  <c r="M106" i="1"/>
  <c r="L106" i="1"/>
  <c r="K106" i="1"/>
  <c r="J106" i="1"/>
  <c r="I106" i="1"/>
  <c r="B106" i="1"/>
  <c r="A106" i="1"/>
  <c r="S105" i="1"/>
  <c r="R105" i="1"/>
  <c r="Q105" i="1"/>
  <c r="O105" i="1"/>
  <c r="N105" i="1"/>
  <c r="M105" i="1"/>
  <c r="L105" i="1"/>
  <c r="K105" i="1"/>
  <c r="J105" i="1"/>
  <c r="I105" i="1"/>
  <c r="B105" i="1"/>
  <c r="A105" i="1"/>
  <c r="S104" i="1"/>
  <c r="R104" i="1"/>
  <c r="Q104" i="1"/>
  <c r="O104" i="1"/>
  <c r="N104" i="1"/>
  <c r="M104" i="1"/>
  <c r="L104" i="1"/>
  <c r="K104" i="1"/>
  <c r="J104" i="1"/>
  <c r="I104" i="1"/>
  <c r="B104" i="1"/>
  <c r="A104" i="1"/>
  <c r="S103" i="1"/>
  <c r="R103" i="1"/>
  <c r="Q103" i="1"/>
  <c r="O103" i="1"/>
  <c r="N103" i="1"/>
  <c r="M103" i="1"/>
  <c r="L103" i="1"/>
  <c r="K103" i="1"/>
  <c r="J103" i="1"/>
  <c r="I103" i="1"/>
  <c r="B103" i="1"/>
  <c r="A103" i="1"/>
  <c r="S102" i="1"/>
  <c r="R102" i="1"/>
  <c r="Q102" i="1"/>
  <c r="O102" i="1"/>
  <c r="N102" i="1"/>
  <c r="M102" i="1"/>
  <c r="L102" i="1"/>
  <c r="K102" i="1"/>
  <c r="J102" i="1"/>
  <c r="I102" i="1"/>
  <c r="B102" i="1"/>
  <c r="A102" i="1"/>
  <c r="S101" i="1"/>
  <c r="R101" i="1"/>
  <c r="Q101" i="1"/>
  <c r="O101" i="1"/>
  <c r="N101" i="1"/>
  <c r="M101" i="1"/>
  <c r="L101" i="1"/>
  <c r="K101" i="1"/>
  <c r="J101" i="1"/>
  <c r="I101" i="1"/>
  <c r="B101" i="1"/>
  <c r="A101" i="1"/>
  <c r="S100" i="1"/>
  <c r="R100" i="1"/>
  <c r="Q100" i="1"/>
  <c r="O100" i="1"/>
  <c r="N100" i="1"/>
  <c r="M100" i="1"/>
  <c r="L100" i="1"/>
  <c r="K100" i="1"/>
  <c r="J100" i="1"/>
  <c r="I100" i="1"/>
  <c r="B100" i="1"/>
  <c r="A100" i="1"/>
  <c r="S99" i="1"/>
  <c r="R99" i="1"/>
  <c r="Q99" i="1"/>
  <c r="O99" i="1"/>
  <c r="N99" i="1"/>
  <c r="M99" i="1"/>
  <c r="L99" i="1"/>
  <c r="K99" i="1"/>
  <c r="J99" i="1"/>
  <c r="I99" i="1"/>
  <c r="B99" i="1"/>
  <c r="A99" i="1"/>
  <c r="S98" i="1"/>
  <c r="R98" i="1"/>
  <c r="Q98" i="1"/>
  <c r="O98" i="1"/>
  <c r="N98" i="1"/>
  <c r="M98" i="1"/>
  <c r="L98" i="1"/>
  <c r="K98" i="1"/>
  <c r="J98" i="1"/>
  <c r="I98" i="1"/>
  <c r="B98" i="1"/>
  <c r="A98" i="1"/>
  <c r="S97" i="1"/>
  <c r="R97" i="1"/>
  <c r="Q97" i="1"/>
  <c r="O97" i="1"/>
  <c r="N97" i="1"/>
  <c r="M97" i="1"/>
  <c r="L97" i="1"/>
  <c r="K97" i="1"/>
  <c r="J97" i="1"/>
  <c r="I97" i="1"/>
  <c r="B97" i="1"/>
  <c r="A97" i="1"/>
  <c r="S96" i="1"/>
  <c r="R96" i="1"/>
  <c r="Q96" i="1"/>
  <c r="O96" i="1"/>
  <c r="N96" i="1"/>
  <c r="M96" i="1"/>
  <c r="L96" i="1"/>
  <c r="K96" i="1"/>
  <c r="J96" i="1"/>
  <c r="I96" i="1"/>
  <c r="B96" i="1"/>
  <c r="A96" i="1"/>
  <c r="S95" i="1"/>
  <c r="R95" i="1"/>
  <c r="Q95" i="1"/>
  <c r="O95" i="1"/>
  <c r="N95" i="1"/>
  <c r="M95" i="1"/>
  <c r="L95" i="1"/>
  <c r="K95" i="1"/>
  <c r="J95" i="1"/>
  <c r="I95" i="1"/>
  <c r="B95" i="1"/>
  <c r="A95" i="1"/>
  <c r="S94" i="1"/>
  <c r="R94" i="1"/>
  <c r="Q94" i="1"/>
  <c r="O94" i="1"/>
  <c r="N94" i="1"/>
  <c r="M94" i="1"/>
  <c r="L94" i="1"/>
  <c r="K94" i="1"/>
  <c r="J94" i="1"/>
  <c r="I94" i="1"/>
  <c r="B94" i="1"/>
  <c r="A94" i="1"/>
  <c r="S93" i="1"/>
  <c r="R93" i="1"/>
  <c r="Q93" i="1"/>
  <c r="O93" i="1"/>
  <c r="N93" i="1"/>
  <c r="M93" i="1"/>
  <c r="L93" i="1"/>
  <c r="K93" i="1"/>
  <c r="J93" i="1"/>
  <c r="I93" i="1"/>
  <c r="B93" i="1"/>
  <c r="A93" i="1"/>
  <c r="S92" i="1"/>
  <c r="R92" i="1"/>
  <c r="Q92" i="1"/>
  <c r="O92" i="1"/>
  <c r="N92" i="1"/>
  <c r="M92" i="1"/>
  <c r="L92" i="1"/>
  <c r="K92" i="1"/>
  <c r="J92" i="1"/>
  <c r="I92" i="1"/>
  <c r="B92" i="1"/>
  <c r="A92" i="1"/>
  <c r="S91" i="1"/>
  <c r="R91" i="1"/>
  <c r="Q91" i="1"/>
  <c r="O91" i="1"/>
  <c r="N91" i="1"/>
  <c r="M91" i="1"/>
  <c r="L91" i="1"/>
  <c r="K91" i="1"/>
  <c r="J91" i="1"/>
  <c r="I91" i="1"/>
  <c r="B91" i="1"/>
  <c r="A91" i="1"/>
  <c r="S90" i="1"/>
  <c r="R90" i="1"/>
  <c r="Q90" i="1"/>
  <c r="O90" i="1"/>
  <c r="N90" i="1"/>
  <c r="M90" i="1"/>
  <c r="L90" i="1"/>
  <c r="K90" i="1"/>
  <c r="J90" i="1"/>
  <c r="I90" i="1"/>
  <c r="B90" i="1"/>
  <c r="A90" i="1"/>
  <c r="S89" i="1"/>
  <c r="R89" i="1"/>
  <c r="Q89" i="1"/>
  <c r="O89" i="1"/>
  <c r="N89" i="1"/>
  <c r="M89" i="1"/>
  <c r="L89" i="1"/>
  <c r="K89" i="1"/>
  <c r="J89" i="1"/>
  <c r="I89" i="1"/>
  <c r="B89" i="1"/>
  <c r="A89" i="1"/>
  <c r="S88" i="1"/>
  <c r="R88" i="1"/>
  <c r="Q88" i="1"/>
  <c r="O88" i="1"/>
  <c r="N88" i="1"/>
  <c r="M88" i="1"/>
  <c r="L88" i="1"/>
  <c r="K88" i="1"/>
  <c r="J88" i="1"/>
  <c r="I88" i="1"/>
  <c r="B88" i="1"/>
  <c r="A88" i="1"/>
  <c r="S87" i="1"/>
  <c r="R87" i="1"/>
  <c r="Q87" i="1"/>
  <c r="O87" i="1"/>
  <c r="N87" i="1"/>
  <c r="M87" i="1"/>
  <c r="L87" i="1"/>
  <c r="K87" i="1"/>
  <c r="J87" i="1"/>
  <c r="I87" i="1"/>
  <c r="B87" i="1"/>
  <c r="A87" i="1"/>
  <c r="S86" i="1"/>
  <c r="R86" i="1"/>
  <c r="Q86" i="1"/>
  <c r="O86" i="1"/>
  <c r="N86" i="1"/>
  <c r="M86" i="1"/>
  <c r="L86" i="1"/>
  <c r="K86" i="1"/>
  <c r="J86" i="1"/>
  <c r="I86" i="1"/>
  <c r="B86" i="1"/>
  <c r="A86" i="1"/>
  <c r="S85" i="1"/>
  <c r="R85" i="1"/>
  <c r="Q85" i="1"/>
  <c r="O85" i="1"/>
  <c r="N85" i="1"/>
  <c r="M85" i="1"/>
  <c r="L85" i="1"/>
  <c r="K85" i="1"/>
  <c r="J85" i="1"/>
  <c r="I85" i="1"/>
  <c r="B85" i="1"/>
  <c r="A85" i="1"/>
  <c r="S84" i="1"/>
  <c r="R84" i="1"/>
  <c r="Q84" i="1"/>
  <c r="O84" i="1"/>
  <c r="N84" i="1"/>
  <c r="M84" i="1"/>
  <c r="L84" i="1"/>
  <c r="K84" i="1"/>
  <c r="J84" i="1"/>
  <c r="I84" i="1"/>
  <c r="B84" i="1"/>
  <c r="A84" i="1"/>
  <c r="S83" i="1"/>
  <c r="R83" i="1"/>
  <c r="Q83" i="1"/>
  <c r="O83" i="1"/>
  <c r="N83" i="1"/>
  <c r="M83" i="1"/>
  <c r="L83" i="1"/>
  <c r="K83" i="1"/>
  <c r="J83" i="1"/>
  <c r="I83" i="1"/>
  <c r="B83" i="1"/>
  <c r="A83" i="1"/>
  <c r="S82" i="1"/>
  <c r="R82" i="1"/>
  <c r="Q82" i="1"/>
  <c r="O82" i="1"/>
  <c r="N82" i="1"/>
  <c r="M82" i="1"/>
  <c r="L82" i="1"/>
  <c r="K82" i="1"/>
  <c r="J82" i="1"/>
  <c r="I82" i="1"/>
  <c r="B82" i="1"/>
  <c r="A82" i="1"/>
  <c r="S81" i="1"/>
  <c r="R81" i="1"/>
  <c r="Q81" i="1"/>
  <c r="O81" i="1"/>
  <c r="N81" i="1"/>
  <c r="M81" i="1"/>
  <c r="L81" i="1"/>
  <c r="K81" i="1"/>
  <c r="J81" i="1"/>
  <c r="I81" i="1"/>
  <c r="B81" i="1"/>
  <c r="A81" i="1"/>
  <c r="S80" i="1"/>
  <c r="R80" i="1"/>
  <c r="Q80" i="1"/>
  <c r="O80" i="1"/>
  <c r="N80" i="1"/>
  <c r="M80" i="1"/>
  <c r="L80" i="1"/>
  <c r="K80" i="1"/>
  <c r="J80" i="1"/>
  <c r="I80" i="1"/>
  <c r="B80" i="1"/>
  <c r="A80" i="1"/>
  <c r="S79" i="1"/>
  <c r="R79" i="1"/>
  <c r="Q79" i="1"/>
  <c r="O79" i="1"/>
  <c r="N79" i="1"/>
  <c r="M79" i="1"/>
  <c r="L79" i="1"/>
  <c r="K79" i="1"/>
  <c r="J79" i="1"/>
  <c r="I79" i="1"/>
  <c r="B79" i="1"/>
  <c r="A79" i="1"/>
  <c r="S78" i="1"/>
  <c r="R78" i="1"/>
  <c r="Q78" i="1"/>
  <c r="O78" i="1"/>
  <c r="N78" i="1"/>
  <c r="M78" i="1"/>
  <c r="L78" i="1"/>
  <c r="K78" i="1"/>
  <c r="J78" i="1"/>
  <c r="I78" i="1"/>
  <c r="B78" i="1"/>
  <c r="A78" i="1"/>
  <c r="S77" i="1"/>
  <c r="R77" i="1"/>
  <c r="Q77" i="1"/>
  <c r="O77" i="1"/>
  <c r="N77" i="1"/>
  <c r="M77" i="1"/>
  <c r="L77" i="1"/>
  <c r="K77" i="1"/>
  <c r="J77" i="1"/>
  <c r="I77" i="1"/>
  <c r="B77" i="1"/>
  <c r="A77" i="1"/>
  <c r="S76" i="1"/>
  <c r="R76" i="1"/>
  <c r="Q76" i="1"/>
  <c r="O76" i="1"/>
  <c r="N76" i="1"/>
  <c r="M76" i="1"/>
  <c r="L76" i="1"/>
  <c r="K76" i="1"/>
  <c r="J76" i="1"/>
  <c r="I76" i="1"/>
  <c r="B76" i="1"/>
  <c r="A76" i="1"/>
  <c r="S75" i="1"/>
  <c r="R75" i="1"/>
  <c r="Q75" i="1"/>
  <c r="O75" i="1"/>
  <c r="N75" i="1"/>
  <c r="M75" i="1"/>
  <c r="L75" i="1"/>
  <c r="K75" i="1"/>
  <c r="J75" i="1"/>
  <c r="I75" i="1"/>
  <c r="B75" i="1"/>
  <c r="A75" i="1"/>
  <c r="S74" i="1"/>
  <c r="R74" i="1"/>
  <c r="Q74" i="1"/>
  <c r="O74" i="1"/>
  <c r="N74" i="1"/>
  <c r="M74" i="1"/>
  <c r="L74" i="1"/>
  <c r="K74" i="1"/>
  <c r="J74" i="1"/>
  <c r="I74" i="1"/>
  <c r="B74" i="1"/>
  <c r="A74" i="1"/>
  <c r="S73" i="1"/>
  <c r="R73" i="1"/>
  <c r="Q73" i="1"/>
  <c r="O73" i="1"/>
  <c r="N73" i="1"/>
  <c r="M73" i="1"/>
  <c r="L73" i="1"/>
  <c r="K73" i="1"/>
  <c r="J73" i="1"/>
  <c r="I73" i="1"/>
  <c r="B73" i="1"/>
  <c r="A73" i="1"/>
  <c r="S72" i="1"/>
  <c r="R72" i="1"/>
  <c r="Q72" i="1"/>
  <c r="O72" i="1"/>
  <c r="N72" i="1"/>
  <c r="M72" i="1"/>
  <c r="L72" i="1"/>
  <c r="K72" i="1"/>
  <c r="J72" i="1"/>
  <c r="I72" i="1"/>
  <c r="B72" i="1"/>
  <c r="A72" i="1"/>
  <c r="S71" i="1"/>
  <c r="R71" i="1"/>
  <c r="Q71" i="1"/>
  <c r="O71" i="1"/>
  <c r="N71" i="1"/>
  <c r="M71" i="1"/>
  <c r="L71" i="1"/>
  <c r="K71" i="1"/>
  <c r="J71" i="1"/>
  <c r="I71" i="1"/>
  <c r="B71" i="1"/>
  <c r="A71" i="1"/>
  <c r="S70" i="1"/>
  <c r="R70" i="1"/>
  <c r="Q70" i="1"/>
  <c r="O70" i="1"/>
  <c r="N70" i="1"/>
  <c r="M70" i="1"/>
  <c r="L70" i="1"/>
  <c r="K70" i="1"/>
  <c r="J70" i="1"/>
  <c r="I70" i="1"/>
  <c r="B70" i="1"/>
  <c r="A70" i="1"/>
  <c r="S69" i="1"/>
  <c r="R69" i="1"/>
  <c r="Q69" i="1"/>
  <c r="O69" i="1"/>
  <c r="N69" i="1"/>
  <c r="M69" i="1"/>
  <c r="L69" i="1"/>
  <c r="K69" i="1"/>
  <c r="J69" i="1"/>
  <c r="I69" i="1"/>
  <c r="B69" i="1"/>
  <c r="A69" i="1"/>
  <c r="S68" i="1"/>
  <c r="R68" i="1"/>
  <c r="Q68" i="1"/>
  <c r="O68" i="1"/>
  <c r="N68" i="1"/>
  <c r="M68" i="1"/>
  <c r="L68" i="1"/>
  <c r="K68" i="1"/>
  <c r="J68" i="1"/>
  <c r="I68" i="1"/>
  <c r="B68" i="1"/>
  <c r="A68" i="1"/>
  <c r="S67" i="1"/>
  <c r="R67" i="1"/>
  <c r="Q67" i="1"/>
  <c r="O67" i="1"/>
  <c r="N67" i="1"/>
  <c r="M67" i="1"/>
  <c r="L67" i="1"/>
  <c r="K67" i="1"/>
  <c r="J67" i="1"/>
  <c r="I67" i="1"/>
  <c r="B67" i="1"/>
  <c r="A67" i="1"/>
  <c r="S66" i="1"/>
  <c r="R66" i="1"/>
  <c r="Q66" i="1"/>
  <c r="O66" i="1"/>
  <c r="N66" i="1"/>
  <c r="M66" i="1"/>
  <c r="L66" i="1"/>
  <c r="K66" i="1"/>
  <c r="J66" i="1"/>
  <c r="I66" i="1"/>
  <c r="B66" i="1"/>
  <c r="A66" i="1"/>
  <c r="S65" i="1"/>
  <c r="R65" i="1"/>
  <c r="Q65" i="1"/>
  <c r="O65" i="1"/>
  <c r="N65" i="1"/>
  <c r="M65" i="1"/>
  <c r="L65" i="1"/>
  <c r="K65" i="1"/>
  <c r="J65" i="1"/>
  <c r="I65" i="1"/>
  <c r="B65" i="1"/>
  <c r="A65" i="1"/>
  <c r="S64" i="1"/>
  <c r="R64" i="1"/>
  <c r="Q64" i="1"/>
  <c r="O64" i="1"/>
  <c r="N64" i="1"/>
  <c r="M64" i="1"/>
  <c r="L64" i="1"/>
  <c r="K64" i="1"/>
  <c r="J64" i="1"/>
  <c r="I64" i="1"/>
  <c r="B64" i="1"/>
  <c r="A64" i="1"/>
  <c r="S63" i="1"/>
  <c r="R63" i="1"/>
  <c r="Q63" i="1"/>
  <c r="O63" i="1"/>
  <c r="N63" i="1"/>
  <c r="M63" i="1"/>
  <c r="L63" i="1"/>
  <c r="K63" i="1"/>
  <c r="J63" i="1"/>
  <c r="I63" i="1"/>
  <c r="B63" i="1"/>
  <c r="A63" i="1"/>
  <c r="S62" i="1"/>
  <c r="R62" i="1"/>
  <c r="Q62" i="1"/>
  <c r="O62" i="1"/>
  <c r="N62" i="1"/>
  <c r="M62" i="1"/>
  <c r="L62" i="1"/>
  <c r="K62" i="1"/>
  <c r="J62" i="1"/>
  <c r="I62" i="1"/>
  <c r="B62" i="1"/>
  <c r="A62" i="1"/>
  <c r="S61" i="1"/>
  <c r="R61" i="1"/>
  <c r="Q61" i="1"/>
  <c r="O61" i="1"/>
  <c r="N61" i="1"/>
  <c r="M61" i="1"/>
  <c r="L61" i="1"/>
  <c r="K61" i="1"/>
  <c r="J61" i="1"/>
  <c r="I61" i="1"/>
  <c r="B61" i="1"/>
  <c r="A61" i="1"/>
  <c r="S60" i="1"/>
  <c r="R60" i="1"/>
  <c r="Q60" i="1"/>
  <c r="O60" i="1"/>
  <c r="N60" i="1"/>
  <c r="M60" i="1"/>
  <c r="L60" i="1"/>
  <c r="K60" i="1"/>
  <c r="J60" i="1"/>
  <c r="I60" i="1"/>
  <c r="B60" i="1"/>
  <c r="A60" i="1"/>
  <c r="S59" i="1"/>
  <c r="R59" i="1"/>
  <c r="Q59" i="1"/>
  <c r="O59" i="1"/>
  <c r="N59" i="1"/>
  <c r="M59" i="1"/>
  <c r="L59" i="1"/>
  <c r="K59" i="1"/>
  <c r="J59" i="1"/>
  <c r="I59" i="1"/>
  <c r="B59" i="1"/>
  <c r="A59" i="1"/>
  <c r="S58" i="1"/>
  <c r="R58" i="1"/>
  <c r="Q58" i="1"/>
  <c r="O58" i="1"/>
  <c r="N58" i="1"/>
  <c r="M58" i="1"/>
  <c r="L58" i="1"/>
  <c r="K58" i="1"/>
  <c r="J58" i="1"/>
  <c r="I58" i="1"/>
  <c r="B58" i="1"/>
  <c r="A58" i="1"/>
  <c r="S57" i="1"/>
  <c r="R57" i="1"/>
  <c r="Q57" i="1"/>
  <c r="O57" i="1"/>
  <c r="N57" i="1"/>
  <c r="M57" i="1"/>
  <c r="L57" i="1"/>
  <c r="K57" i="1"/>
  <c r="J57" i="1"/>
  <c r="I57" i="1"/>
  <c r="B57" i="1"/>
  <c r="A57" i="1"/>
  <c r="S56" i="1"/>
  <c r="R56" i="1"/>
  <c r="Q56" i="1"/>
  <c r="O56" i="1"/>
  <c r="N56" i="1"/>
  <c r="M56" i="1"/>
  <c r="L56" i="1"/>
  <c r="K56" i="1"/>
  <c r="J56" i="1"/>
  <c r="I56" i="1"/>
  <c r="B56" i="1"/>
  <c r="A56" i="1"/>
  <c r="S55" i="1"/>
  <c r="R55" i="1"/>
  <c r="Q55" i="1"/>
  <c r="O55" i="1"/>
  <c r="N55" i="1"/>
  <c r="M55" i="1"/>
  <c r="L55" i="1"/>
  <c r="K55" i="1"/>
  <c r="J55" i="1"/>
  <c r="I55" i="1"/>
  <c r="B55" i="1"/>
  <c r="A55" i="1"/>
  <c r="S54" i="1"/>
  <c r="R54" i="1"/>
  <c r="Q54" i="1"/>
  <c r="O54" i="1"/>
  <c r="N54" i="1"/>
  <c r="M54" i="1"/>
  <c r="L54" i="1"/>
  <c r="K54" i="1"/>
  <c r="J54" i="1"/>
  <c r="I54" i="1"/>
  <c r="B54" i="1"/>
  <c r="A54" i="1"/>
  <c r="S53" i="1"/>
  <c r="R53" i="1"/>
  <c r="Q53" i="1"/>
  <c r="O53" i="1"/>
  <c r="N53" i="1"/>
  <c r="M53" i="1"/>
  <c r="L53" i="1"/>
  <c r="K53" i="1"/>
  <c r="J53" i="1"/>
  <c r="I53" i="1"/>
  <c r="B53" i="1"/>
  <c r="A53" i="1"/>
  <c r="S52" i="1"/>
  <c r="R52" i="1"/>
  <c r="Q52" i="1"/>
  <c r="O52" i="1"/>
  <c r="N52" i="1"/>
  <c r="M52" i="1"/>
  <c r="L52" i="1"/>
  <c r="K52" i="1"/>
  <c r="J52" i="1"/>
  <c r="I52" i="1"/>
  <c r="B52" i="1"/>
  <c r="A52" i="1"/>
  <c r="S51" i="1"/>
  <c r="R51" i="1"/>
  <c r="Q51" i="1"/>
  <c r="O51" i="1"/>
  <c r="N51" i="1"/>
  <c r="M51" i="1"/>
  <c r="L51" i="1"/>
  <c r="K51" i="1"/>
  <c r="J51" i="1"/>
  <c r="I51" i="1"/>
  <c r="B51" i="1"/>
  <c r="A51" i="1"/>
  <c r="S50" i="1"/>
  <c r="R50" i="1"/>
  <c r="Q50" i="1"/>
  <c r="O50" i="1"/>
  <c r="N50" i="1"/>
  <c r="M50" i="1"/>
  <c r="L50" i="1"/>
  <c r="K50" i="1"/>
  <c r="J50" i="1"/>
  <c r="I50" i="1"/>
  <c r="B50" i="1"/>
  <c r="A50" i="1"/>
  <c r="S49" i="1"/>
  <c r="R49" i="1"/>
  <c r="Q49" i="1"/>
  <c r="O49" i="1"/>
  <c r="N49" i="1"/>
  <c r="M49" i="1"/>
  <c r="L49" i="1"/>
  <c r="K49" i="1"/>
  <c r="J49" i="1"/>
  <c r="I49" i="1"/>
  <c r="B49" i="1"/>
  <c r="A49" i="1"/>
  <c r="S48" i="1"/>
  <c r="R48" i="1"/>
  <c r="Q48" i="1"/>
  <c r="O48" i="1"/>
  <c r="N48" i="1"/>
  <c r="M48" i="1"/>
  <c r="L48" i="1"/>
  <c r="K48" i="1"/>
  <c r="J48" i="1"/>
  <c r="I48" i="1"/>
  <c r="B48" i="1"/>
  <c r="A48" i="1"/>
  <c r="S47" i="1"/>
  <c r="R47" i="1"/>
  <c r="Q47" i="1"/>
  <c r="O47" i="1"/>
  <c r="N47" i="1"/>
  <c r="M47" i="1"/>
  <c r="L47" i="1"/>
  <c r="K47" i="1"/>
  <c r="J47" i="1"/>
  <c r="I47" i="1"/>
  <c r="B47" i="1"/>
  <c r="A47" i="1"/>
  <c r="S46" i="1"/>
  <c r="R46" i="1"/>
  <c r="Q46" i="1"/>
  <c r="O46" i="1"/>
  <c r="N46" i="1"/>
  <c r="M46" i="1"/>
  <c r="L46" i="1"/>
  <c r="K46" i="1"/>
  <c r="J46" i="1"/>
  <c r="I46" i="1"/>
  <c r="B46" i="1"/>
  <c r="A46" i="1"/>
  <c r="S45" i="1"/>
  <c r="R45" i="1"/>
  <c r="Q45" i="1"/>
  <c r="O45" i="1"/>
  <c r="N45" i="1"/>
  <c r="M45" i="1"/>
  <c r="L45" i="1"/>
  <c r="K45" i="1"/>
  <c r="J45" i="1"/>
  <c r="I45" i="1"/>
  <c r="B45" i="1"/>
  <c r="A45" i="1"/>
  <c r="S44" i="1"/>
  <c r="R44" i="1"/>
  <c r="Q44" i="1"/>
  <c r="O44" i="1"/>
  <c r="N44" i="1"/>
  <c r="M44" i="1"/>
  <c r="L44" i="1"/>
  <c r="K44" i="1"/>
  <c r="J44" i="1"/>
  <c r="I44" i="1"/>
  <c r="B44" i="1"/>
  <c r="A44" i="1"/>
  <c r="S43" i="1"/>
  <c r="R43" i="1"/>
  <c r="Q43" i="1"/>
  <c r="O43" i="1"/>
  <c r="N43" i="1"/>
  <c r="M43" i="1"/>
  <c r="L43" i="1"/>
  <c r="K43" i="1"/>
  <c r="J43" i="1"/>
  <c r="I43" i="1"/>
  <c r="B43" i="1"/>
  <c r="A43" i="1"/>
  <c r="S42" i="1"/>
  <c r="R42" i="1"/>
  <c r="Q42" i="1"/>
  <c r="O42" i="1"/>
  <c r="N42" i="1"/>
  <c r="M42" i="1"/>
  <c r="L42" i="1"/>
  <c r="K42" i="1"/>
  <c r="J42" i="1"/>
  <c r="I42" i="1"/>
  <c r="B42" i="1"/>
  <c r="A42" i="1"/>
  <c r="S41" i="1"/>
  <c r="R41" i="1"/>
  <c r="Q41" i="1"/>
  <c r="O41" i="1"/>
  <c r="N41" i="1"/>
  <c r="M41" i="1"/>
  <c r="L41" i="1"/>
  <c r="K41" i="1"/>
  <c r="J41" i="1"/>
  <c r="I41" i="1"/>
  <c r="B41" i="1"/>
  <c r="A41" i="1"/>
  <c r="S40" i="1"/>
  <c r="R40" i="1"/>
  <c r="Q40" i="1"/>
  <c r="O40" i="1"/>
  <c r="N40" i="1"/>
  <c r="M40" i="1"/>
  <c r="L40" i="1"/>
  <c r="K40" i="1"/>
  <c r="J40" i="1"/>
  <c r="I40" i="1"/>
  <c r="B40" i="1"/>
  <c r="A40" i="1"/>
  <c r="S39" i="1"/>
  <c r="R39" i="1"/>
  <c r="Q39" i="1"/>
  <c r="O39" i="1"/>
  <c r="N39" i="1"/>
  <c r="M39" i="1"/>
  <c r="L39" i="1"/>
  <c r="K39" i="1"/>
  <c r="J39" i="1"/>
  <c r="I39" i="1"/>
  <c r="B39" i="1"/>
  <c r="A39" i="1"/>
  <c r="S38" i="1"/>
  <c r="R38" i="1"/>
  <c r="Q38" i="1"/>
  <c r="O38" i="1"/>
  <c r="N38" i="1"/>
  <c r="M38" i="1"/>
  <c r="K38" i="1"/>
  <c r="L38" i="1" s="1"/>
  <c r="I38" i="1"/>
  <c r="J38" i="1" s="1"/>
  <c r="S37" i="1"/>
  <c r="R37" i="1"/>
  <c r="Q37" i="1"/>
  <c r="O37" i="1"/>
  <c r="N37" i="1"/>
  <c r="M37" i="1"/>
  <c r="L37" i="1"/>
  <c r="K37" i="1"/>
  <c r="I37" i="1"/>
  <c r="J37" i="1" s="1"/>
  <c r="S36" i="1"/>
  <c r="R36" i="1"/>
  <c r="N36" i="1"/>
  <c r="M36" i="1"/>
  <c r="O36" i="1" s="1"/>
  <c r="Q36" i="1" s="1"/>
  <c r="L36" i="1"/>
  <c r="K36" i="1"/>
  <c r="I36" i="1"/>
  <c r="J36" i="1" s="1"/>
  <c r="S35" i="1"/>
  <c r="R35" i="1"/>
  <c r="Q35" i="1"/>
  <c r="O35" i="1"/>
  <c r="N35" i="1"/>
  <c r="M35" i="1"/>
  <c r="L35" i="1"/>
  <c r="K35" i="1"/>
  <c r="I35" i="1"/>
  <c r="J35" i="1" s="1"/>
  <c r="S34" i="1"/>
  <c r="R34" i="1"/>
  <c r="Q34" i="1"/>
  <c r="O34" i="1"/>
  <c r="N34" i="1"/>
  <c r="M34" i="1"/>
  <c r="L34" i="1"/>
  <c r="K34" i="1"/>
  <c r="I34" i="1"/>
  <c r="J34" i="1" s="1"/>
  <c r="S33" i="1"/>
  <c r="R33" i="1"/>
  <c r="N33" i="1"/>
  <c r="M33" i="1"/>
  <c r="O33" i="1" s="1"/>
  <c r="Q33" i="1" s="1"/>
  <c r="L33" i="1"/>
  <c r="K33" i="1"/>
  <c r="I33" i="1"/>
  <c r="J33" i="1" s="1"/>
  <c r="S32" i="1"/>
  <c r="R32" i="1"/>
  <c r="N32" i="1"/>
  <c r="M32" i="1"/>
  <c r="O32" i="1" s="1"/>
  <c r="Q32" i="1" s="1"/>
  <c r="K32" i="1"/>
  <c r="L32" i="1" s="1"/>
  <c r="I32" i="1"/>
  <c r="J32" i="1" s="1"/>
  <c r="S31" i="1"/>
  <c r="R31" i="1"/>
  <c r="Q31" i="1"/>
  <c r="N31" i="1"/>
  <c r="M31" i="1"/>
  <c r="L31" i="1"/>
  <c r="I31" i="1"/>
  <c r="J31" i="1" s="1"/>
  <c r="S30" i="1"/>
  <c r="R30" i="1"/>
  <c r="Q30" i="1"/>
  <c r="O30" i="1"/>
  <c r="N30" i="1"/>
  <c r="M30" i="1"/>
  <c r="K30" i="1"/>
  <c r="L30" i="1" s="1"/>
  <c r="I30" i="1"/>
  <c r="J30" i="1" s="1"/>
  <c r="S29" i="1"/>
  <c r="R29" i="1"/>
  <c r="Q29" i="1"/>
  <c r="N29" i="1"/>
  <c r="M29" i="1"/>
  <c r="L29" i="1"/>
  <c r="I29" i="1"/>
  <c r="J29" i="1" s="1"/>
  <c r="S28" i="1"/>
  <c r="R28" i="1"/>
  <c r="N28" i="1"/>
  <c r="M28" i="1"/>
  <c r="O28" i="1" s="1"/>
  <c r="Q28" i="1" s="1"/>
  <c r="K28" i="1"/>
  <c r="L28" i="1" s="1"/>
  <c r="I28" i="1"/>
  <c r="J28" i="1" s="1"/>
  <c r="S27" i="1"/>
  <c r="R27" i="1"/>
  <c r="M27" i="1"/>
  <c r="O27" i="1" s="1"/>
  <c r="Q27" i="1" s="1"/>
  <c r="L27" i="1"/>
  <c r="K27" i="1"/>
  <c r="I27" i="1"/>
  <c r="J27" i="1" s="1"/>
  <c r="S26" i="1"/>
  <c r="R26" i="1"/>
  <c r="Q26" i="1"/>
  <c r="O26" i="1"/>
  <c r="N26" i="1"/>
  <c r="M26" i="1"/>
  <c r="L26" i="1"/>
  <c r="K26" i="1"/>
  <c r="I26" i="1"/>
  <c r="J26" i="1" s="1"/>
  <c r="S25" i="1"/>
  <c r="R25" i="1"/>
  <c r="Q25" i="1"/>
  <c r="O25" i="1"/>
  <c r="N25" i="1"/>
  <c r="M25" i="1"/>
  <c r="L25" i="1"/>
  <c r="K25" i="1"/>
  <c r="I25" i="1"/>
  <c r="J25" i="1" s="1"/>
  <c r="S24" i="1"/>
  <c r="R24" i="1"/>
  <c r="Q24" i="1"/>
  <c r="O24" i="1"/>
  <c r="N24" i="1"/>
  <c r="M24" i="1"/>
  <c r="L24" i="1"/>
  <c r="K24" i="1"/>
  <c r="I24" i="1"/>
  <c r="J24" i="1" s="1"/>
  <c r="S23" i="1"/>
  <c r="R23" i="1"/>
  <c r="Q23" i="1"/>
  <c r="O23" i="1"/>
  <c r="N23" i="1"/>
  <c r="M23" i="1"/>
  <c r="L23" i="1"/>
  <c r="K23" i="1"/>
  <c r="I23" i="1"/>
  <c r="J23" i="1" s="1"/>
  <c r="S22" i="1"/>
  <c r="R22" i="1"/>
  <c r="Q22" i="1"/>
  <c r="O22" i="1"/>
  <c r="N22" i="1"/>
  <c r="M22" i="1"/>
  <c r="L22" i="1"/>
  <c r="K22" i="1"/>
  <c r="I22" i="1"/>
  <c r="J22" i="1" s="1"/>
  <c r="S21" i="1"/>
  <c r="R21" i="1"/>
  <c r="Q21" i="1"/>
  <c r="O21" i="1"/>
  <c r="N21" i="1"/>
  <c r="M21" i="1"/>
  <c r="L21" i="1"/>
  <c r="K21" i="1"/>
  <c r="I21" i="1"/>
  <c r="J21" i="1" s="1"/>
  <c r="S20" i="1"/>
  <c r="R20" i="1"/>
  <c r="Q20" i="1"/>
  <c r="O20" i="1"/>
  <c r="N20" i="1"/>
  <c r="M20" i="1"/>
  <c r="L20" i="1"/>
  <c r="K20" i="1"/>
  <c r="I20" i="1"/>
  <c r="J20" i="1" s="1"/>
  <c r="S19" i="1"/>
  <c r="R19" i="1"/>
  <c r="Q19" i="1"/>
  <c r="O19" i="1"/>
  <c r="N19" i="1"/>
  <c r="M19" i="1"/>
  <c r="L19" i="1"/>
  <c r="K19" i="1"/>
  <c r="I19" i="1"/>
  <c r="J19" i="1" s="1"/>
  <c r="S18" i="1"/>
  <c r="R18" i="1"/>
  <c r="Q18" i="1"/>
  <c r="O18" i="1"/>
  <c r="N18" i="1"/>
  <c r="M18" i="1"/>
  <c r="L18" i="1"/>
  <c r="K18" i="1"/>
  <c r="I18" i="1"/>
  <c r="J18" i="1" s="1"/>
  <c r="S17" i="1"/>
  <c r="R17" i="1"/>
  <c r="N17" i="1"/>
  <c r="M17" i="1"/>
  <c r="O17" i="1" s="1"/>
  <c r="Q17" i="1" s="1"/>
  <c r="L17" i="1"/>
  <c r="K17" i="1"/>
  <c r="I17" i="1"/>
  <c r="J17" i="1" s="1"/>
  <c r="S16" i="1"/>
  <c r="R16" i="1"/>
  <c r="N16" i="1"/>
  <c r="M16" i="1"/>
  <c r="O16" i="1" s="1"/>
  <c r="Q16" i="1" s="1"/>
  <c r="L16" i="1"/>
  <c r="K16" i="1"/>
  <c r="I16" i="1"/>
  <c r="J16" i="1" s="1"/>
  <c r="S15" i="1"/>
  <c r="R15" i="1"/>
  <c r="N15" i="1"/>
  <c r="M15" i="1"/>
  <c r="O15" i="1" s="1"/>
  <c r="Q15" i="1" s="1"/>
  <c r="L15" i="1"/>
  <c r="K15" i="1"/>
  <c r="I15" i="1"/>
  <c r="J15" i="1" s="1"/>
  <c r="S14" i="1"/>
  <c r="R14" i="1"/>
  <c r="Q14" i="1"/>
  <c r="O14" i="1"/>
  <c r="N14" i="1"/>
  <c r="M14" i="1"/>
  <c r="L14" i="1"/>
  <c r="K14" i="1"/>
  <c r="I14" i="1"/>
  <c r="J14" i="1" s="1"/>
  <c r="S13" i="1"/>
  <c r="R13" i="1"/>
  <c r="Q13" i="1"/>
  <c r="O13" i="1"/>
  <c r="N13" i="1"/>
  <c r="M13" i="1"/>
  <c r="L13" i="1"/>
  <c r="K13" i="1"/>
  <c r="I13" i="1"/>
  <c r="J13" i="1" s="1"/>
  <c r="S12" i="1"/>
  <c r="R12" i="1"/>
  <c r="Q12" i="1"/>
  <c r="O12" i="1"/>
  <c r="N12" i="1"/>
  <c r="M12" i="1"/>
  <c r="L12" i="1"/>
  <c r="K12" i="1"/>
  <c r="I12" i="1"/>
  <c r="J12" i="1" s="1"/>
  <c r="S11" i="1"/>
  <c r="R11" i="1"/>
  <c r="N11" i="1"/>
  <c r="M11" i="1"/>
  <c r="O11" i="1" s="1"/>
  <c r="Q11" i="1" s="1"/>
  <c r="L11" i="1"/>
  <c r="K11" i="1"/>
  <c r="I11" i="1"/>
  <c r="J11" i="1" s="1"/>
  <c r="S10" i="1"/>
  <c r="R10" i="1"/>
  <c r="N10" i="1"/>
  <c r="M10" i="1"/>
  <c r="O10" i="1" s="1"/>
  <c r="Q10" i="1" s="1"/>
  <c r="L10" i="1"/>
  <c r="K10" i="1"/>
  <c r="I10" i="1"/>
  <c r="J10" i="1" s="1"/>
  <c r="S9" i="1"/>
  <c r="R9" i="1"/>
  <c r="M9" i="1"/>
  <c r="O9" i="1" s="1"/>
  <c r="Q9" i="1" s="1"/>
  <c r="K9" i="1"/>
  <c r="L9" i="1" s="1"/>
  <c r="I9" i="1"/>
  <c r="J9" i="1" s="1"/>
  <c r="S8" i="1"/>
  <c r="R8" i="1"/>
  <c r="Q8" i="1"/>
  <c r="O8" i="1"/>
  <c r="N8" i="1"/>
  <c r="M8" i="1"/>
  <c r="K8" i="1"/>
  <c r="L8" i="1" s="1"/>
  <c r="I8" i="1"/>
  <c r="J8" i="1" s="1"/>
  <c r="S7" i="1"/>
  <c r="R7" i="1"/>
  <c r="Q7" i="1"/>
  <c r="O7" i="1"/>
  <c r="N7" i="1"/>
  <c r="M7" i="1"/>
  <c r="K7" i="1"/>
  <c r="L7" i="1" s="1"/>
  <c r="I7" i="1"/>
  <c r="J7" i="1" s="1"/>
  <c r="S6" i="1"/>
  <c r="R6" i="1"/>
  <c r="Q6" i="1"/>
  <c r="O6" i="1"/>
  <c r="N6" i="1"/>
  <c r="M6" i="1"/>
  <c r="K6" i="1"/>
  <c r="L6" i="1" s="1"/>
  <c r="I6" i="1"/>
  <c r="J6" i="1" s="1"/>
  <c r="S5" i="1"/>
  <c r="R5" i="1"/>
  <c r="Q5" i="1"/>
  <c r="O5" i="1"/>
  <c r="N5" i="1"/>
  <c r="M5" i="1"/>
  <c r="K5" i="1"/>
  <c r="L5" i="1" s="1"/>
  <c r="I5" i="1"/>
  <c r="J5" i="1" s="1"/>
  <c r="S4" i="1"/>
  <c r="R4" i="1"/>
  <c r="O4" i="1"/>
  <c r="Q4" i="1" s="1"/>
  <c r="M4" i="1"/>
  <c r="K4" i="1"/>
  <c r="L4" i="1" s="1"/>
  <c r="J4" i="1"/>
  <c r="I4" i="1"/>
  <c r="S3" i="1"/>
  <c r="R3" i="1"/>
  <c r="Q3" i="1"/>
  <c r="O3" i="1"/>
  <c r="N3" i="1"/>
  <c r="M3" i="1"/>
  <c r="K3" i="1"/>
  <c r="L3" i="1" s="1"/>
  <c r="J3" i="1"/>
  <c r="I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S2" i="1"/>
  <c r="R2" i="1"/>
  <c r="M2" i="1"/>
  <c r="O2" i="1" s="1"/>
  <c r="Q2" i="1" s="1"/>
  <c r="Q111" i="1" s="1"/>
  <c r="K2" i="1"/>
  <c r="L2" i="1" s="1"/>
  <c r="L111" i="1" s="1"/>
  <c r="I2" i="1"/>
  <c r="J2" i="1" s="1"/>
  <c r="Q112" i="1" l="1"/>
  <c r="J114" i="1"/>
  <c r="J111" i="1"/>
  <c r="J113" i="1" s="1"/>
  <c r="L113" i="1"/>
  <c r="R111" i="1" l="1"/>
  <c r="O111" i="1"/>
</calcChain>
</file>

<file path=xl/sharedStrings.xml><?xml version="1.0" encoding="utf-8"?>
<sst xmlns="http://schemas.openxmlformats.org/spreadsheetml/2006/main" count="141" uniqueCount="82">
  <si>
    <t>순번</t>
    <phoneticPr fontId="3" type="noConversion"/>
  </si>
  <si>
    <t>일자</t>
  </si>
  <si>
    <t>거래처</t>
  </si>
  <si>
    <t>납품처</t>
    <phoneticPr fontId="3" type="noConversion"/>
  </si>
  <si>
    <t>모델</t>
    <phoneticPr fontId="3" type="noConversion"/>
  </si>
  <si>
    <t>생산수</t>
  </si>
  <si>
    <t>출하수</t>
  </si>
  <si>
    <t>차량(No)</t>
    <phoneticPr fontId="3" type="noConversion"/>
  </si>
  <si>
    <t>기준중량(g)</t>
    <phoneticPr fontId="3" type="noConversion"/>
  </si>
  <si>
    <t>출하중량(g)</t>
    <phoneticPr fontId="3" type="noConversion"/>
  </si>
  <si>
    <t>단가</t>
    <phoneticPr fontId="3" type="noConversion"/>
  </si>
  <si>
    <t>매출액</t>
    <phoneticPr fontId="3" type="noConversion"/>
  </si>
  <si>
    <t>2.5운반비</t>
    <phoneticPr fontId="3" type="noConversion"/>
  </si>
  <si>
    <t>5.0운반비</t>
    <phoneticPr fontId="3" type="noConversion"/>
  </si>
  <si>
    <t>운반비</t>
    <phoneticPr fontId="3" type="noConversion"/>
  </si>
  <si>
    <t>추가운반비</t>
    <phoneticPr fontId="3" type="noConversion"/>
  </si>
  <si>
    <t>운반비합계</t>
    <phoneticPr fontId="3" type="noConversion"/>
  </si>
  <si>
    <t>금형자산</t>
    <phoneticPr fontId="3" type="noConversion"/>
  </si>
  <si>
    <t>제품군</t>
    <phoneticPr fontId="3" type="noConversion"/>
  </si>
  <si>
    <t>뉴옵틱스</t>
  </si>
  <si>
    <t>49SB/SONAGI</t>
  </si>
  <si>
    <t>삼일5</t>
    <phoneticPr fontId="3" type="noConversion"/>
  </si>
  <si>
    <t>55XS2C-M</t>
  </si>
  <si>
    <t>가화텍</t>
  </si>
  <si>
    <t>가화텍창고</t>
  </si>
  <si>
    <t>채소정식판64구</t>
  </si>
  <si>
    <t>삼일5</t>
  </si>
  <si>
    <t>다목적정식판(33배)</t>
  </si>
  <si>
    <t>분무경2호베드</t>
  </si>
  <si>
    <t>다목적3호고#2(33배)</t>
  </si>
  <si>
    <t>N배지경2호베드</t>
  </si>
  <si>
    <t>한국이노팩</t>
  </si>
  <si>
    <t>보령수산업협동조합</t>
  </si>
  <si>
    <t>SI-7.5K</t>
  </si>
  <si>
    <t>코웨이/포천공장</t>
  </si>
  <si>
    <t>후문</t>
  </si>
  <si>
    <t>SWITCH</t>
  </si>
  <si>
    <t>중부스티로폼</t>
  </si>
  <si>
    <t>SI-0.5K#2</t>
  </si>
  <si>
    <t>JB딸기1K(1호)</t>
  </si>
  <si>
    <t>JB블루베리1-2</t>
  </si>
  <si>
    <t>JB15K</t>
  </si>
  <si>
    <t>반디</t>
  </si>
  <si>
    <t>DW-1호#3</t>
  </si>
  <si>
    <t>캐논코리아</t>
  </si>
  <si>
    <t>2층,E/V앞</t>
  </si>
  <si>
    <t>T499-SET#3</t>
  </si>
  <si>
    <t>CJ대한통운/형제식품</t>
  </si>
  <si>
    <t>형제식품</t>
  </si>
  <si>
    <t>다용도5K</t>
  </si>
  <si>
    <t>SI-느타리2K</t>
  </si>
  <si>
    <t>다용도SG-3K-2(형합)</t>
  </si>
  <si>
    <t>JB4K</t>
  </si>
  <si>
    <t>KURLY-10#2</t>
  </si>
  <si>
    <t>JB4-2K</t>
  </si>
  <si>
    <t>NHD-4#2</t>
  </si>
  <si>
    <t>SI-4.5K#2(컬리)</t>
  </si>
  <si>
    <t>KURLY-1#5</t>
  </si>
  <si>
    <t>CJ대한통운/도당</t>
  </si>
  <si>
    <t>김보람초코릿</t>
  </si>
  <si>
    <t>삼일2.5</t>
    <phoneticPr fontId="3" type="noConversion"/>
  </si>
  <si>
    <t>위닉스</t>
  </si>
  <si>
    <t>위닉스/화성 1층</t>
  </si>
  <si>
    <t>창문형에어컨-UP</t>
  </si>
  <si>
    <t>LOSS</t>
  </si>
  <si>
    <t>창문형에어컨-LOW</t>
  </si>
  <si>
    <t>에이텍</t>
  </si>
  <si>
    <t>A2GL</t>
  </si>
  <si>
    <t>한화테크윈</t>
  </si>
  <si>
    <t>TBD</t>
  </si>
  <si>
    <t>QRN-830S</t>
  </si>
  <si>
    <t>TNP-AXXX0RW TOP/BOT</t>
  </si>
  <si>
    <t>SK매직</t>
  </si>
  <si>
    <t>M100</t>
  </si>
  <si>
    <t>A700-L/R</t>
  </si>
  <si>
    <t>A700-BOT</t>
  </si>
  <si>
    <t>JAC115 T/B</t>
  </si>
  <si>
    <t>금일매출액</t>
    <phoneticPr fontId="3" type="noConversion"/>
  </si>
  <si>
    <t>운임 비</t>
  </si>
  <si>
    <t>전일누계(수동)</t>
    <phoneticPr fontId="3" type="noConversion"/>
  </si>
  <si>
    <t>운반비중(%)</t>
  </si>
  <si>
    <t>월누계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</si>
</sst>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m&quot;/&quot;d"/>
    <numFmt numFmtId="177" formatCode="_(* #,##0_);_(* \(#,##0\);_(* &quot;-&quot;_);_(@_)"/>
    <numFmt numFmtId="178" formatCode="0_ "/>
    <numFmt numFmtId="179" formatCode="0_);[Red]\(0\)"/>
    <numFmt numFmtId="180" formatCode="0.0_ "/>
    <numFmt numFmtId="181" formatCode="#,##0.0_);[Red]\(#,##0.0\)"/>
    <numFmt numFmtId="182" formatCode="_(&quot;₩&quot;* #,##0_);_(&quot;₩&quot;* \(#,##0\);_(&quot;₩&quot;* &quot;-&quot;_);_(@_)"/>
    <numFmt numFmtId="183" formatCode="_(* #,##0.00_);_(* \(#,##0.00\);_(* &quot;-&quot;_);_(@_)"/>
    <numFmt numFmtId="184" formatCode="0.0%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82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7" fontId="2" fillId="0" borderId="0" xfId="2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178" fontId="2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/>
    </xf>
    <xf numFmtId="180" fontId="2" fillId="3" borderId="0" xfId="0" applyNumberFormat="1" applyFont="1" applyFill="1" applyAlignment="1">
      <alignment horizontal="center"/>
    </xf>
    <xf numFmtId="177" fontId="2" fillId="4" borderId="0" xfId="2" applyFont="1" applyFill="1" applyBorder="1" applyAlignment="1" applyProtection="1">
      <alignment horizontal="center" vertical="center"/>
    </xf>
    <xf numFmtId="177" fontId="2" fillId="4" borderId="0" xfId="2" applyFont="1" applyFill="1" applyBorder="1" applyAlignment="1">
      <alignment horizontal="right"/>
    </xf>
    <xf numFmtId="177" fontId="2" fillId="4" borderId="0" xfId="2" quotePrefix="1" applyFont="1" applyFill="1" applyBorder="1" applyAlignment="1" applyProtection="1">
      <alignment horizontal="center" vertical="center"/>
    </xf>
    <xf numFmtId="177" fontId="2" fillId="5" borderId="0" xfId="2" applyFont="1" applyFill="1" applyBorder="1"/>
    <xf numFmtId="177" fontId="2" fillId="0" borderId="0" xfId="2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2" fontId="5" fillId="0" borderId="0" xfId="0" applyNumberFormat="1" applyFont="1" applyAlignment="1">
      <alignment horizontal="center" vertical="center"/>
    </xf>
    <xf numFmtId="182" fontId="2" fillId="0" borderId="0" xfId="3" applyFont="1" applyFill="1" applyBorder="1" applyAlignment="1">
      <alignment horizontal="center"/>
    </xf>
    <xf numFmtId="177" fontId="2" fillId="0" borderId="0" xfId="2" quotePrefix="1" applyFont="1" applyFill="1" applyBorder="1" applyAlignment="1" applyProtection="1">
      <alignment horizontal="center" vertical="center"/>
    </xf>
    <xf numFmtId="183" fontId="2" fillId="0" borderId="0" xfId="2" applyNumberFormat="1" applyFont="1" applyFill="1" applyBorder="1"/>
    <xf numFmtId="177" fontId="2" fillId="0" borderId="0" xfId="2" applyFont="1" applyFill="1" applyBorder="1"/>
    <xf numFmtId="184" fontId="2" fillId="0" borderId="0" xfId="1" applyNumberFormat="1" applyFont="1" applyFill="1" applyBorder="1"/>
    <xf numFmtId="177" fontId="2" fillId="0" borderId="0" xfId="2" applyFont="1" applyFill="1" applyBorder="1" applyAlignment="1">
      <alignment horizontal="right"/>
    </xf>
    <xf numFmtId="177" fontId="2" fillId="0" borderId="0" xfId="2" applyFont="1" applyFill="1" applyBorder="1" applyAlignment="1" applyProtection="1">
      <alignment horizontal="center" vertical="center"/>
    </xf>
    <xf numFmtId="180" fontId="2" fillId="0" borderId="0" xfId="0" applyNumberFormat="1" applyFont="1" applyAlignment="1">
      <alignment horizontal="center"/>
    </xf>
    <xf numFmtId="9" fontId="2" fillId="0" borderId="0" xfId="1" quotePrefix="1" applyFont="1" applyFill="1" applyBorder="1" applyAlignment="1" applyProtection="1">
      <alignment horizontal="center" vertical="center"/>
    </xf>
    <xf numFmtId="177" fontId="4" fillId="0" borderId="0" xfId="2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177" fontId="2" fillId="0" borderId="0" xfId="2" applyFont="1" applyBorder="1" applyAlignment="1">
      <alignment horizontal="right"/>
    </xf>
  </cellXfs>
  <cellStyles count="4">
    <cellStyle name="백분율" xfId="1" builtinId="5"/>
    <cellStyle name="쉼표 [0] 14" xfId="2" xr:uid="{6967F7AF-65D7-443C-9E0F-8661C4454FF0}"/>
    <cellStyle name="통화 [0] 2 2" xfId="3" xr:uid="{D47ABCBA-7FCE-4A8C-BC9E-F073900D606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3;&#49324;&#48376;%20&#52636;&#54616;&#51613;%202023%20&#50896;&#48376;(2025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5800;&#44032;&#53580;&#51060;&#486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출하일보"/>
      <sheetName val="출하일보전송용260416"/>
      <sheetName val="출하입력"/>
      <sheetName val="운반비기준"/>
      <sheetName val="출하자료"/>
      <sheetName val="용차운임"/>
      <sheetName val="거래처현황"/>
      <sheetName val="DATA"/>
      <sheetName val="Sheet2"/>
      <sheetName val="VXXXXXX"/>
      <sheetName val="Sheet1"/>
      <sheetName val="Sheet3"/>
    </sheetNames>
    <sheetDataSet>
      <sheetData sheetId="0"/>
      <sheetData sheetId="1"/>
      <sheetData sheetId="2"/>
      <sheetData sheetId="3"/>
      <sheetData sheetId="4">
        <row r="2">
          <cell r="B2" t="str">
            <v>km(왕복)</v>
          </cell>
          <cell r="C2" t="str">
            <v>2.5톤</v>
          </cell>
          <cell r="D2" t="str">
            <v>5톤</v>
          </cell>
        </row>
        <row r="3">
          <cell r="A3" t="str">
            <v>경동원</v>
          </cell>
          <cell r="B3">
            <v>18</v>
          </cell>
          <cell r="C3">
            <v>45000</v>
          </cell>
          <cell r="D3">
            <v>73000</v>
          </cell>
        </row>
        <row r="4">
          <cell r="A4" t="str">
            <v>GS네트웍스</v>
          </cell>
          <cell r="B4">
            <v>22</v>
          </cell>
          <cell r="C4">
            <v>45000</v>
          </cell>
          <cell r="D4">
            <v>73000</v>
          </cell>
        </row>
        <row r="5">
          <cell r="A5" t="str">
            <v>그린로지스</v>
          </cell>
          <cell r="B5">
            <v>10</v>
          </cell>
          <cell r="C5">
            <v>45000</v>
          </cell>
          <cell r="D5">
            <v>73000</v>
          </cell>
        </row>
        <row r="6">
          <cell r="A6" t="str">
            <v>SK매직</v>
          </cell>
          <cell r="B6">
            <v>28</v>
          </cell>
          <cell r="C6">
            <v>46000</v>
          </cell>
          <cell r="D6">
            <v>73000</v>
          </cell>
        </row>
        <row r="7">
          <cell r="A7" t="str">
            <v>하츠</v>
          </cell>
          <cell r="B7">
            <v>28</v>
          </cell>
          <cell r="C7">
            <v>48000</v>
          </cell>
          <cell r="D7">
            <v>75000</v>
          </cell>
        </row>
        <row r="8">
          <cell r="A8" t="str">
            <v>LG전자</v>
          </cell>
          <cell r="B8">
            <v>30</v>
          </cell>
          <cell r="C8">
            <v>49000</v>
          </cell>
          <cell r="D8">
            <v>73000</v>
          </cell>
        </row>
        <row r="9">
          <cell r="A9" t="str">
            <v>현대리바트</v>
          </cell>
          <cell r="B9">
            <v>36</v>
          </cell>
          <cell r="C9">
            <v>54000</v>
          </cell>
          <cell r="D9">
            <v>73000</v>
          </cell>
        </row>
        <row r="10">
          <cell r="A10" t="str">
            <v>동진쎄미켐</v>
          </cell>
          <cell r="B10">
            <v>36</v>
          </cell>
          <cell r="C10">
            <v>48000</v>
          </cell>
          <cell r="D10">
            <v>84000</v>
          </cell>
        </row>
        <row r="11">
          <cell r="A11" t="str">
            <v>NCK</v>
          </cell>
          <cell r="B11">
            <v>64</v>
          </cell>
          <cell r="C11">
            <v>73000</v>
          </cell>
          <cell r="D11">
            <v>89000</v>
          </cell>
        </row>
        <row r="12">
          <cell r="A12" t="str">
            <v>세미원푸드</v>
          </cell>
          <cell r="B12">
            <v>64</v>
          </cell>
          <cell r="C12">
            <v>74000</v>
          </cell>
          <cell r="D12">
            <v>90000</v>
          </cell>
        </row>
        <row r="13">
          <cell r="A13" t="str">
            <v>로지스월드</v>
          </cell>
          <cell r="B13">
            <v>68</v>
          </cell>
          <cell r="C13">
            <v>74000</v>
          </cell>
          <cell r="D13">
            <v>90000</v>
          </cell>
        </row>
        <row r="14">
          <cell r="A14" t="str">
            <v>서흥전자</v>
          </cell>
          <cell r="B14">
            <v>78</v>
          </cell>
          <cell r="C14">
            <v>79000</v>
          </cell>
          <cell r="D14">
            <v>94000</v>
          </cell>
        </row>
        <row r="15">
          <cell r="A15" t="str">
            <v>캐논코리아</v>
          </cell>
          <cell r="B15">
            <v>82</v>
          </cell>
          <cell r="C15">
            <v>80000</v>
          </cell>
          <cell r="D15">
            <v>101000</v>
          </cell>
        </row>
        <row r="16">
          <cell r="A16" t="str">
            <v>대유산업</v>
          </cell>
          <cell r="B16">
            <v>84</v>
          </cell>
          <cell r="C16">
            <v>92000</v>
          </cell>
          <cell r="D16">
            <v>114000</v>
          </cell>
        </row>
        <row r="17">
          <cell r="A17" t="str">
            <v>동원홈푸드/가산공장</v>
          </cell>
          <cell r="B17">
            <v>88</v>
          </cell>
          <cell r="C17">
            <v>94000</v>
          </cell>
          <cell r="D17">
            <v>117000</v>
          </cell>
        </row>
        <row r="18">
          <cell r="A18" t="str">
            <v>파버나인</v>
          </cell>
          <cell r="B18">
            <v>102</v>
          </cell>
          <cell r="C18">
            <v>92000</v>
          </cell>
          <cell r="D18">
            <v>142000</v>
          </cell>
        </row>
        <row r="19">
          <cell r="A19" t="str">
            <v>컬리건코리아</v>
          </cell>
          <cell r="B19">
            <v>104</v>
          </cell>
          <cell r="C19">
            <v>107000</v>
          </cell>
          <cell r="D19">
            <v>126000</v>
          </cell>
        </row>
        <row r="20">
          <cell r="A20" t="str">
            <v>선우</v>
          </cell>
          <cell r="B20">
            <v>106</v>
          </cell>
          <cell r="C20">
            <v>106000</v>
          </cell>
          <cell r="D20">
            <v>124000</v>
          </cell>
        </row>
        <row r="21">
          <cell r="A21" t="str">
            <v>한국파렛트풀/대상</v>
          </cell>
          <cell r="B21">
            <v>108</v>
          </cell>
          <cell r="C21">
            <v>109000</v>
          </cell>
          <cell r="D21">
            <v>129000</v>
          </cell>
        </row>
        <row r="22">
          <cell r="A22" t="str">
            <v>모트렉스</v>
          </cell>
          <cell r="B22">
            <v>108</v>
          </cell>
          <cell r="C22">
            <v>100000</v>
          </cell>
          <cell r="D22">
            <v>123000</v>
          </cell>
        </row>
        <row r="23">
          <cell r="A23" t="str">
            <v>팀프레시/이천</v>
          </cell>
          <cell r="B23">
            <v>108</v>
          </cell>
          <cell r="C23">
            <v>113000</v>
          </cell>
          <cell r="D23">
            <v>139000</v>
          </cell>
        </row>
        <row r="24">
          <cell r="A24" t="str">
            <v>헬로네이처</v>
          </cell>
          <cell r="B24">
            <v>108</v>
          </cell>
          <cell r="C24">
            <v>121000</v>
          </cell>
          <cell r="D24">
            <v>153000</v>
          </cell>
        </row>
        <row r="25">
          <cell r="A25" t="str">
            <v>거상유통</v>
          </cell>
          <cell r="B25">
            <v>112</v>
          </cell>
          <cell r="C25">
            <v>124000</v>
          </cell>
          <cell r="D25">
            <v>161000</v>
          </cell>
        </row>
        <row r="26">
          <cell r="A26" t="str">
            <v>한성식품/서산</v>
          </cell>
          <cell r="B26">
            <v>116</v>
          </cell>
          <cell r="C26">
            <v>126000</v>
          </cell>
          <cell r="D26">
            <v>149000</v>
          </cell>
        </row>
        <row r="27">
          <cell r="A27" t="str">
            <v>피앤</v>
          </cell>
          <cell r="B27">
            <v>122</v>
          </cell>
          <cell r="C27">
            <v>151000</v>
          </cell>
          <cell r="D27">
            <v>229000</v>
          </cell>
        </row>
        <row r="28">
          <cell r="A28" t="str">
            <v>컬리/남양주</v>
          </cell>
          <cell r="B28">
            <v>122</v>
          </cell>
          <cell r="C28">
            <v>157000</v>
          </cell>
          <cell r="D28">
            <v>193000</v>
          </cell>
        </row>
        <row r="29">
          <cell r="A29" t="str">
            <v>그린종합물류</v>
          </cell>
          <cell r="B29">
            <v>150</v>
          </cell>
          <cell r="C29">
            <v>161000</v>
          </cell>
          <cell r="D29">
            <v>187000</v>
          </cell>
        </row>
        <row r="30">
          <cell r="A30" t="str">
            <v>풍성에프에이</v>
          </cell>
          <cell r="B30">
            <v>158</v>
          </cell>
          <cell r="C30">
            <v>156000</v>
          </cell>
          <cell r="D30">
            <v>182000</v>
          </cell>
        </row>
        <row r="31">
          <cell r="A31" t="str">
            <v>동원홈푸드/장호원</v>
          </cell>
          <cell r="B31">
            <v>170</v>
          </cell>
          <cell r="C31">
            <v>156000</v>
          </cell>
          <cell r="D31">
            <v>181000</v>
          </cell>
        </row>
        <row r="32">
          <cell r="A32" t="str">
            <v>풀무우유</v>
          </cell>
          <cell r="B32">
            <v>194</v>
          </cell>
          <cell r="C32">
            <v>165000</v>
          </cell>
          <cell r="D32">
            <v>192000</v>
          </cell>
        </row>
        <row r="33">
          <cell r="A33" t="str">
            <v>디앤티</v>
          </cell>
          <cell r="B33">
            <v>192</v>
          </cell>
          <cell r="C33">
            <v>188000</v>
          </cell>
          <cell r="D33">
            <v>217000</v>
          </cell>
        </row>
        <row r="34">
          <cell r="A34" t="str">
            <v>삼영유니텍</v>
          </cell>
          <cell r="B34">
            <v>174</v>
          </cell>
          <cell r="C34">
            <v>192000</v>
          </cell>
          <cell r="D34">
            <v>222000</v>
          </cell>
        </row>
        <row r="35">
          <cell r="A35" t="str">
            <v>동원홈푸드/금천미트(대전)</v>
          </cell>
          <cell r="B35">
            <v>174</v>
          </cell>
          <cell r="C35">
            <v>199000</v>
          </cell>
          <cell r="D35">
            <v>229000</v>
          </cell>
        </row>
        <row r="36">
          <cell r="A36" t="str">
            <v>아워홈계룡</v>
          </cell>
          <cell r="B36">
            <v>206</v>
          </cell>
          <cell r="C36">
            <v>222000</v>
          </cell>
          <cell r="D36">
            <v>240000</v>
          </cell>
        </row>
        <row r="37">
          <cell r="A37" t="str">
            <v>범산목장</v>
          </cell>
          <cell r="B37">
            <v>238</v>
          </cell>
          <cell r="C37">
            <v>216000</v>
          </cell>
          <cell r="D37">
            <v>248000</v>
          </cell>
        </row>
        <row r="38">
          <cell r="A38" t="str">
            <v>청호나이스</v>
          </cell>
          <cell r="B38">
            <v>242</v>
          </cell>
          <cell r="C38">
            <v>129000</v>
          </cell>
          <cell r="D38">
            <v>165000</v>
          </cell>
        </row>
        <row r="39">
          <cell r="A39" t="str">
            <v>팜에이트</v>
          </cell>
          <cell r="B39">
            <v>250</v>
          </cell>
          <cell r="C39">
            <v>45000</v>
          </cell>
          <cell r="D39">
            <v>73000</v>
          </cell>
        </row>
        <row r="40">
          <cell r="A40" t="str">
            <v>한국파렛트폴/두레냉동</v>
          </cell>
          <cell r="B40">
            <v>268</v>
          </cell>
          <cell r="C40">
            <v>161000</v>
          </cell>
          <cell r="D40">
            <v>185000</v>
          </cell>
        </row>
        <row r="41">
          <cell r="A41" t="str">
            <v>알토엔대우</v>
          </cell>
          <cell r="B41">
            <v>272</v>
          </cell>
          <cell r="C41">
            <v>52000</v>
          </cell>
          <cell r="D41">
            <v>73000</v>
          </cell>
        </row>
        <row r="42">
          <cell r="A42" t="str">
            <v>둔포공장</v>
          </cell>
          <cell r="B42">
            <v>140</v>
          </cell>
          <cell r="C42">
            <v>74000</v>
          </cell>
          <cell r="D42">
            <v>91000</v>
          </cell>
        </row>
        <row r="43">
          <cell r="A43" t="str">
            <v>강원공장</v>
          </cell>
          <cell r="B43">
            <v>20</v>
          </cell>
          <cell r="C43">
            <v>226000</v>
          </cell>
          <cell r="D43">
            <v>259000</v>
          </cell>
        </row>
        <row r="44">
          <cell r="A44" t="str">
            <v>동원홈푸드/이천센터</v>
          </cell>
          <cell r="B44">
            <v>168</v>
          </cell>
          <cell r="C44">
            <v>114000</v>
          </cell>
          <cell r="D44">
            <v>135000</v>
          </cell>
        </row>
        <row r="45">
          <cell r="A45" t="str">
            <v>로지텍</v>
          </cell>
          <cell r="B45">
            <v>30</v>
          </cell>
          <cell r="C45">
            <v>113000</v>
          </cell>
          <cell r="D45">
            <v>133000</v>
          </cell>
        </row>
        <row r="46">
          <cell r="A46" t="str">
            <v>한국로지스풀/제일로지스</v>
          </cell>
          <cell r="B46">
            <v>76</v>
          </cell>
          <cell r="C46">
            <v>107000</v>
          </cell>
          <cell r="D46">
            <v>126000</v>
          </cell>
        </row>
        <row r="47">
          <cell r="A47" t="str">
            <v>아산이피에스</v>
          </cell>
          <cell r="B47">
            <v>282</v>
          </cell>
          <cell r="C47">
            <v>97000</v>
          </cell>
          <cell r="D47">
            <v>116000</v>
          </cell>
        </row>
        <row r="48">
          <cell r="A48" t="str">
            <v>모두상사</v>
          </cell>
          <cell r="B48">
            <v>16</v>
          </cell>
          <cell r="C48">
            <v>46000</v>
          </cell>
          <cell r="D48">
            <v>73000</v>
          </cell>
        </row>
        <row r="49">
          <cell r="A49" t="str">
            <v>경동원/평택</v>
          </cell>
          <cell r="B49">
            <v>118</v>
          </cell>
          <cell r="C49">
            <v>62000</v>
          </cell>
          <cell r="D49">
            <v>91000</v>
          </cell>
        </row>
        <row r="50">
          <cell r="A50" t="str">
            <v>구르메</v>
          </cell>
          <cell r="B50">
            <v>118</v>
          </cell>
          <cell r="C50">
            <v>133000</v>
          </cell>
          <cell r="D50">
            <v>154000</v>
          </cell>
        </row>
        <row r="51">
          <cell r="A51" t="str">
            <v>엘에프푸드</v>
          </cell>
          <cell r="B51">
            <v>118</v>
          </cell>
          <cell r="C51">
            <v>133000</v>
          </cell>
          <cell r="D51">
            <v>154000</v>
          </cell>
        </row>
        <row r="52">
          <cell r="A52" t="str">
            <v>에이텍</v>
          </cell>
          <cell r="B52">
            <v>106</v>
          </cell>
          <cell r="C52">
            <v>61000</v>
          </cell>
          <cell r="D52">
            <v>73000</v>
          </cell>
        </row>
        <row r="53">
          <cell r="A53" t="str">
            <v>미래코리아</v>
          </cell>
          <cell r="B53">
            <v>108</v>
          </cell>
          <cell r="C53">
            <v>96000</v>
          </cell>
          <cell r="D53">
            <v>115000</v>
          </cell>
        </row>
        <row r="54">
          <cell r="A54" t="str">
            <v>다진상사</v>
          </cell>
          <cell r="B54">
            <v>32</v>
          </cell>
          <cell r="C54">
            <v>47000</v>
          </cell>
          <cell r="D54">
            <v>73000</v>
          </cell>
        </row>
        <row r="55">
          <cell r="A55" t="str">
            <v>수현유통</v>
          </cell>
          <cell r="B55">
            <v>42</v>
          </cell>
          <cell r="C55">
            <v>45000</v>
          </cell>
          <cell r="D55">
            <v>73000</v>
          </cell>
        </row>
        <row r="56">
          <cell r="A56" t="str">
            <v>삼진제약</v>
          </cell>
          <cell r="B56">
            <v>132</v>
          </cell>
          <cell r="C56">
            <v>47000</v>
          </cell>
          <cell r="D56">
            <v>73000</v>
          </cell>
        </row>
        <row r="57">
          <cell r="A57" t="str">
            <v>한화테크윈</v>
          </cell>
          <cell r="B57">
            <v>40</v>
          </cell>
          <cell r="C57">
            <v>46000</v>
          </cell>
          <cell r="D57">
            <v>73000</v>
          </cell>
        </row>
        <row r="58">
          <cell r="A58" t="str">
            <v>(유)돌코리아</v>
          </cell>
          <cell r="B58">
            <v>106</v>
          </cell>
          <cell r="C58">
            <v>74000</v>
          </cell>
          <cell r="D58">
            <v>89000</v>
          </cell>
        </row>
        <row r="59">
          <cell r="A59" t="str">
            <v>꿀맛나는세상</v>
          </cell>
          <cell r="B59">
            <v>34</v>
          </cell>
          <cell r="C59">
            <v>45000</v>
          </cell>
          <cell r="D59">
            <v>73000</v>
          </cell>
        </row>
        <row r="60">
          <cell r="A60" t="str">
            <v>한국파렛트폴/은해씨월드</v>
          </cell>
          <cell r="B60">
            <v>38</v>
          </cell>
          <cell r="C60">
            <v>150000</v>
          </cell>
          <cell r="D60">
            <v>174000</v>
          </cell>
        </row>
        <row r="61">
          <cell r="A61" t="str">
            <v>아이두잇</v>
          </cell>
          <cell r="B61">
            <v>34</v>
          </cell>
          <cell r="C61">
            <v>104000</v>
          </cell>
          <cell r="D61">
            <v>122000</v>
          </cell>
        </row>
        <row r="62">
          <cell r="A62" t="str">
            <v>대한뉴팜</v>
          </cell>
          <cell r="B62">
            <v>30</v>
          </cell>
          <cell r="C62">
            <v>47000</v>
          </cell>
          <cell r="D62">
            <v>73000</v>
          </cell>
        </row>
        <row r="63">
          <cell r="A63" t="str">
            <v>㈜진보</v>
          </cell>
          <cell r="B63">
            <v>68</v>
          </cell>
          <cell r="C63">
            <v>58000</v>
          </cell>
          <cell r="D63">
            <v>73000</v>
          </cell>
        </row>
        <row r="64">
          <cell r="A64" t="str">
            <v>비오메리으코리아</v>
          </cell>
          <cell r="B64">
            <v>10</v>
          </cell>
          <cell r="C64">
            <v>131000</v>
          </cell>
          <cell r="D64">
            <v>152000</v>
          </cell>
        </row>
        <row r="65">
          <cell r="A65" t="str">
            <v>미강산업</v>
          </cell>
          <cell r="B65">
            <v>160</v>
          </cell>
          <cell r="C65">
            <v>76000</v>
          </cell>
          <cell r="D65">
            <v>93000</v>
          </cell>
        </row>
        <row r="66">
          <cell r="A66" t="str">
            <v>가화텍</v>
          </cell>
          <cell r="B66">
            <v>104</v>
          </cell>
          <cell r="C66">
            <v>124000</v>
          </cell>
          <cell r="D66">
            <v>145000</v>
          </cell>
        </row>
        <row r="67">
          <cell r="A67" t="str">
            <v>엘티소재</v>
          </cell>
          <cell r="B67">
            <v>34</v>
          </cell>
          <cell r="C67">
            <v>67000</v>
          </cell>
          <cell r="D67">
            <v>80000</v>
          </cell>
        </row>
        <row r="68">
          <cell r="A68" t="str">
            <v>아사아블로이코리아삼화정밀</v>
          </cell>
          <cell r="B68">
            <v>38</v>
          </cell>
          <cell r="C68">
            <v>92000</v>
          </cell>
          <cell r="D68">
            <v>109000</v>
          </cell>
        </row>
        <row r="69">
          <cell r="A69" t="str">
            <v>피앤/안성</v>
          </cell>
          <cell r="B69">
            <v>38</v>
          </cell>
          <cell r="C69">
            <v>81000</v>
          </cell>
          <cell r="D69">
            <v>97000</v>
          </cell>
        </row>
        <row r="70">
          <cell r="A70" t="str">
            <v>한국파렛트풀/식스레시피</v>
          </cell>
          <cell r="B70">
            <v>130</v>
          </cell>
          <cell r="C70">
            <v>83000</v>
          </cell>
          <cell r="D70">
            <v>99000</v>
          </cell>
        </row>
        <row r="71">
          <cell r="A71" t="str">
            <v>두꺼비부대찌개</v>
          </cell>
          <cell r="B71">
            <v>78</v>
          </cell>
          <cell r="C71">
            <v>58000</v>
          </cell>
          <cell r="D71">
            <v>73000</v>
          </cell>
        </row>
        <row r="72">
          <cell r="A72" t="str">
            <v>원더스</v>
          </cell>
          <cell r="B72">
            <v>140</v>
          </cell>
          <cell r="C72">
            <v>45000</v>
          </cell>
          <cell r="D72">
            <v>73000</v>
          </cell>
        </row>
        <row r="73">
          <cell r="A73" t="str">
            <v>제로파이터즈</v>
          </cell>
          <cell r="B73">
            <v>50</v>
          </cell>
          <cell r="C73">
            <v>113000</v>
          </cell>
          <cell r="D73">
            <v>132000</v>
          </cell>
        </row>
        <row r="74">
          <cell r="A74" t="str">
            <v>MCCKD</v>
          </cell>
          <cell r="B74">
            <v>86</v>
          </cell>
          <cell r="C74">
            <v>48000</v>
          </cell>
          <cell r="D74">
            <v>73000</v>
          </cell>
        </row>
        <row r="75">
          <cell r="A75" t="str">
            <v>디케이씨</v>
          </cell>
          <cell r="B75">
            <v>78</v>
          </cell>
          <cell r="C75">
            <v>128000</v>
          </cell>
          <cell r="D75">
            <v>149000</v>
          </cell>
        </row>
        <row r="76">
          <cell r="A76" t="str">
            <v>레드테이블</v>
          </cell>
          <cell r="B76">
            <v>74</v>
          </cell>
          <cell r="C76">
            <v>100000</v>
          </cell>
          <cell r="D76">
            <v>118000</v>
          </cell>
        </row>
        <row r="77">
          <cell r="A77" t="str">
            <v>영진약품</v>
          </cell>
          <cell r="B77">
            <v>44</v>
          </cell>
          <cell r="C77">
            <v>53000</v>
          </cell>
          <cell r="D77">
            <v>73000</v>
          </cell>
        </row>
        <row r="78">
          <cell r="A78" t="str">
            <v>큐비에스</v>
          </cell>
          <cell r="B78">
            <v>20</v>
          </cell>
          <cell r="C78">
            <v>109000</v>
          </cell>
          <cell r="D78">
            <v>128000</v>
          </cell>
        </row>
        <row r="79">
          <cell r="A79" t="str">
            <v>다무라케미칼</v>
          </cell>
          <cell r="B79">
            <v>106</v>
          </cell>
          <cell r="C79">
            <v>94000</v>
          </cell>
          <cell r="D79">
            <v>112000</v>
          </cell>
        </row>
        <row r="80">
          <cell r="A80" t="str">
            <v>협진화학</v>
          </cell>
          <cell r="B80">
            <v>26</v>
          </cell>
          <cell r="C80">
            <v>115000</v>
          </cell>
          <cell r="D80">
            <v>136000</v>
          </cell>
        </row>
        <row r="81">
          <cell r="A81" t="str">
            <v>한국바이오래드</v>
          </cell>
          <cell r="B81">
            <v>130</v>
          </cell>
          <cell r="C81">
            <v>128000</v>
          </cell>
          <cell r="D81">
            <v>150000</v>
          </cell>
        </row>
        <row r="82">
          <cell r="A82" t="str">
            <v>이뱅킹테크</v>
          </cell>
          <cell r="B82">
            <v>96</v>
          </cell>
          <cell r="C82">
            <v>75000</v>
          </cell>
          <cell r="D82">
            <v>91000</v>
          </cell>
        </row>
        <row r="83">
          <cell r="A83" t="str">
            <v>서울우유몰</v>
          </cell>
          <cell r="B83">
            <v>40</v>
          </cell>
          <cell r="C83">
            <v>117000</v>
          </cell>
          <cell r="D83">
            <v>144000</v>
          </cell>
        </row>
        <row r="84">
          <cell r="A84" t="str">
            <v>이지패키지/비앤피월드</v>
          </cell>
          <cell r="B84">
            <v>110</v>
          </cell>
          <cell r="C84">
            <v>97000</v>
          </cell>
          <cell r="D84">
            <v>115000</v>
          </cell>
        </row>
        <row r="85">
          <cell r="A85" t="str">
            <v>선우/군포</v>
          </cell>
          <cell r="B85">
            <v>94</v>
          </cell>
          <cell r="C85">
            <v>63000</v>
          </cell>
          <cell r="D85">
            <v>73000</v>
          </cell>
        </row>
        <row r="86">
          <cell r="A86" t="str">
            <v>둔포공장/최동고</v>
          </cell>
          <cell r="B86">
            <v>118</v>
          </cell>
          <cell r="C86">
            <v>173000</v>
          </cell>
          <cell r="D86">
            <v>200000</v>
          </cell>
        </row>
        <row r="87">
          <cell r="A87" t="str">
            <v>알파어셈블리솔루션즈코리아</v>
          </cell>
          <cell r="B87">
            <v>132</v>
          </cell>
          <cell r="C87">
            <v>45000</v>
          </cell>
          <cell r="D87">
            <v>73000</v>
          </cell>
        </row>
        <row r="88">
          <cell r="A88" t="str">
            <v>미소FNC</v>
          </cell>
          <cell r="B88">
            <v>66</v>
          </cell>
          <cell r="C88">
            <v>93000</v>
          </cell>
          <cell r="D88">
            <v>112000</v>
          </cell>
        </row>
        <row r="89">
          <cell r="A89" t="str">
            <v>와산업</v>
          </cell>
          <cell r="B89">
            <v>116</v>
          </cell>
          <cell r="C89">
            <v>71000</v>
          </cell>
          <cell r="D89">
            <v>87000</v>
          </cell>
        </row>
        <row r="90">
          <cell r="A90" t="str">
            <v>둔포공장/태성산업</v>
          </cell>
          <cell r="B90">
            <v>94</v>
          </cell>
          <cell r="C90">
            <v>56000</v>
          </cell>
          <cell r="D90">
            <v>73000</v>
          </cell>
        </row>
        <row r="91">
          <cell r="A91" t="str">
            <v>동원홈푸드/일죽센터</v>
          </cell>
          <cell r="B91">
            <v>50</v>
          </cell>
          <cell r="C91">
            <v>127000</v>
          </cell>
          <cell r="D91">
            <v>149000</v>
          </cell>
        </row>
        <row r="92">
          <cell r="A92" t="str">
            <v>용마로지스</v>
          </cell>
          <cell r="B92">
            <v>196</v>
          </cell>
          <cell r="C92">
            <v>133000</v>
          </cell>
          <cell r="D92">
            <v>155000</v>
          </cell>
        </row>
        <row r="93">
          <cell r="A93" t="str">
            <v>동원홈푸드/시화센터</v>
          </cell>
          <cell r="B93">
            <v>18</v>
          </cell>
          <cell r="C93">
            <v>103000</v>
          </cell>
          <cell r="D93">
            <v>120000</v>
          </cell>
        </row>
        <row r="94">
          <cell r="A94" t="str">
            <v>(주)진보이엔지</v>
          </cell>
          <cell r="B94">
            <v>104</v>
          </cell>
          <cell r="C94">
            <v>45000</v>
          </cell>
          <cell r="D94">
            <v>73000</v>
          </cell>
        </row>
        <row r="95">
          <cell r="A95" t="str">
            <v>한국파렛트풀/동원로엑스</v>
          </cell>
          <cell r="B95">
            <v>62</v>
          </cell>
          <cell r="C95">
            <v>119000</v>
          </cell>
          <cell r="D95">
            <v>139000</v>
          </cell>
        </row>
        <row r="96">
          <cell r="A96" t="str">
            <v>명문제약</v>
          </cell>
          <cell r="B96">
            <v>48</v>
          </cell>
          <cell r="C96">
            <v>48000</v>
          </cell>
          <cell r="D96">
            <v>73000</v>
          </cell>
        </row>
        <row r="97">
          <cell r="A97" t="str">
            <v>지엔티</v>
          </cell>
          <cell r="B97">
            <v>134</v>
          </cell>
          <cell r="C97">
            <v>95000</v>
          </cell>
          <cell r="D97">
            <v>113000</v>
          </cell>
        </row>
        <row r="98">
          <cell r="A98" t="str">
            <v>에스트라</v>
          </cell>
          <cell r="B98">
            <v>148</v>
          </cell>
          <cell r="C98">
            <v>95000</v>
          </cell>
          <cell r="D98">
            <v>113000</v>
          </cell>
        </row>
        <row r="99">
          <cell r="A99" t="str">
            <v>모란봉식품</v>
          </cell>
          <cell r="B99">
            <v>104</v>
          </cell>
          <cell r="C99">
            <v>89000</v>
          </cell>
          <cell r="D99">
            <v>107000</v>
          </cell>
        </row>
        <row r="100">
          <cell r="A100" t="str">
            <v>디베랴</v>
          </cell>
          <cell r="B100">
            <v>22</v>
          </cell>
          <cell r="C100">
            <v>134000</v>
          </cell>
          <cell r="D100">
            <v>157000</v>
          </cell>
        </row>
        <row r="101">
          <cell r="A101" t="str">
            <v>서흥메가텍</v>
          </cell>
          <cell r="B101">
            <v>122</v>
          </cell>
          <cell r="C101">
            <v>202000</v>
          </cell>
          <cell r="D101">
            <v>233000</v>
          </cell>
        </row>
        <row r="102">
          <cell r="A102" t="str">
            <v>제이에이치리테일</v>
          </cell>
          <cell r="B102">
            <v>36</v>
          </cell>
          <cell r="C102">
            <v>116000</v>
          </cell>
          <cell r="D102">
            <v>137000</v>
          </cell>
        </row>
        <row r="103">
          <cell r="A103" t="str">
            <v>대원제약</v>
          </cell>
          <cell r="B103">
            <v>98</v>
          </cell>
          <cell r="C103">
            <v>47000</v>
          </cell>
          <cell r="D103">
            <v>73000</v>
          </cell>
        </row>
        <row r="104">
          <cell r="A104" t="str">
            <v>피앤/화성</v>
          </cell>
          <cell r="B104">
            <v>96</v>
          </cell>
          <cell r="C104">
            <v>45000</v>
          </cell>
          <cell r="D104">
            <v>73000</v>
          </cell>
        </row>
        <row r="105">
          <cell r="A105" t="str">
            <v>둔포공장/최동군</v>
          </cell>
          <cell r="B105">
            <v>96</v>
          </cell>
          <cell r="C105">
            <v>172000</v>
          </cell>
          <cell r="D105">
            <v>199000</v>
          </cell>
        </row>
        <row r="106">
          <cell r="A106" t="str">
            <v>찬구화학</v>
          </cell>
          <cell r="B106">
            <v>90</v>
          </cell>
          <cell r="C106">
            <v>49000</v>
          </cell>
          <cell r="D106">
            <v>73000</v>
          </cell>
        </row>
        <row r="107">
          <cell r="A107" t="str">
            <v>천지로지스</v>
          </cell>
          <cell r="B107">
            <v>158</v>
          </cell>
          <cell r="C107">
            <v>147000</v>
          </cell>
          <cell r="D107">
            <v>73000</v>
          </cell>
        </row>
        <row r="108">
          <cell r="A108" t="str">
            <v>삼성HME</v>
          </cell>
          <cell r="B108">
            <v>240</v>
          </cell>
          <cell r="C108">
            <v>59000</v>
          </cell>
          <cell r="D108">
            <v>73000</v>
          </cell>
        </row>
        <row r="109">
          <cell r="A109" t="str">
            <v>파슬코리아</v>
          </cell>
          <cell r="B109">
            <v>122</v>
          </cell>
          <cell r="C109">
            <v>67000</v>
          </cell>
          <cell r="D109">
            <v>81000</v>
          </cell>
        </row>
        <row r="110">
          <cell r="A110" t="str">
            <v>이안하이텍</v>
          </cell>
          <cell r="B110">
            <v>34</v>
          </cell>
          <cell r="C110">
            <v>92000</v>
          </cell>
          <cell r="D110">
            <v>111000</v>
          </cell>
        </row>
        <row r="111">
          <cell r="A111" t="str">
            <v>가지채움/두더팩</v>
          </cell>
          <cell r="B111">
            <v>18</v>
          </cell>
          <cell r="C111">
            <v>50000</v>
          </cell>
          <cell r="D111">
            <v>73000</v>
          </cell>
        </row>
        <row r="112">
          <cell r="A112" t="str">
            <v>주피터인터내셔날</v>
          </cell>
          <cell r="B112">
            <v>196</v>
          </cell>
          <cell r="C112">
            <v>73000</v>
          </cell>
          <cell r="D112">
            <v>112000</v>
          </cell>
        </row>
        <row r="113">
          <cell r="A113" t="str">
            <v>비에스인터네셔널</v>
          </cell>
          <cell r="B113">
            <v>28</v>
          </cell>
          <cell r="C113">
            <v>45000</v>
          </cell>
          <cell r="D113">
            <v>73000</v>
          </cell>
        </row>
        <row r="114">
          <cell r="A114" t="str">
            <v>현대MIB</v>
          </cell>
          <cell r="B114">
            <v>158</v>
          </cell>
          <cell r="C114">
            <v>67000</v>
          </cell>
          <cell r="D114">
            <v>81000</v>
          </cell>
        </row>
        <row r="115">
          <cell r="A115" t="str">
            <v>에스엠푸드서비스</v>
          </cell>
          <cell r="B115">
            <v>42</v>
          </cell>
          <cell r="C115">
            <v>45000</v>
          </cell>
          <cell r="D115">
            <v>73000</v>
          </cell>
        </row>
        <row r="116">
          <cell r="A116" t="str">
            <v>힘펠</v>
          </cell>
          <cell r="B116">
            <v>58</v>
          </cell>
          <cell r="C116">
            <v>45000</v>
          </cell>
          <cell r="D116">
            <v>73000</v>
          </cell>
        </row>
        <row r="117">
          <cell r="A117" t="str">
            <v>팜앤비즈</v>
          </cell>
          <cell r="B117">
            <v>106</v>
          </cell>
          <cell r="C117">
            <v>157000</v>
          </cell>
          <cell r="D117">
            <v>181000</v>
          </cell>
        </row>
        <row r="118">
          <cell r="A118" t="str">
            <v>한성식품/효원</v>
          </cell>
          <cell r="B118">
            <v>38</v>
          </cell>
          <cell r="C118">
            <v>130000</v>
          </cell>
          <cell r="D118">
            <v>152000</v>
          </cell>
        </row>
        <row r="119">
          <cell r="A119" t="str">
            <v>세븐스타코퍼레이션</v>
          </cell>
          <cell r="B119">
            <v>56</v>
          </cell>
          <cell r="C119">
            <v>65000</v>
          </cell>
          <cell r="D119">
            <v>73000</v>
          </cell>
        </row>
        <row r="120">
          <cell r="A120" t="str">
            <v>가치채움/한국패키지</v>
          </cell>
          <cell r="B120">
            <v>8</v>
          </cell>
          <cell r="C120">
            <v>152000</v>
          </cell>
          <cell r="D120">
            <v>175000</v>
          </cell>
        </row>
        <row r="121">
          <cell r="A121" t="str">
            <v>둔포공장/미래농업연구소</v>
          </cell>
          <cell r="B121">
            <v>58</v>
          </cell>
          <cell r="C121">
            <v>160000</v>
          </cell>
          <cell r="D121">
            <v>186000</v>
          </cell>
        </row>
        <row r="122">
          <cell r="A122" t="str">
            <v>아인텍</v>
          </cell>
          <cell r="B122">
            <v>26</v>
          </cell>
          <cell r="C122">
            <v>81000</v>
          </cell>
          <cell r="D122">
            <v>96000</v>
          </cell>
        </row>
        <row r="123">
          <cell r="A123" t="str">
            <v>이지패키지/푸르니</v>
          </cell>
          <cell r="B123">
            <v>18</v>
          </cell>
          <cell r="C123">
            <v>76000</v>
          </cell>
          <cell r="D123">
            <v>92000</v>
          </cell>
        </row>
        <row r="124">
          <cell r="A124" t="str">
            <v>르까도드마비</v>
          </cell>
          <cell r="B124">
            <v>176</v>
          </cell>
          <cell r="C124">
            <v>116000</v>
          </cell>
          <cell r="D124">
            <v>135000</v>
          </cell>
        </row>
        <row r="125">
          <cell r="A125" t="str">
            <v>에이제이푸드</v>
          </cell>
          <cell r="B125">
            <v>150</v>
          </cell>
          <cell r="C125">
            <v>66000</v>
          </cell>
          <cell r="D125">
            <v>95000</v>
          </cell>
        </row>
        <row r="126">
          <cell r="A126" t="str">
            <v>이노크린/화성</v>
          </cell>
          <cell r="B126">
            <v>56</v>
          </cell>
          <cell r="C126">
            <v>45000</v>
          </cell>
          <cell r="D126">
            <v>73000</v>
          </cell>
        </row>
        <row r="127">
          <cell r="A127" t="str">
            <v>대영오앤이</v>
          </cell>
          <cell r="B127">
            <v>158</v>
          </cell>
          <cell r="C127">
            <v>123000</v>
          </cell>
          <cell r="D127">
            <v>144000</v>
          </cell>
        </row>
        <row r="128">
          <cell r="A128" t="str">
            <v>신흥포장</v>
          </cell>
          <cell r="B128">
            <v>184</v>
          </cell>
          <cell r="C128">
            <v>67000</v>
          </cell>
          <cell r="D128">
            <v>81000</v>
          </cell>
        </row>
        <row r="129">
          <cell r="A129" t="str">
            <v>한국천주금속</v>
          </cell>
          <cell r="B129">
            <v>76</v>
          </cell>
          <cell r="C129">
            <v>62000</v>
          </cell>
          <cell r="D129">
            <v>90000</v>
          </cell>
        </row>
        <row r="130">
          <cell r="A130" t="str">
            <v>팜월드</v>
          </cell>
          <cell r="B130">
            <v>64</v>
          </cell>
          <cell r="C130">
            <v>60000</v>
          </cell>
          <cell r="D130">
            <v>73000</v>
          </cell>
        </row>
        <row r="131">
          <cell r="A131" t="str">
            <v>이노크린/춘천</v>
          </cell>
          <cell r="B131">
            <v>114</v>
          </cell>
          <cell r="C131">
            <v>251000</v>
          </cell>
          <cell r="D131">
            <v>286000</v>
          </cell>
        </row>
        <row r="132">
          <cell r="A132" t="str">
            <v>에치비에프</v>
          </cell>
          <cell r="B132">
            <v>58</v>
          </cell>
          <cell r="C132">
            <v>67000</v>
          </cell>
          <cell r="D132">
            <v>81000</v>
          </cell>
        </row>
        <row r="133">
          <cell r="A133" t="str">
            <v>둔포공장/김완수</v>
          </cell>
          <cell r="B133">
            <v>26</v>
          </cell>
          <cell r="C133">
            <v>170000</v>
          </cell>
          <cell r="D133">
            <v>196000</v>
          </cell>
        </row>
        <row r="134">
          <cell r="A134" t="str">
            <v>종근당</v>
          </cell>
          <cell r="B134">
            <v>144</v>
          </cell>
          <cell r="C134">
            <v>106000</v>
          </cell>
          <cell r="D134">
            <v>124000</v>
          </cell>
        </row>
        <row r="135">
          <cell r="A135" t="str">
            <v>움트리</v>
          </cell>
          <cell r="B135">
            <v>56</v>
          </cell>
          <cell r="C135">
            <v>227000</v>
          </cell>
          <cell r="D135">
            <v>257000</v>
          </cell>
        </row>
        <row r="136">
          <cell r="A136" t="str">
            <v>블루케어</v>
          </cell>
          <cell r="B136">
            <v>44</v>
          </cell>
          <cell r="C136">
            <v>133000</v>
          </cell>
          <cell r="D136">
            <v>154000</v>
          </cell>
        </row>
        <row r="137">
          <cell r="A137" t="str">
            <v>가치채움/다안나눔</v>
          </cell>
          <cell r="B137">
            <v>48</v>
          </cell>
          <cell r="C137">
            <v>98000</v>
          </cell>
          <cell r="D137">
            <v>116000</v>
          </cell>
        </row>
        <row r="138">
          <cell r="A138" t="str">
            <v>인터웨이코퍼레이션</v>
          </cell>
          <cell r="B138">
            <v>300</v>
          </cell>
          <cell r="C138">
            <v>146000</v>
          </cell>
          <cell r="D138">
            <v>168000</v>
          </cell>
        </row>
        <row r="139">
          <cell r="A139" t="str">
            <v>삼천당제약</v>
          </cell>
          <cell r="B139">
            <v>58</v>
          </cell>
          <cell r="C139">
            <v>47000</v>
          </cell>
          <cell r="D139">
            <v>73000</v>
          </cell>
        </row>
        <row r="140">
          <cell r="A140" t="str">
            <v>기가테라</v>
          </cell>
          <cell r="B140">
            <v>196</v>
          </cell>
          <cell r="C140">
            <v>50000</v>
          </cell>
          <cell r="D140">
            <v>73000</v>
          </cell>
        </row>
        <row r="141">
          <cell r="A141" t="str">
            <v>크리켓팜</v>
          </cell>
          <cell r="B141">
            <v>114</v>
          </cell>
          <cell r="C141">
            <v>58000</v>
          </cell>
          <cell r="D141">
            <v>73000</v>
          </cell>
        </row>
        <row r="142">
          <cell r="A142" t="str">
            <v>원케미컬</v>
          </cell>
          <cell r="B142">
            <v>264</v>
          </cell>
          <cell r="C142">
            <v>45000</v>
          </cell>
          <cell r="D142">
            <v>73000</v>
          </cell>
        </row>
        <row r="143">
          <cell r="A143" t="str">
            <v>본수원갈비(본점)</v>
          </cell>
          <cell r="B143">
            <v>122</v>
          </cell>
          <cell r="C143">
            <v>60000</v>
          </cell>
          <cell r="D143">
            <v>73000</v>
          </cell>
        </row>
        <row r="144">
          <cell r="A144" t="str">
            <v>동광제약</v>
          </cell>
          <cell r="B144">
            <v>102</v>
          </cell>
          <cell r="C144">
            <v>59000</v>
          </cell>
          <cell r="D144">
            <v>73000</v>
          </cell>
        </row>
        <row r="145">
          <cell r="A145" t="str">
            <v>이지패키지/스마일푸드</v>
          </cell>
          <cell r="B145">
            <v>130</v>
          </cell>
          <cell r="C145">
            <v>74000</v>
          </cell>
          <cell r="D145">
            <v>90000</v>
          </cell>
        </row>
        <row r="146">
          <cell r="A146" t="str">
            <v>에스엠티코리아</v>
          </cell>
          <cell r="B146">
            <v>34</v>
          </cell>
          <cell r="C146">
            <v>49000</v>
          </cell>
          <cell r="D146">
            <v>73000</v>
          </cell>
        </row>
        <row r="147">
          <cell r="A147" t="str">
            <v>명품간장게장</v>
          </cell>
          <cell r="B147">
            <v>30</v>
          </cell>
          <cell r="C147">
            <v>62000</v>
          </cell>
          <cell r="D147">
            <v>73000</v>
          </cell>
        </row>
        <row r="148">
          <cell r="A148" t="str">
            <v>파티큐</v>
          </cell>
          <cell r="B148">
            <v>48</v>
          </cell>
          <cell r="C148">
            <v>88000</v>
          </cell>
          <cell r="D148">
            <v>106000</v>
          </cell>
        </row>
        <row r="149">
          <cell r="A149" t="str">
            <v>KMW</v>
          </cell>
          <cell r="B149">
            <v>16</v>
          </cell>
          <cell r="C149">
            <v>59000</v>
          </cell>
          <cell r="D149">
            <v>73000</v>
          </cell>
        </row>
        <row r="150">
          <cell r="A150" t="str">
            <v>현대포장</v>
          </cell>
          <cell r="B150">
            <v>40</v>
          </cell>
          <cell r="C150">
            <v>55000</v>
          </cell>
          <cell r="D150">
            <v>73000</v>
          </cell>
        </row>
        <row r="151">
          <cell r="A151" t="str">
            <v>티케이엠</v>
          </cell>
          <cell r="B151">
            <v>38</v>
          </cell>
          <cell r="C151">
            <v>166000</v>
          </cell>
          <cell r="D151">
            <v>193000</v>
          </cell>
        </row>
        <row r="152">
          <cell r="A152" t="str">
            <v>나노엔텍</v>
          </cell>
          <cell r="B152">
            <v>64</v>
          </cell>
          <cell r="C152">
            <v>45000</v>
          </cell>
          <cell r="D152">
            <v>73000</v>
          </cell>
        </row>
        <row r="153">
          <cell r="A153" t="str">
            <v>테이트</v>
          </cell>
          <cell r="B153">
            <v>30</v>
          </cell>
          <cell r="C153">
            <v>95000</v>
          </cell>
          <cell r="D153">
            <v>112000</v>
          </cell>
        </row>
        <row r="154">
          <cell r="A154" t="str">
            <v>아이에스동서예산지점</v>
          </cell>
          <cell r="B154">
            <v>28</v>
          </cell>
          <cell r="C154">
            <v>128000</v>
          </cell>
          <cell r="D154">
            <v>152000</v>
          </cell>
        </row>
        <row r="155">
          <cell r="A155" t="str">
            <v>창영이팩토리</v>
          </cell>
          <cell r="B155">
            <v>46</v>
          </cell>
          <cell r="C155">
            <v>107000</v>
          </cell>
          <cell r="D155">
            <v>126000</v>
          </cell>
        </row>
        <row r="156">
          <cell r="A156" t="str">
            <v>한국파렛트폴/쉐프파트너</v>
          </cell>
          <cell r="B156">
            <v>86</v>
          </cell>
          <cell r="C156">
            <v>61000</v>
          </cell>
          <cell r="D156">
            <v>73000</v>
          </cell>
        </row>
        <row r="157">
          <cell r="A157" t="str">
            <v>ATEC AP/고려포장</v>
          </cell>
          <cell r="B157">
            <v>46</v>
          </cell>
          <cell r="C157">
            <v>49000</v>
          </cell>
          <cell r="D157">
            <v>73000</v>
          </cell>
        </row>
        <row r="158">
          <cell r="A158" t="str">
            <v>아이에스동서/나누텍</v>
          </cell>
          <cell r="B158">
            <v>42</v>
          </cell>
          <cell r="C158">
            <v>157000</v>
          </cell>
          <cell r="D158">
            <v>181000</v>
          </cell>
        </row>
        <row r="159">
          <cell r="A159" t="str">
            <v>메이플델리</v>
          </cell>
          <cell r="B159">
            <v>202</v>
          </cell>
          <cell r="C159">
            <v>101000</v>
          </cell>
          <cell r="D159">
            <v>118000</v>
          </cell>
        </row>
        <row r="160">
          <cell r="A160" t="str">
            <v>현대약품</v>
          </cell>
          <cell r="B160">
            <v>32</v>
          </cell>
          <cell r="C160">
            <v>45000</v>
          </cell>
          <cell r="D160">
            <v>73000</v>
          </cell>
        </row>
        <row r="161">
          <cell r="A161" t="str">
            <v>쥴릭파마코리아</v>
          </cell>
          <cell r="B161">
            <v>84</v>
          </cell>
          <cell r="C161">
            <v>53000</v>
          </cell>
          <cell r="D161">
            <v>73000</v>
          </cell>
        </row>
        <row r="162">
          <cell r="A162" t="str">
            <v>아풍오닉스/인천</v>
          </cell>
          <cell r="B162">
            <v>150</v>
          </cell>
          <cell r="C162">
            <v>130000</v>
          </cell>
          <cell r="D162">
            <v>151000</v>
          </cell>
        </row>
        <row r="163">
          <cell r="A163" t="str">
            <v>아트박스</v>
          </cell>
          <cell r="B163">
            <v>98</v>
          </cell>
          <cell r="C163">
            <v>127000</v>
          </cell>
          <cell r="D163">
            <v>149000</v>
          </cell>
        </row>
        <row r="164">
          <cell r="A164" t="str">
            <v>엑스티아이</v>
          </cell>
          <cell r="B164">
            <v>38</v>
          </cell>
          <cell r="C164">
            <v>138000</v>
          </cell>
          <cell r="D164">
            <v>161000</v>
          </cell>
        </row>
        <row r="165">
          <cell r="A165" t="str">
            <v>피앤/김포</v>
          </cell>
          <cell r="B165">
            <v>28</v>
          </cell>
          <cell r="C165">
            <v>171000</v>
          </cell>
          <cell r="D165">
            <v>195000</v>
          </cell>
        </row>
        <row r="166">
          <cell r="A166" t="str">
            <v>고려은단</v>
          </cell>
          <cell r="B166">
            <v>166</v>
          </cell>
          <cell r="C166">
            <v>85000</v>
          </cell>
          <cell r="D166">
            <v>100000</v>
          </cell>
        </row>
        <row r="167">
          <cell r="A167" t="str">
            <v>베트컴코리아</v>
          </cell>
          <cell r="B167">
            <v>92</v>
          </cell>
          <cell r="C167">
            <v>86000</v>
          </cell>
          <cell r="D167">
            <v>103000</v>
          </cell>
        </row>
        <row r="168">
          <cell r="A168" t="str">
            <v>토비스/명정보기술</v>
          </cell>
          <cell r="B168">
            <v>18</v>
          </cell>
          <cell r="C168">
            <v>159000</v>
          </cell>
          <cell r="D168">
            <v>184000</v>
          </cell>
        </row>
        <row r="169">
          <cell r="A169" t="str">
            <v>티씨푸드</v>
          </cell>
          <cell r="B169">
            <v>32</v>
          </cell>
          <cell r="C169">
            <v>90000</v>
          </cell>
          <cell r="D169">
            <v>107000</v>
          </cell>
        </row>
        <row r="170">
          <cell r="A170" t="str">
            <v>글로리아로지스</v>
          </cell>
          <cell r="B170">
            <v>122</v>
          </cell>
          <cell r="C170">
            <v>166000</v>
          </cell>
          <cell r="D170">
            <v>190000</v>
          </cell>
        </row>
        <row r="171">
          <cell r="A171" t="str">
            <v>아풍오닉스</v>
          </cell>
          <cell r="B171">
            <v>122</v>
          </cell>
          <cell r="C171">
            <v>67000</v>
          </cell>
          <cell r="D171">
            <v>81000</v>
          </cell>
        </row>
        <row r="172">
          <cell r="A172" t="str">
            <v>맑은샘한의원</v>
          </cell>
          <cell r="B172">
            <v>146</v>
          </cell>
          <cell r="C172">
            <v>217000</v>
          </cell>
          <cell r="D172">
            <v>250000</v>
          </cell>
        </row>
        <row r="173">
          <cell r="A173" t="str">
            <v>세아전자</v>
          </cell>
          <cell r="B173">
            <v>146</v>
          </cell>
          <cell r="C173">
            <v>149000</v>
          </cell>
          <cell r="D173">
            <v>171000</v>
          </cell>
        </row>
        <row r="174">
          <cell r="A174" t="str">
            <v>아워홈용인</v>
          </cell>
          <cell r="B174">
            <v>146</v>
          </cell>
          <cell r="C174">
            <v>65000</v>
          </cell>
          <cell r="D174">
            <v>73000</v>
          </cell>
        </row>
        <row r="175">
          <cell r="A175" t="str">
            <v>지씨에스</v>
          </cell>
          <cell r="B175">
            <v>174</v>
          </cell>
          <cell r="C175">
            <v>53000</v>
          </cell>
          <cell r="D175">
            <v>73000</v>
          </cell>
        </row>
        <row r="176">
          <cell r="A176" t="str">
            <v>아워홈음성</v>
          </cell>
          <cell r="B176">
            <v>70</v>
          </cell>
          <cell r="C176">
            <v>131000</v>
          </cell>
          <cell r="D176">
            <v>154000</v>
          </cell>
        </row>
        <row r="177">
          <cell r="A177" t="str">
            <v>다미푸드텍</v>
          </cell>
          <cell r="B177">
            <v>86</v>
          </cell>
          <cell r="C177">
            <v>135000</v>
          </cell>
          <cell r="D177">
            <v>157000</v>
          </cell>
        </row>
        <row r="178">
          <cell r="A178" t="str">
            <v>천호굿푸드</v>
          </cell>
          <cell r="B178">
            <v>188</v>
          </cell>
          <cell r="C178">
            <v>173000</v>
          </cell>
          <cell r="D178">
            <v>197000</v>
          </cell>
        </row>
        <row r="179">
          <cell r="A179" t="str">
            <v>아미크론</v>
          </cell>
          <cell r="B179">
            <v>80</v>
          </cell>
          <cell r="C179">
            <v>182000</v>
          </cell>
          <cell r="D179">
            <v>213000</v>
          </cell>
        </row>
        <row r="180">
          <cell r="A180" t="str">
            <v>경진축산</v>
          </cell>
          <cell r="B180">
            <v>162</v>
          </cell>
          <cell r="C180">
            <v>45000</v>
          </cell>
          <cell r="D180">
            <v>73000</v>
          </cell>
        </row>
        <row r="181">
          <cell r="A181" t="str">
            <v>중부티에스</v>
          </cell>
          <cell r="B181">
            <v>62</v>
          </cell>
          <cell r="C181">
            <v>93000</v>
          </cell>
          <cell r="D181">
            <v>111000</v>
          </cell>
        </row>
        <row r="182">
          <cell r="A182" t="str">
            <v>이지패키지/경인푸드</v>
          </cell>
          <cell r="B182">
            <v>284</v>
          </cell>
          <cell r="C182">
            <v>85000</v>
          </cell>
          <cell r="D182">
            <v>101000</v>
          </cell>
        </row>
        <row r="183">
          <cell r="A183" t="str">
            <v>케어젠</v>
          </cell>
          <cell r="B183">
            <v>140</v>
          </cell>
          <cell r="C183">
            <v>81000</v>
          </cell>
          <cell r="D183">
            <v>96000</v>
          </cell>
        </row>
        <row r="184">
          <cell r="A184" t="str">
            <v>일품김치</v>
          </cell>
          <cell r="B184">
            <v>42</v>
          </cell>
          <cell r="C184">
            <v>82000</v>
          </cell>
          <cell r="D184">
            <v>98000</v>
          </cell>
        </row>
        <row r="185">
          <cell r="A185" t="str">
            <v>한국비엠아이</v>
          </cell>
          <cell r="B185">
            <v>40</v>
          </cell>
          <cell r="C185">
            <v>89000</v>
          </cell>
          <cell r="D185">
            <v>105000</v>
          </cell>
        </row>
        <row r="186">
          <cell r="A186" t="str">
            <v>선우/J&amp;G미트</v>
          </cell>
          <cell r="B186">
            <v>152</v>
          </cell>
          <cell r="C186">
            <v>45000</v>
          </cell>
          <cell r="D186">
            <v>73000</v>
          </cell>
        </row>
        <row r="187">
          <cell r="A187" t="str">
            <v>허브로지스</v>
          </cell>
          <cell r="B187">
            <v>156</v>
          </cell>
          <cell r="C187">
            <v>63000</v>
          </cell>
          <cell r="D187">
            <v>73000</v>
          </cell>
        </row>
        <row r="188">
          <cell r="A188" t="str">
            <v>명동/세계로</v>
          </cell>
          <cell r="B188">
            <v>160</v>
          </cell>
          <cell r="C188">
            <v>45000</v>
          </cell>
          <cell r="D188">
            <v>73000</v>
          </cell>
        </row>
        <row r="189">
          <cell r="A189" t="str">
            <v>성도축산</v>
          </cell>
          <cell r="B189">
            <v>232</v>
          </cell>
          <cell r="C189">
            <v>94000</v>
          </cell>
          <cell r="D189">
            <v>112000</v>
          </cell>
        </row>
        <row r="190">
          <cell r="A190" t="str">
            <v>태우</v>
          </cell>
          <cell r="C190">
            <v>55000</v>
          </cell>
          <cell r="D190">
            <v>73000</v>
          </cell>
        </row>
        <row r="191">
          <cell r="A191" t="str">
            <v>고것참식품</v>
          </cell>
          <cell r="B191">
            <v>96</v>
          </cell>
          <cell r="C191">
            <v>67000</v>
          </cell>
          <cell r="D191">
            <v>81000</v>
          </cell>
        </row>
        <row r="192">
          <cell r="A192" t="str">
            <v>퓨오바이더스</v>
          </cell>
          <cell r="B192">
            <v>68</v>
          </cell>
          <cell r="C192">
            <v>101000</v>
          </cell>
          <cell r="D192">
            <v>119000</v>
          </cell>
        </row>
        <row r="193">
          <cell r="A193" t="str">
            <v>이파람</v>
          </cell>
          <cell r="B193">
            <v>64</v>
          </cell>
          <cell r="C193">
            <v>72000</v>
          </cell>
          <cell r="D193">
            <v>87000</v>
          </cell>
        </row>
        <row r="194">
          <cell r="A194" t="str">
            <v>팀프레시/덕평</v>
          </cell>
          <cell r="B194">
            <v>78</v>
          </cell>
          <cell r="C194">
            <v>112000</v>
          </cell>
          <cell r="D194">
            <v>137000</v>
          </cell>
        </row>
        <row r="195">
          <cell r="A195" t="str">
            <v>청하우</v>
          </cell>
          <cell r="B195">
            <v>74</v>
          </cell>
          <cell r="C195">
            <v>131000</v>
          </cell>
          <cell r="D195">
            <v>163000</v>
          </cell>
        </row>
        <row r="196">
          <cell r="A196" t="str">
            <v>피앤/인천</v>
          </cell>
          <cell r="B196">
            <v>6</v>
          </cell>
          <cell r="C196">
            <v>122000</v>
          </cell>
          <cell r="D196">
            <v>149000</v>
          </cell>
        </row>
        <row r="197">
          <cell r="A197" t="str">
            <v>집반찬연구소</v>
          </cell>
          <cell r="B197">
            <v>58</v>
          </cell>
          <cell r="C197">
            <v>122000</v>
          </cell>
          <cell r="D197">
            <v>164000</v>
          </cell>
        </row>
        <row r="198">
          <cell r="A198" t="str">
            <v>바텍/주연팩</v>
          </cell>
          <cell r="B198">
            <v>20</v>
          </cell>
          <cell r="C198">
            <v>49000</v>
          </cell>
          <cell r="D198">
            <v>73000</v>
          </cell>
        </row>
        <row r="199">
          <cell r="A199" t="str">
            <v>명동/세계로</v>
          </cell>
          <cell r="B199">
            <v>86</v>
          </cell>
          <cell r="C199">
            <v>45000</v>
          </cell>
          <cell r="D199">
            <v>73000</v>
          </cell>
        </row>
        <row r="200">
          <cell r="A200" t="str">
            <v>평창축협/태진패키지</v>
          </cell>
          <cell r="B200">
            <v>44</v>
          </cell>
          <cell r="C200">
            <v>179000</v>
          </cell>
          <cell r="D200">
            <v>190000</v>
          </cell>
        </row>
        <row r="201">
          <cell r="A201" t="str">
            <v>동진BLS</v>
          </cell>
          <cell r="B201">
            <v>58</v>
          </cell>
          <cell r="C201">
            <v>97000</v>
          </cell>
          <cell r="D201">
            <v>122000</v>
          </cell>
        </row>
        <row r="202">
          <cell r="A202" t="str">
            <v>이지패키지/요즘</v>
          </cell>
          <cell r="B202">
            <v>110</v>
          </cell>
          <cell r="C202">
            <v>89000</v>
          </cell>
          <cell r="D202">
            <v>126000</v>
          </cell>
        </row>
        <row r="203">
          <cell r="A203" t="str">
            <v>삼성LCD</v>
          </cell>
          <cell r="B203">
            <v>58</v>
          </cell>
          <cell r="C203">
            <v>59000</v>
          </cell>
          <cell r="D203">
            <v>73000</v>
          </cell>
        </row>
        <row r="204">
          <cell r="A204" t="str">
            <v>이지패키지/옳은</v>
          </cell>
          <cell r="B204">
            <v>110</v>
          </cell>
          <cell r="C204">
            <v>147000</v>
          </cell>
          <cell r="D204">
            <v>155000</v>
          </cell>
        </row>
        <row r="205">
          <cell r="A205" t="str">
            <v>유준수지/덕보갈비탕</v>
          </cell>
          <cell r="B205">
            <v>130</v>
          </cell>
          <cell r="C205">
            <v>105000</v>
          </cell>
          <cell r="D205">
            <v>123000</v>
          </cell>
        </row>
        <row r="206">
          <cell r="A206" t="str">
            <v>한국파렛트풀/더다냉동물류</v>
          </cell>
          <cell r="B206">
            <v>124</v>
          </cell>
          <cell r="C206">
            <v>170000</v>
          </cell>
          <cell r="D206">
            <v>195000</v>
          </cell>
        </row>
        <row r="207">
          <cell r="A207" t="str">
            <v>디엘팜</v>
          </cell>
          <cell r="B207">
            <v>140</v>
          </cell>
          <cell r="C207">
            <v>137000</v>
          </cell>
          <cell r="D207">
            <v>142000</v>
          </cell>
        </row>
        <row r="208">
          <cell r="A208" t="str">
            <v>중부스티로폼</v>
          </cell>
          <cell r="B208">
            <v>34</v>
          </cell>
          <cell r="C208">
            <v>220000</v>
          </cell>
          <cell r="D208">
            <v>249000</v>
          </cell>
        </row>
        <row r="209">
          <cell r="A209" t="str">
            <v>HM솔루션</v>
          </cell>
          <cell r="B209">
            <v>18</v>
          </cell>
          <cell r="C209">
            <v>76000</v>
          </cell>
          <cell r="D209">
            <v>97000</v>
          </cell>
        </row>
        <row r="210">
          <cell r="A210" t="str">
            <v>컬리/송파</v>
          </cell>
          <cell r="B210">
            <v>124</v>
          </cell>
          <cell r="C210">
            <v>103000</v>
          </cell>
          <cell r="D210">
            <v>131000</v>
          </cell>
        </row>
        <row r="211">
          <cell r="A211" t="str">
            <v>유준수지/승현</v>
          </cell>
          <cell r="B211">
            <v>120</v>
          </cell>
          <cell r="C211">
            <v>45000</v>
          </cell>
          <cell r="D211">
            <v>73000</v>
          </cell>
        </row>
        <row r="212">
          <cell r="A212" t="str">
            <v>건어맨</v>
          </cell>
          <cell r="B212">
            <v>86</v>
          </cell>
          <cell r="C212">
            <v>45000</v>
          </cell>
          <cell r="D212">
            <v>73000</v>
          </cell>
        </row>
        <row r="213">
          <cell r="A213" t="str">
            <v>보령금형</v>
          </cell>
          <cell r="B213">
            <v>42</v>
          </cell>
          <cell r="C213">
            <v>106000</v>
          </cell>
          <cell r="D213">
            <v>124000</v>
          </cell>
        </row>
        <row r="214">
          <cell r="A214" t="str">
            <v>청호나이스/미래씨엔에이치</v>
          </cell>
          <cell r="B214">
            <v>120</v>
          </cell>
          <cell r="C214">
            <v>45000</v>
          </cell>
          <cell r="D214">
            <v>73000</v>
          </cell>
        </row>
        <row r="215">
          <cell r="A215" t="str">
            <v>샘미트코리아</v>
          </cell>
          <cell r="B215">
            <v>104</v>
          </cell>
          <cell r="C215">
            <v>45000</v>
          </cell>
          <cell r="D215">
            <v>73000</v>
          </cell>
        </row>
        <row r="216">
          <cell r="A216" t="str">
            <v>현대리바트/진양기업</v>
          </cell>
          <cell r="B216">
            <v>170</v>
          </cell>
          <cell r="C216">
            <v>58000</v>
          </cell>
          <cell r="D216">
            <v>73000</v>
          </cell>
        </row>
        <row r="217">
          <cell r="A217" t="str">
            <v>더파이러츠</v>
          </cell>
          <cell r="B217">
            <v>112</v>
          </cell>
          <cell r="C217">
            <v>132000</v>
          </cell>
          <cell r="D217">
            <v>153000</v>
          </cell>
        </row>
        <row r="218">
          <cell r="A218" t="str">
            <v>베스트원푸드</v>
          </cell>
          <cell r="B218">
            <v>240</v>
          </cell>
          <cell r="C218">
            <v>147000</v>
          </cell>
          <cell r="D218">
            <v>170000</v>
          </cell>
        </row>
        <row r="219">
          <cell r="A219" t="str">
            <v>GS네트웍스/덕평</v>
          </cell>
          <cell r="B219">
            <v>52</v>
          </cell>
          <cell r="C219">
            <v>118000</v>
          </cell>
          <cell r="D219">
            <v>153000</v>
          </cell>
        </row>
        <row r="220">
          <cell r="A220" t="str">
            <v>비티씨씨큐</v>
          </cell>
          <cell r="B220">
            <v>102</v>
          </cell>
          <cell r="C220">
            <v>104000</v>
          </cell>
          <cell r="D220">
            <v>100000</v>
          </cell>
        </row>
        <row r="221">
          <cell r="A221" t="str">
            <v>엠케이씨푸드</v>
          </cell>
          <cell r="B221">
            <v>16</v>
          </cell>
          <cell r="C221">
            <v>107000</v>
          </cell>
          <cell r="D221">
            <v>124000</v>
          </cell>
        </row>
        <row r="222">
          <cell r="A222" t="str">
            <v>고려은단헬스케어</v>
          </cell>
          <cell r="B222">
            <v>16</v>
          </cell>
          <cell r="C222">
            <v>90000</v>
          </cell>
          <cell r="D222">
            <v>107000</v>
          </cell>
        </row>
        <row r="223">
          <cell r="A223" t="str">
            <v>고향식품</v>
          </cell>
          <cell r="B223">
            <v>96</v>
          </cell>
          <cell r="C223">
            <v>186000</v>
          </cell>
          <cell r="D223">
            <v>212000</v>
          </cell>
        </row>
        <row r="224">
          <cell r="A224" t="str">
            <v>서흥메가텍/의왕</v>
          </cell>
          <cell r="B224">
            <v>22</v>
          </cell>
          <cell r="C224">
            <v>72000</v>
          </cell>
          <cell r="D224">
            <v>87000</v>
          </cell>
        </row>
        <row r="225">
          <cell r="A225" t="str">
            <v>이지패키지/얌테이블</v>
          </cell>
          <cell r="B225">
            <v>14</v>
          </cell>
          <cell r="C225">
            <v>100000</v>
          </cell>
          <cell r="D225">
            <v>117000</v>
          </cell>
        </row>
        <row r="226">
          <cell r="A226" t="str">
            <v>청석</v>
          </cell>
          <cell r="B226">
            <v>34</v>
          </cell>
          <cell r="C226">
            <v>85000</v>
          </cell>
          <cell r="D226">
            <v>101000</v>
          </cell>
        </row>
        <row r="227">
          <cell r="A227" t="str">
            <v>가치채움/괴산</v>
          </cell>
          <cell r="B227">
            <v>126</v>
          </cell>
          <cell r="C227">
            <v>167000</v>
          </cell>
          <cell r="D227">
            <v>194000</v>
          </cell>
        </row>
        <row r="228">
          <cell r="A228" t="str">
            <v>아코캠</v>
          </cell>
          <cell r="B228">
            <v>148</v>
          </cell>
          <cell r="C228">
            <v>81000</v>
          </cell>
          <cell r="D228">
            <v>96000</v>
          </cell>
        </row>
        <row r="229">
          <cell r="A229" t="str">
            <v>수정바이오팜</v>
          </cell>
          <cell r="B229">
            <v>114</v>
          </cell>
          <cell r="C229">
            <v>77000</v>
          </cell>
          <cell r="D229">
            <v>92000</v>
          </cell>
        </row>
        <row r="230">
          <cell r="A230" t="str">
            <v>유준수지/천호푸드</v>
          </cell>
          <cell r="B230">
            <v>116</v>
          </cell>
          <cell r="C230">
            <v>45000</v>
          </cell>
          <cell r="D230">
            <v>73000</v>
          </cell>
        </row>
        <row r="231">
          <cell r="A231" t="str">
            <v>둔포공장/에그앤씨드</v>
          </cell>
          <cell r="B231">
            <v>88</v>
          </cell>
          <cell r="C231">
            <v>89000</v>
          </cell>
          <cell r="D231">
            <v>106000</v>
          </cell>
        </row>
        <row r="232">
          <cell r="A232" t="str">
            <v>수현유통/엠케이푸드</v>
          </cell>
          <cell r="B232">
            <v>74</v>
          </cell>
          <cell r="C232">
            <v>45000</v>
          </cell>
          <cell r="D232">
            <v>73000</v>
          </cell>
        </row>
        <row r="233">
          <cell r="A233" t="str">
            <v>비이티/용인</v>
          </cell>
          <cell r="B233">
            <v>182</v>
          </cell>
          <cell r="C233">
            <v>79000</v>
          </cell>
          <cell r="D233">
            <v>93000</v>
          </cell>
        </row>
        <row r="234">
          <cell r="A234" t="str">
            <v>하늘</v>
          </cell>
          <cell r="B234">
            <v>56</v>
          </cell>
          <cell r="C234">
            <v>111000</v>
          </cell>
          <cell r="D234">
            <v>131000</v>
          </cell>
        </row>
        <row r="235">
          <cell r="A235" t="str">
            <v>루컴즈시스템</v>
          </cell>
          <cell r="B235">
            <v>84</v>
          </cell>
          <cell r="C235">
            <v>104000</v>
          </cell>
          <cell r="D235">
            <v>121000</v>
          </cell>
        </row>
        <row r="236">
          <cell r="A236" t="str">
            <v>헬로네이처/곤지암</v>
          </cell>
          <cell r="B236">
            <v>72</v>
          </cell>
          <cell r="C236">
            <v>135000</v>
          </cell>
          <cell r="D236">
            <v>156000</v>
          </cell>
        </row>
        <row r="237">
          <cell r="A237" t="str">
            <v>배고파</v>
          </cell>
          <cell r="B237">
            <v>204</v>
          </cell>
          <cell r="C237">
            <v>52000</v>
          </cell>
          <cell r="D237">
            <v>73000</v>
          </cell>
        </row>
        <row r="238">
          <cell r="A238" t="str">
            <v>가야</v>
          </cell>
          <cell r="B238">
            <v>64</v>
          </cell>
          <cell r="C238">
            <v>72000</v>
          </cell>
          <cell r="D238">
            <v>87000</v>
          </cell>
        </row>
        <row r="239">
          <cell r="A239" t="str">
            <v>오비오</v>
          </cell>
          <cell r="B239">
            <v>52</v>
          </cell>
          <cell r="C239">
            <v>70000</v>
          </cell>
          <cell r="D239">
            <v>91000</v>
          </cell>
        </row>
        <row r="240">
          <cell r="A240" t="str">
            <v>신우엠테크</v>
          </cell>
          <cell r="C240">
            <v>70000</v>
          </cell>
          <cell r="D240">
            <v>86000</v>
          </cell>
        </row>
        <row r="241">
          <cell r="A241" t="str">
            <v>한국티피에스</v>
          </cell>
          <cell r="B241">
            <v>82</v>
          </cell>
          <cell r="C241">
            <v>47000</v>
          </cell>
          <cell r="D241">
            <v>73000</v>
          </cell>
        </row>
        <row r="242">
          <cell r="A242" t="str">
            <v>보령금형/대한주조</v>
          </cell>
          <cell r="B242">
            <v>22</v>
          </cell>
          <cell r="C242">
            <v>103000</v>
          </cell>
          <cell r="D242">
            <v>120000</v>
          </cell>
        </row>
        <row r="243">
          <cell r="A243" t="str">
            <v>드봅</v>
          </cell>
          <cell r="B243">
            <v>52</v>
          </cell>
          <cell r="C243">
            <v>52000</v>
          </cell>
          <cell r="D243">
            <v>73000</v>
          </cell>
        </row>
        <row r="244">
          <cell r="A244" t="str">
            <v>지엠메딕</v>
          </cell>
          <cell r="B244">
            <v>128</v>
          </cell>
          <cell r="C244">
            <v>45000</v>
          </cell>
          <cell r="D244">
            <v>73000</v>
          </cell>
        </row>
        <row r="245">
          <cell r="A245" t="str">
            <v>코웨이/신화산업</v>
          </cell>
          <cell r="B245">
            <v>92</v>
          </cell>
          <cell r="C245">
            <v>140000</v>
          </cell>
          <cell r="D245">
            <v>164000</v>
          </cell>
        </row>
        <row r="246">
          <cell r="A246" t="str">
            <v>코웨이/유구공장</v>
          </cell>
          <cell r="B246">
            <v>132</v>
          </cell>
          <cell r="C246">
            <v>149000</v>
          </cell>
          <cell r="D246">
            <v>222000</v>
          </cell>
        </row>
        <row r="247">
          <cell r="A247" t="str">
            <v>코웨이/인천공장</v>
          </cell>
          <cell r="B247">
            <v>34</v>
          </cell>
          <cell r="C247">
            <v>112000</v>
          </cell>
          <cell r="D247">
            <v>143000</v>
          </cell>
        </row>
        <row r="248">
          <cell r="A248" t="str">
            <v>코웨이/포천공장</v>
          </cell>
          <cell r="B248">
            <v>58</v>
          </cell>
          <cell r="C248">
            <v>208000</v>
          </cell>
          <cell r="D248">
            <v>238000</v>
          </cell>
        </row>
        <row r="249">
          <cell r="A249" t="str">
            <v>이지패키지/메쉬코리아</v>
          </cell>
          <cell r="B249">
            <v>56</v>
          </cell>
          <cell r="C249">
            <v>128000</v>
          </cell>
          <cell r="D249">
            <v>150000</v>
          </cell>
        </row>
        <row r="250">
          <cell r="A250" t="str">
            <v>유준수지/천안</v>
          </cell>
          <cell r="B250">
            <v>56</v>
          </cell>
          <cell r="C250">
            <v>100000</v>
          </cell>
          <cell r="D250">
            <v>118000</v>
          </cell>
        </row>
        <row r="251">
          <cell r="A251" t="str">
            <v>진원무역</v>
          </cell>
          <cell r="B251">
            <v>32</v>
          </cell>
          <cell r="C251">
            <v>135000</v>
          </cell>
          <cell r="D251">
            <v>157000</v>
          </cell>
        </row>
        <row r="252">
          <cell r="A252" t="str">
            <v>한국파렛트풀/루솔</v>
          </cell>
          <cell r="B252">
            <v>94</v>
          </cell>
          <cell r="C252">
            <v>200000</v>
          </cell>
          <cell r="D252">
            <v>226000</v>
          </cell>
        </row>
        <row r="253">
          <cell r="A253" t="str">
            <v>유준수지/오창</v>
          </cell>
          <cell r="B253">
            <v>34</v>
          </cell>
          <cell r="C253">
            <v>152000</v>
          </cell>
          <cell r="D253">
            <v>176000</v>
          </cell>
        </row>
        <row r="254">
          <cell r="A254" t="str">
            <v>이지패키지/주원산오리</v>
          </cell>
          <cell r="B254">
            <v>18</v>
          </cell>
          <cell r="C254">
            <v>121000</v>
          </cell>
          <cell r="D254">
            <v>141000</v>
          </cell>
        </row>
        <row r="255">
          <cell r="A255" t="str">
            <v>파스토</v>
          </cell>
          <cell r="B255">
            <v>154</v>
          </cell>
          <cell r="C255">
            <v>127000</v>
          </cell>
          <cell r="D255">
            <v>148000</v>
          </cell>
        </row>
        <row r="256">
          <cell r="A256" t="str">
            <v>이지패키지/대한푸드</v>
          </cell>
          <cell r="B256">
            <v>154</v>
          </cell>
          <cell r="C256">
            <v>145000</v>
          </cell>
          <cell r="D256">
            <v>169000</v>
          </cell>
        </row>
        <row r="257">
          <cell r="A257" t="str">
            <v>고향미트</v>
          </cell>
          <cell r="B257">
            <v>102</v>
          </cell>
          <cell r="C257">
            <v>68000</v>
          </cell>
          <cell r="D257">
            <v>81000</v>
          </cell>
        </row>
        <row r="258">
          <cell r="A258" t="str">
            <v>이지패키지/한솔양계</v>
          </cell>
          <cell r="B258">
            <v>232</v>
          </cell>
          <cell r="C258">
            <v>125000</v>
          </cell>
          <cell r="D258">
            <v>147000</v>
          </cell>
        </row>
        <row r="259">
          <cell r="A259" t="str">
            <v>서광</v>
          </cell>
          <cell r="B259">
            <v>232</v>
          </cell>
          <cell r="C259">
            <v>130000</v>
          </cell>
          <cell r="D259">
            <v>151000</v>
          </cell>
        </row>
        <row r="260">
          <cell r="A260" t="str">
            <v>이지패키지/그린육가공</v>
          </cell>
          <cell r="B260">
            <v>130</v>
          </cell>
          <cell r="C260">
            <v>100000</v>
          </cell>
          <cell r="D260">
            <v>117000</v>
          </cell>
        </row>
        <row r="261">
          <cell r="A261" t="str">
            <v>케이원트레이딩</v>
          </cell>
          <cell r="B261">
            <v>100</v>
          </cell>
          <cell r="C261">
            <v>112000</v>
          </cell>
          <cell r="D261">
            <v>132000</v>
          </cell>
        </row>
        <row r="262">
          <cell r="A262" t="str">
            <v>프리시젼바이오</v>
          </cell>
          <cell r="B262">
            <v>142</v>
          </cell>
          <cell r="C262">
            <v>190000</v>
          </cell>
          <cell r="D262">
            <v>208000</v>
          </cell>
        </row>
        <row r="263">
          <cell r="A263" t="str">
            <v>해찬</v>
          </cell>
          <cell r="B263">
            <v>244</v>
          </cell>
          <cell r="C263">
            <v>45000</v>
          </cell>
          <cell r="D263">
            <v>73000</v>
          </cell>
        </row>
        <row r="264">
          <cell r="A264" t="str">
            <v>에이시스</v>
          </cell>
          <cell r="B264">
            <v>182</v>
          </cell>
          <cell r="C264">
            <v>77000</v>
          </cell>
          <cell r="D264">
            <v>93000</v>
          </cell>
        </row>
        <row r="265">
          <cell r="A265" t="str">
            <v>대진브로아</v>
          </cell>
          <cell r="B265">
            <v>140</v>
          </cell>
          <cell r="C265">
            <v>174000</v>
          </cell>
          <cell r="D265">
            <v>199000</v>
          </cell>
        </row>
        <row r="266">
          <cell r="A266" t="str">
            <v>케이웨더</v>
          </cell>
          <cell r="B266">
            <v>136</v>
          </cell>
          <cell r="C266">
            <v>142000</v>
          </cell>
          <cell r="D266">
            <v>164000</v>
          </cell>
        </row>
        <row r="267">
          <cell r="A267" t="str">
            <v>가화텍/안성</v>
          </cell>
          <cell r="B267">
            <v>172</v>
          </cell>
          <cell r="C267">
            <v>98000</v>
          </cell>
          <cell r="D267">
            <v>116000</v>
          </cell>
        </row>
        <row r="268">
          <cell r="A268" t="str">
            <v>윈스터</v>
          </cell>
          <cell r="B268">
            <v>54</v>
          </cell>
          <cell r="C268">
            <v>157000</v>
          </cell>
          <cell r="D268">
            <v>182000</v>
          </cell>
        </row>
        <row r="269">
          <cell r="A269" t="str">
            <v>이파트너</v>
          </cell>
          <cell r="B269">
            <v>142</v>
          </cell>
          <cell r="C269">
            <v>48000</v>
          </cell>
          <cell r="D269">
            <v>73000</v>
          </cell>
        </row>
        <row r="270">
          <cell r="A270" t="str">
            <v>에이치케이바이오이노베이션</v>
          </cell>
          <cell r="B270">
            <v>130</v>
          </cell>
          <cell r="C270">
            <v>160000</v>
          </cell>
          <cell r="D270">
            <v>198000</v>
          </cell>
        </row>
        <row r="271">
          <cell r="A271" t="str">
            <v>아이센스</v>
          </cell>
          <cell r="B271">
            <v>96</v>
          </cell>
          <cell r="C271">
            <v>130000</v>
          </cell>
          <cell r="D271">
            <v>150000</v>
          </cell>
        </row>
        <row r="272">
          <cell r="A272" t="str">
            <v>이지패키지/에스앤에이치로지스</v>
          </cell>
          <cell r="B272">
            <v>114</v>
          </cell>
          <cell r="C272">
            <v>90000</v>
          </cell>
          <cell r="D272">
            <v>108000</v>
          </cell>
        </row>
        <row r="273">
          <cell r="A273" t="str">
            <v>GS네트웍스/곤지암</v>
          </cell>
          <cell r="B273">
            <v>232</v>
          </cell>
          <cell r="C273">
            <v>133000</v>
          </cell>
          <cell r="D273">
            <v>154000</v>
          </cell>
        </row>
        <row r="274">
          <cell r="A274" t="str">
            <v>미성화학</v>
          </cell>
          <cell r="B274">
            <v>18.8</v>
          </cell>
          <cell r="C274">
            <v>89000</v>
          </cell>
          <cell r="D274">
            <v>106000</v>
          </cell>
        </row>
        <row r="275">
          <cell r="A275" t="str">
            <v>대명</v>
          </cell>
          <cell r="B275">
            <v>68</v>
          </cell>
          <cell r="C275">
            <v>110000</v>
          </cell>
          <cell r="D275">
            <v>128000</v>
          </cell>
        </row>
        <row r="276">
          <cell r="A276" t="str">
            <v>용마로지스/안성</v>
          </cell>
          <cell r="B276">
            <v>182.8</v>
          </cell>
          <cell r="C276">
            <v>60000</v>
          </cell>
          <cell r="D276">
            <v>73000</v>
          </cell>
        </row>
        <row r="277">
          <cell r="A277" t="str">
            <v>올인원유통</v>
          </cell>
          <cell r="B277">
            <v>160.80000000000001</v>
          </cell>
          <cell r="C277">
            <v>135000</v>
          </cell>
          <cell r="D277">
            <v>157000</v>
          </cell>
        </row>
        <row r="278">
          <cell r="A278" t="str">
            <v>이시다</v>
          </cell>
          <cell r="B278">
            <v>99.6</v>
          </cell>
          <cell r="C278">
            <v>117000</v>
          </cell>
          <cell r="D278">
            <v>136000</v>
          </cell>
        </row>
        <row r="279">
          <cell r="A279" t="str">
            <v>에이엔피개발</v>
          </cell>
          <cell r="B279">
            <v>184</v>
          </cell>
          <cell r="C279">
            <v>115000</v>
          </cell>
          <cell r="D279">
            <v>134000</v>
          </cell>
        </row>
        <row r="280">
          <cell r="A280" t="str">
            <v>현진금속</v>
          </cell>
          <cell r="B280">
            <v>26</v>
          </cell>
          <cell r="C280">
            <v>85000</v>
          </cell>
          <cell r="D280">
            <v>101000</v>
          </cell>
        </row>
        <row r="281">
          <cell r="A281" t="str">
            <v>이지패키지/에이치티엠코리아</v>
          </cell>
          <cell r="B281">
            <v>176</v>
          </cell>
          <cell r="C281">
            <v>110000</v>
          </cell>
          <cell r="D281">
            <v>129000</v>
          </cell>
        </row>
        <row r="282">
          <cell r="A282" t="str">
            <v>이지패키지/유진푸드시시템</v>
          </cell>
          <cell r="B282">
            <v>114</v>
          </cell>
          <cell r="C282">
            <v>128000</v>
          </cell>
          <cell r="D282">
            <v>150000</v>
          </cell>
        </row>
        <row r="283">
          <cell r="A283" t="str">
            <v>KCP이천센터</v>
          </cell>
          <cell r="B283">
            <v>84</v>
          </cell>
          <cell r="C283">
            <v>126000</v>
          </cell>
          <cell r="D283">
            <v>147000</v>
          </cell>
        </row>
        <row r="284">
          <cell r="A284" t="str">
            <v>다담은</v>
          </cell>
          <cell r="B284">
            <v>134</v>
          </cell>
          <cell r="C284">
            <v>175000</v>
          </cell>
          <cell r="D284">
            <v>202000</v>
          </cell>
        </row>
        <row r="285">
          <cell r="A285" t="str">
            <v>영진이피에스/팍스페밀리</v>
          </cell>
          <cell r="B285">
            <v>80</v>
          </cell>
          <cell r="C285">
            <v>149000</v>
          </cell>
          <cell r="D285">
            <v>173000</v>
          </cell>
        </row>
        <row r="286">
          <cell r="A286" t="str">
            <v>와이디푸드</v>
          </cell>
          <cell r="B286">
            <v>92</v>
          </cell>
          <cell r="C286">
            <v>45000</v>
          </cell>
          <cell r="D286">
            <v>73000</v>
          </cell>
        </row>
        <row r="287">
          <cell r="A287" t="str">
            <v>유준수지/젤리트리</v>
          </cell>
          <cell r="B287">
            <v>72</v>
          </cell>
          <cell r="C287">
            <v>86000</v>
          </cell>
          <cell r="D287">
            <v>101000</v>
          </cell>
        </row>
        <row r="288">
          <cell r="A288" t="str">
            <v>대명/김포</v>
          </cell>
          <cell r="B288">
            <v>138</v>
          </cell>
          <cell r="C288">
            <v>143000</v>
          </cell>
          <cell r="D288">
            <v>164000</v>
          </cell>
        </row>
        <row r="289">
          <cell r="A289" t="str">
            <v>경기스티로폼</v>
          </cell>
          <cell r="B289">
            <v>106</v>
          </cell>
          <cell r="C289">
            <v>161000</v>
          </cell>
          <cell r="D289">
            <v>186000</v>
          </cell>
        </row>
        <row r="290">
          <cell r="A290" t="str">
            <v>주식회사 육대장</v>
          </cell>
          <cell r="B290">
            <v>112</v>
          </cell>
          <cell r="C290">
            <v>114000</v>
          </cell>
          <cell r="D290">
            <v>132000</v>
          </cell>
        </row>
        <row r="291">
          <cell r="A291" t="str">
            <v>지웅</v>
          </cell>
          <cell r="B291">
            <v>78</v>
          </cell>
          <cell r="C291">
            <v>134000</v>
          </cell>
          <cell r="D291">
            <v>154000</v>
          </cell>
        </row>
        <row r="292">
          <cell r="A292" t="str">
            <v>벌이랑꿀이랑</v>
          </cell>
          <cell r="B292">
            <v>110</v>
          </cell>
          <cell r="C292">
            <v>72000</v>
          </cell>
          <cell r="D292">
            <v>87000</v>
          </cell>
        </row>
        <row r="293">
          <cell r="A293" t="str">
            <v>알비코리아</v>
          </cell>
          <cell r="B293">
            <v>146</v>
          </cell>
          <cell r="C293">
            <v>116000</v>
          </cell>
          <cell r="D293">
            <v>136000</v>
          </cell>
        </row>
        <row r="294">
          <cell r="A294" t="str">
            <v>우림에프엠지</v>
          </cell>
          <cell r="B294">
            <v>134</v>
          </cell>
          <cell r="C294">
            <v>109000</v>
          </cell>
          <cell r="D294">
            <v>127000</v>
          </cell>
        </row>
        <row r="295">
          <cell r="A295" t="str">
            <v>청호나이스/에스엠나이스</v>
          </cell>
          <cell r="B295">
            <v>200</v>
          </cell>
          <cell r="C295">
            <v>114000</v>
          </cell>
          <cell r="D295">
            <v>160000</v>
          </cell>
        </row>
        <row r="296">
          <cell r="A296" t="str">
            <v>이지패키지/그린푸드물류</v>
          </cell>
          <cell r="B296">
            <v>166</v>
          </cell>
          <cell r="C296">
            <v>62000</v>
          </cell>
          <cell r="D296">
            <v>73000</v>
          </cell>
        </row>
        <row r="297">
          <cell r="A297" t="str">
            <v>알고케어</v>
          </cell>
          <cell r="B297">
            <v>13.8</v>
          </cell>
          <cell r="C297">
            <v>123000</v>
          </cell>
          <cell r="D297">
            <v>142000</v>
          </cell>
        </row>
        <row r="298">
          <cell r="A298" t="str">
            <v>용인공장</v>
          </cell>
          <cell r="B298">
            <v>80</v>
          </cell>
          <cell r="C298">
            <v>119000</v>
          </cell>
          <cell r="D298">
            <v>138000</v>
          </cell>
        </row>
        <row r="299">
          <cell r="A299" t="str">
            <v>다모아패키지</v>
          </cell>
          <cell r="B299">
            <v>150</v>
          </cell>
          <cell r="C299">
            <v>168000</v>
          </cell>
          <cell r="D299">
            <v>194000</v>
          </cell>
        </row>
        <row r="300">
          <cell r="A300" t="str">
            <v>UNK</v>
          </cell>
          <cell r="B300">
            <v>150</v>
          </cell>
          <cell r="C300">
            <v>201000</v>
          </cell>
          <cell r="D300">
            <v>231000</v>
          </cell>
        </row>
        <row r="301">
          <cell r="A301" t="str">
            <v>한국파렛트풀/올바른에프앤비</v>
          </cell>
          <cell r="B301">
            <v>182</v>
          </cell>
          <cell r="C301">
            <v>51000</v>
          </cell>
          <cell r="D301">
            <v>73000</v>
          </cell>
        </row>
        <row r="302">
          <cell r="A302" t="str">
            <v>이지패캐지/삼원피앤아이</v>
          </cell>
          <cell r="B302">
            <v>102</v>
          </cell>
          <cell r="C302">
            <v>96000</v>
          </cell>
          <cell r="D302">
            <v>115000</v>
          </cell>
        </row>
        <row r="303">
          <cell r="A303" t="str">
            <v>청밀</v>
          </cell>
          <cell r="B303">
            <v>126</v>
          </cell>
          <cell r="C303">
            <v>125000</v>
          </cell>
          <cell r="D303">
            <v>144000</v>
          </cell>
        </row>
        <row r="304">
          <cell r="A304" t="str">
            <v>엔와이티/신명전기</v>
          </cell>
          <cell r="B304">
            <v>64</v>
          </cell>
          <cell r="C304">
            <v>187000</v>
          </cell>
          <cell r="D304">
            <v>211000</v>
          </cell>
        </row>
        <row r="305">
          <cell r="A305" t="str">
            <v>다모아페키지/제이제이컴퍼니</v>
          </cell>
          <cell r="B305">
            <v>114</v>
          </cell>
          <cell r="C305">
            <v>257000</v>
          </cell>
          <cell r="D305">
            <v>292000</v>
          </cell>
        </row>
        <row r="306">
          <cell r="A306" t="str">
            <v>바이오플레이</v>
          </cell>
          <cell r="B306">
            <v>102</v>
          </cell>
          <cell r="C306">
            <v>108000</v>
          </cell>
          <cell r="D306">
            <v>124000</v>
          </cell>
        </row>
        <row r="307">
          <cell r="A307" t="str">
            <v>영진이피에스/신라원</v>
          </cell>
          <cell r="B307">
            <v>100</v>
          </cell>
          <cell r="C307">
            <v>155000</v>
          </cell>
          <cell r="D307">
            <v>181000</v>
          </cell>
        </row>
        <row r="308">
          <cell r="A308" t="str">
            <v>싱싱패키지</v>
          </cell>
          <cell r="B308">
            <v>46</v>
          </cell>
          <cell r="C308">
            <v>85000</v>
          </cell>
          <cell r="D308">
            <v>100000</v>
          </cell>
        </row>
        <row r="309">
          <cell r="A309" t="str">
            <v>페페</v>
          </cell>
          <cell r="B309">
            <v>118</v>
          </cell>
          <cell r="C309">
            <v>154000</v>
          </cell>
          <cell r="D309">
            <v>176000</v>
          </cell>
        </row>
        <row r="310">
          <cell r="A310" t="str">
            <v>이지패키지/한살림사업</v>
          </cell>
          <cell r="B310">
            <v>114</v>
          </cell>
          <cell r="C310">
            <v>110000</v>
          </cell>
          <cell r="D310">
            <v>129000</v>
          </cell>
        </row>
        <row r="311">
          <cell r="A311" t="str">
            <v>용인공장/SHS</v>
          </cell>
          <cell r="B311">
            <v>196</v>
          </cell>
          <cell r="C311">
            <v>52000</v>
          </cell>
          <cell r="D311">
            <v>86000</v>
          </cell>
        </row>
        <row r="312">
          <cell r="A312" t="str">
            <v>UFO전복</v>
          </cell>
          <cell r="B312">
            <v>236</v>
          </cell>
          <cell r="C312">
            <v>130000</v>
          </cell>
          <cell r="D312">
            <v>150000</v>
          </cell>
        </row>
        <row r="313">
          <cell r="A313" t="str">
            <v>H컴퍼니</v>
          </cell>
          <cell r="B313">
            <v>38</v>
          </cell>
          <cell r="C313">
            <v>45000</v>
          </cell>
          <cell r="D313">
            <v>73000</v>
          </cell>
        </row>
        <row r="314">
          <cell r="A314" t="str">
            <v>싱싱패키지/신바드</v>
          </cell>
          <cell r="B314">
            <v>106</v>
          </cell>
          <cell r="C314">
            <v>125000</v>
          </cell>
          <cell r="D314">
            <v>145000</v>
          </cell>
        </row>
        <row r="315">
          <cell r="A315" t="str">
            <v>핸디엄</v>
          </cell>
          <cell r="B315">
            <v>130</v>
          </cell>
          <cell r="C315">
            <v>164000</v>
          </cell>
          <cell r="D315">
            <v>186000</v>
          </cell>
        </row>
        <row r="316">
          <cell r="A316" t="str">
            <v>경동제약</v>
          </cell>
          <cell r="B316">
            <v>166</v>
          </cell>
          <cell r="C316">
            <v>45000</v>
          </cell>
          <cell r="D316">
            <v>73000</v>
          </cell>
        </row>
        <row r="317">
          <cell r="A317" t="str">
            <v>싱싱패키지/배스마로지스</v>
          </cell>
          <cell r="B317">
            <v>304</v>
          </cell>
          <cell r="C317">
            <v>49000</v>
          </cell>
          <cell r="D317">
            <v>73000</v>
          </cell>
        </row>
        <row r="318">
          <cell r="A318" t="str">
            <v>싱싱패키지/남선푸드</v>
          </cell>
          <cell r="B318">
            <v>90</v>
          </cell>
          <cell r="C318">
            <v>170000</v>
          </cell>
          <cell r="D318">
            <v>195000</v>
          </cell>
        </row>
        <row r="319">
          <cell r="A319" t="str">
            <v>싱싱패키지/다온식품</v>
          </cell>
          <cell r="B319">
            <v>188</v>
          </cell>
          <cell r="C319">
            <v>134000</v>
          </cell>
          <cell r="D319">
            <v>153000</v>
          </cell>
        </row>
        <row r="320">
          <cell r="A320" t="str">
            <v>싱싱패키지/에이플랜로지스틱</v>
          </cell>
          <cell r="B320">
            <v>74</v>
          </cell>
          <cell r="C320">
            <v>47000</v>
          </cell>
          <cell r="D320">
            <v>73000</v>
          </cell>
        </row>
        <row r="321">
          <cell r="A321" t="str">
            <v>싱싱패키지/피시원</v>
          </cell>
          <cell r="B321">
            <v>152</v>
          </cell>
          <cell r="C321">
            <v>105000</v>
          </cell>
          <cell r="D321">
            <v>121000</v>
          </cell>
        </row>
        <row r="322">
          <cell r="A322" t="str">
            <v>AJ네트웍스/하겐다즈</v>
          </cell>
          <cell r="B322">
            <v>110</v>
          </cell>
          <cell r="C322">
            <v>84000</v>
          </cell>
          <cell r="D322">
            <v>100000</v>
          </cell>
        </row>
        <row r="323">
          <cell r="A323" t="str">
            <v>싱싱패키지/청림농원</v>
          </cell>
          <cell r="B323">
            <v>90</v>
          </cell>
          <cell r="C323">
            <v>126000</v>
          </cell>
          <cell r="D323">
            <v>147000</v>
          </cell>
        </row>
        <row r="324">
          <cell r="A324" t="str">
            <v>㈜농협유통하나로마트분평점</v>
          </cell>
          <cell r="B324">
            <v>124</v>
          </cell>
          <cell r="C324">
            <v>177000</v>
          </cell>
          <cell r="D324">
            <v>205000</v>
          </cell>
        </row>
        <row r="325">
          <cell r="A325" t="str">
            <v>(주)농협유통 청주농산물종합유통센터</v>
          </cell>
          <cell r="B325">
            <v>26</v>
          </cell>
          <cell r="C325">
            <v>173000</v>
          </cell>
          <cell r="D325">
            <v>198000</v>
          </cell>
        </row>
        <row r="326">
          <cell r="A326" t="str">
            <v>진양</v>
          </cell>
          <cell r="B326">
            <v>140</v>
          </cell>
          <cell r="C326">
            <v>211000</v>
          </cell>
          <cell r="D326">
            <v>237000</v>
          </cell>
        </row>
        <row r="327">
          <cell r="A327" t="str">
            <v>㈜농협유통하나로마트분평점</v>
          </cell>
          <cell r="B327">
            <v>172</v>
          </cell>
          <cell r="C327">
            <v>161000</v>
          </cell>
          <cell r="D327">
            <v>152000</v>
          </cell>
        </row>
        <row r="328">
          <cell r="A328" t="str">
            <v>(주)농협유통 청주농산물종합유통센터</v>
          </cell>
          <cell r="B328">
            <v>26</v>
          </cell>
          <cell r="C328">
            <v>159000</v>
          </cell>
          <cell r="D328">
            <v>286000</v>
          </cell>
        </row>
        <row r="329">
          <cell r="A329" t="str">
            <v>진양</v>
          </cell>
          <cell r="B329">
            <v>36</v>
          </cell>
          <cell r="C329">
            <v>196000</v>
          </cell>
          <cell r="D329">
            <v>219000</v>
          </cell>
        </row>
        <row r="330">
          <cell r="A330" t="str">
            <v>인팩코리아/선진</v>
          </cell>
          <cell r="B330">
            <v>36</v>
          </cell>
          <cell r="C330">
            <v>91000</v>
          </cell>
          <cell r="D330">
            <v>116000</v>
          </cell>
        </row>
        <row r="331">
          <cell r="A331" t="str">
            <v>인팩코리아/한일팜스</v>
          </cell>
          <cell r="B331">
            <v>188</v>
          </cell>
          <cell r="C331">
            <v>136000</v>
          </cell>
          <cell r="D331">
            <v>156000</v>
          </cell>
        </row>
        <row r="332">
          <cell r="A332" t="str">
            <v>인팩코리아/좋은이웃농산</v>
          </cell>
          <cell r="B332">
            <v>0</v>
          </cell>
          <cell r="C332">
            <v>114000</v>
          </cell>
          <cell r="D332">
            <v>130000</v>
          </cell>
        </row>
        <row r="333">
          <cell r="A333" t="str">
            <v>진양</v>
          </cell>
          <cell r="B333">
            <v>0</v>
          </cell>
          <cell r="C333">
            <v>136000</v>
          </cell>
          <cell r="D333">
            <v>221000</v>
          </cell>
        </row>
        <row r="334">
          <cell r="A334" t="str">
            <v>(주)농협유통 청주농산물종합유통센터</v>
          </cell>
          <cell r="C334">
            <v>161000</v>
          </cell>
          <cell r="D334">
            <v>184000</v>
          </cell>
        </row>
        <row r="335">
          <cell r="A335" t="str">
            <v>램스푸드</v>
          </cell>
          <cell r="D335">
            <v>73000</v>
          </cell>
        </row>
        <row r="336">
          <cell r="A336" t="str">
            <v>겸엑스</v>
          </cell>
          <cell r="D336">
            <v>121000</v>
          </cell>
        </row>
        <row r="337">
          <cell r="A337" t="str">
            <v>진양</v>
          </cell>
          <cell r="D337">
            <v>122000</v>
          </cell>
        </row>
        <row r="338">
          <cell r="A338" t="str">
            <v>주식회사삼마</v>
          </cell>
        </row>
        <row r="339">
          <cell r="A339" t="str">
            <v>코어패밀리</v>
          </cell>
          <cell r="D339">
            <v>130000</v>
          </cell>
        </row>
        <row r="340">
          <cell r="A340" t="str">
            <v>진원</v>
          </cell>
          <cell r="C340">
            <v>45000</v>
          </cell>
        </row>
        <row r="341">
          <cell r="A341" t="str">
            <v>탭스인터내셔널</v>
          </cell>
        </row>
        <row r="342">
          <cell r="A342" t="str">
            <v>성주리된장</v>
          </cell>
        </row>
        <row r="343">
          <cell r="A343" t="str">
            <v>알파어셈블리솔루션즈코리아/시흥</v>
          </cell>
          <cell r="D343">
            <v>108000</v>
          </cell>
        </row>
        <row r="344">
          <cell r="A344" t="str">
            <v>꿀맛장어</v>
          </cell>
        </row>
        <row r="345">
          <cell r="A345" t="str">
            <v>오픈바이져</v>
          </cell>
          <cell r="B345">
            <v>0</v>
          </cell>
          <cell r="C345">
            <v>45000</v>
          </cell>
          <cell r="D345">
            <v>73000</v>
          </cell>
        </row>
        <row r="346">
          <cell r="A346" t="str">
            <v>한국로지스풀/로지스프로</v>
          </cell>
          <cell r="B346">
            <v>0</v>
          </cell>
          <cell r="C346">
            <v>135000</v>
          </cell>
          <cell r="D346">
            <v>150000</v>
          </cell>
        </row>
        <row r="347">
          <cell r="A347" t="str">
            <v>제이월드텍</v>
          </cell>
          <cell r="B347">
            <v>0</v>
          </cell>
        </row>
        <row r="348">
          <cell r="A348" t="str">
            <v>싱싱패키지/미주후레쉬</v>
          </cell>
          <cell r="B348">
            <v>0</v>
          </cell>
        </row>
        <row r="349">
          <cell r="A349" t="str">
            <v>싱싱패키지/온누리스토어</v>
          </cell>
          <cell r="B349">
            <v>0</v>
          </cell>
          <cell r="C349">
            <v>88000</v>
          </cell>
          <cell r="D349">
            <v>103000</v>
          </cell>
        </row>
        <row r="350">
          <cell r="A350" t="str">
            <v>인팩코리아/제이웨이아이앤티</v>
          </cell>
          <cell r="B350">
            <v>0</v>
          </cell>
          <cell r="D350">
            <v>95000</v>
          </cell>
        </row>
        <row r="351">
          <cell r="A351" t="str">
            <v>한국초저온</v>
          </cell>
          <cell r="B351">
            <v>0</v>
          </cell>
          <cell r="C351">
            <v>45000</v>
          </cell>
          <cell r="D351">
            <v>73000</v>
          </cell>
        </row>
        <row r="352">
          <cell r="A352" t="str">
            <v>제일식품</v>
          </cell>
          <cell r="B352">
            <v>0</v>
          </cell>
          <cell r="C352">
            <v>45000</v>
          </cell>
          <cell r="D352">
            <v>73000</v>
          </cell>
        </row>
        <row r="353">
          <cell r="A353" t="str">
            <v>KEC</v>
          </cell>
          <cell r="B353">
            <v>0</v>
          </cell>
        </row>
        <row r="354">
          <cell r="A354" t="str">
            <v>한국이노팩/이푸드부산</v>
          </cell>
          <cell r="B354">
            <v>0</v>
          </cell>
          <cell r="D354">
            <v>190000</v>
          </cell>
        </row>
        <row r="355">
          <cell r="A355" t="str">
            <v>청산식품</v>
          </cell>
          <cell r="B355">
            <v>0</v>
          </cell>
          <cell r="C355">
            <v>76000</v>
          </cell>
          <cell r="D355">
            <v>89000</v>
          </cell>
        </row>
        <row r="356">
          <cell r="A356" t="str">
            <v>자호몬</v>
          </cell>
          <cell r="B356">
            <v>0</v>
          </cell>
          <cell r="C356">
            <v>45000</v>
          </cell>
          <cell r="D356">
            <v>73000</v>
          </cell>
        </row>
        <row r="357">
          <cell r="A357" t="str">
            <v>젠코디벨롭</v>
          </cell>
          <cell r="B357">
            <v>0</v>
          </cell>
          <cell r="D357">
            <v>101000</v>
          </cell>
        </row>
        <row r="358">
          <cell r="A358" t="str">
            <v>동원디어푸드</v>
          </cell>
          <cell r="B358">
            <v>0</v>
          </cell>
          <cell r="D358">
            <v>150000</v>
          </cell>
        </row>
        <row r="359">
          <cell r="A359" t="str">
            <v>AJ네트웍스/정들</v>
          </cell>
          <cell r="B359">
            <v>0</v>
          </cell>
          <cell r="C359">
            <v>63000</v>
          </cell>
          <cell r="D359">
            <v>83000</v>
          </cell>
        </row>
        <row r="360">
          <cell r="A360" t="str">
            <v>싱싱패키지/와이제이푸드</v>
          </cell>
          <cell r="B360">
            <v>0</v>
          </cell>
        </row>
        <row r="361">
          <cell r="A361" t="str">
            <v>싱싱패키지/티아이엘</v>
          </cell>
          <cell r="B361">
            <v>0</v>
          </cell>
          <cell r="C361">
            <v>128000</v>
          </cell>
        </row>
        <row r="362">
          <cell r="A362" t="str">
            <v>동북푸드</v>
          </cell>
          <cell r="B362">
            <v>0</v>
          </cell>
          <cell r="C362">
            <v>45000</v>
          </cell>
          <cell r="D362">
            <v>73000</v>
          </cell>
        </row>
        <row r="363">
          <cell r="A363" t="str">
            <v>루이스벨라</v>
          </cell>
          <cell r="B363">
            <v>0</v>
          </cell>
          <cell r="C363">
            <v>90000</v>
          </cell>
          <cell r="D363">
            <v>123000</v>
          </cell>
        </row>
        <row r="364">
          <cell r="A364" t="str">
            <v>인오션</v>
          </cell>
          <cell r="B364">
            <v>0</v>
          </cell>
        </row>
        <row r="365">
          <cell r="A365" t="str">
            <v>동아에스티</v>
          </cell>
          <cell r="B365">
            <v>0</v>
          </cell>
        </row>
        <row r="366">
          <cell r="A366" t="str">
            <v>리템엘앤씨</v>
          </cell>
          <cell r="B366">
            <v>0</v>
          </cell>
          <cell r="C366">
            <v>116000</v>
          </cell>
          <cell r="D366">
            <v>174000</v>
          </cell>
        </row>
        <row r="367">
          <cell r="A367" t="str">
            <v>씨앤투스성진</v>
          </cell>
          <cell r="B367">
            <v>0</v>
          </cell>
        </row>
        <row r="368">
          <cell r="A368" t="str">
            <v>릴테크</v>
          </cell>
          <cell r="B368">
            <v>0</v>
          </cell>
        </row>
        <row r="369">
          <cell r="A369" t="str">
            <v>CJ대한통운/위로지스</v>
          </cell>
          <cell r="B369">
            <v>0</v>
          </cell>
          <cell r="D369">
            <v>158000</v>
          </cell>
        </row>
        <row r="370">
          <cell r="A370" t="str">
            <v>신정산업</v>
          </cell>
          <cell r="B370">
            <v>0</v>
          </cell>
        </row>
        <row r="371">
          <cell r="A371" t="str">
            <v>싱싱패키지/AJ네트웍스</v>
          </cell>
          <cell r="B371">
            <v>0</v>
          </cell>
        </row>
        <row r="372">
          <cell r="A372" t="str">
            <v>국도첨단소재</v>
          </cell>
          <cell r="B372">
            <v>0</v>
          </cell>
          <cell r="C372">
            <v>71000</v>
          </cell>
          <cell r="D372">
            <v>93000</v>
          </cell>
        </row>
        <row r="373">
          <cell r="A373" t="str">
            <v>국도화학</v>
          </cell>
          <cell r="B373">
            <v>0</v>
          </cell>
          <cell r="C373">
            <v>71000</v>
          </cell>
          <cell r="D373">
            <v>81000</v>
          </cell>
        </row>
        <row r="374">
          <cell r="A374" t="str">
            <v>대덕식당</v>
          </cell>
          <cell r="B374">
            <v>0</v>
          </cell>
        </row>
        <row r="375">
          <cell r="A375" t="str">
            <v>그린라인유한회사</v>
          </cell>
          <cell r="B375">
            <v>0</v>
          </cell>
          <cell r="D375">
            <v>171000</v>
          </cell>
        </row>
        <row r="376">
          <cell r="A376" t="str">
            <v>어니홈푸드</v>
          </cell>
          <cell r="B376">
            <v>0</v>
          </cell>
        </row>
        <row r="377">
          <cell r="A377" t="str">
            <v>싱싱패키지/CLC컴퍼니</v>
          </cell>
          <cell r="B377">
            <v>0</v>
          </cell>
          <cell r="C377">
            <v>48000</v>
          </cell>
          <cell r="D377">
            <v>73000</v>
          </cell>
        </row>
        <row r="378">
          <cell r="A378" t="str">
            <v>싱싱패키지/AJ네트웍스(한강로직스)</v>
          </cell>
          <cell r="B378">
            <v>0</v>
          </cell>
          <cell r="D378">
            <v>110000</v>
          </cell>
        </row>
        <row r="379">
          <cell r="A379" t="str">
            <v>대단</v>
          </cell>
          <cell r="B379">
            <v>0</v>
          </cell>
        </row>
        <row r="380">
          <cell r="A380" t="str">
            <v>중부스티로폼/푸드장</v>
          </cell>
          <cell r="B380">
            <v>0</v>
          </cell>
          <cell r="C380">
            <v>154000</v>
          </cell>
          <cell r="D380">
            <v>190000</v>
          </cell>
        </row>
        <row r="381">
          <cell r="A381" t="str">
            <v>AJ네트웍스/보라티알</v>
          </cell>
          <cell r="B381">
            <v>0</v>
          </cell>
          <cell r="C381">
            <v>110000</v>
          </cell>
          <cell r="D381">
            <v>144000</v>
          </cell>
        </row>
        <row r="382">
          <cell r="A382" t="str">
            <v>싱싱패키지/흑유재</v>
          </cell>
          <cell r="B382">
            <v>0</v>
          </cell>
        </row>
        <row r="383">
          <cell r="A383" t="str">
            <v>싱싱패키지/비티엔</v>
          </cell>
          <cell r="B383">
            <v>0</v>
          </cell>
        </row>
        <row r="384">
          <cell r="A384" t="str">
            <v>싱싱패키지/서대산농장</v>
          </cell>
          <cell r="B384">
            <v>0</v>
          </cell>
        </row>
        <row r="385">
          <cell r="A385" t="str">
            <v>싱싱패키지/연우로지스(선우)</v>
          </cell>
          <cell r="B385">
            <v>0</v>
          </cell>
          <cell r="D385">
            <v>127000</v>
          </cell>
        </row>
        <row r="386">
          <cell r="A386" t="str">
            <v>에코윈드</v>
          </cell>
          <cell r="B386">
            <v>0</v>
          </cell>
        </row>
        <row r="387">
          <cell r="A387" t="str">
            <v>CJ대한통운/코리아레지스토리</v>
          </cell>
          <cell r="B387">
            <v>0</v>
          </cell>
        </row>
        <row r="388">
          <cell r="A388" t="str">
            <v>싱싱패키지/건어맨</v>
          </cell>
          <cell r="B388">
            <v>0</v>
          </cell>
          <cell r="C388">
            <v>45000</v>
          </cell>
          <cell r="D388">
            <v>68000</v>
          </cell>
        </row>
        <row r="389">
          <cell r="A389" t="str">
            <v>싱싱패키지/서울종합상사</v>
          </cell>
          <cell r="B389">
            <v>0</v>
          </cell>
        </row>
        <row r="390">
          <cell r="A390" t="str">
            <v>싱싱패키지/스텐메디칼</v>
          </cell>
          <cell r="B390">
            <v>0</v>
          </cell>
        </row>
        <row r="391">
          <cell r="A391" t="str">
            <v>다솜식자재유통</v>
          </cell>
          <cell r="B391">
            <v>0</v>
          </cell>
          <cell r="C391">
            <v>46000</v>
          </cell>
          <cell r="D391">
            <v>73000</v>
          </cell>
        </row>
        <row r="392">
          <cell r="A392" t="str">
            <v>인팩코리아/다솜식자재유통</v>
          </cell>
          <cell r="B392">
            <v>0</v>
          </cell>
          <cell r="C392">
            <v>46000</v>
          </cell>
          <cell r="D392">
            <v>73000</v>
          </cell>
        </row>
        <row r="393">
          <cell r="A393" t="str">
            <v>싱싱패키지/대단</v>
          </cell>
          <cell r="B393">
            <v>0</v>
          </cell>
        </row>
        <row r="394">
          <cell r="A394" t="str">
            <v>싱싱패키지/건국유업</v>
          </cell>
          <cell r="B394">
            <v>0</v>
          </cell>
        </row>
        <row r="395">
          <cell r="A395" t="str">
            <v>솔솔푸드시스템</v>
          </cell>
          <cell r="B395">
            <v>0</v>
          </cell>
        </row>
        <row r="396">
          <cell r="A396" t="str">
            <v>렘스푸드</v>
          </cell>
          <cell r="B396">
            <v>0</v>
          </cell>
          <cell r="C396">
            <v>40000</v>
          </cell>
          <cell r="D396">
            <v>68000</v>
          </cell>
        </row>
        <row r="397">
          <cell r="A397" t="str">
            <v>싱싱패키지/성신푸드</v>
          </cell>
          <cell r="B397">
            <v>0</v>
          </cell>
        </row>
        <row r="398">
          <cell r="A398" t="str">
            <v>뷰닉스테크</v>
          </cell>
          <cell r="B398">
            <v>0</v>
          </cell>
          <cell r="C398">
            <v>128000</v>
          </cell>
        </row>
        <row r="399">
          <cell r="A399" t="str">
            <v>싱싱패키지/재원파트너스</v>
          </cell>
          <cell r="B399">
            <v>0</v>
          </cell>
          <cell r="D399">
            <v>175000</v>
          </cell>
        </row>
        <row r="400">
          <cell r="A400" t="str">
            <v>CJ대한통운</v>
          </cell>
          <cell r="B400">
            <v>0</v>
          </cell>
        </row>
        <row r="401">
          <cell r="A401" t="str">
            <v>로아홈푸드</v>
          </cell>
          <cell r="B401">
            <v>0</v>
          </cell>
        </row>
        <row r="402">
          <cell r="A402" t="str">
            <v>비지에스유통</v>
          </cell>
          <cell r="B402">
            <v>0</v>
          </cell>
        </row>
        <row r="403">
          <cell r="A403" t="str">
            <v>디앤피파크</v>
          </cell>
          <cell r="B403">
            <v>0</v>
          </cell>
        </row>
        <row r="404">
          <cell r="A404" t="str">
            <v>한국파렛트풀</v>
          </cell>
          <cell r="B404">
            <v>0</v>
          </cell>
        </row>
        <row r="405">
          <cell r="A405" t="str">
            <v>케이듀화성</v>
          </cell>
          <cell r="B405">
            <v>0</v>
          </cell>
          <cell r="C405">
            <v>45000</v>
          </cell>
          <cell r="D405">
            <v>73000</v>
          </cell>
        </row>
        <row r="406">
          <cell r="A406" t="str">
            <v>CJ대한통운/자루</v>
          </cell>
          <cell r="B406">
            <v>0</v>
          </cell>
        </row>
        <row r="407">
          <cell r="A407" t="str">
            <v>싱싱패키지/노바렉스</v>
          </cell>
          <cell r="B407">
            <v>0</v>
          </cell>
        </row>
        <row r="408">
          <cell r="A408" t="str">
            <v>CJ대한통운/웰맥</v>
          </cell>
          <cell r="B408">
            <v>0</v>
          </cell>
          <cell r="C408">
            <v>46000</v>
          </cell>
          <cell r="D408">
            <v>73000</v>
          </cell>
        </row>
        <row r="409">
          <cell r="A409" t="str">
            <v>세스코</v>
          </cell>
          <cell r="B409">
            <v>0</v>
          </cell>
        </row>
        <row r="410">
          <cell r="A410" t="str">
            <v>마카롱스튜디오</v>
          </cell>
          <cell r="B410">
            <v>0</v>
          </cell>
        </row>
        <row r="411">
          <cell r="A411" t="str">
            <v>유라인업</v>
          </cell>
          <cell r="B411">
            <v>0</v>
          </cell>
          <cell r="D411">
            <v>130000</v>
          </cell>
        </row>
        <row r="412">
          <cell r="A412" t="str">
            <v>동원/진천</v>
          </cell>
          <cell r="B412">
            <v>0</v>
          </cell>
        </row>
        <row r="413">
          <cell r="A413" t="str">
            <v>이지패키지/라라스윗</v>
          </cell>
          <cell r="B413">
            <v>0</v>
          </cell>
          <cell r="C413">
            <v>73000</v>
          </cell>
          <cell r="D413">
            <v>89000</v>
          </cell>
        </row>
        <row r="414">
          <cell r="A414" t="str">
            <v>한국파렛트풀/라라스윗</v>
          </cell>
          <cell r="B414">
            <v>0</v>
          </cell>
          <cell r="C414">
            <v>73000</v>
          </cell>
          <cell r="D414">
            <v>89000</v>
          </cell>
        </row>
        <row r="415">
          <cell r="A415" t="str">
            <v>마켓컬리</v>
          </cell>
          <cell r="B415">
            <v>0</v>
          </cell>
        </row>
        <row r="416">
          <cell r="A416" t="str">
            <v>동신전열</v>
          </cell>
          <cell r="C416">
            <v>65000</v>
          </cell>
        </row>
        <row r="417">
          <cell r="A417" t="str">
            <v>정직파트너스/무한상사</v>
          </cell>
          <cell r="B417">
            <v>0</v>
          </cell>
          <cell r="D417">
            <v>155000</v>
          </cell>
        </row>
        <row r="418">
          <cell r="A418" t="str">
            <v>아스파라거스영농조합법인</v>
          </cell>
          <cell r="B418">
            <v>0</v>
          </cell>
        </row>
        <row r="419">
          <cell r="A419" t="str">
            <v>CJ대한통운/바이러브하나(대전)</v>
          </cell>
          <cell r="B419">
            <v>0</v>
          </cell>
        </row>
        <row r="420">
          <cell r="A420" t="str">
            <v>싱싱패키지/제이F&amp;B</v>
          </cell>
          <cell r="B420">
            <v>0</v>
          </cell>
        </row>
        <row r="421">
          <cell r="A421" t="str">
            <v>싱싱패키지/코빅푸드</v>
          </cell>
          <cell r="B421">
            <v>0</v>
          </cell>
        </row>
        <row r="422">
          <cell r="A422" t="str">
            <v>위닉스</v>
          </cell>
          <cell r="B422">
            <v>0</v>
          </cell>
          <cell r="C422">
            <v>68000</v>
          </cell>
          <cell r="D422">
            <v>100000</v>
          </cell>
        </row>
        <row r="423">
          <cell r="A423" t="str">
            <v>용마로지스/용인</v>
          </cell>
          <cell r="B423">
            <v>0</v>
          </cell>
        </row>
        <row r="424">
          <cell r="A424" t="str">
            <v>지성에스엔더블유</v>
          </cell>
          <cell r="B424">
            <v>0</v>
          </cell>
        </row>
        <row r="425">
          <cell r="A425" t="str">
            <v>싱싱패키지/코어셀</v>
          </cell>
          <cell r="B425">
            <v>0</v>
          </cell>
        </row>
        <row r="426">
          <cell r="A426" t="str">
            <v>싱싱패키지/새롬</v>
          </cell>
          <cell r="B426">
            <v>0</v>
          </cell>
        </row>
        <row r="427">
          <cell r="A427" t="str">
            <v>일신포장/세스코</v>
          </cell>
          <cell r="B427">
            <v>0</v>
          </cell>
          <cell r="C427">
            <v>172000</v>
          </cell>
          <cell r="D427">
            <v>196000</v>
          </cell>
        </row>
        <row r="428">
          <cell r="A428" t="str">
            <v>싱싱패키지/제이비글로벌</v>
          </cell>
          <cell r="B428">
            <v>0</v>
          </cell>
        </row>
        <row r="429">
          <cell r="A429" t="str">
            <v>싱싱패키지/한국장어</v>
          </cell>
          <cell r="B429">
            <v>0</v>
          </cell>
        </row>
        <row r="430">
          <cell r="A430" t="str">
            <v>흑산수협홍어</v>
          </cell>
          <cell r="B430">
            <v>0</v>
          </cell>
        </row>
        <row r="431">
          <cell r="A431" t="str">
            <v>싱싱패키지/미트포커스</v>
          </cell>
          <cell r="B431">
            <v>0</v>
          </cell>
        </row>
        <row r="432">
          <cell r="A432" t="str">
            <v>싱싱패키지/더힐링팜</v>
          </cell>
          <cell r="B432">
            <v>0</v>
          </cell>
        </row>
        <row r="433">
          <cell r="A433" t="str">
            <v>동원홈푸드/화성센터</v>
          </cell>
          <cell r="B433">
            <v>0</v>
          </cell>
          <cell r="C433">
            <v>45000</v>
          </cell>
          <cell r="D433">
            <v>73000</v>
          </cell>
        </row>
        <row r="434">
          <cell r="A434" t="str">
            <v>싱싱패키지/인천생갈비별관</v>
          </cell>
          <cell r="B434">
            <v>0</v>
          </cell>
        </row>
        <row r="435">
          <cell r="A435" t="str">
            <v>용마로지스/입장</v>
          </cell>
          <cell r="B435">
            <v>0</v>
          </cell>
          <cell r="D435">
            <v>110000</v>
          </cell>
        </row>
        <row r="436">
          <cell r="A436" t="str">
            <v>싱싱패키지/디웰에프에스</v>
          </cell>
          <cell r="B436">
            <v>0</v>
          </cell>
          <cell r="C436">
            <v>45000</v>
          </cell>
        </row>
        <row r="437">
          <cell r="A437" t="str">
            <v>아이캠퍼</v>
          </cell>
          <cell r="B437">
            <v>0</v>
          </cell>
        </row>
        <row r="438">
          <cell r="A438" t="str">
            <v>영진이피에스/DNAT</v>
          </cell>
          <cell r="B438">
            <v>0</v>
          </cell>
          <cell r="C438">
            <v>45000</v>
          </cell>
        </row>
        <row r="439">
          <cell r="A439" t="str">
            <v>CJ대한통운/태향</v>
          </cell>
          <cell r="B439">
            <v>0</v>
          </cell>
          <cell r="D439">
            <v>215000</v>
          </cell>
        </row>
        <row r="440">
          <cell r="A440" t="str">
            <v>CJ대한통운/청우프레쉬</v>
          </cell>
          <cell r="B440">
            <v>0</v>
          </cell>
        </row>
        <row r="441">
          <cell r="A441" t="str">
            <v>싱싱패키지/속리산특산물</v>
          </cell>
          <cell r="B441">
            <v>0</v>
          </cell>
        </row>
        <row r="442">
          <cell r="A442" t="str">
            <v>CJ대한통운/바이러브하나(대전)</v>
          </cell>
          <cell r="B442">
            <v>0</v>
          </cell>
        </row>
        <row r="443">
          <cell r="A443" t="str">
            <v>이지패키지/부일</v>
          </cell>
          <cell r="B443">
            <v>0</v>
          </cell>
          <cell r="C443">
            <v>94000</v>
          </cell>
          <cell r="D443">
            <v>106000</v>
          </cell>
        </row>
        <row r="444">
          <cell r="A444" t="str">
            <v>에이텍솔루션</v>
          </cell>
          <cell r="B444">
            <v>0</v>
          </cell>
          <cell r="D444">
            <v>75000</v>
          </cell>
        </row>
        <row r="445">
          <cell r="A445" t="str">
            <v>루텍</v>
          </cell>
          <cell r="B445">
            <v>0</v>
          </cell>
        </row>
        <row r="446">
          <cell r="A446" t="str">
            <v>티엠드</v>
          </cell>
          <cell r="B446">
            <v>0</v>
          </cell>
        </row>
        <row r="447">
          <cell r="A447" t="str">
            <v>서울전자통신</v>
          </cell>
          <cell r="B447">
            <v>0</v>
          </cell>
          <cell r="C447">
            <v>128000</v>
          </cell>
          <cell r="D447">
            <v>147000</v>
          </cell>
        </row>
        <row r="448">
          <cell r="A448" t="str">
            <v>싱싱패키지/선녀풍2호점</v>
          </cell>
          <cell r="B448">
            <v>0</v>
          </cell>
        </row>
        <row r="449">
          <cell r="A449" t="str">
            <v>싱싱패키지/텃골오리</v>
          </cell>
          <cell r="B449">
            <v>0</v>
          </cell>
        </row>
        <row r="450">
          <cell r="A450" t="str">
            <v>인팩코리아/모담</v>
          </cell>
          <cell r="B450">
            <v>0</v>
          </cell>
        </row>
        <row r="451">
          <cell r="A451" t="str">
            <v>인팩코리아/베이킹조이</v>
          </cell>
          <cell r="B451">
            <v>0</v>
          </cell>
          <cell r="D451">
            <v>152000</v>
          </cell>
        </row>
        <row r="452">
          <cell r="A452" t="str">
            <v>용인공장/한국파렛트폴</v>
          </cell>
          <cell r="B452">
            <v>0</v>
          </cell>
          <cell r="D452">
            <v>119000</v>
          </cell>
        </row>
        <row r="453">
          <cell r="A453" t="str">
            <v>용인공장/용인BH</v>
          </cell>
          <cell r="B453">
            <v>0</v>
          </cell>
          <cell r="D453">
            <v>117000</v>
          </cell>
        </row>
        <row r="454">
          <cell r="A454" t="str">
            <v>인펙코리아/고삼농협</v>
          </cell>
          <cell r="B454">
            <v>0</v>
          </cell>
          <cell r="C454">
            <v>92000</v>
          </cell>
          <cell r="D454">
            <v>103000</v>
          </cell>
        </row>
        <row r="455">
          <cell r="A455" t="str">
            <v>용인공장/한국이노팩</v>
          </cell>
          <cell r="B455">
            <v>0</v>
          </cell>
          <cell r="D455">
            <v>128000</v>
          </cell>
        </row>
        <row r="456">
          <cell r="A456" t="str">
            <v>싱싱패키지/일산SBS소품제작팀</v>
          </cell>
          <cell r="B456">
            <v>0</v>
          </cell>
          <cell r="D456">
            <v>178000</v>
          </cell>
        </row>
        <row r="457">
          <cell r="A457" t="str">
            <v>성북동43도</v>
          </cell>
          <cell r="B457">
            <v>0</v>
          </cell>
        </row>
        <row r="458">
          <cell r="A458" t="str">
            <v>인펙코리아/미주후레쉬</v>
          </cell>
          <cell r="B458">
            <v>0</v>
          </cell>
        </row>
        <row r="459">
          <cell r="A459" t="str">
            <v>싱싱패키지/엠쉐어</v>
          </cell>
          <cell r="B459">
            <v>0</v>
          </cell>
        </row>
        <row r="460">
          <cell r="A460" t="str">
            <v>싱싱패키지/일월상사</v>
          </cell>
          <cell r="B460">
            <v>0</v>
          </cell>
        </row>
        <row r="461">
          <cell r="A461" t="str">
            <v>인팩코리아</v>
          </cell>
          <cell r="B461">
            <v>0</v>
          </cell>
        </row>
        <row r="462">
          <cell r="A462" t="str">
            <v>CJ대한통운/정인당</v>
          </cell>
          <cell r="B462">
            <v>0</v>
          </cell>
        </row>
        <row r="463">
          <cell r="A463" t="str">
            <v>CJ대한통운/삼부엔타워</v>
          </cell>
          <cell r="B463">
            <v>0</v>
          </cell>
        </row>
        <row r="464">
          <cell r="A464" t="str">
            <v>이지패키지/어니스트초이스</v>
          </cell>
          <cell r="B464">
            <v>0</v>
          </cell>
        </row>
        <row r="465">
          <cell r="A465" t="str">
            <v>백제약품</v>
          </cell>
          <cell r="B465">
            <v>0</v>
          </cell>
        </row>
        <row r="466">
          <cell r="A466" t="str">
            <v>SPCGFS</v>
          </cell>
          <cell r="B466">
            <v>0</v>
          </cell>
          <cell r="D466">
            <v>81000</v>
          </cell>
        </row>
        <row r="467">
          <cell r="A467" t="str">
            <v>CJ대한통운/형제식품</v>
          </cell>
          <cell r="B467">
            <v>0</v>
          </cell>
          <cell r="C467">
            <v>118000</v>
          </cell>
        </row>
        <row r="468">
          <cell r="A468" t="str">
            <v>한국파렛트풀/라우비피에스</v>
          </cell>
          <cell r="B468">
            <v>0</v>
          </cell>
          <cell r="D468">
            <v>73000</v>
          </cell>
        </row>
        <row r="469">
          <cell r="A469" t="str">
            <v>인팩코리아/황금이농산</v>
          </cell>
          <cell r="B469">
            <v>0</v>
          </cell>
        </row>
        <row r="470">
          <cell r="A470" t="str">
            <v>인팩코리아/무한</v>
          </cell>
          <cell r="B470">
            <v>0</v>
          </cell>
        </row>
        <row r="471">
          <cell r="A471" t="str">
            <v>영진이피에스/남선푸드</v>
          </cell>
          <cell r="B471">
            <v>0</v>
          </cell>
          <cell r="C471">
            <v>146000</v>
          </cell>
          <cell r="D471">
            <v>180000</v>
          </cell>
        </row>
        <row r="472">
          <cell r="A472" t="str">
            <v>에이스전자/제이월드텍</v>
          </cell>
          <cell r="B472">
            <v>0</v>
          </cell>
          <cell r="D472">
            <v>94000</v>
          </cell>
        </row>
        <row r="473">
          <cell r="A473" t="str">
            <v>CJ대한통운/남천영농조합</v>
          </cell>
          <cell r="B473">
            <v>0</v>
          </cell>
        </row>
        <row r="474">
          <cell r="A474" t="str">
            <v>싱싱패키지/호박꽃</v>
          </cell>
          <cell r="B474">
            <v>0</v>
          </cell>
        </row>
        <row r="475">
          <cell r="A475" t="str">
            <v>반디</v>
          </cell>
          <cell r="B475">
            <v>0</v>
          </cell>
          <cell r="D475">
            <v>136000</v>
          </cell>
        </row>
        <row r="476">
          <cell r="A476" t="str">
            <v>북산</v>
          </cell>
          <cell r="B476">
            <v>0</v>
          </cell>
        </row>
        <row r="477">
          <cell r="A477" t="str">
            <v>인팩코리아/좋은이웃농산</v>
          </cell>
          <cell r="B477">
            <v>0</v>
          </cell>
          <cell r="C477">
            <v>108000</v>
          </cell>
          <cell r="D477">
            <v>128000</v>
          </cell>
        </row>
        <row r="478">
          <cell r="A478" t="str">
            <v>싱싱패키지/에이젯코퍼레이션</v>
          </cell>
          <cell r="B478">
            <v>0</v>
          </cell>
        </row>
        <row r="479">
          <cell r="A479" t="str">
            <v>에프엠에스코리아</v>
          </cell>
          <cell r="B479">
            <v>0</v>
          </cell>
        </row>
        <row r="480">
          <cell r="A480" t="str">
            <v>코웨이/세명하이트</v>
          </cell>
          <cell r="B480">
            <v>0</v>
          </cell>
        </row>
        <row r="481">
          <cell r="A481" t="str">
            <v>가치채움</v>
          </cell>
          <cell r="B481">
            <v>0</v>
          </cell>
        </row>
        <row r="482">
          <cell r="A482" t="str">
            <v>인팩코리아/H컴퍼니</v>
          </cell>
          <cell r="B482">
            <v>0</v>
          </cell>
          <cell r="D482">
            <v>73000</v>
          </cell>
        </row>
        <row r="483">
          <cell r="A483" t="str">
            <v>싱싱패키지/진하나</v>
          </cell>
          <cell r="B483">
            <v>0</v>
          </cell>
        </row>
        <row r="484">
          <cell r="A484" t="str">
            <v>동인에스앤에프</v>
          </cell>
          <cell r="B484">
            <v>0</v>
          </cell>
        </row>
        <row r="485">
          <cell r="A485" t="str">
            <v>인팩코리아/선진</v>
          </cell>
          <cell r="B485">
            <v>0</v>
          </cell>
          <cell r="C485">
            <v>89000</v>
          </cell>
          <cell r="D485">
            <v>117000</v>
          </cell>
        </row>
        <row r="486">
          <cell r="A486" t="str">
            <v>대영케이하이테크</v>
          </cell>
          <cell r="B486">
            <v>0</v>
          </cell>
        </row>
        <row r="487">
          <cell r="A487" t="str">
            <v>용인공장/온세물류</v>
          </cell>
          <cell r="B487">
            <v>0</v>
          </cell>
          <cell r="D487">
            <v>136000</v>
          </cell>
        </row>
        <row r="488">
          <cell r="A488" t="str">
            <v>싱싱패키지/최영</v>
          </cell>
          <cell r="B488">
            <v>0</v>
          </cell>
        </row>
        <row r="489">
          <cell r="A489" t="str">
            <v>싱싱패키지/연미향</v>
          </cell>
          <cell r="B489">
            <v>0</v>
          </cell>
          <cell r="D489">
            <v>75000</v>
          </cell>
        </row>
        <row r="490">
          <cell r="A490" t="str">
            <v>인팩코리아/한소우</v>
          </cell>
          <cell r="B490">
            <v>0</v>
          </cell>
          <cell r="D490">
            <v>132000</v>
          </cell>
        </row>
        <row r="491">
          <cell r="A491" t="str">
            <v>엘에프퓨드</v>
          </cell>
          <cell r="B491">
            <v>0</v>
          </cell>
          <cell r="D491">
            <v>140000</v>
          </cell>
        </row>
        <row r="492">
          <cell r="A492" t="str">
            <v>유한산업</v>
          </cell>
          <cell r="B492">
            <v>0</v>
          </cell>
        </row>
        <row r="493">
          <cell r="A493" t="str">
            <v>용인공장/동원디어푸드/진천</v>
          </cell>
          <cell r="B493">
            <v>0</v>
          </cell>
          <cell r="D493">
            <v>137000</v>
          </cell>
        </row>
        <row r="494">
          <cell r="A494" t="str">
            <v>인팩코리아/와락펫푸드</v>
          </cell>
          <cell r="B494">
            <v>0</v>
          </cell>
          <cell r="C494">
            <v>113000</v>
          </cell>
        </row>
        <row r="495">
          <cell r="A495" t="str">
            <v>중앙실험동물</v>
          </cell>
          <cell r="B495">
            <v>0</v>
          </cell>
        </row>
        <row r="496">
          <cell r="A496" t="str">
            <v>싱싱패키지/유성에프앤비</v>
          </cell>
          <cell r="B496">
            <v>0</v>
          </cell>
          <cell r="D496">
            <v>73000</v>
          </cell>
        </row>
        <row r="497">
          <cell r="A497" t="str">
            <v>용인공장/유한산업</v>
          </cell>
          <cell r="B497">
            <v>0</v>
          </cell>
          <cell r="D497">
            <v>136000</v>
          </cell>
        </row>
        <row r="498">
          <cell r="A498" t="str">
            <v>인팩코리아/미주후레쉬</v>
          </cell>
          <cell r="B498">
            <v>0</v>
          </cell>
          <cell r="D498">
            <v>113000</v>
          </cell>
        </row>
        <row r="499">
          <cell r="A499" t="str">
            <v>한스제과</v>
          </cell>
          <cell r="B499">
            <v>0</v>
          </cell>
        </row>
        <row r="500">
          <cell r="A500" t="str">
            <v>인팩코리아/한일팜스</v>
          </cell>
          <cell r="B500">
            <v>0</v>
          </cell>
          <cell r="C500">
            <v>128000</v>
          </cell>
          <cell r="D500">
            <v>148000</v>
          </cell>
        </row>
        <row r="501">
          <cell r="A501" t="str">
            <v>KCP동안성</v>
          </cell>
          <cell r="B501">
            <v>0</v>
          </cell>
          <cell r="D501">
            <v>134000</v>
          </cell>
        </row>
        <row r="502">
          <cell r="A502" t="str">
            <v>한국로지스풀/효성푸드</v>
          </cell>
          <cell r="B502">
            <v>0</v>
          </cell>
          <cell r="C502">
            <v>115000</v>
          </cell>
        </row>
        <row r="503">
          <cell r="A503" t="str">
            <v>싱싱패키지/제이케이T&amp;F</v>
          </cell>
          <cell r="B503">
            <v>0</v>
          </cell>
        </row>
        <row r="504">
          <cell r="A504" t="str">
            <v>싱싱패키지/압구정막걸리</v>
          </cell>
          <cell r="B504">
            <v>0</v>
          </cell>
        </row>
        <row r="505">
          <cell r="A505" t="str">
            <v>싱싱패키지/더블어푸드</v>
          </cell>
          <cell r="B505">
            <v>0</v>
          </cell>
        </row>
        <row r="506">
          <cell r="A506" t="str">
            <v>싱싱패키지/사랑방꽃게장</v>
          </cell>
          <cell r="B506">
            <v>0</v>
          </cell>
        </row>
        <row r="507">
          <cell r="A507" t="str">
            <v>싱싱패키지/큐브아이앤씨</v>
          </cell>
          <cell r="B507">
            <v>0</v>
          </cell>
          <cell r="C507">
            <v>81000</v>
          </cell>
        </row>
        <row r="508">
          <cell r="A508" t="str">
            <v>한진</v>
          </cell>
          <cell r="B508">
            <v>0</v>
          </cell>
        </row>
        <row r="509">
          <cell r="A509" t="str">
            <v>싱싱패키지/더한한의원</v>
          </cell>
          <cell r="B509">
            <v>0</v>
          </cell>
        </row>
        <row r="510">
          <cell r="A510" t="str">
            <v>다모아패키지/황소축산식품</v>
          </cell>
          <cell r="B510">
            <v>0</v>
          </cell>
        </row>
        <row r="511">
          <cell r="A511" t="str">
            <v>두양텍</v>
          </cell>
          <cell r="B511">
            <v>0</v>
          </cell>
          <cell r="D511">
            <v>78000</v>
          </cell>
        </row>
        <row r="512">
          <cell r="A512" t="str">
            <v>인팩코리아/엘더블류</v>
          </cell>
          <cell r="B512">
            <v>0</v>
          </cell>
        </row>
        <row r="513">
          <cell r="A513" t="str">
            <v>CJ대한통운/밥먹자</v>
          </cell>
          <cell r="B513">
            <v>0</v>
          </cell>
        </row>
        <row r="514">
          <cell r="A514" t="str">
            <v>CJ대한통운/강원도옥수수총각</v>
          </cell>
          <cell r="B514">
            <v>0</v>
          </cell>
        </row>
        <row r="515">
          <cell r="A515" t="str">
            <v>싱싱패키지/알천</v>
          </cell>
          <cell r="B515">
            <v>0</v>
          </cell>
        </row>
        <row r="516">
          <cell r="A516" t="str">
            <v>써모랩코리아/공드린에프앤비</v>
          </cell>
          <cell r="B516">
            <v>0</v>
          </cell>
        </row>
        <row r="517">
          <cell r="A517" t="str">
            <v>코웨이</v>
          </cell>
        </row>
        <row r="518">
          <cell r="A518" t="str">
            <v>싱싱패키지/천호푸드</v>
          </cell>
        </row>
        <row r="519">
          <cell r="A519" t="str">
            <v>싱싱패키지/산호물산</v>
          </cell>
        </row>
        <row r="520">
          <cell r="A520" t="str">
            <v>가평농림영농조합</v>
          </cell>
          <cell r="D520">
            <v>134000</v>
          </cell>
        </row>
        <row r="521">
          <cell r="A521" t="str">
            <v>싱싱패키지/서울빵집</v>
          </cell>
        </row>
        <row r="522">
          <cell r="A522" t="str">
            <v>서울우유치즈몰의왕</v>
          </cell>
          <cell r="C522">
            <v>61000</v>
          </cell>
        </row>
        <row r="523">
          <cell r="A523" t="str">
            <v>삼부자버섯농장</v>
          </cell>
          <cell r="C523">
            <v>45000</v>
          </cell>
        </row>
        <row r="524">
          <cell r="A524" t="str">
            <v>인팩코리아/마리아의마음</v>
          </cell>
        </row>
        <row r="525">
          <cell r="A525" t="str">
            <v>인팩코리아/네이처라우드</v>
          </cell>
          <cell r="D525">
            <v>133000</v>
          </cell>
        </row>
        <row r="526">
          <cell r="A526" t="str">
            <v>인팩코리아/한맘유통</v>
          </cell>
          <cell r="D526">
            <v>100000</v>
          </cell>
        </row>
        <row r="527">
          <cell r="A527" t="str">
            <v>한국이노팩/한맘유통</v>
          </cell>
          <cell r="D527">
            <v>100000</v>
          </cell>
        </row>
        <row r="528">
          <cell r="A528" t="str">
            <v>조은상회</v>
          </cell>
          <cell r="C528">
            <v>57000</v>
          </cell>
        </row>
        <row r="529">
          <cell r="A529" t="str">
            <v>용인공장/KCP이천</v>
          </cell>
        </row>
        <row r="530">
          <cell r="A530" t="str">
            <v>진위천생칡즙</v>
          </cell>
        </row>
        <row r="531">
          <cell r="A531" t="str">
            <v>인팩코리아/하이돈푸드</v>
          </cell>
        </row>
        <row r="532">
          <cell r="A532" t="str">
            <v>인팩코리아/초우축산</v>
          </cell>
          <cell r="C532">
            <v>45000</v>
          </cell>
        </row>
        <row r="533">
          <cell r="A533" t="str">
            <v>싱싱패키지/이앤지컨설턴트</v>
          </cell>
        </row>
        <row r="534">
          <cell r="A534" t="str">
            <v>인팩코리아/한우마을축산</v>
          </cell>
          <cell r="C534">
            <v>63000</v>
          </cell>
        </row>
        <row r="535">
          <cell r="A535" t="str">
            <v>이싼푸드</v>
          </cell>
        </row>
        <row r="536">
          <cell r="A536" t="str">
            <v>이너트론</v>
          </cell>
          <cell r="C536">
            <v>113000</v>
          </cell>
        </row>
        <row r="537">
          <cell r="A537" t="str">
            <v>인팩코리아/민들레</v>
          </cell>
        </row>
        <row r="538">
          <cell r="A538" t="str">
            <v>싱싱패키지/품장을왕리점</v>
          </cell>
        </row>
        <row r="539">
          <cell r="A539" t="str">
            <v>CJ대한통운/제이웨이아이앤티</v>
          </cell>
        </row>
        <row r="540">
          <cell r="A540" t="str">
            <v>다다쇼핑</v>
          </cell>
        </row>
        <row r="541">
          <cell r="A541" t="str">
            <v>싱싱패키지/에스제이푸드</v>
          </cell>
        </row>
        <row r="542">
          <cell r="A542" t="str">
            <v>인팩코리아/북산</v>
          </cell>
        </row>
        <row r="543">
          <cell r="A543" t="str">
            <v>탭스인터내셔널/탭스푸드</v>
          </cell>
        </row>
        <row r="544">
          <cell r="A544" t="str">
            <v>CJ대한통운/푸디헤븐</v>
          </cell>
          <cell r="D544">
            <v>105000</v>
          </cell>
        </row>
        <row r="545">
          <cell r="A545" t="str">
            <v>용인공장/써모렙코리아</v>
          </cell>
          <cell r="C545">
            <v>89000</v>
          </cell>
          <cell r="D545">
            <v>112000</v>
          </cell>
        </row>
        <row r="546">
          <cell r="A546" t="str">
            <v>태유</v>
          </cell>
          <cell r="D546">
            <v>73000</v>
          </cell>
        </row>
        <row r="547">
          <cell r="A547" t="str">
            <v>인팩코리아/미금정(우리워낭가)</v>
          </cell>
          <cell r="C547">
            <v>60000</v>
          </cell>
        </row>
        <row r="548">
          <cell r="A548" t="str">
            <v>용인공장/써모랩코리아</v>
          </cell>
        </row>
        <row r="549">
          <cell r="A549" t="str">
            <v>싱싱패키지/포스이피에스</v>
          </cell>
        </row>
        <row r="550">
          <cell r="A550" t="str">
            <v>싱싱패키지/연두랑푸드</v>
          </cell>
        </row>
        <row r="551">
          <cell r="A551" t="str">
            <v>인팩코리아/황소걸음</v>
          </cell>
        </row>
        <row r="552">
          <cell r="A552" t="str">
            <v>인팩코리아/매일상회</v>
          </cell>
          <cell r="C552">
            <v>55000</v>
          </cell>
        </row>
        <row r="553">
          <cell r="A553" t="str">
            <v>인팩코리아/평택우렁이</v>
          </cell>
          <cell r="C553">
            <v>60000</v>
          </cell>
        </row>
        <row r="554">
          <cell r="A554" t="str">
            <v>우리하이테크</v>
          </cell>
        </row>
        <row r="555">
          <cell r="A555" t="str">
            <v>인팩코리아/남궁유통</v>
          </cell>
          <cell r="C555">
            <v>60000</v>
          </cell>
        </row>
        <row r="556">
          <cell r="A556" t="str">
            <v>와이제이푸드</v>
          </cell>
        </row>
        <row r="557">
          <cell r="A557" t="str">
            <v>휘에프앤비</v>
          </cell>
        </row>
        <row r="558">
          <cell r="A558" t="str">
            <v>용인공장/새빛공조</v>
          </cell>
          <cell r="D558">
            <v>105000</v>
          </cell>
        </row>
        <row r="559">
          <cell r="A559" t="str">
            <v>한국파렛트풀/심플에프앤비</v>
          </cell>
          <cell r="D559">
            <v>100000</v>
          </cell>
        </row>
        <row r="560">
          <cell r="A560" t="str">
            <v>한국이노팩</v>
          </cell>
          <cell r="D560">
            <v>73000</v>
          </cell>
        </row>
        <row r="561">
          <cell r="A561" t="str">
            <v>코웨이/동인하이텍</v>
          </cell>
        </row>
        <row r="562">
          <cell r="A562" t="str">
            <v>착한농부</v>
          </cell>
          <cell r="C562">
            <v>110000</v>
          </cell>
        </row>
        <row r="563">
          <cell r="A563" t="str">
            <v>로지텍/광주</v>
          </cell>
        </row>
        <row r="564">
          <cell r="A564" t="str">
            <v>뉴옵틱스</v>
          </cell>
        </row>
        <row r="565">
          <cell r="A565" t="str">
            <v>유준수지</v>
          </cell>
        </row>
        <row r="566">
          <cell r="A566" t="str">
            <v>태성산업</v>
          </cell>
        </row>
        <row r="567">
          <cell r="A567" t="str">
            <v>동양당한의원</v>
          </cell>
        </row>
        <row r="568">
          <cell r="A568" t="str">
            <v>에치비에프/현부</v>
          </cell>
        </row>
        <row r="569">
          <cell r="A569" t="str">
            <v>피앤/안성</v>
          </cell>
        </row>
        <row r="570">
          <cell r="A570" t="str">
            <v>이누스</v>
          </cell>
        </row>
        <row r="571">
          <cell r="A571" t="str">
            <v>이지패키지</v>
          </cell>
        </row>
        <row r="572">
          <cell r="A572" t="str">
            <v>다모아패키지</v>
          </cell>
        </row>
        <row r="573">
          <cell r="A573" t="str">
            <v>싱싱패키지/신바드</v>
          </cell>
        </row>
        <row r="574">
          <cell r="A574" t="str">
            <v>에이텍에이피</v>
          </cell>
        </row>
        <row r="575">
          <cell r="A575" t="str">
            <v>이지패키지/올폼</v>
          </cell>
        </row>
        <row r="576">
          <cell r="A576" t="str">
            <v>유준수지/상상한우</v>
          </cell>
        </row>
        <row r="577">
          <cell r="A577" t="str">
            <v>훈이네마늘빵</v>
          </cell>
        </row>
        <row r="578">
          <cell r="A578" t="str">
            <v>싱싱패키지/히즈테이블</v>
          </cell>
        </row>
        <row r="579">
          <cell r="A579" t="str">
            <v>태성EPS</v>
          </cell>
        </row>
        <row r="580">
          <cell r="A580" t="str">
            <v>싱싱패키지/솔솔푸드</v>
          </cell>
        </row>
        <row r="581">
          <cell r="A581" t="str">
            <v>삼일이노팩</v>
          </cell>
        </row>
        <row r="582">
          <cell r="A582" t="str">
            <v>영진이피에스</v>
          </cell>
          <cell r="D582">
            <v>133000</v>
          </cell>
        </row>
        <row r="583">
          <cell r="A583" t="str">
            <v>이지패키지/한솔양계</v>
          </cell>
        </row>
        <row r="584">
          <cell r="A584" t="str">
            <v>싱싱패키지/아이밥</v>
          </cell>
          <cell r="C584">
            <v>155000</v>
          </cell>
        </row>
        <row r="585">
          <cell r="A585" t="str">
            <v>이지패키지/계룡부대</v>
          </cell>
          <cell r="C585">
            <v>107000</v>
          </cell>
        </row>
        <row r="586">
          <cell r="A586" t="str">
            <v>삼우에프엔지</v>
          </cell>
        </row>
        <row r="587">
          <cell r="A587" t="str">
            <v>우진비앤지</v>
          </cell>
        </row>
        <row r="588">
          <cell r="A588" t="str">
            <v>양동하나로마트/농협</v>
          </cell>
        </row>
        <row r="589">
          <cell r="A589" t="str">
            <v>서브원/동아에스티</v>
          </cell>
        </row>
        <row r="590">
          <cell r="A590" t="str">
            <v>이지패키지/팜스코푸드</v>
          </cell>
        </row>
        <row r="591">
          <cell r="A591" t="str">
            <v>신선씨앤에프</v>
          </cell>
        </row>
        <row r="592">
          <cell r="A592" t="str">
            <v>피앤/파주</v>
          </cell>
        </row>
        <row r="593">
          <cell r="A593" t="str">
            <v>에스알한의원부설원</v>
          </cell>
          <cell r="C593">
            <v>77000</v>
          </cell>
          <cell r="D593">
            <v>96000</v>
          </cell>
        </row>
        <row r="594">
          <cell r="A594" t="str">
            <v>이지패키지/푸드킴</v>
          </cell>
        </row>
        <row r="595">
          <cell r="A595" t="str">
            <v>태진패키지</v>
          </cell>
        </row>
        <row r="596">
          <cell r="A596" t="str">
            <v>싱싱패키지/다온식품</v>
          </cell>
        </row>
        <row r="597">
          <cell r="A597" t="str">
            <v>이지패키지/올품</v>
          </cell>
        </row>
        <row r="598">
          <cell r="A598" t="str">
            <v>이지패키지/육구이</v>
          </cell>
        </row>
        <row r="599">
          <cell r="A599" t="str">
            <v>현진로지스</v>
          </cell>
          <cell r="C599">
            <v>145000</v>
          </cell>
        </row>
        <row r="600">
          <cell r="A600" t="str">
            <v>삼경프라자</v>
          </cell>
          <cell r="C600">
            <v>100000</v>
          </cell>
        </row>
        <row r="601">
          <cell r="A601" t="str">
            <v>이지패키지/올더그린</v>
          </cell>
        </row>
        <row r="602">
          <cell r="A602" t="str">
            <v>싱싱패키지/청산오리농장</v>
          </cell>
        </row>
        <row r="603">
          <cell r="A603" t="str">
            <v>한국로지스풀/효성푸드</v>
          </cell>
        </row>
        <row r="604">
          <cell r="A604" t="str">
            <v>일동제약</v>
          </cell>
        </row>
        <row r="605">
          <cell r="A605" t="str">
            <v>이지패키지/더팩</v>
          </cell>
        </row>
        <row r="606">
          <cell r="A606" t="str">
            <v>선영정공사</v>
          </cell>
        </row>
        <row r="607">
          <cell r="A607" t="str">
            <v>반디</v>
          </cell>
        </row>
        <row r="608">
          <cell r="A608" t="str">
            <v>용마로지스/입장</v>
          </cell>
        </row>
        <row r="609">
          <cell r="A609" t="str">
            <v>어니홈푸드㈜두꺼비부대찌개</v>
          </cell>
        </row>
        <row r="610">
          <cell r="A610" t="str">
            <v>싱싱패키지/배스마로지스</v>
          </cell>
        </row>
        <row r="611">
          <cell r="A611" t="str">
            <v>동현</v>
          </cell>
        </row>
        <row r="612">
          <cell r="A612" t="str">
            <v>오스템임플란트</v>
          </cell>
          <cell r="D612">
            <v>100000</v>
          </cell>
        </row>
        <row r="613">
          <cell r="A613" t="str">
            <v>싱싱패키지/농우본수원갈비</v>
          </cell>
        </row>
        <row r="614">
          <cell r="A614" t="str">
            <v>유노이아</v>
          </cell>
        </row>
        <row r="615">
          <cell r="A615" t="str">
            <v>유준수지/진원</v>
          </cell>
        </row>
        <row r="616">
          <cell r="A616" t="str">
            <v>대성팩</v>
          </cell>
        </row>
        <row r="617">
          <cell r="A617" t="str">
            <v>웰스팜텍</v>
          </cell>
        </row>
        <row r="618">
          <cell r="A618" t="str">
            <v>구르메/포천</v>
          </cell>
        </row>
        <row r="619">
          <cell r="A619" t="str">
            <v>동명전기</v>
          </cell>
        </row>
        <row r="620">
          <cell r="A620" t="str">
            <v>웰킵스일렉트리온</v>
          </cell>
        </row>
        <row r="621">
          <cell r="A621" t="str">
            <v>벼리축산</v>
          </cell>
        </row>
        <row r="622">
          <cell r="A622" t="str">
            <v>찬푸드</v>
          </cell>
        </row>
        <row r="623">
          <cell r="A623" t="str">
            <v>강원공장/한일전기</v>
          </cell>
        </row>
        <row r="624">
          <cell r="A624" t="str">
            <v>아산공장/한일전기</v>
          </cell>
        </row>
        <row r="625">
          <cell r="A625" t="str">
            <v>일민농원</v>
          </cell>
        </row>
        <row r="626">
          <cell r="A626" t="str">
            <v>비이티</v>
          </cell>
        </row>
        <row r="627">
          <cell r="A627" t="str">
            <v>육대장</v>
          </cell>
        </row>
        <row r="628">
          <cell r="A628" t="str">
            <v>선민</v>
          </cell>
        </row>
        <row r="629">
          <cell r="A629" t="str">
            <v>서울우유치즈몰안양</v>
          </cell>
        </row>
        <row r="630">
          <cell r="A630" t="str">
            <v>삼부자갈비</v>
          </cell>
        </row>
        <row r="631">
          <cell r="A631" t="str">
            <v>하비월드</v>
          </cell>
        </row>
        <row r="632">
          <cell r="A632" t="str">
            <v>평택우렁이</v>
          </cell>
        </row>
        <row r="633">
          <cell r="A633" t="str">
            <v>트루몰</v>
          </cell>
        </row>
        <row r="634">
          <cell r="A634" t="str">
            <v>싱싱패키지/에이플랜로지스틱</v>
          </cell>
        </row>
        <row r="635">
          <cell r="A635" t="str">
            <v>케이엘바이오</v>
          </cell>
        </row>
        <row r="636">
          <cell r="A636" t="str">
            <v>도누다</v>
          </cell>
        </row>
        <row r="637">
          <cell r="A637" t="str">
            <v>쓰리에스테크</v>
          </cell>
        </row>
        <row r="638">
          <cell r="A638" t="str">
            <v>다원물산</v>
          </cell>
        </row>
        <row r="639">
          <cell r="A639" t="str">
            <v>AJ네트웍스/태광</v>
          </cell>
        </row>
        <row r="640">
          <cell r="A640" t="str">
            <v>삼성전자</v>
          </cell>
        </row>
        <row r="641">
          <cell r="A641" t="str">
            <v>HTC</v>
          </cell>
        </row>
        <row r="642">
          <cell r="A642" t="str">
            <v>서해공장</v>
          </cell>
        </row>
        <row r="643">
          <cell r="A643" t="str">
            <v>인팩코리아/무한상사</v>
          </cell>
        </row>
        <row r="644">
          <cell r="A644" t="str">
            <v>인팩코리아/하남드라이</v>
          </cell>
        </row>
        <row r="645">
          <cell r="A645" t="str">
            <v>인팩코리아/좋은이웃농산</v>
          </cell>
        </row>
        <row r="646">
          <cell r="A646" t="str">
            <v>싱싱패키지/신준승</v>
          </cell>
        </row>
        <row r="647">
          <cell r="A647" t="str">
            <v>인팩코리아/하리푸드</v>
          </cell>
        </row>
        <row r="648">
          <cell r="A648" t="str">
            <v>싱싱패키지/종금조경분재원</v>
          </cell>
        </row>
        <row r="649">
          <cell r="A649" t="str">
            <v>천호식품</v>
          </cell>
        </row>
        <row r="650">
          <cell r="A650" t="str">
            <v>용인공장/파스토</v>
          </cell>
        </row>
        <row r="651">
          <cell r="A651" t="str">
            <v>정운식품</v>
          </cell>
        </row>
        <row r="652">
          <cell r="A652" t="str">
            <v>싱싱패키지/천호식품</v>
          </cell>
        </row>
        <row r="653">
          <cell r="A653" t="str">
            <v>가온패키징</v>
          </cell>
        </row>
        <row r="654">
          <cell r="A654" t="str">
            <v>인팩코리아/음성농협</v>
          </cell>
        </row>
        <row r="655">
          <cell r="A655" t="str">
            <v>CJ대한통운/동인푸드</v>
          </cell>
        </row>
        <row r="656">
          <cell r="A656" t="str">
            <v>싱싱패키지/풍미식품</v>
          </cell>
        </row>
        <row r="657">
          <cell r="A657" t="str">
            <v>용인공장/한국파렛트풀</v>
          </cell>
        </row>
        <row r="658">
          <cell r="A658" t="str">
            <v>싱싱패키지/미가앤카</v>
          </cell>
        </row>
        <row r="659">
          <cell r="A659" t="str">
            <v>센트럴작은동물원</v>
          </cell>
        </row>
        <row r="660">
          <cell r="A660" t="str">
            <v>동원디어푸드/진천</v>
          </cell>
        </row>
        <row r="661">
          <cell r="A661" t="str">
            <v>싱싱패키지/모두상사</v>
          </cell>
        </row>
        <row r="662">
          <cell r="A662" t="str">
            <v>인팩코리아/선영</v>
          </cell>
        </row>
        <row r="663">
          <cell r="A663" t="str">
            <v>율푸드</v>
          </cell>
        </row>
        <row r="664">
          <cell r="A664" t="str">
            <v>인팩코리아/코인</v>
          </cell>
        </row>
        <row r="665">
          <cell r="A665" t="str">
            <v>CJ대한통운/해련식품</v>
          </cell>
        </row>
        <row r="666">
          <cell r="A666" t="str">
            <v>인팩코리아/영양산마을</v>
          </cell>
        </row>
        <row r="667">
          <cell r="A667" t="str">
            <v>산삼농원삼삼인</v>
          </cell>
        </row>
        <row r="668">
          <cell r="A668" t="str">
            <v>싱싱패키지/겸엑스</v>
          </cell>
        </row>
        <row r="669">
          <cell r="A669" t="str">
            <v>CJ대한통운/미션글로벌</v>
          </cell>
        </row>
        <row r="670">
          <cell r="A670" t="str">
            <v>인팩코리아/에이치티엘</v>
          </cell>
        </row>
        <row r="671">
          <cell r="A671" t="str">
            <v>양동하나로마트</v>
          </cell>
        </row>
        <row r="672">
          <cell r="A672" t="str">
            <v>인팩코리아/인천원예농업</v>
          </cell>
        </row>
        <row r="673">
          <cell r="A673" t="str">
            <v>인팩코리아/썬마트</v>
          </cell>
        </row>
        <row r="674">
          <cell r="A674" t="str">
            <v>인팩코리아/송탄우렁농장</v>
          </cell>
        </row>
        <row r="675">
          <cell r="A675" t="str">
            <v>지앤지</v>
          </cell>
        </row>
        <row r="676">
          <cell r="A676" t="str">
            <v>인팩코리아/유구전통시장</v>
          </cell>
        </row>
        <row r="677">
          <cell r="A677" t="str">
            <v>유성에프앤비</v>
          </cell>
        </row>
        <row r="678">
          <cell r="A678" t="str">
            <v>신건강원</v>
          </cell>
        </row>
        <row r="679">
          <cell r="A679" t="str">
            <v>김대섭</v>
          </cell>
        </row>
        <row r="680">
          <cell r="A680" t="str">
            <v>인팩코리아/가리왕산농장</v>
          </cell>
        </row>
        <row r="681">
          <cell r="A681" t="str">
            <v>인팩코리아/다초원</v>
          </cell>
        </row>
        <row r="682">
          <cell r="A682" t="str">
            <v>성신푸드</v>
          </cell>
        </row>
        <row r="683">
          <cell r="A683" t="str">
            <v>주식회사코어셀</v>
          </cell>
        </row>
        <row r="684">
          <cell r="A684" t="str">
            <v>주식회사초정명가</v>
          </cell>
        </row>
        <row r="685">
          <cell r="A685" t="str">
            <v>미래정보기술</v>
          </cell>
        </row>
        <row r="686">
          <cell r="A686" t="str">
            <v>이앤지컨설턴트</v>
          </cell>
        </row>
        <row r="687">
          <cell r="A687" t="str">
            <v>CJ대한통운/직통미트</v>
          </cell>
        </row>
        <row r="688">
          <cell r="A688" t="str">
            <v>연미향</v>
          </cell>
        </row>
        <row r="689">
          <cell r="A689" t="str">
            <v>용인공장/KCP</v>
          </cell>
        </row>
        <row r="690">
          <cell r="A690" t="str">
            <v>압구정막걸리</v>
          </cell>
        </row>
        <row r="691">
          <cell r="A691" t="str">
            <v>개인</v>
          </cell>
        </row>
        <row r="692">
          <cell r="A692" t="str">
            <v>더블어푸드</v>
          </cell>
        </row>
        <row r="693">
          <cell r="A693" t="str">
            <v>조은고기</v>
          </cell>
        </row>
        <row r="694">
          <cell r="A694" t="str">
            <v>정남</v>
          </cell>
        </row>
        <row r="695">
          <cell r="A695" t="str">
            <v>CJ대한통운/주영씨푸드</v>
          </cell>
        </row>
        <row r="696">
          <cell r="A696" t="str">
            <v>일곱시반찬가게</v>
          </cell>
          <cell r="C696">
            <v>102000</v>
          </cell>
        </row>
        <row r="697">
          <cell r="A697" t="str">
            <v>중앙동물병원</v>
          </cell>
        </row>
        <row r="698">
          <cell r="A698" t="str">
            <v>용마로지스/김포</v>
          </cell>
        </row>
        <row r="699">
          <cell r="A699" t="str">
            <v>CJ대한통운/가미락</v>
          </cell>
        </row>
        <row r="700">
          <cell r="A700" t="str">
            <v>CJ대한퉁운/유진상사</v>
          </cell>
        </row>
        <row r="701">
          <cell r="A701" t="str">
            <v>CJ대한통운/삼돌이인삼</v>
          </cell>
        </row>
        <row r="702">
          <cell r="A702" t="str">
            <v>오비오/태성</v>
          </cell>
        </row>
        <row r="703">
          <cell r="A703" t="str">
            <v>CJ대한통운/티오피에프앤비</v>
          </cell>
        </row>
        <row r="704">
          <cell r="A704" t="str">
            <v>제이케이T&amp;F</v>
          </cell>
        </row>
        <row r="705">
          <cell r="A705" t="str">
            <v>CJ대한통운/의령농산</v>
          </cell>
        </row>
        <row r="706">
          <cell r="A706" t="str">
            <v>한국파렛트풀/늘품마루</v>
          </cell>
        </row>
        <row r="707">
          <cell r="A707" t="str">
            <v>소믹스</v>
          </cell>
        </row>
        <row r="708">
          <cell r="A708" t="str">
            <v>선녀풍2호점</v>
          </cell>
        </row>
        <row r="709">
          <cell r="A709" t="str">
            <v>써모랩코리아/푸드올마켓</v>
          </cell>
        </row>
        <row r="710">
          <cell r="A710" t="str">
            <v>써모랩코리아/진우에스에프</v>
          </cell>
        </row>
        <row r="711">
          <cell r="A711" t="str">
            <v>더힐링팜</v>
          </cell>
        </row>
        <row r="712">
          <cell r="A712" t="str">
            <v>셀시어스한울산삼</v>
          </cell>
        </row>
        <row r="713">
          <cell r="A713" t="str">
            <v>노바렉스</v>
          </cell>
        </row>
        <row r="714">
          <cell r="A714" t="str">
            <v>DCT</v>
          </cell>
        </row>
        <row r="715">
          <cell r="A715" t="str">
            <v>CJ대한통운/도당</v>
          </cell>
          <cell r="C715">
            <v>110000</v>
          </cell>
        </row>
        <row r="716">
          <cell r="A716" t="str">
            <v>푸드모아</v>
          </cell>
        </row>
        <row r="717">
          <cell r="A717" t="str">
            <v>제이케이앤컴퍼니</v>
          </cell>
        </row>
        <row r="718">
          <cell r="A718" t="str">
            <v>대진아이엠</v>
          </cell>
          <cell r="D718">
            <v>73000</v>
          </cell>
        </row>
        <row r="719">
          <cell r="A719" t="str">
            <v>대원로지스</v>
          </cell>
          <cell r="D719">
            <v>73000</v>
          </cell>
        </row>
        <row r="720">
          <cell r="A720" t="str">
            <v>은성프린터스</v>
          </cell>
        </row>
        <row r="721">
          <cell r="A721" t="str">
            <v>송건건설</v>
          </cell>
        </row>
        <row r="722">
          <cell r="A722" t="str">
            <v>코리아이플랫폼/삼양바이오팜</v>
          </cell>
        </row>
        <row r="723">
          <cell r="A723" t="str">
            <v>향남산업</v>
          </cell>
        </row>
        <row r="724">
          <cell r="A724" t="str">
            <v>사라수산웅진수협</v>
          </cell>
        </row>
        <row r="725">
          <cell r="A725" t="str">
            <v>써모랩코리아</v>
          </cell>
        </row>
        <row r="726">
          <cell r="A726" t="str">
            <v>더한한의원</v>
          </cell>
        </row>
        <row r="727">
          <cell r="A727" t="str">
            <v>일신포장</v>
          </cell>
        </row>
        <row r="728">
          <cell r="A728" t="str">
            <v>히즈테이블</v>
          </cell>
        </row>
        <row r="729">
          <cell r="A729" t="str">
            <v>다다쇼핑/방초매트</v>
          </cell>
        </row>
        <row r="730">
          <cell r="A730" t="str">
            <v>카스모아이티</v>
          </cell>
        </row>
        <row r="731">
          <cell r="A731" t="str">
            <v>한우마을축산</v>
          </cell>
          <cell r="C731">
            <v>63000</v>
          </cell>
        </row>
        <row r="732">
          <cell r="A732" t="str">
            <v>초우축산</v>
          </cell>
          <cell r="C732">
            <v>45000</v>
          </cell>
        </row>
        <row r="733">
          <cell r="A733" t="str">
            <v>켐트로닉스</v>
          </cell>
          <cell r="C733">
            <v>68000</v>
          </cell>
        </row>
        <row r="734">
          <cell r="A734" t="str">
            <v>KCP</v>
          </cell>
        </row>
        <row r="735">
          <cell r="A735" t="str">
            <v>코어셀</v>
          </cell>
        </row>
        <row r="736">
          <cell r="A736" t="str">
            <v>CJ대한통운/오슬로우</v>
          </cell>
        </row>
        <row r="737">
          <cell r="A737" t="str">
            <v>리템엘앤씨</v>
          </cell>
          <cell r="C737">
            <v>116000</v>
          </cell>
          <cell r="D737">
            <v>143000</v>
          </cell>
        </row>
        <row r="738">
          <cell r="A738" t="str">
            <v>강원공장/한결엘에스</v>
          </cell>
        </row>
        <row r="739">
          <cell r="A739" t="str">
            <v>인팩코리아/미금정</v>
          </cell>
        </row>
        <row r="740">
          <cell r="A740" t="str">
            <v>민들레푸드</v>
          </cell>
        </row>
        <row r="741">
          <cell r="A741" t="str">
            <v>스턴메디칼</v>
          </cell>
        </row>
        <row r="742">
          <cell r="A742" t="str">
            <v>인팩코리아/진위천생칡즙</v>
          </cell>
        </row>
        <row r="743">
          <cell r="A743" t="str">
            <v>용인공장/와이제이글로벌</v>
          </cell>
        </row>
        <row r="744">
          <cell r="A744" t="str">
            <v>농우본수원갈비</v>
          </cell>
        </row>
        <row r="745">
          <cell r="A745" t="str">
            <v>삼일팩</v>
          </cell>
        </row>
        <row r="746">
          <cell r="A746" t="str">
            <v>알피지코리아</v>
          </cell>
          <cell r="C746">
            <v>104000</v>
          </cell>
        </row>
        <row r="747">
          <cell r="A747" t="str">
            <v>CJ대한통운/절대육감</v>
          </cell>
        </row>
        <row r="748">
          <cell r="A748" t="str">
            <v>에스원푸드아이</v>
          </cell>
          <cell r="C748">
            <v>48000</v>
          </cell>
        </row>
        <row r="749">
          <cell r="A749" t="str">
            <v>혜천식품</v>
          </cell>
        </row>
        <row r="750">
          <cell r="A750" t="str">
            <v>동진첨단소재</v>
          </cell>
        </row>
        <row r="751">
          <cell r="A751" t="str">
            <v>위닉스/창성텍</v>
          </cell>
        </row>
        <row r="752">
          <cell r="A752" t="str">
            <v>지나농원</v>
          </cell>
        </row>
        <row r="753">
          <cell r="A753" t="str">
            <v>창성텍</v>
          </cell>
          <cell r="C753">
            <v>53000</v>
          </cell>
        </row>
      </sheetData>
      <sheetData sheetId="5"/>
      <sheetData sheetId="6"/>
      <sheetData sheetId="7"/>
      <sheetData sheetId="8">
        <row r="2">
          <cell r="A2" t="str">
            <v>휴젤중</v>
          </cell>
          <cell r="B2" t="str">
            <v>SET</v>
          </cell>
          <cell r="C2">
            <v>3</v>
          </cell>
          <cell r="D2">
            <v>150</v>
          </cell>
          <cell r="E2">
            <v>420</v>
          </cell>
          <cell r="F2">
            <v>40</v>
          </cell>
          <cell r="G2" t="str">
            <v>B240NS</v>
          </cell>
          <cell r="H2">
            <v>6</v>
          </cell>
          <cell r="I2">
            <v>2</v>
          </cell>
          <cell r="J2" t="str">
            <v>㈜탭스</v>
          </cell>
          <cell r="P2">
            <v>1600</v>
          </cell>
          <cell r="R2" t="str">
            <v>녹색</v>
          </cell>
          <cell r="U2">
            <v>45847</v>
          </cell>
          <cell r="V2" t="str">
            <v xml:space="preserve"> 이관</v>
          </cell>
          <cell r="AD2">
            <v>0.85</v>
          </cell>
          <cell r="AE2">
            <v>80</v>
          </cell>
        </row>
        <row r="3">
          <cell r="A3" t="str">
            <v>휴젤중</v>
          </cell>
          <cell r="B3" t="str">
            <v>SET</v>
          </cell>
          <cell r="C3">
            <v>3</v>
          </cell>
          <cell r="D3">
            <v>150</v>
          </cell>
          <cell r="E3">
            <v>420</v>
          </cell>
          <cell r="F3">
            <v>40</v>
          </cell>
          <cell r="G3" t="str">
            <v>B240NS</v>
          </cell>
          <cell r="H3">
            <v>6</v>
          </cell>
          <cell r="I3">
            <v>2</v>
          </cell>
          <cell r="J3" t="str">
            <v>㈜탭스</v>
          </cell>
          <cell r="P3">
            <v>1600</v>
          </cell>
          <cell r="R3" t="str">
            <v>녹색</v>
          </cell>
          <cell r="U3">
            <v>45847</v>
          </cell>
          <cell r="V3" t="str">
            <v xml:space="preserve"> 이관</v>
          </cell>
          <cell r="AD3">
            <v>0.85</v>
          </cell>
          <cell r="AE3">
            <v>80</v>
          </cell>
        </row>
        <row r="4">
          <cell r="A4" t="str">
            <v>휴젤중</v>
          </cell>
          <cell r="B4" t="str">
            <v>SET</v>
          </cell>
          <cell r="C4">
            <v>3</v>
          </cell>
          <cell r="D4">
            <v>100</v>
          </cell>
          <cell r="E4">
            <v>420</v>
          </cell>
          <cell r="F4">
            <v>40</v>
          </cell>
          <cell r="G4" t="str">
            <v>B240NS</v>
          </cell>
          <cell r="H4">
            <v>6</v>
          </cell>
          <cell r="I4">
            <v>2</v>
          </cell>
          <cell r="J4" t="str">
            <v>㈜탭스</v>
          </cell>
          <cell r="P4">
            <v>1600</v>
          </cell>
          <cell r="U4">
            <v>45847</v>
          </cell>
          <cell r="V4" t="str">
            <v xml:space="preserve"> 이관</v>
          </cell>
          <cell r="AD4">
            <v>0.85</v>
          </cell>
        </row>
        <row r="5">
          <cell r="A5" t="str">
            <v>휴젤대</v>
          </cell>
          <cell r="B5" t="str">
            <v>SET</v>
          </cell>
          <cell r="C5">
            <v>3</v>
          </cell>
          <cell r="D5">
            <v>150</v>
          </cell>
          <cell r="E5">
            <v>500</v>
          </cell>
          <cell r="F5">
            <v>40</v>
          </cell>
          <cell r="G5" t="str">
            <v>B240NS</v>
          </cell>
          <cell r="I5">
            <v>2</v>
          </cell>
          <cell r="J5" t="str">
            <v>㈜탭스</v>
          </cell>
          <cell r="P5">
            <v>1600</v>
          </cell>
          <cell r="U5">
            <v>45847</v>
          </cell>
          <cell r="V5" t="str">
            <v xml:space="preserve"> 이관</v>
          </cell>
          <cell r="AD5">
            <v>0.85</v>
          </cell>
          <cell r="AE5">
            <v>80</v>
          </cell>
        </row>
        <row r="6">
          <cell r="A6" t="str">
            <v>휴젤대</v>
          </cell>
          <cell r="B6" t="str">
            <v>SET</v>
          </cell>
          <cell r="C6">
            <v>3</v>
          </cell>
          <cell r="D6">
            <v>150</v>
          </cell>
          <cell r="E6">
            <v>500</v>
          </cell>
          <cell r="F6">
            <v>40</v>
          </cell>
          <cell r="G6" t="str">
            <v>B240NS</v>
          </cell>
          <cell r="I6">
            <v>2</v>
          </cell>
          <cell r="J6" t="str">
            <v>㈜탭스</v>
          </cell>
          <cell r="P6">
            <v>1600</v>
          </cell>
          <cell r="U6">
            <v>45847</v>
          </cell>
          <cell r="V6" t="str">
            <v xml:space="preserve"> 이관</v>
          </cell>
          <cell r="AD6">
            <v>0.85</v>
          </cell>
          <cell r="AE6">
            <v>80</v>
          </cell>
        </row>
        <row r="7">
          <cell r="A7" t="str">
            <v>휴젤대</v>
          </cell>
          <cell r="B7" t="str">
            <v>SET</v>
          </cell>
          <cell r="C7">
            <v>3</v>
          </cell>
          <cell r="D7">
            <v>100</v>
          </cell>
          <cell r="E7">
            <v>500</v>
          </cell>
          <cell r="F7">
            <v>40</v>
          </cell>
          <cell r="G7" t="str">
            <v>B240NS</v>
          </cell>
          <cell r="I7">
            <v>2</v>
          </cell>
          <cell r="J7" t="str">
            <v>㈜탭스</v>
          </cell>
          <cell r="P7">
            <v>1600</v>
          </cell>
          <cell r="U7">
            <v>45847</v>
          </cell>
          <cell r="V7" t="str">
            <v xml:space="preserve"> 이관</v>
          </cell>
          <cell r="AD7">
            <v>0.85</v>
          </cell>
        </row>
        <row r="8">
          <cell r="A8" t="str">
            <v>휴벤S2-400</v>
          </cell>
          <cell r="B8" t="str">
            <v>SET</v>
          </cell>
          <cell r="C8">
            <v>2</v>
          </cell>
          <cell r="D8">
            <v>100</v>
          </cell>
          <cell r="E8">
            <v>510</v>
          </cell>
          <cell r="F8">
            <v>65</v>
          </cell>
          <cell r="G8" t="str">
            <v>B240NS</v>
          </cell>
          <cell r="H8">
            <v>4</v>
          </cell>
          <cell r="I8">
            <v>3</v>
          </cell>
          <cell r="J8" t="str">
            <v>힘펠</v>
          </cell>
          <cell r="K8">
            <v>93</v>
          </cell>
          <cell r="L8">
            <v>97</v>
          </cell>
          <cell r="M8">
            <v>338</v>
          </cell>
          <cell r="N8">
            <v>342</v>
          </cell>
          <cell r="O8">
            <v>3070</v>
          </cell>
          <cell r="P8">
            <v>1360</v>
          </cell>
          <cell r="Q8">
            <v>450</v>
          </cell>
          <cell r="R8" t="str">
            <v>빨강</v>
          </cell>
          <cell r="S8" t="str">
            <v>빨강</v>
          </cell>
          <cell r="U8">
            <v>43964</v>
          </cell>
          <cell r="V8" t="str">
            <v>금형제조부</v>
          </cell>
          <cell r="Y8">
            <v>55</v>
          </cell>
          <cell r="Z8">
            <v>28079</v>
          </cell>
          <cell r="AC8" t="str">
            <v>석상준과장, 2020.05.25 기준중량 및 배율변경(1123-&gt;1021, 50-&gt;55). 2020.06.04 코팅 및 각인추가, 2020.10.14 CAVITY변경 및 기준중량(6*1-&gt;3*2, 1021-&gt;510)</v>
          </cell>
          <cell r="AD8">
            <v>0.85</v>
          </cell>
          <cell r="AF8">
            <v>3</v>
          </cell>
        </row>
        <row r="9">
          <cell r="A9" t="str">
            <v>휴벤S2-1000</v>
          </cell>
          <cell r="B9" t="str">
            <v>SET</v>
          </cell>
          <cell r="C9">
            <v>1</v>
          </cell>
          <cell r="D9">
            <v>100</v>
          </cell>
          <cell r="E9">
            <v>937</v>
          </cell>
          <cell r="F9">
            <v>58</v>
          </cell>
          <cell r="G9" t="str">
            <v>B240NS</v>
          </cell>
          <cell r="H9">
            <v>2</v>
          </cell>
          <cell r="I9">
            <v>3</v>
          </cell>
          <cell r="J9" t="str">
            <v>힘펠</v>
          </cell>
          <cell r="K9">
            <v>198</v>
          </cell>
          <cell r="L9">
            <v>202</v>
          </cell>
          <cell r="M9">
            <v>198</v>
          </cell>
          <cell r="N9">
            <v>202</v>
          </cell>
          <cell r="O9">
            <v>5580</v>
          </cell>
          <cell r="P9">
            <v>1360</v>
          </cell>
          <cell r="Q9">
            <v>300</v>
          </cell>
          <cell r="R9" t="str">
            <v>흰색</v>
          </cell>
          <cell r="U9">
            <v>44084</v>
          </cell>
          <cell r="V9" t="str">
            <v>세일하이테크</v>
          </cell>
          <cell r="Y9">
            <v>50</v>
          </cell>
          <cell r="AC9" t="str">
            <v>석상준과장</v>
          </cell>
          <cell r="AD9">
            <v>0.85</v>
          </cell>
        </row>
        <row r="10">
          <cell r="A10" t="str">
            <v>환기미니-포장재</v>
          </cell>
          <cell r="B10" t="str">
            <v>SET</v>
          </cell>
          <cell r="C10">
            <v>8</v>
          </cell>
          <cell r="D10">
            <v>100</v>
          </cell>
          <cell r="E10">
            <v>139</v>
          </cell>
          <cell r="F10">
            <v>58</v>
          </cell>
          <cell r="G10" t="str">
            <v>SG302</v>
          </cell>
          <cell r="H10">
            <v>20</v>
          </cell>
          <cell r="I10">
            <v>1</v>
          </cell>
          <cell r="J10" t="str">
            <v>윈스터</v>
          </cell>
          <cell r="K10">
            <v>113</v>
          </cell>
          <cell r="L10">
            <v>117</v>
          </cell>
          <cell r="P10">
            <v>1360</v>
          </cell>
          <cell r="Q10">
            <v>200</v>
          </cell>
          <cell r="R10" t="str">
            <v>흰색</v>
          </cell>
          <cell r="U10">
            <v>44468</v>
          </cell>
          <cell r="V10" t="str">
            <v>금형사업부</v>
          </cell>
          <cell r="Y10">
            <v>50</v>
          </cell>
          <cell r="AC10" t="str">
            <v>석상준과장, 2021.11.08코팅완료</v>
          </cell>
          <cell r="AD10">
            <v>0.85</v>
          </cell>
          <cell r="AF10">
            <v>6</v>
          </cell>
        </row>
        <row r="11">
          <cell r="A11" t="str">
            <v>환기미니1123</v>
          </cell>
          <cell r="B11" t="str">
            <v>SET</v>
          </cell>
          <cell r="C11">
            <v>6</v>
          </cell>
          <cell r="D11">
            <v>150</v>
          </cell>
          <cell r="E11">
            <v>342</v>
          </cell>
          <cell r="F11">
            <v>24</v>
          </cell>
          <cell r="G11" t="str">
            <v>SF400</v>
          </cell>
          <cell r="H11">
            <v>8</v>
          </cell>
          <cell r="I11">
            <v>1</v>
          </cell>
          <cell r="J11" t="str">
            <v>LG하우시스</v>
          </cell>
          <cell r="K11">
            <v>74</v>
          </cell>
          <cell r="L11">
            <v>77</v>
          </cell>
          <cell r="P11">
            <v>1360</v>
          </cell>
          <cell r="Q11">
            <v>200</v>
          </cell>
          <cell r="R11" t="str">
            <v>노랑</v>
          </cell>
          <cell r="U11">
            <v>44425</v>
          </cell>
          <cell r="V11" t="str">
            <v>세일하이테크</v>
          </cell>
          <cell r="W11" t="str">
            <v>EPS1123</v>
          </cell>
          <cell r="Y11">
            <v>20</v>
          </cell>
          <cell r="Z11">
            <v>6831</v>
          </cell>
          <cell r="AC11" t="str">
            <v>석상준과장, 2021.09.29 CAVITY 변경(1*2-&gt;1*6),2021.11.08 수정 및 코팅완료</v>
          </cell>
          <cell r="AD11">
            <v>0.85</v>
          </cell>
          <cell r="AF11">
            <v>6</v>
          </cell>
        </row>
        <row r="12">
          <cell r="A12" t="str">
            <v>확장베드3호</v>
          </cell>
          <cell r="B12" t="str">
            <v>SET</v>
          </cell>
          <cell r="C12">
            <v>1</v>
          </cell>
          <cell r="D12">
            <v>15</v>
          </cell>
          <cell r="E12">
            <v>800</v>
          </cell>
          <cell r="F12">
            <v>53</v>
          </cell>
          <cell r="G12" t="str">
            <v>B240NS</v>
          </cell>
          <cell r="H12">
            <v>4</v>
          </cell>
          <cell r="I12">
            <v>1</v>
          </cell>
          <cell r="J12" t="str">
            <v>가화텍</v>
          </cell>
          <cell r="K12">
            <v>78</v>
          </cell>
          <cell r="L12">
            <v>82</v>
          </cell>
          <cell r="O12">
            <v>4270</v>
          </cell>
          <cell r="P12">
            <v>1500</v>
          </cell>
          <cell r="Q12">
            <v>150</v>
          </cell>
          <cell r="S12">
            <v>0</v>
          </cell>
          <cell r="T12" t="str">
            <v>확장베드3호#8</v>
          </cell>
          <cell r="U12">
            <v>36623</v>
          </cell>
          <cell r="V12" t="str">
            <v>신아</v>
          </cell>
          <cell r="W12" t="str">
            <v>MP3EPB, 8차</v>
          </cell>
          <cell r="X12" t="str">
            <v>Q-1203</v>
          </cell>
          <cell r="AC12" t="str">
            <v>8.9.10.14호기만착형    06.03.04일 아산이동입고</v>
          </cell>
          <cell r="AD12">
            <v>0.85</v>
          </cell>
          <cell r="AE12">
            <v>130</v>
          </cell>
          <cell r="AF12">
            <v>6</v>
          </cell>
        </row>
        <row r="13">
          <cell r="A13" t="str">
            <v>혈액원 박스</v>
          </cell>
          <cell r="B13" t="str">
            <v>SET</v>
          </cell>
          <cell r="C13">
            <v>4</v>
          </cell>
          <cell r="D13">
            <v>150</v>
          </cell>
          <cell r="E13">
            <v>320</v>
          </cell>
          <cell r="F13">
            <v>58</v>
          </cell>
          <cell r="G13" t="str">
            <v>B240NS</v>
          </cell>
          <cell r="H13">
            <v>6</v>
          </cell>
          <cell r="I13">
            <v>2</v>
          </cell>
          <cell r="J13" t="str">
            <v>㈜탭스</v>
          </cell>
          <cell r="P13">
            <v>1360</v>
          </cell>
          <cell r="Q13">
            <v>400</v>
          </cell>
          <cell r="R13" t="str">
            <v>검정</v>
          </cell>
          <cell r="U13">
            <v>45847</v>
          </cell>
          <cell r="V13" t="str">
            <v xml:space="preserve"> 이관</v>
          </cell>
          <cell r="W13" t="str">
            <v xml:space="preserve">중량,융착,버, 건조실 2바퀴 </v>
          </cell>
          <cell r="AD13">
            <v>0.85</v>
          </cell>
          <cell r="AE13">
            <v>80</v>
          </cell>
        </row>
        <row r="14">
          <cell r="A14" t="str">
            <v>혈액원 박스</v>
          </cell>
          <cell r="B14" t="str">
            <v>SET</v>
          </cell>
          <cell r="C14">
            <v>4</v>
          </cell>
          <cell r="D14">
            <v>150</v>
          </cell>
          <cell r="E14">
            <v>320</v>
          </cell>
          <cell r="F14">
            <v>58</v>
          </cell>
          <cell r="G14" t="str">
            <v>B240NS</v>
          </cell>
          <cell r="H14">
            <v>6</v>
          </cell>
          <cell r="I14">
            <v>2</v>
          </cell>
          <cell r="J14" t="str">
            <v>㈜탭스</v>
          </cell>
          <cell r="P14">
            <v>1360</v>
          </cell>
          <cell r="Q14">
            <v>400</v>
          </cell>
          <cell r="R14" t="str">
            <v>검정</v>
          </cell>
          <cell r="U14">
            <v>45847</v>
          </cell>
          <cell r="V14" t="str">
            <v xml:space="preserve"> 이관</v>
          </cell>
          <cell r="W14" t="str">
            <v xml:space="preserve">중량,융착,버, 건조실 2바퀴 </v>
          </cell>
          <cell r="AD14">
            <v>0.85</v>
          </cell>
          <cell r="AE14">
            <v>80</v>
          </cell>
        </row>
        <row r="15">
          <cell r="A15" t="str">
            <v>혈액원 박스</v>
          </cell>
          <cell r="B15" t="str">
            <v>SET</v>
          </cell>
          <cell r="C15">
            <v>4</v>
          </cell>
          <cell r="D15">
            <v>100</v>
          </cell>
          <cell r="E15">
            <v>320</v>
          </cell>
          <cell r="F15">
            <v>58</v>
          </cell>
          <cell r="G15" t="str">
            <v>B240NS</v>
          </cell>
          <cell r="H15">
            <v>6</v>
          </cell>
          <cell r="I15">
            <v>2</v>
          </cell>
          <cell r="J15" t="str">
            <v>㈜탭스</v>
          </cell>
          <cell r="P15">
            <v>1360</v>
          </cell>
          <cell r="Q15">
            <v>1360</v>
          </cell>
          <cell r="U15">
            <v>45847</v>
          </cell>
          <cell r="V15" t="str">
            <v xml:space="preserve"> 이관</v>
          </cell>
          <cell r="AC15" t="str">
            <v>고정후레임입고</v>
          </cell>
          <cell r="AD15">
            <v>0.85</v>
          </cell>
        </row>
        <row r="16">
          <cell r="A16" t="str">
            <v>한샘-STAND</v>
          </cell>
          <cell r="B16" t="str">
            <v>SET</v>
          </cell>
          <cell r="C16">
            <v>2</v>
          </cell>
          <cell r="D16">
            <v>100</v>
          </cell>
          <cell r="E16">
            <v>515</v>
          </cell>
          <cell r="F16">
            <v>65</v>
          </cell>
          <cell r="G16" t="str">
            <v>SG302</v>
          </cell>
          <cell r="H16" t="str">
            <v>L,R:10 BOT:5</v>
          </cell>
          <cell r="I16">
            <v>3</v>
          </cell>
          <cell r="J16" t="str">
            <v>이파트너</v>
          </cell>
          <cell r="K16">
            <v>57.1</v>
          </cell>
          <cell r="L16">
            <v>61.1</v>
          </cell>
          <cell r="M16">
            <v>133</v>
          </cell>
          <cell r="N16">
            <v>137</v>
          </cell>
          <cell r="P16">
            <v>1500</v>
          </cell>
          <cell r="Q16">
            <v>250</v>
          </cell>
          <cell r="R16" t="str">
            <v>흰색</v>
          </cell>
          <cell r="U16">
            <v>44539</v>
          </cell>
          <cell r="V16" t="str">
            <v>경원 ENG</v>
          </cell>
          <cell r="Y16">
            <v>65</v>
          </cell>
          <cell r="Z16">
            <v>28362</v>
          </cell>
          <cell r="AC16" t="str">
            <v>김영석사원, 2021.01.19 핀추가,2022.02.09 기준중량 및 기준 배율변경(472-&gt;515, 60-&gt;65)</v>
          </cell>
          <cell r="AD16">
            <v>0.85</v>
          </cell>
          <cell r="AF16">
            <v>6</v>
          </cell>
        </row>
        <row r="17">
          <cell r="A17" t="str">
            <v>한샘-RAC</v>
          </cell>
          <cell r="B17" t="str">
            <v>SET</v>
          </cell>
          <cell r="C17">
            <v>2</v>
          </cell>
          <cell r="D17">
            <v>100</v>
          </cell>
          <cell r="E17">
            <v>232</v>
          </cell>
          <cell r="F17">
            <v>65</v>
          </cell>
          <cell r="G17" t="str">
            <v>SG302</v>
          </cell>
          <cell r="H17">
            <v>8</v>
          </cell>
          <cell r="I17">
            <v>2</v>
          </cell>
          <cell r="J17" t="str">
            <v>이파트너</v>
          </cell>
          <cell r="K17">
            <v>51</v>
          </cell>
          <cell r="L17">
            <v>55</v>
          </cell>
          <cell r="M17">
            <v>78</v>
          </cell>
          <cell r="N17">
            <v>82</v>
          </cell>
          <cell r="P17">
            <v>1360</v>
          </cell>
          <cell r="Q17">
            <v>200</v>
          </cell>
          <cell r="R17" t="str">
            <v>보라</v>
          </cell>
          <cell r="U17">
            <v>44540</v>
          </cell>
          <cell r="V17" t="str">
            <v>금형사업부</v>
          </cell>
          <cell r="Y17">
            <v>65</v>
          </cell>
          <cell r="Z17">
            <v>12857</v>
          </cell>
          <cell r="AC17" t="str">
            <v>석상준과장, 2021.12.21 핀추가, BURR수리, 코팅,2022.02.09 기준중량 및 기준 배율변경(213-&gt;232, 60-&gt;65)</v>
          </cell>
          <cell r="AD17">
            <v>0.85</v>
          </cell>
          <cell r="AF17">
            <v>1</v>
          </cell>
        </row>
        <row r="18">
          <cell r="A18" t="str">
            <v>하누-소</v>
          </cell>
          <cell r="B18" t="str">
            <v>BOX</v>
          </cell>
          <cell r="C18">
            <v>6</v>
          </cell>
          <cell r="D18">
            <v>100</v>
          </cell>
          <cell r="E18">
            <v>130</v>
          </cell>
          <cell r="F18">
            <v>55</v>
          </cell>
          <cell r="G18" t="str">
            <v>B240NS</v>
          </cell>
          <cell r="H18" t="str">
            <v>TOP:40 / BOT:10</v>
          </cell>
          <cell r="I18">
            <v>6</v>
          </cell>
          <cell r="J18" t="str">
            <v>싱싱패키지</v>
          </cell>
          <cell r="K18">
            <v>55</v>
          </cell>
          <cell r="L18">
            <v>59</v>
          </cell>
          <cell r="M18">
            <v>114.5</v>
          </cell>
          <cell r="N18">
            <v>118.5</v>
          </cell>
          <cell r="P18">
            <v>1700</v>
          </cell>
          <cell r="Q18">
            <v>250</v>
          </cell>
          <cell r="R18" t="str">
            <v>빨강</v>
          </cell>
          <cell r="U18">
            <v>45019</v>
          </cell>
          <cell r="V18" t="str">
            <v>대부</v>
          </cell>
          <cell r="AC18" t="str">
            <v>2024-07-26 각인 변경</v>
          </cell>
          <cell r="AD18">
            <v>0.85</v>
          </cell>
          <cell r="AF18">
            <v>12</v>
          </cell>
        </row>
        <row r="19">
          <cell r="A19" t="str">
            <v>하누-소</v>
          </cell>
          <cell r="B19" t="str">
            <v>BOX</v>
          </cell>
          <cell r="C19">
            <v>6</v>
          </cell>
          <cell r="D19">
            <v>100</v>
          </cell>
          <cell r="E19">
            <v>130</v>
          </cell>
          <cell r="F19">
            <v>55</v>
          </cell>
          <cell r="G19" t="str">
            <v>B240NS</v>
          </cell>
          <cell r="H19" t="str">
            <v>TOP:40 / BOT:10</v>
          </cell>
          <cell r="I19">
            <v>6</v>
          </cell>
          <cell r="J19" t="str">
            <v>싱싱패키지</v>
          </cell>
          <cell r="K19">
            <v>55</v>
          </cell>
          <cell r="L19">
            <v>59</v>
          </cell>
          <cell r="M19">
            <v>114.5</v>
          </cell>
          <cell r="N19">
            <v>118.5</v>
          </cell>
          <cell r="P19">
            <v>1700</v>
          </cell>
          <cell r="Q19">
            <v>250</v>
          </cell>
          <cell r="R19" t="str">
            <v>노랑</v>
          </cell>
          <cell r="U19">
            <v>45019</v>
          </cell>
          <cell r="V19" t="str">
            <v>대부</v>
          </cell>
          <cell r="AC19" t="str">
            <v>2024-07-26 각인 변경</v>
          </cell>
          <cell r="AD19">
            <v>0.85</v>
          </cell>
        </row>
        <row r="20">
          <cell r="A20" t="str">
            <v>하누-대</v>
          </cell>
          <cell r="B20" t="str">
            <v>BOX</v>
          </cell>
          <cell r="C20">
            <v>4</v>
          </cell>
          <cell r="D20">
            <v>100</v>
          </cell>
          <cell r="E20">
            <v>180</v>
          </cell>
          <cell r="F20">
            <v>55</v>
          </cell>
          <cell r="G20" t="str">
            <v>B240NS</v>
          </cell>
          <cell r="H20" t="str">
            <v>TOP:40 / BOT:10</v>
          </cell>
          <cell r="I20">
            <v>4</v>
          </cell>
          <cell r="J20" t="str">
            <v>싱싱패키지</v>
          </cell>
          <cell r="K20">
            <v>44</v>
          </cell>
          <cell r="L20">
            <v>48</v>
          </cell>
          <cell r="M20">
            <v>117</v>
          </cell>
          <cell r="N20">
            <v>121</v>
          </cell>
          <cell r="P20">
            <v>1700</v>
          </cell>
          <cell r="Q20">
            <v>250</v>
          </cell>
          <cell r="R20" t="str">
            <v>흰색</v>
          </cell>
          <cell r="U20">
            <v>45019</v>
          </cell>
          <cell r="V20" t="str">
            <v>대부</v>
          </cell>
          <cell r="AC20" t="str">
            <v>2024-07-26 각인 변경</v>
          </cell>
          <cell r="AD20">
            <v>0.85</v>
          </cell>
          <cell r="AF20">
            <v>12</v>
          </cell>
        </row>
        <row r="21">
          <cell r="A21" t="str">
            <v>하누-대</v>
          </cell>
          <cell r="B21" t="str">
            <v>BOX</v>
          </cell>
          <cell r="C21">
            <v>4</v>
          </cell>
          <cell r="D21">
            <v>100</v>
          </cell>
          <cell r="E21">
            <v>180</v>
          </cell>
          <cell r="F21">
            <v>55</v>
          </cell>
          <cell r="G21" t="str">
            <v>B240NS</v>
          </cell>
          <cell r="H21" t="str">
            <v>TOP:40 / BOT:10</v>
          </cell>
          <cell r="I21">
            <v>4</v>
          </cell>
          <cell r="J21" t="str">
            <v>싱싱패키지</v>
          </cell>
          <cell r="K21">
            <v>44</v>
          </cell>
          <cell r="L21">
            <v>48</v>
          </cell>
          <cell r="M21">
            <v>117</v>
          </cell>
          <cell r="N21">
            <v>121</v>
          </cell>
          <cell r="P21">
            <v>1700</v>
          </cell>
          <cell r="Q21">
            <v>250</v>
          </cell>
          <cell r="R21" t="str">
            <v>흰색</v>
          </cell>
          <cell r="U21">
            <v>45019</v>
          </cell>
          <cell r="V21" t="str">
            <v>대부</v>
          </cell>
          <cell r="AC21" t="str">
            <v>2024-07-26 각인 변경</v>
          </cell>
          <cell r="AD21">
            <v>0.85</v>
          </cell>
        </row>
        <row r="22">
          <cell r="A22" t="str">
            <v>피자박스</v>
          </cell>
          <cell r="B22" t="str">
            <v>BOX</v>
          </cell>
          <cell r="E22">
            <v>180</v>
          </cell>
          <cell r="J22" t="str">
            <v>아산이피에스</v>
          </cell>
        </row>
        <row r="23">
          <cell r="A23" t="str">
            <v>프라임아이스맥스-UP</v>
          </cell>
          <cell r="B23" t="str">
            <v>SET</v>
          </cell>
          <cell r="C23">
            <v>1</v>
          </cell>
          <cell r="D23">
            <v>100</v>
          </cell>
          <cell r="E23">
            <v>534</v>
          </cell>
          <cell r="F23">
            <v>70</v>
          </cell>
          <cell r="G23" t="str">
            <v>B240NS</v>
          </cell>
          <cell r="H23">
            <v>3</v>
          </cell>
          <cell r="I23">
            <v>2</v>
          </cell>
          <cell r="J23" t="str">
            <v>코웨이</v>
          </cell>
          <cell r="R23" t="str">
            <v>빨강</v>
          </cell>
          <cell r="AD23">
            <v>0.85</v>
          </cell>
          <cell r="AF23">
            <v>4</v>
          </cell>
        </row>
        <row r="24">
          <cell r="A24" t="str">
            <v>프라임아이스맥스-UP</v>
          </cell>
          <cell r="B24" t="str">
            <v>SET</v>
          </cell>
          <cell r="C24">
            <v>1</v>
          </cell>
          <cell r="D24">
            <v>100</v>
          </cell>
          <cell r="E24">
            <v>534</v>
          </cell>
          <cell r="F24">
            <v>70</v>
          </cell>
          <cell r="G24" t="str">
            <v>B240NS</v>
          </cell>
          <cell r="H24">
            <v>3</v>
          </cell>
          <cell r="I24">
            <v>2</v>
          </cell>
          <cell r="J24" t="str">
            <v>코웨이</v>
          </cell>
          <cell r="R24" t="str">
            <v>빨강</v>
          </cell>
        </row>
        <row r="25">
          <cell r="A25" t="str">
            <v>프라임아이스맥스-LOW</v>
          </cell>
          <cell r="B25" t="str">
            <v>SET</v>
          </cell>
          <cell r="C25">
            <v>1</v>
          </cell>
          <cell r="D25">
            <v>100</v>
          </cell>
          <cell r="E25">
            <v>479</v>
          </cell>
          <cell r="F25">
            <v>70</v>
          </cell>
          <cell r="G25" t="str">
            <v>B240NS</v>
          </cell>
          <cell r="H25">
            <v>6</v>
          </cell>
          <cell r="I25">
            <v>2</v>
          </cell>
          <cell r="J25" t="str">
            <v>코웨이</v>
          </cell>
          <cell r="R25" t="str">
            <v>빨강</v>
          </cell>
          <cell r="W25" t="str">
            <v>LOWER A'SSY 제품 (비닐포장 X)</v>
          </cell>
          <cell r="AD25">
            <v>0.85</v>
          </cell>
          <cell r="AF25">
            <v>4</v>
          </cell>
        </row>
        <row r="26">
          <cell r="A26" t="str">
            <v>프라임아이스맥스-LOW</v>
          </cell>
          <cell r="B26" t="str">
            <v>SET</v>
          </cell>
          <cell r="C26">
            <v>1</v>
          </cell>
          <cell r="D26">
            <v>100</v>
          </cell>
          <cell r="E26">
            <v>479</v>
          </cell>
          <cell r="F26">
            <v>70</v>
          </cell>
          <cell r="G26" t="str">
            <v>B240NS</v>
          </cell>
          <cell r="H26">
            <v>6</v>
          </cell>
          <cell r="I26">
            <v>2</v>
          </cell>
          <cell r="J26" t="str">
            <v>코웨이</v>
          </cell>
          <cell r="R26" t="str">
            <v>빨강</v>
          </cell>
          <cell r="W26" t="str">
            <v>LOWER A'SSY 제품 (비닐포장 X)</v>
          </cell>
        </row>
        <row r="27">
          <cell r="A27" t="str">
            <v>프라임아이스맥스</v>
          </cell>
          <cell r="B27" t="str">
            <v>SET</v>
          </cell>
          <cell r="C27">
            <v>1</v>
          </cell>
          <cell r="D27">
            <v>100</v>
          </cell>
          <cell r="E27">
            <v>1013</v>
          </cell>
          <cell r="F27">
            <v>70</v>
          </cell>
          <cell r="G27" t="str">
            <v>B240NS</v>
          </cell>
          <cell r="H27" t="str">
            <v>UP:3 LOW:6</v>
          </cell>
          <cell r="I27">
            <v>2</v>
          </cell>
          <cell r="J27" t="str">
            <v>코웨이</v>
          </cell>
          <cell r="K27">
            <v>347</v>
          </cell>
          <cell r="L27">
            <v>353</v>
          </cell>
          <cell r="M27">
            <v>128</v>
          </cell>
          <cell r="N27">
            <v>132</v>
          </cell>
          <cell r="P27">
            <v>1360</v>
          </cell>
          <cell r="Q27">
            <v>450</v>
          </cell>
          <cell r="R27" t="str">
            <v>빨강</v>
          </cell>
          <cell r="T27" t="str">
            <v>941033/1235130</v>
          </cell>
          <cell r="U27">
            <v>44587</v>
          </cell>
          <cell r="V27" t="str">
            <v>제이티</v>
          </cell>
          <cell r="W27" t="str">
            <v>LOWER A'SSY 제품 (비닐포장 X)</v>
          </cell>
          <cell r="Y27">
            <v>60</v>
          </cell>
          <cell r="AC27" t="str">
            <v>석상준차장 2022.06.23 코팅</v>
          </cell>
          <cell r="AD27">
            <v>0.85</v>
          </cell>
          <cell r="AF27">
            <v>2</v>
          </cell>
        </row>
        <row r="28">
          <cell r="A28" t="str">
            <v>프라임아이스맥스</v>
          </cell>
          <cell r="B28" t="str">
            <v>SET</v>
          </cell>
          <cell r="C28">
            <v>1</v>
          </cell>
          <cell r="D28">
            <v>100</v>
          </cell>
          <cell r="E28">
            <v>1063</v>
          </cell>
          <cell r="F28">
            <v>70</v>
          </cell>
          <cell r="G28" t="str">
            <v>B240NS</v>
          </cell>
          <cell r="H28" t="str">
            <v>UP:3 LOW:6</v>
          </cell>
          <cell r="I28">
            <v>2</v>
          </cell>
          <cell r="J28" t="str">
            <v>코웨이</v>
          </cell>
          <cell r="K28">
            <v>347</v>
          </cell>
          <cell r="L28">
            <v>353</v>
          </cell>
          <cell r="M28">
            <v>128</v>
          </cell>
          <cell r="N28">
            <v>132</v>
          </cell>
          <cell r="P28">
            <v>1360</v>
          </cell>
          <cell r="Q28">
            <v>450</v>
          </cell>
          <cell r="R28" t="str">
            <v>빨강</v>
          </cell>
          <cell r="T28" t="str">
            <v>941033/1235130</v>
          </cell>
          <cell r="U28">
            <v>44587</v>
          </cell>
          <cell r="V28" t="str">
            <v>제이티</v>
          </cell>
          <cell r="W28" t="str">
            <v>LOWER A'SSY 제품 (비닐포장 X)</v>
          </cell>
          <cell r="Y28">
            <v>60</v>
          </cell>
          <cell r="AC28" t="str">
            <v>석상준차장 2022.06.23 코팅</v>
          </cell>
          <cell r="AD28">
            <v>0.85</v>
          </cell>
        </row>
        <row r="29">
          <cell r="A29" t="str">
            <v>포도-BOX</v>
          </cell>
          <cell r="B29" t="str">
            <v>BOX</v>
          </cell>
          <cell r="C29">
            <v>6</v>
          </cell>
          <cell r="D29">
            <v>100</v>
          </cell>
          <cell r="E29">
            <v>250</v>
          </cell>
          <cell r="F29">
            <v>50</v>
          </cell>
          <cell r="G29" t="str">
            <v>SE2500M</v>
          </cell>
          <cell r="H29">
            <v>10</v>
          </cell>
          <cell r="I29">
            <v>1</v>
          </cell>
          <cell r="J29" t="str">
            <v>용인공장</v>
          </cell>
          <cell r="P29">
            <v>1360</v>
          </cell>
          <cell r="Q29">
            <v>250</v>
          </cell>
          <cell r="R29" t="str">
            <v>파랑</v>
          </cell>
          <cell r="U29">
            <v>44741</v>
          </cell>
          <cell r="V29" t="str">
            <v>이관금형</v>
          </cell>
          <cell r="Y29">
            <v>40</v>
          </cell>
          <cell r="AC29" t="str">
            <v>김영석사원</v>
          </cell>
          <cell r="AD29">
            <v>0.85</v>
          </cell>
        </row>
        <row r="30">
          <cell r="A30" t="str">
            <v>포도-BOX</v>
          </cell>
          <cell r="B30" t="str">
            <v>BOX</v>
          </cell>
          <cell r="C30">
            <v>6</v>
          </cell>
          <cell r="D30">
            <v>100</v>
          </cell>
          <cell r="E30">
            <v>250</v>
          </cell>
          <cell r="F30">
            <v>50</v>
          </cell>
          <cell r="G30" t="str">
            <v>SE2500M</v>
          </cell>
          <cell r="H30">
            <v>10</v>
          </cell>
          <cell r="I30">
            <v>1</v>
          </cell>
          <cell r="J30" t="str">
            <v>용인공장</v>
          </cell>
          <cell r="P30">
            <v>1300</v>
          </cell>
          <cell r="R30" t="str">
            <v>파랑</v>
          </cell>
          <cell r="U30">
            <v>44741</v>
          </cell>
          <cell r="V30" t="str">
            <v>이관금형</v>
          </cell>
          <cell r="Y30">
            <v>40</v>
          </cell>
          <cell r="AC30" t="str">
            <v>김영석사원</v>
          </cell>
          <cell r="AD30">
            <v>0.85</v>
          </cell>
        </row>
        <row r="31">
          <cell r="A31" t="str">
            <v>포도BOX</v>
          </cell>
          <cell r="B31" t="str">
            <v>BOX</v>
          </cell>
          <cell r="C31">
            <v>4</v>
          </cell>
          <cell r="D31">
            <v>100</v>
          </cell>
          <cell r="E31">
            <v>230</v>
          </cell>
          <cell r="F31">
            <v>74</v>
          </cell>
          <cell r="G31" t="str">
            <v>B240NS</v>
          </cell>
          <cell r="H31">
            <v>5</v>
          </cell>
          <cell r="I31">
            <v>1</v>
          </cell>
          <cell r="J31" t="str">
            <v>삼일이노팩</v>
          </cell>
          <cell r="K31">
            <v>193</v>
          </cell>
          <cell r="L31">
            <v>197</v>
          </cell>
          <cell r="O31">
            <v>10</v>
          </cell>
          <cell r="P31">
            <v>1300</v>
          </cell>
          <cell r="Q31">
            <v>300</v>
          </cell>
          <cell r="S31">
            <v>0</v>
          </cell>
          <cell r="T31" t="str">
            <v>어상자,BOX</v>
          </cell>
          <cell r="U31">
            <v>39926</v>
          </cell>
          <cell r="V31" t="str">
            <v>아산EPS이동입고</v>
          </cell>
          <cell r="X31" t="str">
            <v>계양리 B-2</v>
          </cell>
          <cell r="AD31">
            <v>0.85</v>
          </cell>
          <cell r="AE31">
            <v>70</v>
          </cell>
          <cell r="AF31">
            <v>1</v>
          </cell>
        </row>
        <row r="32">
          <cell r="A32" t="str">
            <v>폐달형휴지통</v>
          </cell>
          <cell r="B32" t="str">
            <v>SET</v>
          </cell>
          <cell r="C32">
            <v>8</v>
          </cell>
          <cell r="D32">
            <v>120</v>
          </cell>
          <cell r="E32">
            <v>48</v>
          </cell>
          <cell r="F32">
            <v>65</v>
          </cell>
          <cell r="G32" t="str">
            <v>B240NS</v>
          </cell>
          <cell r="H32">
            <v>40</v>
          </cell>
          <cell r="I32">
            <v>1</v>
          </cell>
          <cell r="J32" t="str">
            <v>리템엘앤씨</v>
          </cell>
          <cell r="K32">
            <v>44</v>
          </cell>
          <cell r="L32">
            <v>46</v>
          </cell>
          <cell r="P32">
            <v>1360</v>
          </cell>
          <cell r="Q32">
            <v>150</v>
          </cell>
          <cell r="R32" t="str">
            <v>빨강</v>
          </cell>
          <cell r="U32">
            <v>44050</v>
          </cell>
          <cell r="V32" t="str">
            <v>세일하이테크</v>
          </cell>
          <cell r="Y32">
            <v>50</v>
          </cell>
          <cell r="Z32">
            <v>2395</v>
          </cell>
          <cell r="AD32">
            <v>0.85</v>
          </cell>
          <cell r="AF32">
            <v>8</v>
          </cell>
        </row>
        <row r="33">
          <cell r="A33" t="str">
            <v>파라핀스타</v>
          </cell>
          <cell r="B33" t="str">
            <v>저발</v>
          </cell>
          <cell r="C33">
            <v>2</v>
          </cell>
          <cell r="D33">
            <v>100</v>
          </cell>
          <cell r="E33">
            <v>55</v>
          </cell>
          <cell r="F33">
            <v>70</v>
          </cell>
          <cell r="G33" t="str">
            <v>B240NS</v>
          </cell>
          <cell r="H33">
            <v>10</v>
          </cell>
          <cell r="I33">
            <v>2</v>
          </cell>
          <cell r="J33" t="str">
            <v>뷰닉스</v>
          </cell>
          <cell r="P33">
            <v>500</v>
          </cell>
          <cell r="Q33">
            <v>0</v>
          </cell>
          <cell r="U33">
            <v>44722</v>
          </cell>
          <cell r="V33" t="str">
            <v>이관금형</v>
          </cell>
          <cell r="AC33" t="str">
            <v>김영석사원</v>
          </cell>
          <cell r="AD33">
            <v>0.85</v>
          </cell>
        </row>
        <row r="34">
          <cell r="A34" t="str">
            <v>파라핀스타</v>
          </cell>
          <cell r="B34" t="str">
            <v>SET</v>
          </cell>
          <cell r="C34">
            <v>2</v>
          </cell>
          <cell r="D34">
            <v>100</v>
          </cell>
          <cell r="E34">
            <v>55</v>
          </cell>
          <cell r="F34">
            <v>70</v>
          </cell>
          <cell r="G34" t="str">
            <v>B240NS</v>
          </cell>
          <cell r="H34">
            <v>10</v>
          </cell>
          <cell r="I34">
            <v>2</v>
          </cell>
          <cell r="J34" t="str">
            <v>뷰닉스</v>
          </cell>
          <cell r="P34">
            <v>500</v>
          </cell>
          <cell r="U34">
            <v>44722</v>
          </cell>
          <cell r="V34" t="str">
            <v>이관금형</v>
          </cell>
          <cell r="AC34" t="str">
            <v>김영석사원</v>
          </cell>
          <cell r="AD34">
            <v>0.85</v>
          </cell>
        </row>
        <row r="35">
          <cell r="A35" t="str">
            <v>티오람X</v>
          </cell>
          <cell r="B35" t="str">
            <v>SET</v>
          </cell>
          <cell r="C35">
            <v>3</v>
          </cell>
          <cell r="D35">
            <v>135</v>
          </cell>
          <cell r="E35">
            <v>400</v>
          </cell>
          <cell r="F35">
            <v>50</v>
          </cell>
          <cell r="G35" t="str">
            <v>B240NS</v>
          </cell>
          <cell r="H35">
            <v>5</v>
          </cell>
          <cell r="I35">
            <v>2</v>
          </cell>
          <cell r="J35" t="str">
            <v>하츠</v>
          </cell>
          <cell r="K35">
            <v>118</v>
          </cell>
          <cell r="L35">
            <v>122</v>
          </cell>
          <cell r="M35">
            <v>118</v>
          </cell>
          <cell r="N35">
            <v>122</v>
          </cell>
          <cell r="P35">
            <v>1360</v>
          </cell>
          <cell r="Q35">
            <v>250</v>
          </cell>
          <cell r="R35" t="str">
            <v>검정</v>
          </cell>
          <cell r="U35">
            <v>45824</v>
          </cell>
          <cell r="V35" t="str">
            <v>금형사업부</v>
          </cell>
          <cell r="AD35">
            <v>0.85</v>
          </cell>
          <cell r="AE35">
            <v>80</v>
          </cell>
        </row>
        <row r="36">
          <cell r="A36" t="str">
            <v>티오람X</v>
          </cell>
          <cell r="B36" t="str">
            <v>SET</v>
          </cell>
          <cell r="C36">
            <v>3</v>
          </cell>
          <cell r="D36">
            <v>135</v>
          </cell>
          <cell r="E36">
            <v>400</v>
          </cell>
          <cell r="F36">
            <v>50</v>
          </cell>
          <cell r="G36" t="str">
            <v>B240NS</v>
          </cell>
          <cell r="H36">
            <v>5</v>
          </cell>
          <cell r="I36">
            <v>2</v>
          </cell>
          <cell r="J36" t="str">
            <v>하츠</v>
          </cell>
          <cell r="K36">
            <v>118</v>
          </cell>
          <cell r="L36">
            <v>122</v>
          </cell>
          <cell r="M36">
            <v>118</v>
          </cell>
          <cell r="N36">
            <v>122</v>
          </cell>
          <cell r="P36">
            <v>1360</v>
          </cell>
          <cell r="Q36">
            <v>250</v>
          </cell>
          <cell r="R36" t="str">
            <v>검정</v>
          </cell>
          <cell r="U36">
            <v>45824</v>
          </cell>
          <cell r="V36" t="str">
            <v>금형사업부</v>
          </cell>
          <cell r="AD36">
            <v>0.85</v>
          </cell>
          <cell r="AE36">
            <v>80</v>
          </cell>
        </row>
        <row r="37">
          <cell r="A37" t="str">
            <v>트5-3K(회색40배)</v>
          </cell>
          <cell r="B37" t="str">
            <v>회색</v>
          </cell>
          <cell r="C37">
            <v>4</v>
          </cell>
          <cell r="D37">
            <v>80</v>
          </cell>
          <cell r="E37">
            <v>162</v>
          </cell>
          <cell r="F37">
            <v>48</v>
          </cell>
          <cell r="G37" t="str">
            <v>ZP2500</v>
          </cell>
          <cell r="H37">
            <v>14</v>
          </cell>
          <cell r="I37">
            <v>2</v>
          </cell>
          <cell r="J37" t="str">
            <v>중부스치로폼</v>
          </cell>
          <cell r="K37">
            <v>53</v>
          </cell>
          <cell r="L37">
            <v>57</v>
          </cell>
          <cell r="M37">
            <v>83</v>
          </cell>
          <cell r="N37">
            <v>87</v>
          </cell>
          <cell r="O37">
            <v>850</v>
          </cell>
          <cell r="P37">
            <v>1500</v>
          </cell>
          <cell r="Q37">
            <v>200</v>
          </cell>
          <cell r="R37" t="str">
            <v>파랑</v>
          </cell>
          <cell r="S37" t="str">
            <v>파랑</v>
          </cell>
          <cell r="T37" t="str">
            <v>트5-3K</v>
          </cell>
          <cell r="U37">
            <v>41838</v>
          </cell>
          <cell r="V37" t="str">
            <v>금형제조부</v>
          </cell>
          <cell r="W37" t="str">
            <v>적색무타공비닐포장</v>
          </cell>
          <cell r="Y37">
            <v>40</v>
          </cell>
          <cell r="Z37">
            <v>6495</v>
          </cell>
          <cell r="AC37" t="str">
            <v>트5-3K 금형동일2014.12.12묶음단위변경(10-&gt;14)</v>
          </cell>
          <cell r="AD37">
            <v>0.85</v>
          </cell>
          <cell r="AE37">
            <v>80</v>
          </cell>
          <cell r="AF37">
            <v>6</v>
          </cell>
        </row>
        <row r="38">
          <cell r="A38" t="str">
            <v>트5-3K(회색30배)</v>
          </cell>
          <cell r="B38" t="str">
            <v>회색</v>
          </cell>
          <cell r="C38">
            <v>4</v>
          </cell>
          <cell r="D38">
            <v>80</v>
          </cell>
          <cell r="E38">
            <v>271</v>
          </cell>
          <cell r="F38">
            <v>36</v>
          </cell>
          <cell r="G38" t="str">
            <v>ZP2500</v>
          </cell>
          <cell r="H38">
            <v>14</v>
          </cell>
          <cell r="I38">
            <v>2</v>
          </cell>
          <cell r="J38" t="str">
            <v>중부스치로폼</v>
          </cell>
          <cell r="K38">
            <v>53</v>
          </cell>
          <cell r="L38">
            <v>57</v>
          </cell>
          <cell r="M38">
            <v>83</v>
          </cell>
          <cell r="N38">
            <v>87</v>
          </cell>
          <cell r="O38">
            <v>850</v>
          </cell>
          <cell r="P38">
            <v>1500</v>
          </cell>
          <cell r="Q38">
            <v>200</v>
          </cell>
          <cell r="R38" t="str">
            <v>밴딩</v>
          </cell>
          <cell r="S38" t="str">
            <v>밴딩</v>
          </cell>
          <cell r="T38" t="str">
            <v>트5-3K</v>
          </cell>
          <cell r="U38">
            <v>41838</v>
          </cell>
          <cell r="V38" t="str">
            <v>금형제조부</v>
          </cell>
          <cell r="W38" t="str">
            <v>적색무타공비닐포장</v>
          </cell>
          <cell r="Y38">
            <v>30</v>
          </cell>
          <cell r="Z38">
            <v>6495</v>
          </cell>
          <cell r="AC38" t="str">
            <v>트5-3K 금형동일</v>
          </cell>
          <cell r="AD38">
            <v>0.85</v>
          </cell>
          <cell r="AE38">
            <v>85</v>
          </cell>
          <cell r="AF38">
            <v>12</v>
          </cell>
        </row>
        <row r="39">
          <cell r="A39" t="str">
            <v>트5-3K(50배)</v>
          </cell>
          <cell r="B39" t="str">
            <v>BOX</v>
          </cell>
          <cell r="C39">
            <v>4</v>
          </cell>
          <cell r="D39">
            <v>65</v>
          </cell>
          <cell r="E39">
            <v>125</v>
          </cell>
          <cell r="F39">
            <v>65</v>
          </cell>
          <cell r="G39" t="str">
            <v>B240NS</v>
          </cell>
          <cell r="H39">
            <v>14</v>
          </cell>
          <cell r="I39">
            <v>2</v>
          </cell>
          <cell r="J39" t="str">
            <v>중부스치로폼</v>
          </cell>
          <cell r="K39">
            <v>53</v>
          </cell>
          <cell r="L39">
            <v>57</v>
          </cell>
          <cell r="M39">
            <v>83</v>
          </cell>
          <cell r="N39">
            <v>87</v>
          </cell>
          <cell r="O39">
            <v>565</v>
          </cell>
          <cell r="P39">
            <v>1500</v>
          </cell>
          <cell r="Q39">
            <v>200</v>
          </cell>
          <cell r="R39" t="str">
            <v>주황</v>
          </cell>
          <cell r="S39" t="str">
            <v>주황</v>
          </cell>
          <cell r="T39" t="str">
            <v>트5-3K</v>
          </cell>
          <cell r="U39">
            <v>41838</v>
          </cell>
          <cell r="V39" t="str">
            <v>금형제조부</v>
          </cell>
          <cell r="W39" t="str">
            <v>자동반에서 끈 묶을 것</v>
          </cell>
          <cell r="X39" t="str">
            <v>E-0607</v>
          </cell>
          <cell r="Y39">
            <v>50</v>
          </cell>
          <cell r="Z39">
            <v>6495</v>
          </cell>
          <cell r="AC39" t="str">
            <v>석상준대리, 코팅완료, 2014.09.15기준중량변경(110-&gt;105)2014.12.01기준배율변경(60-62)2014.11.26수정2014.12.12묶음단위변경(10-&gt;14),2015.03.10승인중량변경(105-&gt;113),2018.08.21영업부요청 기준중량변경(130-&gt;125)</v>
          </cell>
          <cell r="AD39">
            <v>0.85</v>
          </cell>
          <cell r="AE39">
            <v>70</v>
          </cell>
          <cell r="AF39">
            <v>6</v>
          </cell>
        </row>
        <row r="40">
          <cell r="A40" t="str">
            <v>트5-3K</v>
          </cell>
          <cell r="B40" t="str">
            <v>BOX</v>
          </cell>
          <cell r="C40">
            <v>4</v>
          </cell>
          <cell r="D40">
            <v>80</v>
          </cell>
          <cell r="E40">
            <v>113</v>
          </cell>
          <cell r="F40">
            <v>74</v>
          </cell>
          <cell r="G40" t="str">
            <v>SE2500M</v>
          </cell>
          <cell r="H40">
            <v>14</v>
          </cell>
          <cell r="I40">
            <v>2</v>
          </cell>
          <cell r="J40" t="str">
            <v>중부스치로폼</v>
          </cell>
          <cell r="K40">
            <v>53</v>
          </cell>
          <cell r="L40">
            <v>57</v>
          </cell>
          <cell r="M40">
            <v>83</v>
          </cell>
          <cell r="N40">
            <v>87</v>
          </cell>
          <cell r="O40">
            <v>565</v>
          </cell>
          <cell r="P40">
            <v>1500</v>
          </cell>
          <cell r="Q40">
            <v>200</v>
          </cell>
          <cell r="R40" t="str">
            <v>파랑</v>
          </cell>
          <cell r="S40" t="str">
            <v>파랑</v>
          </cell>
          <cell r="T40" t="str">
            <v>트5-3K</v>
          </cell>
          <cell r="U40">
            <v>41838</v>
          </cell>
          <cell r="V40" t="str">
            <v>금형제조부</v>
          </cell>
          <cell r="W40" t="str">
            <v>적색무타공비닐포장</v>
          </cell>
          <cell r="X40" t="str">
            <v>E-0607</v>
          </cell>
          <cell r="Y40">
            <v>62</v>
          </cell>
          <cell r="Z40">
            <v>6495</v>
          </cell>
          <cell r="AC40" t="str">
            <v>석상준대리, 코팅완료, 2014.09.15기준중량변경(110-&gt;105)2014.12.01기준배율변경(60-62)2014.11.26수정2014.12.12묶음단위변경(10-&gt;14),2015.03.10승인중량변경(105-&gt;113), 2021.03.22재코팅,26년2월20일 후판 자비 교체</v>
          </cell>
          <cell r="AD40">
            <v>0.85</v>
          </cell>
          <cell r="AE40">
            <v>80</v>
          </cell>
          <cell r="AF40">
            <v>12</v>
          </cell>
        </row>
        <row r="41">
          <cell r="A41" t="str">
            <v>토망고BOX</v>
          </cell>
          <cell r="B41" t="str">
            <v>BOX</v>
          </cell>
          <cell r="C41">
            <v>4</v>
          </cell>
          <cell r="D41">
            <v>68</v>
          </cell>
          <cell r="E41">
            <v>165</v>
          </cell>
          <cell r="F41">
            <v>68</v>
          </cell>
          <cell r="G41" t="str">
            <v>B240NS</v>
          </cell>
          <cell r="H41">
            <v>6</v>
          </cell>
          <cell r="I41">
            <v>2</v>
          </cell>
          <cell r="J41" t="str">
            <v>삼일이노팩</v>
          </cell>
          <cell r="P41">
            <v>1600</v>
          </cell>
          <cell r="Q41">
            <v>300</v>
          </cell>
          <cell r="R41" t="str">
            <v>파랑</v>
          </cell>
          <cell r="U41">
            <v>45387</v>
          </cell>
          <cell r="V41" t="str">
            <v>아산이동입고</v>
          </cell>
          <cell r="AD41">
            <v>0.85</v>
          </cell>
        </row>
        <row r="42">
          <cell r="A42" t="str">
            <v>토망고BOX</v>
          </cell>
          <cell r="B42" t="str">
            <v>BOX</v>
          </cell>
          <cell r="C42">
            <v>4</v>
          </cell>
          <cell r="D42">
            <v>68</v>
          </cell>
          <cell r="E42">
            <v>165</v>
          </cell>
          <cell r="F42">
            <v>68</v>
          </cell>
          <cell r="G42" t="str">
            <v>B240NS</v>
          </cell>
          <cell r="H42">
            <v>6</v>
          </cell>
          <cell r="I42">
            <v>2</v>
          </cell>
          <cell r="J42" t="str">
            <v>삼일이노팩</v>
          </cell>
          <cell r="P42">
            <v>1600</v>
          </cell>
          <cell r="Q42">
            <v>300</v>
          </cell>
          <cell r="U42">
            <v>45387</v>
          </cell>
          <cell r="V42" t="str">
            <v>아산이동입고</v>
          </cell>
          <cell r="AD42">
            <v>0.85</v>
          </cell>
        </row>
        <row r="43">
          <cell r="A43" t="str">
            <v>토망고BOX</v>
          </cell>
          <cell r="B43" t="str">
            <v>BOX</v>
          </cell>
          <cell r="C43">
            <v>4</v>
          </cell>
          <cell r="D43">
            <v>68</v>
          </cell>
          <cell r="E43">
            <v>165</v>
          </cell>
          <cell r="F43">
            <v>68</v>
          </cell>
          <cell r="G43" t="str">
            <v>B240NS</v>
          </cell>
          <cell r="H43">
            <v>6</v>
          </cell>
          <cell r="I43">
            <v>2</v>
          </cell>
          <cell r="J43" t="str">
            <v>삼일이노팩</v>
          </cell>
          <cell r="P43">
            <v>1600</v>
          </cell>
          <cell r="Q43">
            <v>300</v>
          </cell>
          <cell r="U43">
            <v>45387</v>
          </cell>
          <cell r="V43" t="str">
            <v>아산이동입고</v>
          </cell>
          <cell r="AD43">
            <v>0.85</v>
          </cell>
        </row>
        <row r="44">
          <cell r="A44" t="str">
            <v>토망고BOX</v>
          </cell>
          <cell r="B44" t="str">
            <v>BOX</v>
          </cell>
          <cell r="C44">
            <v>4</v>
          </cell>
          <cell r="D44">
            <v>68</v>
          </cell>
          <cell r="E44">
            <v>165</v>
          </cell>
          <cell r="F44">
            <v>68</v>
          </cell>
          <cell r="G44" t="str">
            <v>B240NS</v>
          </cell>
          <cell r="H44">
            <v>6</v>
          </cell>
          <cell r="I44">
            <v>2</v>
          </cell>
          <cell r="J44" t="str">
            <v>삼일이노팩</v>
          </cell>
          <cell r="P44">
            <v>1600</v>
          </cell>
          <cell r="Q44">
            <v>300</v>
          </cell>
          <cell r="U44">
            <v>45387</v>
          </cell>
          <cell r="V44" t="str">
            <v>아산이동입고</v>
          </cell>
          <cell r="AD44">
            <v>0.85</v>
          </cell>
        </row>
        <row r="45">
          <cell r="A45" t="str">
            <v>텔레 BOX</v>
          </cell>
          <cell r="B45" t="str">
            <v>BOX</v>
          </cell>
          <cell r="C45">
            <v>2</v>
          </cell>
          <cell r="D45">
            <v>150</v>
          </cell>
          <cell r="E45">
            <v>930</v>
          </cell>
          <cell r="F45">
            <v>64</v>
          </cell>
          <cell r="G45" t="str">
            <v>B240NS</v>
          </cell>
          <cell r="H45">
            <v>2</v>
          </cell>
          <cell r="I45">
            <v>2</v>
          </cell>
          <cell r="J45" t="str">
            <v>인팩코리아</v>
          </cell>
          <cell r="K45">
            <v>68</v>
          </cell>
          <cell r="L45">
            <v>72</v>
          </cell>
          <cell r="M45">
            <v>483</v>
          </cell>
          <cell r="N45">
            <v>487</v>
          </cell>
          <cell r="P45">
            <v>1360</v>
          </cell>
          <cell r="Q45">
            <v>550</v>
          </cell>
          <cell r="R45" t="str">
            <v>비닐</v>
          </cell>
          <cell r="U45">
            <v>45734</v>
          </cell>
          <cell r="V45" t="str">
            <v>금형사업부</v>
          </cell>
          <cell r="AD45">
            <v>0.85</v>
          </cell>
          <cell r="AE45">
            <v>80</v>
          </cell>
        </row>
        <row r="46">
          <cell r="A46" t="str">
            <v>텔레 BOX</v>
          </cell>
          <cell r="B46" t="str">
            <v>BOX</v>
          </cell>
          <cell r="C46">
            <v>2</v>
          </cell>
          <cell r="D46">
            <v>150</v>
          </cell>
          <cell r="E46">
            <v>930</v>
          </cell>
          <cell r="F46">
            <v>64</v>
          </cell>
          <cell r="G46" t="str">
            <v>B240NS</v>
          </cell>
          <cell r="H46">
            <v>2</v>
          </cell>
          <cell r="I46">
            <v>2</v>
          </cell>
          <cell r="J46" t="str">
            <v>인팩코리아</v>
          </cell>
          <cell r="K46">
            <v>68</v>
          </cell>
          <cell r="L46">
            <v>72</v>
          </cell>
          <cell r="M46">
            <v>483</v>
          </cell>
          <cell r="N46">
            <v>487</v>
          </cell>
          <cell r="P46">
            <v>1360</v>
          </cell>
          <cell r="Q46">
            <v>550</v>
          </cell>
          <cell r="R46" t="str">
            <v>비닐</v>
          </cell>
          <cell r="U46">
            <v>45734</v>
          </cell>
          <cell r="V46" t="str">
            <v>금형사업부</v>
          </cell>
          <cell r="AD46">
            <v>0.85</v>
          </cell>
          <cell r="AE46">
            <v>80</v>
          </cell>
        </row>
        <row r="47">
          <cell r="A47" t="str">
            <v>태양광쿠션</v>
          </cell>
          <cell r="B47" t="str">
            <v>SET</v>
          </cell>
          <cell r="C47">
            <v>4</v>
          </cell>
          <cell r="D47">
            <v>1110</v>
          </cell>
          <cell r="E47">
            <v>152</v>
          </cell>
          <cell r="F47">
            <v>50</v>
          </cell>
          <cell r="G47" t="str">
            <v>B240NS</v>
          </cell>
          <cell r="H47">
            <v>10</v>
          </cell>
          <cell r="I47">
            <v>2</v>
          </cell>
          <cell r="J47" t="str">
            <v>릴테크</v>
          </cell>
          <cell r="K47">
            <v>168</v>
          </cell>
          <cell r="L47">
            <v>172</v>
          </cell>
          <cell r="M47">
            <v>58</v>
          </cell>
          <cell r="N47">
            <v>62</v>
          </cell>
          <cell r="P47">
            <v>1360</v>
          </cell>
          <cell r="Q47">
            <v>250</v>
          </cell>
          <cell r="R47" t="str">
            <v>보라</v>
          </cell>
          <cell r="U47">
            <v>45456</v>
          </cell>
          <cell r="V47" t="str">
            <v>금형사업부</v>
          </cell>
          <cell r="AD47">
            <v>0.85</v>
          </cell>
        </row>
        <row r="48">
          <cell r="A48" t="str">
            <v>태양광쿠션</v>
          </cell>
          <cell r="B48" t="str">
            <v>SET</v>
          </cell>
          <cell r="C48">
            <v>4</v>
          </cell>
          <cell r="D48">
            <v>100</v>
          </cell>
          <cell r="E48">
            <v>152</v>
          </cell>
          <cell r="F48">
            <v>50</v>
          </cell>
          <cell r="G48" t="str">
            <v>B240NS</v>
          </cell>
          <cell r="H48">
            <v>10</v>
          </cell>
          <cell r="I48">
            <v>2</v>
          </cell>
          <cell r="J48" t="str">
            <v>릴테크</v>
          </cell>
          <cell r="P48">
            <v>1360</v>
          </cell>
          <cell r="Q48">
            <v>250</v>
          </cell>
          <cell r="U48">
            <v>45456</v>
          </cell>
          <cell r="V48" t="str">
            <v>금형사업부</v>
          </cell>
        </row>
        <row r="49">
          <cell r="A49" t="str">
            <v>태기박스</v>
          </cell>
          <cell r="B49" t="str">
            <v>저발</v>
          </cell>
          <cell r="C49">
            <v>6</v>
          </cell>
          <cell r="D49">
            <v>180</v>
          </cell>
          <cell r="E49">
            <v>25</v>
          </cell>
          <cell r="F49">
            <v>65</v>
          </cell>
          <cell r="G49" t="str">
            <v>B240NS</v>
          </cell>
          <cell r="H49">
            <v>60</v>
          </cell>
          <cell r="I49">
            <v>1</v>
          </cell>
          <cell r="J49" t="str">
            <v>태기</v>
          </cell>
          <cell r="K49">
            <v>79</v>
          </cell>
          <cell r="L49">
            <v>81</v>
          </cell>
          <cell r="O49">
            <v>300</v>
          </cell>
          <cell r="P49">
            <v>500</v>
          </cell>
          <cell r="S49">
            <v>0</v>
          </cell>
          <cell r="T49" t="str">
            <v>태기박스</v>
          </cell>
          <cell r="U49">
            <v>39178</v>
          </cell>
          <cell r="V49" t="str">
            <v>삼일금형</v>
          </cell>
          <cell r="AD49">
            <v>0.85</v>
          </cell>
          <cell r="AE49">
            <v>80</v>
          </cell>
          <cell r="AF49">
            <v>2</v>
          </cell>
        </row>
        <row r="50">
          <cell r="A50" t="str">
            <v>탄산수기-TANK</v>
          </cell>
          <cell r="B50" t="str">
            <v>회색</v>
          </cell>
          <cell r="C50">
            <v>5</v>
          </cell>
          <cell r="D50">
            <v>100</v>
          </cell>
          <cell r="E50">
            <v>200</v>
          </cell>
          <cell r="F50">
            <v>36</v>
          </cell>
          <cell r="G50" t="str">
            <v>ZP2500</v>
          </cell>
          <cell r="H50">
            <v>8</v>
          </cell>
          <cell r="I50">
            <v>1</v>
          </cell>
          <cell r="J50" t="str">
            <v>청호나이스</v>
          </cell>
          <cell r="K50">
            <v>252</v>
          </cell>
          <cell r="L50">
            <v>256</v>
          </cell>
          <cell r="P50">
            <v>1360</v>
          </cell>
          <cell r="Q50">
            <v>350</v>
          </cell>
          <cell r="R50" t="str">
            <v>박스</v>
          </cell>
          <cell r="T50" t="str">
            <v>북미향탄산수-TANK,61-2136</v>
          </cell>
          <cell r="U50">
            <v>44564</v>
          </cell>
          <cell r="V50" t="str">
            <v>이피엠테크</v>
          </cell>
          <cell r="W50" t="str">
            <v>휘다 돌출x</v>
          </cell>
          <cell r="Y50">
            <v>30</v>
          </cell>
          <cell r="Z50">
            <v>6050</v>
          </cell>
          <cell r="AC50" t="str">
            <v>석상준과장</v>
          </cell>
          <cell r="AD50">
            <v>0.85</v>
          </cell>
          <cell r="AF50">
            <v>4</v>
          </cell>
        </row>
        <row r="51">
          <cell r="A51" t="str">
            <v>탄산수기-TANK</v>
          </cell>
          <cell r="B51" t="str">
            <v>SET</v>
          </cell>
          <cell r="C51">
            <v>5</v>
          </cell>
          <cell r="D51">
            <v>100</v>
          </cell>
          <cell r="E51">
            <v>200</v>
          </cell>
          <cell r="F51">
            <v>36</v>
          </cell>
          <cell r="G51" t="str">
            <v>ZP2500</v>
          </cell>
          <cell r="H51">
            <v>6</v>
          </cell>
          <cell r="I51">
            <v>1</v>
          </cell>
          <cell r="J51" t="str">
            <v>청호나이스</v>
          </cell>
          <cell r="K51">
            <v>252</v>
          </cell>
          <cell r="L51">
            <v>256</v>
          </cell>
          <cell r="P51">
            <v>1360</v>
          </cell>
          <cell r="Q51">
            <v>350</v>
          </cell>
          <cell r="R51" t="str">
            <v>박스</v>
          </cell>
          <cell r="T51" t="str">
            <v>북미향탄산수-TANK</v>
          </cell>
          <cell r="U51">
            <v>44564</v>
          </cell>
          <cell r="V51" t="str">
            <v>이피엠테크</v>
          </cell>
          <cell r="W51" t="str">
            <v>휘다 돌출x</v>
          </cell>
          <cell r="Y51">
            <v>30</v>
          </cell>
          <cell r="Z51">
            <v>6050</v>
          </cell>
          <cell r="AC51" t="str">
            <v>석상준과장</v>
          </cell>
          <cell r="AD51">
            <v>0.85</v>
          </cell>
        </row>
        <row r="52">
          <cell r="A52" t="str">
            <v>탄산수기-CUSHION</v>
          </cell>
          <cell r="B52" t="str">
            <v>SET</v>
          </cell>
          <cell r="C52">
            <v>1</v>
          </cell>
          <cell r="D52">
            <v>100</v>
          </cell>
          <cell r="E52">
            <v>676</v>
          </cell>
          <cell r="F52">
            <v>58</v>
          </cell>
          <cell r="G52" t="str">
            <v>B240NS</v>
          </cell>
          <cell r="H52">
            <v>10</v>
          </cell>
          <cell r="I52">
            <v>3</v>
          </cell>
          <cell r="J52" t="str">
            <v>청호나이스</v>
          </cell>
          <cell r="K52">
            <v>88</v>
          </cell>
          <cell r="L52">
            <v>92</v>
          </cell>
          <cell r="M52">
            <v>82</v>
          </cell>
          <cell r="N52">
            <v>86</v>
          </cell>
          <cell r="P52">
            <v>1360</v>
          </cell>
          <cell r="Q52">
            <v>350</v>
          </cell>
          <cell r="R52" t="str">
            <v>노랑</v>
          </cell>
          <cell r="T52" t="str">
            <v>북미향탄산수-CUSHION,61-2143/61-2135/61-2142</v>
          </cell>
          <cell r="U52">
            <v>44567</v>
          </cell>
          <cell r="V52" t="str">
            <v>이피엠테크</v>
          </cell>
          <cell r="Y52">
            <v>50</v>
          </cell>
          <cell r="Z52">
            <v>39386</v>
          </cell>
          <cell r="AC52" t="str">
            <v>김영석사원</v>
          </cell>
          <cell r="AD52">
            <v>0.85</v>
          </cell>
          <cell r="AF52">
            <v>4</v>
          </cell>
        </row>
        <row r="53">
          <cell r="A53" t="str">
            <v>탄산수기-CUSHION</v>
          </cell>
          <cell r="B53" t="str">
            <v>SET</v>
          </cell>
          <cell r="C53">
            <v>1</v>
          </cell>
          <cell r="D53">
            <v>100</v>
          </cell>
          <cell r="E53">
            <v>803</v>
          </cell>
          <cell r="F53">
            <v>58</v>
          </cell>
          <cell r="G53" t="str">
            <v>B240NS</v>
          </cell>
          <cell r="H53">
            <v>10</v>
          </cell>
          <cell r="I53">
            <v>3</v>
          </cell>
          <cell r="J53" t="str">
            <v>청호나이스</v>
          </cell>
          <cell r="K53">
            <v>88</v>
          </cell>
          <cell r="L53">
            <v>92</v>
          </cell>
          <cell r="M53">
            <v>82</v>
          </cell>
          <cell r="N53">
            <v>86</v>
          </cell>
          <cell r="P53">
            <v>1360</v>
          </cell>
          <cell r="Q53">
            <v>350</v>
          </cell>
          <cell r="R53" t="str">
            <v>노랑</v>
          </cell>
          <cell r="T53" t="str">
            <v>북미향탄산수-CUSHION</v>
          </cell>
          <cell r="U53">
            <v>44567</v>
          </cell>
          <cell r="V53" t="str">
            <v>이피엠테크</v>
          </cell>
          <cell r="Y53">
            <v>50</v>
          </cell>
          <cell r="Z53">
            <v>39386</v>
          </cell>
          <cell r="AC53" t="str">
            <v>김영석사원</v>
          </cell>
          <cell r="AD53">
            <v>0.85</v>
          </cell>
        </row>
        <row r="54">
          <cell r="A54" t="str">
            <v>탄산수기-COVER</v>
          </cell>
          <cell r="B54" t="str">
            <v>저발</v>
          </cell>
          <cell r="C54">
            <v>4</v>
          </cell>
          <cell r="D54">
            <v>100</v>
          </cell>
          <cell r="E54">
            <v>42</v>
          </cell>
          <cell r="F54">
            <v>36</v>
          </cell>
          <cell r="G54" t="str">
            <v>ZP2500</v>
          </cell>
          <cell r="H54">
            <v>50</v>
          </cell>
          <cell r="I54">
            <v>1</v>
          </cell>
          <cell r="J54" t="str">
            <v>청호나이스</v>
          </cell>
          <cell r="K54">
            <v>28</v>
          </cell>
          <cell r="L54">
            <v>32</v>
          </cell>
          <cell r="P54">
            <v>700</v>
          </cell>
          <cell r="R54" t="str">
            <v>박스</v>
          </cell>
          <cell r="T54" t="str">
            <v>북미향탄산수-COVER,61-2139</v>
          </cell>
          <cell r="U54">
            <v>44564</v>
          </cell>
          <cell r="V54" t="str">
            <v>이피엠테크</v>
          </cell>
          <cell r="W54" t="str">
            <v>휘다 돌출x</v>
          </cell>
          <cell r="Y54">
            <v>30</v>
          </cell>
          <cell r="Z54">
            <v>1364</v>
          </cell>
          <cell r="AC54" t="str">
            <v>석상준과장</v>
          </cell>
          <cell r="AD54">
            <v>0.85</v>
          </cell>
          <cell r="AF54">
            <v>2</v>
          </cell>
        </row>
        <row r="55">
          <cell r="A55" t="str">
            <v>타워형 공기청정기</v>
          </cell>
          <cell r="B55" t="str">
            <v>SET</v>
          </cell>
          <cell r="C55">
            <v>2</v>
          </cell>
          <cell r="D55">
            <v>140</v>
          </cell>
          <cell r="E55">
            <v>231</v>
          </cell>
          <cell r="F55">
            <v>60</v>
          </cell>
          <cell r="G55" t="str">
            <v>B240NS</v>
          </cell>
          <cell r="H55" t="str">
            <v>TOP:10/BOT:10</v>
          </cell>
          <cell r="I55">
            <v>2</v>
          </cell>
          <cell r="J55" t="str">
            <v>청호나이스</v>
          </cell>
          <cell r="K55">
            <v>97</v>
          </cell>
          <cell r="L55">
            <v>102</v>
          </cell>
          <cell r="M55">
            <v>98</v>
          </cell>
          <cell r="N55">
            <v>102</v>
          </cell>
          <cell r="P55">
            <v>1300</v>
          </cell>
          <cell r="Q55">
            <v>200</v>
          </cell>
          <cell r="R55" t="str">
            <v>빨강</v>
          </cell>
          <cell r="T55" t="str">
            <v>62-0729-0/62-0730-0</v>
          </cell>
          <cell r="U55">
            <v>45961</v>
          </cell>
          <cell r="V55" t="str">
            <v>금형제조부</v>
          </cell>
          <cell r="AD55">
            <v>0.85</v>
          </cell>
          <cell r="AE55">
            <v>100</v>
          </cell>
        </row>
        <row r="56">
          <cell r="A56" t="str">
            <v>타워형 공기청정기</v>
          </cell>
          <cell r="B56" t="str">
            <v>SET</v>
          </cell>
          <cell r="C56">
            <v>2</v>
          </cell>
          <cell r="D56">
            <v>140</v>
          </cell>
          <cell r="E56">
            <v>231</v>
          </cell>
          <cell r="F56">
            <v>60</v>
          </cell>
          <cell r="G56" t="str">
            <v>B240NS</v>
          </cell>
          <cell r="H56" t="str">
            <v>TOP:10/BOT:10</v>
          </cell>
          <cell r="I56">
            <v>2</v>
          </cell>
          <cell r="J56" t="str">
            <v>청호나이스</v>
          </cell>
          <cell r="K56">
            <v>97</v>
          </cell>
          <cell r="L56">
            <v>102</v>
          </cell>
          <cell r="M56">
            <v>98</v>
          </cell>
          <cell r="N56">
            <v>102</v>
          </cell>
          <cell r="P56">
            <v>1300</v>
          </cell>
          <cell r="Q56">
            <v>200</v>
          </cell>
          <cell r="R56" t="str">
            <v>빨강</v>
          </cell>
          <cell r="T56" t="str">
            <v>62-0729-0/62-0730-0</v>
          </cell>
          <cell r="U56">
            <v>45961</v>
          </cell>
          <cell r="V56" t="str">
            <v>금형제조부</v>
          </cell>
          <cell r="AD56">
            <v>0.85</v>
          </cell>
          <cell r="AE56">
            <v>100</v>
          </cell>
        </row>
        <row r="57">
          <cell r="A57" t="str">
            <v>콤프쿠션</v>
          </cell>
          <cell r="B57" t="str">
            <v>SET</v>
          </cell>
          <cell r="E57">
            <v>95</v>
          </cell>
          <cell r="J57" t="str">
            <v>로지텍</v>
          </cell>
          <cell r="O57">
            <v>460</v>
          </cell>
          <cell r="P57" t="str">
            <v>410*355*36T</v>
          </cell>
          <cell r="Q57" t="str">
            <v>L3PAD</v>
          </cell>
          <cell r="R57" t="str">
            <v>KS테크널러지</v>
          </cell>
        </row>
        <row r="58">
          <cell r="A58" t="str">
            <v>콘덴싱-소</v>
          </cell>
          <cell r="B58" t="str">
            <v>SET</v>
          </cell>
          <cell r="C58">
            <v>3</v>
          </cell>
          <cell r="D58">
            <v>90</v>
          </cell>
          <cell r="E58">
            <v>350</v>
          </cell>
          <cell r="F58">
            <v>65</v>
          </cell>
          <cell r="G58" t="str">
            <v>B240NS</v>
          </cell>
          <cell r="H58" t="str">
            <v>U:10/L:10</v>
          </cell>
          <cell r="I58">
            <v>2</v>
          </cell>
          <cell r="J58" t="str">
            <v>알토엔대우</v>
          </cell>
          <cell r="K58">
            <v>99</v>
          </cell>
          <cell r="L58">
            <v>101</v>
          </cell>
          <cell r="M58">
            <v>131</v>
          </cell>
          <cell r="N58">
            <v>133</v>
          </cell>
          <cell r="O58">
            <v>1900</v>
          </cell>
          <cell r="P58">
            <v>1300</v>
          </cell>
          <cell r="Q58">
            <v>200</v>
          </cell>
          <cell r="R58" t="str">
            <v>노랑</v>
          </cell>
          <cell r="S58" t="str">
            <v>노랑</v>
          </cell>
          <cell r="T58" t="str">
            <v>콘뎅싱-소</v>
          </cell>
          <cell r="U58">
            <v>42038</v>
          </cell>
          <cell r="V58" t="str">
            <v>이관금형</v>
          </cell>
          <cell r="W58" t="str">
            <v>3311506200/3311506100</v>
          </cell>
          <cell r="X58" t="str">
            <v>A-0902</v>
          </cell>
          <cell r="Y58">
            <v>45</v>
          </cell>
          <cell r="AC58" t="str">
            <v>김일환계장2015.03.17묶음단위변경(8-&gt;10),2015.03.31사용배율변경50배-&gt;57배</v>
          </cell>
          <cell r="AD58">
            <v>0.85</v>
          </cell>
          <cell r="AE58">
            <v>90</v>
          </cell>
          <cell r="AF58">
            <v>4</v>
          </cell>
        </row>
        <row r="59">
          <cell r="A59" t="str">
            <v>콘덴싱-대</v>
          </cell>
          <cell r="B59" t="str">
            <v>SET</v>
          </cell>
          <cell r="C59">
            <v>2</v>
          </cell>
          <cell r="D59">
            <v>90</v>
          </cell>
          <cell r="E59">
            <v>465</v>
          </cell>
          <cell r="F59">
            <v>65</v>
          </cell>
          <cell r="G59" t="str">
            <v>B240NS</v>
          </cell>
          <cell r="H59" t="str">
            <v>U:10/L:10</v>
          </cell>
          <cell r="I59">
            <v>2</v>
          </cell>
          <cell r="J59" t="str">
            <v>알토엔대우</v>
          </cell>
          <cell r="K59">
            <v>94</v>
          </cell>
          <cell r="L59">
            <v>96</v>
          </cell>
          <cell r="M59">
            <v>131</v>
          </cell>
          <cell r="N59">
            <v>133</v>
          </cell>
          <cell r="O59">
            <v>2530</v>
          </cell>
          <cell r="P59">
            <v>1300</v>
          </cell>
          <cell r="Q59">
            <v>200</v>
          </cell>
          <cell r="R59" t="str">
            <v>주황</v>
          </cell>
          <cell r="S59" t="str">
            <v>주황</v>
          </cell>
          <cell r="T59" t="str">
            <v>콘뎅싱-대</v>
          </cell>
          <cell r="U59">
            <v>42038</v>
          </cell>
          <cell r="V59" t="str">
            <v>이관금형</v>
          </cell>
          <cell r="W59" t="str">
            <v>3311506400/3311506300</v>
          </cell>
          <cell r="X59" t="str">
            <v>D-1102</v>
          </cell>
          <cell r="Y59">
            <v>45</v>
          </cell>
          <cell r="AC59" t="str">
            <v>김일환계장2015.03.17묶음단위변경(8-&gt;10),2015.03.31사용배율변경50배-&gt;57배</v>
          </cell>
          <cell r="AD59">
            <v>0.85</v>
          </cell>
          <cell r="AE59">
            <v>90</v>
          </cell>
          <cell r="AF59">
            <v>4</v>
          </cell>
        </row>
        <row r="60">
          <cell r="A60" t="str">
            <v>케이블릴</v>
          </cell>
          <cell r="B60" t="str">
            <v>SET</v>
          </cell>
          <cell r="C60">
            <v>9</v>
          </cell>
          <cell r="D60">
            <v>130</v>
          </cell>
          <cell r="E60">
            <v>103</v>
          </cell>
          <cell r="F60">
            <v>50</v>
          </cell>
          <cell r="G60" t="str">
            <v>B240NS</v>
          </cell>
          <cell r="H60" t="str">
            <v>생산10,포장반20</v>
          </cell>
          <cell r="I60">
            <v>1</v>
          </cell>
          <cell r="J60" t="str">
            <v>릴테크</v>
          </cell>
          <cell r="K60">
            <v>77</v>
          </cell>
          <cell r="L60">
            <v>81</v>
          </cell>
          <cell r="P60">
            <v>1360</v>
          </cell>
          <cell r="Q60">
            <v>200</v>
          </cell>
          <cell r="R60" t="str">
            <v>빨강</v>
          </cell>
          <cell r="U60">
            <v>45904</v>
          </cell>
          <cell r="V60" t="str">
            <v>금형제조부</v>
          </cell>
          <cell r="AD60">
            <v>0.85</v>
          </cell>
          <cell r="AE60">
            <v>90</v>
          </cell>
        </row>
        <row r="61">
          <cell r="A61" t="str">
            <v>케이블릴</v>
          </cell>
          <cell r="B61" t="str">
            <v>SET</v>
          </cell>
          <cell r="C61">
            <v>9</v>
          </cell>
          <cell r="D61">
            <v>130</v>
          </cell>
          <cell r="E61">
            <v>103</v>
          </cell>
          <cell r="F61">
            <v>50</v>
          </cell>
          <cell r="G61" t="str">
            <v>B240NS</v>
          </cell>
          <cell r="H61" t="str">
            <v>생산10,포장반20</v>
          </cell>
          <cell r="I61">
            <v>1</v>
          </cell>
          <cell r="J61" t="str">
            <v>릴테크</v>
          </cell>
          <cell r="K61">
            <v>77</v>
          </cell>
          <cell r="L61">
            <v>81</v>
          </cell>
          <cell r="P61">
            <v>1360</v>
          </cell>
          <cell r="Q61">
            <v>200</v>
          </cell>
          <cell r="R61" t="str">
            <v>빨강</v>
          </cell>
          <cell r="U61">
            <v>45904</v>
          </cell>
          <cell r="V61" t="str">
            <v>금형제조부</v>
          </cell>
          <cell r="AD61">
            <v>0.85</v>
          </cell>
          <cell r="AE61">
            <v>90</v>
          </cell>
        </row>
        <row r="62">
          <cell r="A62" t="str">
            <v>케이블릴</v>
          </cell>
          <cell r="B62" t="str">
            <v>SET</v>
          </cell>
          <cell r="C62">
            <v>9</v>
          </cell>
          <cell r="D62">
            <v>100</v>
          </cell>
          <cell r="E62">
            <v>103</v>
          </cell>
          <cell r="F62">
            <v>50</v>
          </cell>
          <cell r="G62" t="str">
            <v>B240NS</v>
          </cell>
          <cell r="H62">
            <v>10</v>
          </cell>
          <cell r="I62">
            <v>1</v>
          </cell>
          <cell r="J62" t="str">
            <v>릴테크</v>
          </cell>
          <cell r="P62">
            <v>1360</v>
          </cell>
          <cell r="Q62">
            <v>200</v>
          </cell>
          <cell r="U62">
            <v>45904</v>
          </cell>
          <cell r="V62" t="str">
            <v>금형제조부</v>
          </cell>
        </row>
        <row r="63">
          <cell r="A63" t="str">
            <v>컨트롤러쿠션</v>
          </cell>
          <cell r="B63" t="str">
            <v>SET</v>
          </cell>
          <cell r="C63">
            <v>4</v>
          </cell>
          <cell r="D63">
            <v>100</v>
          </cell>
          <cell r="E63">
            <v>230</v>
          </cell>
          <cell r="F63">
            <v>60</v>
          </cell>
          <cell r="G63" t="str">
            <v>B240NS</v>
          </cell>
          <cell r="H63">
            <v>10</v>
          </cell>
          <cell r="I63">
            <v>2</v>
          </cell>
          <cell r="J63" t="str">
            <v>알비코리아</v>
          </cell>
          <cell r="P63">
            <v>1360</v>
          </cell>
          <cell r="Q63">
            <v>200</v>
          </cell>
          <cell r="R63" t="str">
            <v>파랑</v>
          </cell>
          <cell r="U63">
            <v>45470</v>
          </cell>
          <cell r="V63" t="str">
            <v>인천티피에스(이관)</v>
          </cell>
          <cell r="AD63">
            <v>0.85</v>
          </cell>
        </row>
        <row r="64">
          <cell r="A64" t="str">
            <v>컨트롤러쿠션</v>
          </cell>
          <cell r="B64" t="str">
            <v>SET</v>
          </cell>
          <cell r="C64">
            <v>4</v>
          </cell>
          <cell r="D64">
            <v>100</v>
          </cell>
          <cell r="E64">
            <v>230</v>
          </cell>
          <cell r="F64">
            <v>60</v>
          </cell>
          <cell r="G64" t="str">
            <v>B240NS</v>
          </cell>
          <cell r="H64">
            <v>1</v>
          </cell>
          <cell r="I64">
            <v>2</v>
          </cell>
          <cell r="J64" t="str">
            <v>알비코리아</v>
          </cell>
          <cell r="P64">
            <v>1360</v>
          </cell>
          <cell r="Q64">
            <v>150</v>
          </cell>
          <cell r="U64">
            <v>45470</v>
          </cell>
          <cell r="V64" t="str">
            <v>인천티피에스(이관)</v>
          </cell>
        </row>
        <row r="65">
          <cell r="A65" t="str">
            <v>칸막이-소</v>
          </cell>
          <cell r="E65">
            <v>0</v>
          </cell>
          <cell r="J65" t="str">
            <v>아드마텍</v>
          </cell>
          <cell r="O65">
            <v>933</v>
          </cell>
        </row>
        <row r="66">
          <cell r="A66" t="str">
            <v>칸막이-소</v>
          </cell>
          <cell r="E66">
            <v>0</v>
          </cell>
          <cell r="J66" t="str">
            <v>아드마텍</v>
          </cell>
          <cell r="O66">
            <v>933</v>
          </cell>
        </row>
        <row r="67">
          <cell r="A67" t="str">
            <v>칸막이-대</v>
          </cell>
          <cell r="E67">
            <v>0</v>
          </cell>
          <cell r="J67" t="str">
            <v>아드마텍</v>
          </cell>
          <cell r="O67">
            <v>1100</v>
          </cell>
          <cell r="T67" t="str">
            <v>DWA90 패드</v>
          </cell>
          <cell r="U67">
            <v>44134</v>
          </cell>
        </row>
        <row r="68">
          <cell r="A68" t="str">
            <v>칸막이-대</v>
          </cell>
          <cell r="E68">
            <v>0</v>
          </cell>
          <cell r="J68" t="str">
            <v>아드마텍</v>
          </cell>
          <cell r="O68">
            <v>1100</v>
          </cell>
        </row>
        <row r="69">
          <cell r="A69" t="str">
            <v>카트리지EX</v>
          </cell>
          <cell r="B69" t="str">
            <v>SET</v>
          </cell>
          <cell r="C69">
            <v>12</v>
          </cell>
          <cell r="D69">
            <v>100</v>
          </cell>
          <cell r="E69">
            <v>47</v>
          </cell>
          <cell r="F69">
            <v>58</v>
          </cell>
          <cell r="G69" t="str">
            <v>SG302</v>
          </cell>
          <cell r="H69">
            <v>30</v>
          </cell>
          <cell r="I69">
            <v>1</v>
          </cell>
          <cell r="J69" t="str">
            <v>코웨이</v>
          </cell>
          <cell r="K69">
            <v>68</v>
          </cell>
          <cell r="L69">
            <v>72</v>
          </cell>
          <cell r="P69">
            <v>1360</v>
          </cell>
          <cell r="Q69">
            <v>200</v>
          </cell>
          <cell r="R69" t="str">
            <v>녹색</v>
          </cell>
          <cell r="U69">
            <v>44505</v>
          </cell>
          <cell r="V69" t="str">
            <v>제이티</v>
          </cell>
          <cell r="Y69">
            <v>50</v>
          </cell>
          <cell r="AC69" t="str">
            <v>김영석사원, 2021.11.25 수정</v>
          </cell>
          <cell r="AD69">
            <v>0.85</v>
          </cell>
          <cell r="AF69">
            <v>2</v>
          </cell>
        </row>
        <row r="70">
          <cell r="A70" t="str">
            <v>카텐트코너-2</v>
          </cell>
          <cell r="B70" t="str">
            <v>SET</v>
          </cell>
          <cell r="D70">
            <v>100</v>
          </cell>
          <cell r="G70" t="str">
            <v>B240NS</v>
          </cell>
          <cell r="J70" t="str">
            <v>아이캠퍼</v>
          </cell>
          <cell r="P70">
            <v>1300</v>
          </cell>
          <cell r="Q70">
            <v>500</v>
          </cell>
          <cell r="U70">
            <v>43714</v>
          </cell>
          <cell r="V70" t="str">
            <v>보령금형</v>
          </cell>
          <cell r="AD70">
            <v>0.85</v>
          </cell>
          <cell r="AE70">
            <v>100</v>
          </cell>
          <cell r="AF70">
            <v>4</v>
          </cell>
        </row>
        <row r="71">
          <cell r="A71" t="str">
            <v>카텐트</v>
          </cell>
          <cell r="B71" t="str">
            <v>SET</v>
          </cell>
          <cell r="D71">
            <v>100</v>
          </cell>
          <cell r="G71" t="str">
            <v>B240NS</v>
          </cell>
          <cell r="J71" t="str">
            <v>아이캠퍼</v>
          </cell>
          <cell r="P71">
            <v>1300</v>
          </cell>
          <cell r="U71">
            <v>43714</v>
          </cell>
          <cell r="V71" t="str">
            <v>보령금형</v>
          </cell>
          <cell r="AD71">
            <v>0.85</v>
          </cell>
          <cell r="AE71">
            <v>100</v>
          </cell>
          <cell r="AF71">
            <v>4</v>
          </cell>
        </row>
        <row r="72">
          <cell r="A72" t="str">
            <v>카운터탑-SENSOR</v>
          </cell>
          <cell r="B72" t="str">
            <v>저발</v>
          </cell>
          <cell r="C72">
            <v>8</v>
          </cell>
          <cell r="D72">
            <v>100</v>
          </cell>
          <cell r="E72">
            <v>5</v>
          </cell>
          <cell r="F72">
            <v>30</v>
          </cell>
          <cell r="G72" t="str">
            <v>ZP2500</v>
          </cell>
          <cell r="H72">
            <v>1</v>
          </cell>
          <cell r="I72">
            <v>1</v>
          </cell>
          <cell r="J72" t="str">
            <v>청호나이스</v>
          </cell>
          <cell r="K72">
            <v>16.2</v>
          </cell>
          <cell r="L72">
            <v>17.2</v>
          </cell>
          <cell r="P72">
            <v>500</v>
          </cell>
          <cell r="T72" t="str">
            <v>61-2476</v>
          </cell>
          <cell r="U72">
            <v>45279</v>
          </cell>
          <cell r="V72" t="str">
            <v>금형사업부</v>
          </cell>
          <cell r="AD72">
            <v>0.85</v>
          </cell>
        </row>
        <row r="73">
          <cell r="A73" t="str">
            <v>카운터탑-SENSOR</v>
          </cell>
          <cell r="B73" t="str">
            <v>SET</v>
          </cell>
          <cell r="C73">
            <v>8</v>
          </cell>
          <cell r="D73">
            <v>100</v>
          </cell>
          <cell r="E73">
            <v>5</v>
          </cell>
          <cell r="F73">
            <v>30</v>
          </cell>
          <cell r="G73" t="str">
            <v>ZP2500</v>
          </cell>
          <cell r="H73">
            <v>1</v>
          </cell>
          <cell r="I73">
            <v>1</v>
          </cell>
          <cell r="J73" t="str">
            <v>청호나이스</v>
          </cell>
          <cell r="P73">
            <v>500</v>
          </cell>
          <cell r="U73">
            <v>45279</v>
          </cell>
          <cell r="V73" t="str">
            <v>금형사업부</v>
          </cell>
          <cell r="AD73">
            <v>0.85</v>
          </cell>
        </row>
        <row r="74">
          <cell r="A74" t="str">
            <v>카운터탑-SENSOR</v>
          </cell>
          <cell r="B74" t="str">
            <v>SET</v>
          </cell>
          <cell r="C74">
            <v>8</v>
          </cell>
          <cell r="D74">
            <v>100</v>
          </cell>
          <cell r="E74">
            <v>5</v>
          </cell>
          <cell r="F74">
            <v>30</v>
          </cell>
          <cell r="G74" t="str">
            <v>ZP2500</v>
          </cell>
          <cell r="H74">
            <v>1</v>
          </cell>
          <cell r="I74">
            <v>1</v>
          </cell>
          <cell r="J74" t="str">
            <v>청호나이스</v>
          </cell>
          <cell r="P74">
            <v>500</v>
          </cell>
          <cell r="U74">
            <v>45279</v>
          </cell>
          <cell r="V74" t="str">
            <v>금형사업부</v>
          </cell>
          <cell r="AD74">
            <v>0.85</v>
          </cell>
        </row>
        <row r="75">
          <cell r="A75" t="str">
            <v>카운터탑-SENSOR</v>
          </cell>
          <cell r="B75" t="str">
            <v>SET</v>
          </cell>
          <cell r="C75">
            <v>8</v>
          </cell>
          <cell r="D75">
            <v>100</v>
          </cell>
          <cell r="F75">
            <v>40</v>
          </cell>
          <cell r="G75" t="str">
            <v>ZP2500</v>
          </cell>
          <cell r="I75">
            <v>1</v>
          </cell>
          <cell r="J75" t="str">
            <v>청호나이스</v>
          </cell>
          <cell r="P75">
            <v>500</v>
          </cell>
          <cell r="U75">
            <v>45279</v>
          </cell>
          <cell r="V75" t="str">
            <v>금형사업부</v>
          </cell>
          <cell r="AD75">
            <v>0.85</v>
          </cell>
        </row>
        <row r="76">
          <cell r="A76" t="str">
            <v>카운터탑-FRONT</v>
          </cell>
          <cell r="B76" t="str">
            <v>저발</v>
          </cell>
          <cell r="C76">
            <v>3</v>
          </cell>
          <cell r="D76">
            <v>100</v>
          </cell>
          <cell r="E76">
            <v>10</v>
          </cell>
          <cell r="F76">
            <v>30</v>
          </cell>
          <cell r="G76" t="str">
            <v>ZP2500</v>
          </cell>
          <cell r="H76">
            <v>1</v>
          </cell>
          <cell r="I76">
            <v>2</v>
          </cell>
          <cell r="J76" t="str">
            <v>청호나이스</v>
          </cell>
          <cell r="K76">
            <v>9.5</v>
          </cell>
          <cell r="L76">
            <v>10.5</v>
          </cell>
          <cell r="M76">
            <v>9.5</v>
          </cell>
          <cell r="N76">
            <v>10.5</v>
          </cell>
          <cell r="P76">
            <v>500</v>
          </cell>
          <cell r="T76" t="str">
            <v>61-2472/61-2473</v>
          </cell>
          <cell r="U76">
            <v>45279</v>
          </cell>
          <cell r="V76" t="str">
            <v>금형사업부</v>
          </cell>
          <cell r="AC76" t="str">
            <v>2025-03-26코팅입고</v>
          </cell>
          <cell r="AD76">
            <v>0.85</v>
          </cell>
        </row>
        <row r="77">
          <cell r="A77" t="str">
            <v>카운터탑-FRONT</v>
          </cell>
          <cell r="B77" t="str">
            <v>SET</v>
          </cell>
          <cell r="C77">
            <v>3</v>
          </cell>
          <cell r="D77">
            <v>100</v>
          </cell>
          <cell r="E77">
            <v>12</v>
          </cell>
          <cell r="F77">
            <v>30</v>
          </cell>
          <cell r="G77" t="str">
            <v>ZP2500</v>
          </cell>
          <cell r="H77">
            <v>1</v>
          </cell>
          <cell r="I77">
            <v>2</v>
          </cell>
          <cell r="J77" t="str">
            <v>청호나이스</v>
          </cell>
          <cell r="P77">
            <v>500</v>
          </cell>
          <cell r="U77">
            <v>45279</v>
          </cell>
          <cell r="V77" t="str">
            <v>금형사업부</v>
          </cell>
          <cell r="AD77">
            <v>0.85</v>
          </cell>
        </row>
        <row r="78">
          <cell r="A78" t="str">
            <v>카운터탑-FRONT</v>
          </cell>
          <cell r="B78" t="str">
            <v>SET</v>
          </cell>
          <cell r="C78">
            <v>3</v>
          </cell>
          <cell r="D78">
            <v>100</v>
          </cell>
          <cell r="E78">
            <v>12</v>
          </cell>
          <cell r="F78">
            <v>30</v>
          </cell>
          <cell r="G78" t="str">
            <v>ZP2500</v>
          </cell>
          <cell r="H78">
            <v>1</v>
          </cell>
          <cell r="I78">
            <v>2</v>
          </cell>
          <cell r="J78" t="str">
            <v>청호나이스</v>
          </cell>
          <cell r="P78">
            <v>500</v>
          </cell>
          <cell r="U78">
            <v>45279</v>
          </cell>
          <cell r="V78" t="str">
            <v>금형사업부</v>
          </cell>
          <cell r="AD78">
            <v>0.85</v>
          </cell>
        </row>
        <row r="79">
          <cell r="A79" t="str">
            <v>카운터탑-FRONT</v>
          </cell>
          <cell r="B79" t="str">
            <v>SET</v>
          </cell>
          <cell r="C79">
            <v>3</v>
          </cell>
          <cell r="D79">
            <v>100</v>
          </cell>
          <cell r="G79" t="str">
            <v>ZP2500</v>
          </cell>
          <cell r="I79">
            <v>2</v>
          </cell>
          <cell r="J79" t="str">
            <v>청호나이스</v>
          </cell>
          <cell r="P79">
            <v>500</v>
          </cell>
          <cell r="U79">
            <v>45279</v>
          </cell>
          <cell r="V79" t="str">
            <v>금형사업부</v>
          </cell>
          <cell r="AD79">
            <v>0.85</v>
          </cell>
        </row>
        <row r="80">
          <cell r="A80" t="str">
            <v>카운터탑</v>
          </cell>
          <cell r="B80" t="str">
            <v>SET</v>
          </cell>
          <cell r="C80">
            <v>2</v>
          </cell>
          <cell r="D80">
            <v>100</v>
          </cell>
          <cell r="E80">
            <v>271</v>
          </cell>
          <cell r="F80">
            <v>70</v>
          </cell>
          <cell r="G80" t="str">
            <v>B240NS</v>
          </cell>
          <cell r="H80">
            <v>10</v>
          </cell>
          <cell r="I80">
            <v>2</v>
          </cell>
          <cell r="J80" t="str">
            <v>청호나이스</v>
          </cell>
          <cell r="K80">
            <v>79</v>
          </cell>
          <cell r="L80">
            <v>81</v>
          </cell>
          <cell r="M80">
            <v>53</v>
          </cell>
          <cell r="N80">
            <v>55</v>
          </cell>
          <cell r="P80">
            <v>1360</v>
          </cell>
          <cell r="R80" t="str">
            <v>보라</v>
          </cell>
          <cell r="S80" t="str">
            <v>보라</v>
          </cell>
          <cell r="T80" t="str">
            <v>61-2470/61-2469</v>
          </cell>
          <cell r="U80">
            <v>45280</v>
          </cell>
          <cell r="V80" t="str">
            <v>금형사업부</v>
          </cell>
          <cell r="AD80">
            <v>0.85</v>
          </cell>
          <cell r="AF80">
            <v>6</v>
          </cell>
        </row>
        <row r="81">
          <cell r="A81" t="str">
            <v>카운터탑</v>
          </cell>
          <cell r="B81" t="str">
            <v>SET</v>
          </cell>
          <cell r="C81">
            <v>2</v>
          </cell>
          <cell r="D81">
            <v>100</v>
          </cell>
          <cell r="E81">
            <v>271</v>
          </cell>
          <cell r="F81">
            <v>70</v>
          </cell>
          <cell r="G81" t="str">
            <v>B240NS</v>
          </cell>
          <cell r="H81">
            <v>1</v>
          </cell>
          <cell r="I81">
            <v>2</v>
          </cell>
          <cell r="J81" t="str">
            <v>청호나이스</v>
          </cell>
          <cell r="P81">
            <v>1360</v>
          </cell>
          <cell r="R81" t="str">
            <v>보라</v>
          </cell>
          <cell r="S81" t="str">
            <v>보라</v>
          </cell>
          <cell r="U81">
            <v>45280</v>
          </cell>
          <cell r="V81" t="str">
            <v>금형사업부</v>
          </cell>
          <cell r="AD81">
            <v>0.85</v>
          </cell>
        </row>
        <row r="82">
          <cell r="A82" t="str">
            <v>카운터탑</v>
          </cell>
          <cell r="B82" t="str">
            <v>SET</v>
          </cell>
          <cell r="C82">
            <v>2</v>
          </cell>
          <cell r="D82">
            <v>100</v>
          </cell>
          <cell r="E82">
            <v>271</v>
          </cell>
          <cell r="F82">
            <v>60</v>
          </cell>
          <cell r="G82" t="str">
            <v>B240NS</v>
          </cell>
          <cell r="H82">
            <v>1</v>
          </cell>
          <cell r="I82">
            <v>2</v>
          </cell>
          <cell r="J82" t="str">
            <v>청호나이스</v>
          </cell>
          <cell r="P82">
            <v>1360</v>
          </cell>
          <cell r="U82">
            <v>45280</v>
          </cell>
          <cell r="V82" t="str">
            <v>금형사업부</v>
          </cell>
          <cell r="AD82">
            <v>0.85</v>
          </cell>
        </row>
        <row r="83">
          <cell r="A83" t="str">
            <v>카운터탑</v>
          </cell>
          <cell r="B83" t="str">
            <v>SET</v>
          </cell>
          <cell r="C83">
            <v>2</v>
          </cell>
          <cell r="D83">
            <v>100</v>
          </cell>
          <cell r="G83" t="str">
            <v>B240NS</v>
          </cell>
          <cell r="I83">
            <v>2</v>
          </cell>
          <cell r="J83" t="str">
            <v>청호나이스</v>
          </cell>
          <cell r="P83">
            <v>1360</v>
          </cell>
          <cell r="U83">
            <v>45280</v>
          </cell>
          <cell r="V83" t="str">
            <v>금형사업부</v>
          </cell>
        </row>
        <row r="84">
          <cell r="A84" t="str">
            <v>청호원통</v>
          </cell>
          <cell r="B84" t="str">
            <v>저발</v>
          </cell>
          <cell r="C84">
            <v>14</v>
          </cell>
          <cell r="D84">
            <v>100</v>
          </cell>
          <cell r="E84">
            <v>12</v>
          </cell>
          <cell r="F84">
            <v>36</v>
          </cell>
          <cell r="G84" t="str">
            <v>B240NS</v>
          </cell>
          <cell r="H84">
            <v>100</v>
          </cell>
          <cell r="I84">
            <v>1</v>
          </cell>
          <cell r="J84" t="str">
            <v>보덕</v>
          </cell>
          <cell r="K84">
            <v>171</v>
          </cell>
          <cell r="L84">
            <v>173</v>
          </cell>
          <cell r="O84">
            <v>230</v>
          </cell>
          <cell r="P84">
            <v>500</v>
          </cell>
          <cell r="R84" t="str">
            <v>비닐</v>
          </cell>
          <cell r="U84">
            <v>44125</v>
          </cell>
          <cell r="V84" t="str">
            <v>보령금형</v>
          </cell>
          <cell r="Y84">
            <v>30</v>
          </cell>
          <cell r="AC84" t="str">
            <v>석상준과장, 2020.10.30 바닦살두께3mm 삭제 및 핀14개, 휘다10개 입고, 2020.11.11코팅완료</v>
          </cell>
          <cell r="AD84">
            <v>0.85</v>
          </cell>
          <cell r="AF84">
            <v>12</v>
          </cell>
        </row>
        <row r="85">
          <cell r="A85" t="str">
            <v>채소정식판64구</v>
          </cell>
          <cell r="B85" t="str">
            <v>SET</v>
          </cell>
          <cell r="C85">
            <v>2</v>
          </cell>
          <cell r="D85">
            <v>150</v>
          </cell>
          <cell r="E85">
            <v>350</v>
          </cell>
          <cell r="F85">
            <v>30</v>
          </cell>
          <cell r="G85" t="str">
            <v>B240NS</v>
          </cell>
          <cell r="H85">
            <v>10</v>
          </cell>
          <cell r="I85">
            <v>1</v>
          </cell>
          <cell r="J85" t="str">
            <v>가화텍</v>
          </cell>
          <cell r="K85">
            <v>29</v>
          </cell>
          <cell r="L85">
            <v>31</v>
          </cell>
          <cell r="P85">
            <v>1360</v>
          </cell>
          <cell r="R85" t="str">
            <v>비닐</v>
          </cell>
          <cell r="U85">
            <v>45406</v>
          </cell>
          <cell r="V85" t="str">
            <v>금형사업부</v>
          </cell>
          <cell r="AC85" t="str">
            <v>40배→30배 ,255g→350g 2024-05-28 변경</v>
          </cell>
          <cell r="AD85">
            <v>0.85</v>
          </cell>
        </row>
        <row r="86">
          <cell r="A86" t="str">
            <v>채소정식판64구</v>
          </cell>
          <cell r="B86" t="str">
            <v>SET</v>
          </cell>
          <cell r="C86">
            <v>2</v>
          </cell>
          <cell r="D86">
            <v>150</v>
          </cell>
          <cell r="E86">
            <v>350</v>
          </cell>
          <cell r="F86">
            <v>30</v>
          </cell>
          <cell r="G86" t="str">
            <v>B240NS</v>
          </cell>
          <cell r="H86">
            <v>10</v>
          </cell>
          <cell r="I86">
            <v>1</v>
          </cell>
          <cell r="J86" t="str">
            <v>가화텍</v>
          </cell>
          <cell r="K86">
            <v>29</v>
          </cell>
          <cell r="L86">
            <v>31</v>
          </cell>
          <cell r="P86">
            <v>1360</v>
          </cell>
          <cell r="R86" t="str">
            <v>비닐</v>
          </cell>
          <cell r="U86">
            <v>45406</v>
          </cell>
          <cell r="V86" t="str">
            <v>금형사업부</v>
          </cell>
          <cell r="AC86" t="str">
            <v>40배→30배 ,255g→350g 2024-05-28 변경</v>
          </cell>
          <cell r="AD86">
            <v>0.85</v>
          </cell>
        </row>
        <row r="87">
          <cell r="A87" t="str">
            <v>창문형에어컨-UP</v>
          </cell>
          <cell r="B87" t="str">
            <v>SET</v>
          </cell>
          <cell r="C87">
            <v>2</v>
          </cell>
          <cell r="D87">
            <v>125</v>
          </cell>
          <cell r="E87">
            <v>160</v>
          </cell>
          <cell r="F87">
            <v>58</v>
          </cell>
          <cell r="G87" t="str">
            <v>B240NS</v>
          </cell>
          <cell r="H87" t="str">
            <v>UP:10</v>
          </cell>
          <cell r="I87">
            <v>2</v>
          </cell>
          <cell r="J87" t="str">
            <v>위닉스</v>
          </cell>
          <cell r="M87">
            <v>124</v>
          </cell>
          <cell r="N87">
            <v>126</v>
          </cell>
          <cell r="O87">
            <v>1040</v>
          </cell>
          <cell r="P87">
            <v>1360</v>
          </cell>
          <cell r="Q87">
            <v>200</v>
          </cell>
          <cell r="S87" t="str">
            <v>주황</v>
          </cell>
          <cell r="U87">
            <v>45842</v>
          </cell>
          <cell r="V87" t="str">
            <v>둔포 이관</v>
          </cell>
          <cell r="W87" t="str">
            <v>융착,버,치수(BURR)불량 확인할것!!</v>
          </cell>
          <cell r="AD87">
            <v>0.85</v>
          </cell>
          <cell r="AE87">
            <v>80</v>
          </cell>
        </row>
        <row r="88">
          <cell r="A88" t="str">
            <v>창문형에어컨-UP</v>
          </cell>
          <cell r="B88" t="str">
            <v>SET</v>
          </cell>
          <cell r="C88">
            <v>2</v>
          </cell>
          <cell r="D88">
            <v>125</v>
          </cell>
          <cell r="E88">
            <v>160</v>
          </cell>
          <cell r="F88">
            <v>58</v>
          </cell>
          <cell r="G88" t="str">
            <v>B240NS</v>
          </cell>
          <cell r="H88" t="str">
            <v>UP:10</v>
          </cell>
          <cell r="I88">
            <v>2</v>
          </cell>
          <cell r="J88" t="str">
            <v>위닉스</v>
          </cell>
          <cell r="M88">
            <v>124</v>
          </cell>
          <cell r="N88">
            <v>126</v>
          </cell>
          <cell r="O88">
            <v>1040</v>
          </cell>
          <cell r="P88">
            <v>1360</v>
          </cell>
          <cell r="Q88">
            <v>200</v>
          </cell>
          <cell r="S88" t="str">
            <v>주황</v>
          </cell>
          <cell r="U88">
            <v>45842</v>
          </cell>
          <cell r="V88" t="str">
            <v>둔포 이관</v>
          </cell>
          <cell r="W88" t="str">
            <v>융착,버,치수(BURR)불량 확인할것!!</v>
          </cell>
          <cell r="AD88">
            <v>0.85</v>
          </cell>
          <cell r="AE88">
            <v>80</v>
          </cell>
        </row>
        <row r="89">
          <cell r="A89" t="str">
            <v>창문형에어컨-LOW</v>
          </cell>
          <cell r="B89" t="str">
            <v>SET</v>
          </cell>
          <cell r="C89">
            <v>2</v>
          </cell>
          <cell r="D89">
            <v>125</v>
          </cell>
          <cell r="E89">
            <v>240</v>
          </cell>
          <cell r="F89">
            <v>58</v>
          </cell>
          <cell r="G89" t="str">
            <v>B240NS</v>
          </cell>
          <cell r="H89" t="str">
            <v>LOW패드작업:5</v>
          </cell>
          <cell r="I89">
            <v>2</v>
          </cell>
          <cell r="J89" t="str">
            <v>위닉스</v>
          </cell>
          <cell r="K89">
            <v>89</v>
          </cell>
          <cell r="L89">
            <v>91</v>
          </cell>
          <cell r="O89">
            <v>1780</v>
          </cell>
          <cell r="P89">
            <v>1360</v>
          </cell>
          <cell r="Q89">
            <v>200</v>
          </cell>
          <cell r="R89" t="str">
            <v>녹색</v>
          </cell>
          <cell r="U89">
            <v>45842</v>
          </cell>
          <cell r="V89" t="str">
            <v>둔포 이관</v>
          </cell>
          <cell r="W89" t="str">
            <v>융착,버,치수(BURR)불량 확인할것!!</v>
          </cell>
          <cell r="AD89">
            <v>0.85</v>
          </cell>
          <cell r="AE89">
            <v>80</v>
          </cell>
        </row>
        <row r="90">
          <cell r="A90" t="str">
            <v>창문형에어컨-LOW</v>
          </cell>
          <cell r="B90" t="str">
            <v>SET</v>
          </cell>
          <cell r="C90">
            <v>2</v>
          </cell>
          <cell r="D90">
            <v>125</v>
          </cell>
          <cell r="E90">
            <v>240</v>
          </cell>
          <cell r="F90">
            <v>58</v>
          </cell>
          <cell r="G90" t="str">
            <v>B240NS</v>
          </cell>
          <cell r="H90" t="str">
            <v>LOW패드작업:5</v>
          </cell>
          <cell r="I90">
            <v>2</v>
          </cell>
          <cell r="J90" t="str">
            <v>위닉스</v>
          </cell>
          <cell r="K90">
            <v>89</v>
          </cell>
          <cell r="L90">
            <v>91</v>
          </cell>
          <cell r="O90">
            <v>1780</v>
          </cell>
          <cell r="P90">
            <v>1360</v>
          </cell>
          <cell r="Q90">
            <v>200</v>
          </cell>
          <cell r="R90" t="str">
            <v>녹색</v>
          </cell>
          <cell r="U90">
            <v>45842</v>
          </cell>
          <cell r="V90" t="str">
            <v>둔포 이관</v>
          </cell>
          <cell r="W90" t="str">
            <v>융착,버,치수(BURR)불량 확인할것!!</v>
          </cell>
          <cell r="AD90">
            <v>0.85</v>
          </cell>
          <cell r="AE90">
            <v>80</v>
          </cell>
        </row>
        <row r="91">
          <cell r="A91" t="str">
            <v>창문형에어컨</v>
          </cell>
          <cell r="B91" t="str">
            <v>SET</v>
          </cell>
          <cell r="C91">
            <v>2</v>
          </cell>
          <cell r="D91">
            <v>125</v>
          </cell>
          <cell r="E91">
            <v>400</v>
          </cell>
          <cell r="F91">
            <v>58</v>
          </cell>
          <cell r="G91" t="str">
            <v>B240NS</v>
          </cell>
          <cell r="H91" t="str">
            <v>LOW패드작업:5/UPP:10</v>
          </cell>
          <cell r="I91">
            <v>2</v>
          </cell>
          <cell r="J91" t="str">
            <v>위닉스</v>
          </cell>
          <cell r="K91">
            <v>89</v>
          </cell>
          <cell r="L91">
            <v>91</v>
          </cell>
          <cell r="M91">
            <v>124</v>
          </cell>
          <cell r="N91">
            <v>126</v>
          </cell>
          <cell r="P91">
            <v>1360</v>
          </cell>
          <cell r="Q91">
            <v>200</v>
          </cell>
          <cell r="R91" t="str">
            <v>녹색</v>
          </cell>
          <cell r="S91" t="str">
            <v>주황</v>
          </cell>
          <cell r="T91" t="str">
            <v>175/240</v>
          </cell>
          <cell r="U91">
            <v>45842</v>
          </cell>
          <cell r="V91" t="str">
            <v>둔포 이관</v>
          </cell>
          <cell r="W91" t="str">
            <v>융착,버,치수(BURR)불량 확인할것!!</v>
          </cell>
          <cell r="AD91">
            <v>0.85</v>
          </cell>
          <cell r="AE91">
            <v>80</v>
          </cell>
        </row>
        <row r="92">
          <cell r="A92" t="str">
            <v>창문형에어컨</v>
          </cell>
          <cell r="B92" t="str">
            <v>SET</v>
          </cell>
          <cell r="C92">
            <v>2</v>
          </cell>
          <cell r="D92">
            <v>125</v>
          </cell>
          <cell r="E92">
            <v>400</v>
          </cell>
          <cell r="F92">
            <v>58</v>
          </cell>
          <cell r="G92" t="str">
            <v>B240NS</v>
          </cell>
          <cell r="H92" t="str">
            <v>LOW패드작업:5/UPP:10</v>
          </cell>
          <cell r="I92">
            <v>2</v>
          </cell>
          <cell r="J92" t="str">
            <v>위닉스</v>
          </cell>
          <cell r="K92">
            <v>89</v>
          </cell>
          <cell r="L92">
            <v>91</v>
          </cell>
          <cell r="M92">
            <v>124</v>
          </cell>
          <cell r="N92">
            <v>126</v>
          </cell>
          <cell r="P92">
            <v>1360</v>
          </cell>
          <cell r="Q92">
            <v>200</v>
          </cell>
          <cell r="R92" t="str">
            <v>녹색</v>
          </cell>
          <cell r="S92" t="str">
            <v>주황</v>
          </cell>
          <cell r="T92" t="str">
            <v>175/240</v>
          </cell>
          <cell r="U92">
            <v>45842</v>
          </cell>
          <cell r="V92" t="str">
            <v>둔포 이관</v>
          </cell>
          <cell r="W92" t="str">
            <v>융착,버,치수(BURR)불량 확인할것!!</v>
          </cell>
          <cell r="AD92">
            <v>0.85</v>
          </cell>
          <cell r="AE92">
            <v>80</v>
          </cell>
        </row>
        <row r="93">
          <cell r="A93" t="str">
            <v>찬구EPS2</v>
          </cell>
          <cell r="B93" t="str">
            <v>저발</v>
          </cell>
          <cell r="C93">
            <v>6</v>
          </cell>
          <cell r="D93">
            <v>55</v>
          </cell>
          <cell r="E93">
            <v>15</v>
          </cell>
          <cell r="F93">
            <v>65</v>
          </cell>
          <cell r="G93" t="str">
            <v>B240NS</v>
          </cell>
          <cell r="H93">
            <v>200</v>
          </cell>
          <cell r="I93">
            <v>1</v>
          </cell>
          <cell r="J93" t="str">
            <v>찬구화학</v>
          </cell>
          <cell r="K93">
            <v>59</v>
          </cell>
          <cell r="L93">
            <v>61</v>
          </cell>
          <cell r="O93">
            <v>300</v>
          </cell>
          <cell r="P93">
            <v>500</v>
          </cell>
          <cell r="R93" t="str">
            <v>녹색</v>
          </cell>
          <cell r="S93" t="str">
            <v>녹색</v>
          </cell>
          <cell r="T93" t="str">
            <v>찬구EPS2</v>
          </cell>
          <cell r="U93">
            <v>41258</v>
          </cell>
          <cell r="V93" t="str">
            <v>금형제조부</v>
          </cell>
          <cell r="X93" t="str">
            <v>F-0203</v>
          </cell>
          <cell r="AC93" t="str">
            <v>김길영계장,2013.02.27포장단위(100-&gt;200)변경</v>
          </cell>
          <cell r="AD93">
            <v>0.85</v>
          </cell>
          <cell r="AE93">
            <v>90</v>
          </cell>
          <cell r="AF93">
            <v>8</v>
          </cell>
        </row>
        <row r="94">
          <cell r="A94" t="str">
            <v>찬구EPS</v>
          </cell>
          <cell r="B94" t="str">
            <v>저발</v>
          </cell>
          <cell r="C94">
            <v>8</v>
          </cell>
          <cell r="D94">
            <v>65</v>
          </cell>
          <cell r="E94">
            <v>30</v>
          </cell>
          <cell r="F94">
            <v>65</v>
          </cell>
          <cell r="G94" t="str">
            <v>B240NS</v>
          </cell>
          <cell r="H94">
            <v>100</v>
          </cell>
          <cell r="I94">
            <v>1</v>
          </cell>
          <cell r="J94" t="str">
            <v>찬구화학</v>
          </cell>
          <cell r="K94">
            <v>22</v>
          </cell>
          <cell r="L94">
            <v>24</v>
          </cell>
          <cell r="O94">
            <v>250</v>
          </cell>
          <cell r="P94">
            <v>500</v>
          </cell>
          <cell r="R94" t="str">
            <v>검정</v>
          </cell>
          <cell r="S94" t="str">
            <v>검정</v>
          </cell>
          <cell r="T94" t="str">
            <v>찬구화학-찬구EPS</v>
          </cell>
          <cell r="U94">
            <v>39001</v>
          </cell>
          <cell r="V94" t="str">
            <v>삼일금형</v>
          </cell>
          <cell r="X94" t="str">
            <v>F-0206</v>
          </cell>
          <cell r="AC94" t="str">
            <v>2020.03.19 이동용접수리입고</v>
          </cell>
          <cell r="AD94">
            <v>0.85</v>
          </cell>
          <cell r="AE94">
            <v>55</v>
          </cell>
          <cell r="AF94">
            <v>2</v>
          </cell>
        </row>
        <row r="95">
          <cell r="A95" t="str">
            <v>차음재190X190</v>
          </cell>
          <cell r="B95" t="str">
            <v>회색</v>
          </cell>
          <cell r="C95">
            <v>1</v>
          </cell>
          <cell r="D95">
            <v>150</v>
          </cell>
          <cell r="E95">
            <v>8439</v>
          </cell>
          <cell r="F95">
            <v>48</v>
          </cell>
          <cell r="G95" t="str">
            <v>ZP2500</v>
          </cell>
          <cell r="H95" t="str">
            <v>1</v>
          </cell>
          <cell r="I95">
            <v>1</v>
          </cell>
          <cell r="J95" t="str">
            <v>둔포공장</v>
          </cell>
          <cell r="P95">
            <v>1500</v>
          </cell>
          <cell r="Q95">
            <v>500</v>
          </cell>
          <cell r="U95">
            <v>44382</v>
          </cell>
          <cell r="V95" t="str">
            <v>금형사업부</v>
          </cell>
          <cell r="W95" t="str">
            <v>고정CAVITY 이동(CORE) 교체사용</v>
          </cell>
          <cell r="Y95">
            <v>40</v>
          </cell>
          <cell r="Z95">
            <v>337560</v>
          </cell>
          <cell r="AC95" t="str">
            <v>석상준과장</v>
          </cell>
          <cell r="AD95">
            <v>0.85</v>
          </cell>
          <cell r="AF95">
            <v>6</v>
          </cell>
        </row>
        <row r="96">
          <cell r="A96" t="str">
            <v>차음재105X105</v>
          </cell>
          <cell r="B96" t="str">
            <v>회색</v>
          </cell>
          <cell r="C96">
            <v>1</v>
          </cell>
          <cell r="D96">
            <v>150</v>
          </cell>
          <cell r="E96">
            <v>11007</v>
          </cell>
          <cell r="F96">
            <v>48</v>
          </cell>
          <cell r="G96" t="str">
            <v>ZP2500</v>
          </cell>
          <cell r="H96" t="str">
            <v>1</v>
          </cell>
          <cell r="I96">
            <v>1</v>
          </cell>
          <cell r="J96" t="str">
            <v>둔포공장</v>
          </cell>
          <cell r="P96">
            <v>1500</v>
          </cell>
          <cell r="Q96">
            <v>500</v>
          </cell>
          <cell r="U96">
            <v>44382</v>
          </cell>
          <cell r="V96" t="str">
            <v>금형사업부</v>
          </cell>
          <cell r="W96" t="str">
            <v>고정CAVITY 이동(CORE) 교체사용</v>
          </cell>
          <cell r="Y96">
            <v>40</v>
          </cell>
          <cell r="Z96">
            <v>440280</v>
          </cell>
          <cell r="AC96" t="str">
            <v>석상준과장</v>
          </cell>
          <cell r="AD96">
            <v>0.85</v>
          </cell>
          <cell r="AF96">
            <v>6</v>
          </cell>
        </row>
        <row r="97">
          <cell r="A97" t="str">
            <v>찐빵BOX#2</v>
          </cell>
          <cell r="B97" t="str">
            <v>BOX</v>
          </cell>
          <cell r="C97">
            <v>6</v>
          </cell>
          <cell r="D97">
            <v>100</v>
          </cell>
          <cell r="E97">
            <v>100</v>
          </cell>
          <cell r="F97">
            <v>74</v>
          </cell>
          <cell r="G97" t="str">
            <v>SE2500M</v>
          </cell>
          <cell r="H97" t="str">
            <v>T:72 B:36</v>
          </cell>
          <cell r="I97">
            <v>2</v>
          </cell>
          <cell r="J97" t="str">
            <v>용인공장</v>
          </cell>
          <cell r="P97">
            <v>1360</v>
          </cell>
          <cell r="Q97">
            <v>250</v>
          </cell>
          <cell r="R97" t="str">
            <v>흰색</v>
          </cell>
          <cell r="S97" t="str">
            <v>흰색</v>
          </cell>
          <cell r="U97">
            <v>44707</v>
          </cell>
          <cell r="V97" t="str">
            <v>이관금형</v>
          </cell>
          <cell r="Y97">
            <v>67</v>
          </cell>
          <cell r="Z97">
            <v>6737</v>
          </cell>
          <cell r="AD97">
            <v>0.85</v>
          </cell>
        </row>
        <row r="98">
          <cell r="A98" t="str">
            <v>찐빵BOX#2</v>
          </cell>
          <cell r="B98" t="str">
            <v>BOX</v>
          </cell>
          <cell r="C98">
            <v>6</v>
          </cell>
          <cell r="D98">
            <v>100</v>
          </cell>
          <cell r="E98">
            <v>100</v>
          </cell>
          <cell r="F98">
            <v>74</v>
          </cell>
          <cell r="G98" t="str">
            <v>SE2500M</v>
          </cell>
          <cell r="H98" t="str">
            <v>T:72 B:36</v>
          </cell>
          <cell r="I98">
            <v>2</v>
          </cell>
          <cell r="J98" t="str">
            <v>용인공장</v>
          </cell>
          <cell r="P98">
            <v>1360</v>
          </cell>
          <cell r="Q98">
            <v>250</v>
          </cell>
          <cell r="R98" t="str">
            <v>흰색</v>
          </cell>
          <cell r="S98" t="str">
            <v>흰색</v>
          </cell>
          <cell r="U98">
            <v>44707</v>
          </cell>
          <cell r="V98" t="str">
            <v>이관금형</v>
          </cell>
          <cell r="Y98">
            <v>67</v>
          </cell>
          <cell r="Z98">
            <v>6737</v>
          </cell>
          <cell r="AD98">
            <v>0.85</v>
          </cell>
        </row>
        <row r="99">
          <cell r="A99" t="str">
            <v>진보하드탑</v>
          </cell>
          <cell r="B99" t="str">
            <v>저발</v>
          </cell>
          <cell r="C99">
            <v>1</v>
          </cell>
          <cell r="D99">
            <v>80</v>
          </cell>
          <cell r="E99">
            <v>240</v>
          </cell>
          <cell r="F99">
            <v>74</v>
          </cell>
          <cell r="G99" t="str">
            <v>B240NS</v>
          </cell>
          <cell r="H99">
            <v>8</v>
          </cell>
          <cell r="I99">
            <v>2</v>
          </cell>
          <cell r="J99" t="str">
            <v>진보공업</v>
          </cell>
          <cell r="O99">
            <v>1280</v>
          </cell>
          <cell r="P99">
            <v>500</v>
          </cell>
          <cell r="R99" t="str">
            <v>주황</v>
          </cell>
          <cell r="S99" t="str">
            <v>주황</v>
          </cell>
          <cell r="U99">
            <v>42444</v>
          </cell>
          <cell r="V99" t="str">
            <v>신진수지에서이관</v>
          </cell>
          <cell r="AC99" t="str">
            <v>최재학사원</v>
          </cell>
          <cell r="AD99">
            <v>0.85</v>
          </cell>
          <cell r="AE99">
            <v>110</v>
          </cell>
          <cell r="AF99">
            <v>2</v>
          </cell>
        </row>
        <row r="100">
          <cell r="A100" t="str">
            <v>진보청소기</v>
          </cell>
          <cell r="B100" t="str">
            <v>SET</v>
          </cell>
          <cell r="C100">
            <v>1</v>
          </cell>
          <cell r="D100">
            <v>90</v>
          </cell>
          <cell r="E100">
            <v>550</v>
          </cell>
          <cell r="F100">
            <v>74</v>
          </cell>
          <cell r="G100" t="str">
            <v>B240NS</v>
          </cell>
          <cell r="H100">
            <v>4</v>
          </cell>
          <cell r="I100">
            <v>3</v>
          </cell>
          <cell r="J100" t="str">
            <v>진보공업</v>
          </cell>
          <cell r="K100">
            <v>60</v>
          </cell>
          <cell r="L100">
            <v>62</v>
          </cell>
          <cell r="M100">
            <v>172</v>
          </cell>
          <cell r="N100">
            <v>174</v>
          </cell>
          <cell r="O100">
            <v>3200</v>
          </cell>
          <cell r="P100">
            <v>1500</v>
          </cell>
          <cell r="Q100">
            <v>250</v>
          </cell>
          <cell r="R100" t="str">
            <v>주황</v>
          </cell>
          <cell r="S100" t="str">
            <v>주황</v>
          </cell>
          <cell r="U100">
            <v>42366</v>
          </cell>
          <cell r="V100" t="str">
            <v>금형제조부</v>
          </cell>
          <cell r="Z100">
            <v>33047</v>
          </cell>
          <cell r="AC100" t="str">
            <v>김창준과장</v>
          </cell>
          <cell r="AD100">
            <v>0.85</v>
          </cell>
          <cell r="AE100">
            <v>80</v>
          </cell>
          <cell r="AF100">
            <v>2</v>
          </cell>
        </row>
        <row r="101">
          <cell r="A101" t="str">
            <v>직수형얼음정수기</v>
          </cell>
          <cell r="B101" t="str">
            <v>SET</v>
          </cell>
          <cell r="C101">
            <v>2</v>
          </cell>
          <cell r="D101">
            <v>100</v>
          </cell>
          <cell r="E101">
            <v>340</v>
          </cell>
          <cell r="F101">
            <v>70</v>
          </cell>
          <cell r="G101" t="str">
            <v>B240NS</v>
          </cell>
          <cell r="H101" t="str">
            <v>UP:10 LOW:10</v>
          </cell>
          <cell r="I101">
            <v>2</v>
          </cell>
          <cell r="J101" t="str">
            <v>청호나이스</v>
          </cell>
          <cell r="K101">
            <v>98</v>
          </cell>
          <cell r="L101">
            <v>102</v>
          </cell>
          <cell r="M101">
            <v>50.5</v>
          </cell>
          <cell r="N101">
            <v>54.5</v>
          </cell>
          <cell r="P101">
            <v>1360</v>
          </cell>
          <cell r="Q101">
            <v>200</v>
          </cell>
          <cell r="R101" t="str">
            <v>주황</v>
          </cell>
          <cell r="T101" t="str">
            <v>61-2163-0/61-2167-0</v>
          </cell>
          <cell r="U101">
            <v>44595</v>
          </cell>
          <cell r="V101" t="str">
            <v>경원 ENG</v>
          </cell>
          <cell r="W101" t="str">
            <v>LOWER A'SSY 제품 (비닐포장 X)</v>
          </cell>
          <cell r="Y101">
            <v>60</v>
          </cell>
          <cell r="Z101">
            <v>20364</v>
          </cell>
          <cell r="AC101" t="str">
            <v>석상준차장</v>
          </cell>
          <cell r="AD101">
            <v>0.85</v>
          </cell>
        </row>
        <row r="102">
          <cell r="A102" t="str">
            <v>직수형얼음정수기</v>
          </cell>
          <cell r="B102" t="str">
            <v>SET</v>
          </cell>
          <cell r="C102">
            <v>2</v>
          </cell>
          <cell r="D102">
            <v>100</v>
          </cell>
          <cell r="E102">
            <v>340</v>
          </cell>
          <cell r="F102">
            <v>70</v>
          </cell>
          <cell r="G102" t="str">
            <v>B240NS</v>
          </cell>
          <cell r="H102" t="str">
            <v>UP:10 LOW:10</v>
          </cell>
          <cell r="I102">
            <v>2</v>
          </cell>
          <cell r="J102" t="str">
            <v>청호나이스</v>
          </cell>
          <cell r="K102">
            <v>98</v>
          </cell>
          <cell r="L102">
            <v>102</v>
          </cell>
          <cell r="M102">
            <v>50.5</v>
          </cell>
          <cell r="N102">
            <v>54.5</v>
          </cell>
          <cell r="P102">
            <v>1360</v>
          </cell>
          <cell r="Q102">
            <v>200</v>
          </cell>
          <cell r="R102" t="str">
            <v>주황</v>
          </cell>
          <cell r="U102">
            <v>44595</v>
          </cell>
          <cell r="V102" t="str">
            <v>경원 ENG</v>
          </cell>
          <cell r="W102" t="str">
            <v>LOWER A'SSY 제품 (비닐포장 X)</v>
          </cell>
          <cell r="Y102">
            <v>60</v>
          </cell>
          <cell r="Z102">
            <v>20364</v>
          </cell>
          <cell r="AC102" t="str">
            <v>석상준차장</v>
          </cell>
          <cell r="AD102">
            <v>0.85</v>
          </cell>
        </row>
        <row r="103">
          <cell r="A103" t="str">
            <v>쥴릭22호(코오롱)</v>
          </cell>
          <cell r="B103" t="str">
            <v>BOX</v>
          </cell>
          <cell r="C103">
            <v>2</v>
          </cell>
          <cell r="D103">
            <v>120</v>
          </cell>
          <cell r="E103">
            <v>1100</v>
          </cell>
          <cell r="F103">
            <v>36</v>
          </cell>
          <cell r="G103" t="str">
            <v>B240NS</v>
          </cell>
          <cell r="H103">
            <v>3</v>
          </cell>
          <cell r="I103">
            <v>2</v>
          </cell>
          <cell r="J103" t="str">
            <v>쥴릭</v>
          </cell>
          <cell r="K103">
            <v>82</v>
          </cell>
          <cell r="L103">
            <v>86</v>
          </cell>
          <cell r="M103">
            <v>234</v>
          </cell>
          <cell r="N103">
            <v>238</v>
          </cell>
          <cell r="O103">
            <v>5500</v>
          </cell>
          <cell r="P103">
            <v>1360</v>
          </cell>
          <cell r="Q103">
            <v>350</v>
          </cell>
          <cell r="R103" t="str">
            <v>밴딩</v>
          </cell>
          <cell r="S103" t="str">
            <v>빨강</v>
          </cell>
          <cell r="T103" t="str">
            <v>쥴릭약품상자23호</v>
          </cell>
          <cell r="U103">
            <v>39414</v>
          </cell>
          <cell r="V103" t="str">
            <v>삼일금형</v>
          </cell>
          <cell r="W103" t="str">
            <v>코오롱각인부착 빨강끈 묶음!</v>
          </cell>
          <cell r="AD103">
            <v>0.85</v>
          </cell>
          <cell r="AE103">
            <v>90</v>
          </cell>
          <cell r="AF103">
            <v>6</v>
          </cell>
        </row>
        <row r="104">
          <cell r="A104" t="str">
            <v>쥴릭22호(삼양)</v>
          </cell>
          <cell r="B104" t="str">
            <v>BOX</v>
          </cell>
          <cell r="C104">
            <v>2</v>
          </cell>
          <cell r="D104">
            <v>120</v>
          </cell>
          <cell r="E104">
            <v>1100</v>
          </cell>
          <cell r="F104">
            <v>36</v>
          </cell>
          <cell r="G104" t="str">
            <v>B240NS</v>
          </cell>
          <cell r="H104">
            <v>3</v>
          </cell>
          <cell r="I104">
            <v>2</v>
          </cell>
          <cell r="J104" t="str">
            <v>쥴릭</v>
          </cell>
          <cell r="K104">
            <v>82</v>
          </cell>
          <cell r="L104">
            <v>86</v>
          </cell>
          <cell r="M104">
            <v>234</v>
          </cell>
          <cell r="N104">
            <v>238</v>
          </cell>
          <cell r="O104">
            <v>5500</v>
          </cell>
          <cell r="P104">
            <v>1360</v>
          </cell>
          <cell r="Q104">
            <v>350</v>
          </cell>
          <cell r="R104" t="str">
            <v>밴딩</v>
          </cell>
          <cell r="S104" t="str">
            <v>흰색</v>
          </cell>
          <cell r="T104" t="str">
            <v>쥴릭약품상자23호</v>
          </cell>
          <cell r="U104">
            <v>39414</v>
          </cell>
          <cell r="V104" t="str">
            <v>삼일금형</v>
          </cell>
          <cell r="W104" t="str">
            <v>삼양각인부착 흰색끈 묶음!</v>
          </cell>
          <cell r="AD104">
            <v>0.85</v>
          </cell>
          <cell r="AE104">
            <v>90</v>
          </cell>
        </row>
        <row r="105">
          <cell r="A105" t="str">
            <v>쥴릭22호(48배)</v>
          </cell>
          <cell r="B105" t="str">
            <v>BOX</v>
          </cell>
          <cell r="C105">
            <v>2</v>
          </cell>
          <cell r="D105">
            <v>100</v>
          </cell>
          <cell r="E105">
            <v>830</v>
          </cell>
          <cell r="F105">
            <v>58</v>
          </cell>
          <cell r="G105" t="str">
            <v>B240NS</v>
          </cell>
          <cell r="H105">
            <v>3</v>
          </cell>
          <cell r="I105">
            <v>2</v>
          </cell>
          <cell r="J105" t="str">
            <v>쥴릭</v>
          </cell>
          <cell r="K105">
            <v>82</v>
          </cell>
          <cell r="L105">
            <v>86</v>
          </cell>
          <cell r="M105">
            <v>234</v>
          </cell>
          <cell r="N105">
            <v>238</v>
          </cell>
          <cell r="O105">
            <v>3486</v>
          </cell>
          <cell r="P105">
            <v>1360</v>
          </cell>
          <cell r="Q105">
            <v>350</v>
          </cell>
          <cell r="R105" t="str">
            <v>밴딩</v>
          </cell>
          <cell r="S105" t="str">
            <v>검정</v>
          </cell>
          <cell r="T105" t="str">
            <v>쥴릭약품상자23호</v>
          </cell>
          <cell r="U105">
            <v>39414</v>
          </cell>
          <cell r="V105" t="str">
            <v>삼일금형</v>
          </cell>
          <cell r="W105" t="str">
            <v>기타업체 각인 제거, 각인없음 검정끈 묶음!</v>
          </cell>
          <cell r="AC105" t="str">
            <v>쥴릭22호 동일금형, 금형없음</v>
          </cell>
          <cell r="AD105">
            <v>0.85</v>
          </cell>
          <cell r="AE105">
            <v>90</v>
          </cell>
          <cell r="AF105">
            <v>6</v>
          </cell>
        </row>
        <row r="106">
          <cell r="A106" t="str">
            <v>쥴릭22호</v>
          </cell>
          <cell r="B106" t="str">
            <v>BOX</v>
          </cell>
          <cell r="C106">
            <v>2</v>
          </cell>
          <cell r="D106">
            <v>120</v>
          </cell>
          <cell r="E106">
            <v>1100</v>
          </cell>
          <cell r="F106">
            <v>36</v>
          </cell>
          <cell r="G106" t="str">
            <v>B240NS</v>
          </cell>
          <cell r="H106">
            <v>3</v>
          </cell>
          <cell r="I106">
            <v>2</v>
          </cell>
          <cell r="J106" t="str">
            <v>쥴릭</v>
          </cell>
          <cell r="K106">
            <v>82</v>
          </cell>
          <cell r="L106">
            <v>86</v>
          </cell>
          <cell r="M106">
            <v>234</v>
          </cell>
          <cell r="N106">
            <v>238</v>
          </cell>
          <cell r="O106">
            <v>5500</v>
          </cell>
          <cell r="P106">
            <v>1360</v>
          </cell>
          <cell r="Q106">
            <v>350</v>
          </cell>
          <cell r="R106" t="str">
            <v>밴딩</v>
          </cell>
          <cell r="S106" t="str">
            <v>밴딩</v>
          </cell>
          <cell r="T106" t="str">
            <v>쥴릭약품상자23호</v>
          </cell>
          <cell r="U106">
            <v>39414</v>
          </cell>
          <cell r="V106" t="str">
            <v>삼일금형</v>
          </cell>
          <cell r="W106" t="str">
            <v>기타업체 각인 제거, 쥴릭각인있음</v>
          </cell>
          <cell r="X106" t="str">
            <v>D-0903</v>
          </cell>
          <cell r="AD106">
            <v>0.85</v>
          </cell>
          <cell r="AE106">
            <v>100</v>
          </cell>
          <cell r="AF106">
            <v>15</v>
          </cell>
        </row>
        <row r="107">
          <cell r="A107" t="str">
            <v>쥴릭21호(코오롱)</v>
          </cell>
          <cell r="B107" t="str">
            <v>BOX</v>
          </cell>
          <cell r="C107">
            <v>2</v>
          </cell>
          <cell r="D107">
            <v>120</v>
          </cell>
          <cell r="E107">
            <v>1900</v>
          </cell>
          <cell r="F107">
            <v>36</v>
          </cell>
          <cell r="G107" t="str">
            <v>B240NS</v>
          </cell>
          <cell r="H107">
            <v>2</v>
          </cell>
          <cell r="I107">
            <v>2</v>
          </cell>
          <cell r="J107" t="str">
            <v>쥴릭</v>
          </cell>
          <cell r="K107">
            <v>86</v>
          </cell>
          <cell r="L107">
            <v>90</v>
          </cell>
          <cell r="M107">
            <v>368</v>
          </cell>
          <cell r="N107">
            <v>372</v>
          </cell>
          <cell r="O107">
            <v>10200</v>
          </cell>
          <cell r="P107">
            <v>1360</v>
          </cell>
          <cell r="Q107">
            <v>500</v>
          </cell>
          <cell r="R107" t="str">
            <v>밴딩</v>
          </cell>
          <cell r="S107" t="str">
            <v>녹색</v>
          </cell>
          <cell r="T107" t="str">
            <v>쥴릭약품상자21호</v>
          </cell>
          <cell r="U107">
            <v>39414</v>
          </cell>
          <cell r="V107" t="str">
            <v>삼일금형</v>
          </cell>
          <cell r="W107" t="str">
            <v>코오롱각인부착 녹색끈 묶음!</v>
          </cell>
          <cell r="X107" t="str">
            <v>A-0101</v>
          </cell>
          <cell r="Y107">
            <v>30</v>
          </cell>
          <cell r="Z107">
            <v>5700</v>
          </cell>
          <cell r="AC107" t="str">
            <v>금형없음 쥴릭21호 동일금형</v>
          </cell>
          <cell r="AD107">
            <v>0.9</v>
          </cell>
          <cell r="AE107">
            <v>120</v>
          </cell>
          <cell r="AF107">
            <v>6</v>
          </cell>
        </row>
        <row r="108">
          <cell r="A108" t="str">
            <v>쥴릭21호(삼양)</v>
          </cell>
          <cell r="B108" t="str">
            <v>BOX</v>
          </cell>
          <cell r="C108">
            <v>2</v>
          </cell>
          <cell r="D108">
            <v>120</v>
          </cell>
          <cell r="E108">
            <v>1900</v>
          </cell>
          <cell r="F108">
            <v>36</v>
          </cell>
          <cell r="G108" t="str">
            <v>B240NS</v>
          </cell>
          <cell r="H108">
            <v>2</v>
          </cell>
          <cell r="I108">
            <v>2</v>
          </cell>
          <cell r="J108" t="str">
            <v>쥴릭</v>
          </cell>
          <cell r="K108">
            <v>86</v>
          </cell>
          <cell r="L108">
            <v>90</v>
          </cell>
          <cell r="M108">
            <v>368</v>
          </cell>
          <cell r="N108">
            <v>372</v>
          </cell>
          <cell r="O108">
            <v>10200</v>
          </cell>
          <cell r="P108">
            <v>1360</v>
          </cell>
          <cell r="Q108">
            <v>500</v>
          </cell>
          <cell r="R108" t="str">
            <v>밴딩</v>
          </cell>
          <cell r="S108" t="str">
            <v>주황</v>
          </cell>
          <cell r="T108" t="str">
            <v>쥴릭약품상자21호</v>
          </cell>
          <cell r="U108">
            <v>39414</v>
          </cell>
          <cell r="V108" t="str">
            <v>삼일금형</v>
          </cell>
          <cell r="W108" t="str">
            <v>삼양각인부착 주황끈 묶음!</v>
          </cell>
          <cell r="X108" t="str">
            <v>A-0101</v>
          </cell>
          <cell r="Y108">
            <v>30</v>
          </cell>
          <cell r="Z108">
            <v>5700</v>
          </cell>
          <cell r="AC108" t="str">
            <v>금형없음 쥴릭21호 동일금형</v>
          </cell>
          <cell r="AD108">
            <v>0.9</v>
          </cell>
          <cell r="AE108">
            <v>120</v>
          </cell>
          <cell r="AF108">
            <v>15</v>
          </cell>
        </row>
        <row r="109">
          <cell r="A109" t="str">
            <v>쥴릭21호(50배)</v>
          </cell>
          <cell r="B109" t="str">
            <v>BOX</v>
          </cell>
          <cell r="C109">
            <v>2</v>
          </cell>
          <cell r="D109">
            <v>109</v>
          </cell>
          <cell r="E109">
            <v>1140</v>
          </cell>
          <cell r="F109">
            <v>65</v>
          </cell>
          <cell r="G109" t="str">
            <v>B240NS</v>
          </cell>
          <cell r="H109">
            <v>2</v>
          </cell>
          <cell r="I109">
            <v>2</v>
          </cell>
          <cell r="J109" t="str">
            <v>쥴릭</v>
          </cell>
          <cell r="K109">
            <v>86</v>
          </cell>
          <cell r="L109">
            <v>90</v>
          </cell>
          <cell r="M109">
            <v>368</v>
          </cell>
          <cell r="N109">
            <v>372</v>
          </cell>
          <cell r="O109">
            <v>7860</v>
          </cell>
          <cell r="P109">
            <v>1360</v>
          </cell>
          <cell r="Q109">
            <v>500</v>
          </cell>
          <cell r="R109" t="str">
            <v>밴딩</v>
          </cell>
          <cell r="S109" t="str">
            <v>주황</v>
          </cell>
          <cell r="U109">
            <v>39414</v>
          </cell>
          <cell r="V109" t="str">
            <v>삼일금형</v>
          </cell>
          <cell r="W109" t="str">
            <v>기타업체 각인 제거, 각인없음 파랑끈 묶음!</v>
          </cell>
          <cell r="X109" t="str">
            <v>A-0101</v>
          </cell>
          <cell r="Z109">
            <v>5700</v>
          </cell>
          <cell r="AC109" t="str">
            <v>금형없음 쥴릭21호 동일금형</v>
          </cell>
          <cell r="AD109">
            <v>0.9</v>
          </cell>
          <cell r="AE109">
            <v>120</v>
          </cell>
          <cell r="AF109">
            <v>6</v>
          </cell>
        </row>
        <row r="110">
          <cell r="A110" t="str">
            <v>쥴릭21호(40배)</v>
          </cell>
          <cell r="B110" t="str">
            <v>BOX</v>
          </cell>
          <cell r="C110">
            <v>2</v>
          </cell>
          <cell r="D110">
            <v>109</v>
          </cell>
          <cell r="E110">
            <v>1300</v>
          </cell>
          <cell r="F110">
            <v>50</v>
          </cell>
          <cell r="G110" t="str">
            <v>B240NS</v>
          </cell>
          <cell r="H110">
            <v>2</v>
          </cell>
          <cell r="I110">
            <v>2</v>
          </cell>
          <cell r="J110" t="str">
            <v>쥴릭</v>
          </cell>
          <cell r="K110">
            <v>86</v>
          </cell>
          <cell r="L110">
            <v>90</v>
          </cell>
          <cell r="M110">
            <v>368</v>
          </cell>
          <cell r="N110">
            <v>372</v>
          </cell>
          <cell r="O110">
            <v>9000</v>
          </cell>
          <cell r="P110">
            <v>1360</v>
          </cell>
          <cell r="Q110">
            <v>500</v>
          </cell>
          <cell r="R110" t="str">
            <v>밴딩</v>
          </cell>
          <cell r="S110" t="str">
            <v>파랑</v>
          </cell>
          <cell r="U110">
            <v>39414</v>
          </cell>
          <cell r="V110" t="str">
            <v>삼일금형</v>
          </cell>
          <cell r="W110" t="str">
            <v>기타업체 각인 제거, 각인없음 파랑끈 묶음!</v>
          </cell>
          <cell r="X110" t="str">
            <v>A-0101</v>
          </cell>
          <cell r="Z110">
            <v>5700</v>
          </cell>
          <cell r="AC110" t="str">
            <v>금형없음 쥴릭21호 동일금형</v>
          </cell>
          <cell r="AD110">
            <v>0.9</v>
          </cell>
          <cell r="AE110">
            <v>120</v>
          </cell>
          <cell r="AF110">
            <v>15</v>
          </cell>
        </row>
        <row r="111">
          <cell r="A111" t="str">
            <v>쥴릭21호</v>
          </cell>
          <cell r="B111" t="str">
            <v>BOX</v>
          </cell>
          <cell r="C111">
            <v>2</v>
          </cell>
          <cell r="D111">
            <v>120</v>
          </cell>
          <cell r="E111">
            <v>1900</v>
          </cell>
          <cell r="F111">
            <v>36</v>
          </cell>
          <cell r="G111" t="str">
            <v>B240NS</v>
          </cell>
          <cell r="H111">
            <v>2</v>
          </cell>
          <cell r="I111">
            <v>2</v>
          </cell>
          <cell r="J111" t="str">
            <v>쥴릭</v>
          </cell>
          <cell r="K111">
            <v>86</v>
          </cell>
          <cell r="L111">
            <v>90</v>
          </cell>
          <cell r="M111">
            <v>368</v>
          </cell>
          <cell r="N111">
            <v>372</v>
          </cell>
          <cell r="O111">
            <v>10200</v>
          </cell>
          <cell r="P111">
            <v>1360</v>
          </cell>
          <cell r="Q111">
            <v>500</v>
          </cell>
          <cell r="R111" t="str">
            <v>밴딩</v>
          </cell>
          <cell r="S111" t="str">
            <v>밴딩</v>
          </cell>
          <cell r="T111" t="str">
            <v>쥴릭약품상자21호</v>
          </cell>
          <cell r="U111">
            <v>39414</v>
          </cell>
          <cell r="V111" t="str">
            <v>삼일금형</v>
          </cell>
          <cell r="W111" t="str">
            <v>기타업체 각인 제거, 쥴릭각인있음</v>
          </cell>
          <cell r="X111" t="str">
            <v>A-0101</v>
          </cell>
          <cell r="Y111">
            <v>30</v>
          </cell>
          <cell r="Z111">
            <v>5700</v>
          </cell>
          <cell r="AD111">
            <v>0.9</v>
          </cell>
          <cell r="AE111">
            <v>120</v>
          </cell>
          <cell r="AF111">
            <v>15</v>
          </cell>
        </row>
        <row r="112">
          <cell r="A112" t="str">
            <v>중형공기청정기</v>
          </cell>
          <cell r="B112" t="str">
            <v>SET</v>
          </cell>
          <cell r="C112">
            <v>1</v>
          </cell>
          <cell r="D112">
            <v>100</v>
          </cell>
          <cell r="E112">
            <v>971</v>
          </cell>
          <cell r="F112">
            <v>70</v>
          </cell>
          <cell r="G112" t="str">
            <v>SG302</v>
          </cell>
          <cell r="H112">
            <v>3</v>
          </cell>
          <cell r="I112">
            <v>2</v>
          </cell>
          <cell r="J112" t="str">
            <v>청호나이스</v>
          </cell>
          <cell r="K112">
            <v>200</v>
          </cell>
          <cell r="L112">
            <v>204</v>
          </cell>
          <cell r="M112">
            <v>178</v>
          </cell>
          <cell r="N112">
            <v>182</v>
          </cell>
          <cell r="P112">
            <v>1360</v>
          </cell>
          <cell r="Q112">
            <v>300</v>
          </cell>
          <cell r="R112" t="str">
            <v>검정</v>
          </cell>
          <cell r="S112" t="str">
            <v>검정</v>
          </cell>
          <cell r="T112" t="str">
            <v>62-0619/61-0618</v>
          </cell>
          <cell r="U112">
            <v>44431</v>
          </cell>
          <cell r="V112" t="str">
            <v>경원 ENG</v>
          </cell>
          <cell r="Y112">
            <v>60</v>
          </cell>
          <cell r="Z112">
            <v>65692</v>
          </cell>
          <cell r="AC112" t="str">
            <v>석상준과장, 코팅완료, 2022.01.03 개조, 2022.01.25 수정, 2022.02.17 기준중량변경(1095-&gt;1016)</v>
          </cell>
          <cell r="AD112">
            <v>0.85</v>
          </cell>
          <cell r="AF112">
            <v>4</v>
          </cell>
        </row>
        <row r="113">
          <cell r="A113" t="str">
            <v>중국향전용</v>
          </cell>
          <cell r="B113" t="str">
            <v>SET</v>
          </cell>
          <cell r="C113">
            <v>2</v>
          </cell>
          <cell r="D113">
            <v>80</v>
          </cell>
          <cell r="E113">
            <v>290</v>
          </cell>
          <cell r="F113">
            <v>65</v>
          </cell>
          <cell r="G113" t="str">
            <v>B240NS</v>
          </cell>
          <cell r="H113" t="str">
            <v>U:12/L:12</v>
          </cell>
          <cell r="I113">
            <v>2</v>
          </cell>
          <cell r="J113" t="str">
            <v>알토엔대우</v>
          </cell>
          <cell r="K113">
            <v>279</v>
          </cell>
          <cell r="L113">
            <v>284</v>
          </cell>
          <cell r="O113">
            <v>1580</v>
          </cell>
          <cell r="P113">
            <v>1700</v>
          </cell>
          <cell r="Q113">
            <v>350</v>
          </cell>
          <cell r="R113" t="str">
            <v>파랑</v>
          </cell>
          <cell r="S113" t="str">
            <v>파랑</v>
          </cell>
          <cell r="T113" t="str">
            <v>중국향전용</v>
          </cell>
          <cell r="U113">
            <v>42038</v>
          </cell>
          <cell r="V113" t="str">
            <v>이관금형</v>
          </cell>
          <cell r="W113" t="str">
            <v>3311506900/TAC510-30SU/B 후레임 공용</v>
          </cell>
          <cell r="X113" t="str">
            <v>E-0308</v>
          </cell>
          <cell r="Y113">
            <v>45</v>
          </cell>
          <cell r="AC113" t="str">
            <v>김일환계장,2015.03.31사용배율변경50배-&gt;57배 강윤호차장,2015.05.18 CAVITY 1*6에서 2*3으로 변경</v>
          </cell>
          <cell r="AD113">
            <v>0.85</v>
          </cell>
          <cell r="AE113">
            <v>80</v>
          </cell>
          <cell r="AF113">
            <v>8</v>
          </cell>
        </row>
        <row r="114">
          <cell r="A114" t="str">
            <v>죽박스#2</v>
          </cell>
          <cell r="B114" t="str">
            <v>BOX</v>
          </cell>
          <cell r="C114">
            <v>4</v>
          </cell>
          <cell r="D114">
            <v>100</v>
          </cell>
          <cell r="E114">
            <v>85</v>
          </cell>
          <cell r="F114">
            <v>70</v>
          </cell>
          <cell r="G114" t="str">
            <v>B240NS</v>
          </cell>
          <cell r="H114">
            <v>28</v>
          </cell>
          <cell r="I114">
            <v>2</v>
          </cell>
          <cell r="J114" t="str">
            <v>삼일이노팩</v>
          </cell>
          <cell r="K114">
            <v>29</v>
          </cell>
          <cell r="L114">
            <v>31</v>
          </cell>
          <cell r="M114">
            <v>153</v>
          </cell>
          <cell r="N114">
            <v>155</v>
          </cell>
          <cell r="P114">
            <v>1360</v>
          </cell>
          <cell r="Q114">
            <v>250</v>
          </cell>
          <cell r="R114" t="str">
            <v>검정</v>
          </cell>
          <cell r="U114" t="str">
            <v>2023.07.06</v>
          </cell>
          <cell r="V114" t="str">
            <v>아산에서(이관)</v>
          </cell>
          <cell r="AD114">
            <v>0.85</v>
          </cell>
          <cell r="AE114">
            <v>70</v>
          </cell>
        </row>
        <row r="115">
          <cell r="A115" t="str">
            <v>죽박스#2</v>
          </cell>
          <cell r="B115" t="str">
            <v>BOX</v>
          </cell>
          <cell r="C115">
            <v>4</v>
          </cell>
          <cell r="D115">
            <v>100</v>
          </cell>
          <cell r="E115">
            <v>85</v>
          </cell>
          <cell r="F115">
            <v>70</v>
          </cell>
          <cell r="G115" t="str">
            <v>B240NS</v>
          </cell>
          <cell r="H115">
            <v>28</v>
          </cell>
          <cell r="I115">
            <v>2</v>
          </cell>
          <cell r="J115" t="str">
            <v>삼일이노팩</v>
          </cell>
          <cell r="K115">
            <v>23</v>
          </cell>
          <cell r="L115">
            <v>27</v>
          </cell>
          <cell r="M115">
            <v>168</v>
          </cell>
          <cell r="N115">
            <v>172</v>
          </cell>
          <cell r="P115">
            <v>1360</v>
          </cell>
          <cell r="Q115">
            <v>250</v>
          </cell>
          <cell r="R115" t="str">
            <v>검정</v>
          </cell>
          <cell r="U115" t="str">
            <v>2023.07.06</v>
          </cell>
          <cell r="V115" t="str">
            <v>아산에서(이관)</v>
          </cell>
          <cell r="AD115">
            <v>0.85</v>
          </cell>
          <cell r="AE115">
            <v>70</v>
          </cell>
        </row>
        <row r="116">
          <cell r="A116" t="str">
            <v>죽박스</v>
          </cell>
          <cell r="B116" t="str">
            <v>BOX</v>
          </cell>
          <cell r="C116">
            <v>3</v>
          </cell>
          <cell r="D116">
            <v>90</v>
          </cell>
          <cell r="E116">
            <v>82</v>
          </cell>
          <cell r="F116">
            <v>74</v>
          </cell>
          <cell r="G116" t="str">
            <v>B240NS</v>
          </cell>
          <cell r="H116">
            <v>6</v>
          </cell>
          <cell r="I116">
            <v>2</v>
          </cell>
          <cell r="J116" t="str">
            <v>LG생명과학</v>
          </cell>
          <cell r="K116">
            <v>84</v>
          </cell>
          <cell r="L116">
            <v>88</v>
          </cell>
          <cell r="M116">
            <v>242</v>
          </cell>
          <cell r="N116">
            <v>246</v>
          </cell>
          <cell r="O116">
            <v>1590</v>
          </cell>
          <cell r="P116">
            <v>1360</v>
          </cell>
          <cell r="Q116">
            <v>350</v>
          </cell>
          <cell r="R116" t="str">
            <v>비닐</v>
          </cell>
          <cell r="S116" t="str">
            <v>비닐</v>
          </cell>
          <cell r="T116" t="str">
            <v>LG4호박스</v>
          </cell>
          <cell r="U116">
            <v>39595</v>
          </cell>
          <cell r="V116" t="str">
            <v>삼일금형</v>
          </cell>
          <cell r="AA116">
            <v>41263</v>
          </cell>
          <cell r="AB116" t="str">
            <v>아산이피에스</v>
          </cell>
          <cell r="AC116" t="str">
            <v>아산EPS에서 제품입고</v>
          </cell>
          <cell r="AD116">
            <v>0.85</v>
          </cell>
          <cell r="AE116">
            <v>90</v>
          </cell>
          <cell r="AF116">
            <v>8</v>
          </cell>
        </row>
        <row r="117">
          <cell r="A117" t="str">
            <v>주사기보호병-쿠션</v>
          </cell>
          <cell r="B117" t="str">
            <v>SET</v>
          </cell>
          <cell r="C117">
            <v>6</v>
          </cell>
          <cell r="D117">
            <v>100</v>
          </cell>
          <cell r="E117">
            <v>179</v>
          </cell>
          <cell r="F117">
            <v>40</v>
          </cell>
          <cell r="G117" t="str">
            <v>B240NS</v>
          </cell>
          <cell r="H117">
            <v>1</v>
          </cell>
          <cell r="I117">
            <v>1</v>
          </cell>
          <cell r="J117" t="str">
            <v>우리하이테크</v>
          </cell>
          <cell r="P117">
            <v>1360</v>
          </cell>
          <cell r="Q117">
            <v>200</v>
          </cell>
          <cell r="U117">
            <v>45481</v>
          </cell>
          <cell r="V117" t="str">
            <v>금형사업부</v>
          </cell>
          <cell r="AD117">
            <v>0.85</v>
          </cell>
        </row>
        <row r="118">
          <cell r="A118" t="str">
            <v>주사기보호병-쿠션</v>
          </cell>
          <cell r="B118" t="str">
            <v>SET</v>
          </cell>
          <cell r="C118">
            <v>6</v>
          </cell>
          <cell r="D118">
            <v>100</v>
          </cell>
          <cell r="E118">
            <v>179</v>
          </cell>
          <cell r="F118">
            <v>40</v>
          </cell>
          <cell r="G118" t="str">
            <v>B240NS</v>
          </cell>
          <cell r="H118">
            <v>1</v>
          </cell>
          <cell r="I118">
            <v>1</v>
          </cell>
          <cell r="J118" t="str">
            <v>우리하이테크</v>
          </cell>
          <cell r="P118">
            <v>1360</v>
          </cell>
          <cell r="Q118">
            <v>200</v>
          </cell>
          <cell r="U118">
            <v>45481</v>
          </cell>
          <cell r="V118" t="str">
            <v>금형사업부</v>
          </cell>
        </row>
        <row r="119">
          <cell r="A119" t="str">
            <v>주공단열재</v>
          </cell>
          <cell r="B119" t="str">
            <v>회색</v>
          </cell>
          <cell r="C119">
            <v>1</v>
          </cell>
          <cell r="D119">
            <v>100</v>
          </cell>
          <cell r="E119">
            <v>1000</v>
          </cell>
          <cell r="F119">
            <v>24</v>
          </cell>
          <cell r="G119" t="str">
            <v>ZP2500</v>
          </cell>
          <cell r="H119">
            <v>1</v>
          </cell>
          <cell r="I119">
            <v>1</v>
          </cell>
          <cell r="J119" t="str">
            <v>삼일이노팩</v>
          </cell>
          <cell r="O119">
            <v>4200</v>
          </cell>
          <cell r="P119">
            <v>1360</v>
          </cell>
          <cell r="Q119">
            <v>150</v>
          </cell>
          <cell r="S119">
            <v>0</v>
          </cell>
          <cell r="T119" t="str">
            <v>주공단열재(10/15)</v>
          </cell>
          <cell r="U119">
            <v>40313</v>
          </cell>
          <cell r="V119" t="str">
            <v>석산</v>
          </cell>
          <cell r="X119" t="str">
            <v>계양리 K-3</v>
          </cell>
          <cell r="AD119">
            <v>0.85</v>
          </cell>
          <cell r="AE119">
            <v>70</v>
          </cell>
          <cell r="AF119">
            <v>4</v>
          </cell>
        </row>
        <row r="120">
          <cell r="A120" t="str">
            <v>종합3호(회색40배)</v>
          </cell>
          <cell r="B120" t="str">
            <v>회색</v>
          </cell>
          <cell r="C120">
            <v>3</v>
          </cell>
          <cell r="D120">
            <v>80</v>
          </cell>
          <cell r="E120">
            <v>195</v>
          </cell>
          <cell r="F120">
            <v>48</v>
          </cell>
          <cell r="G120" t="str">
            <v>ZP2500</v>
          </cell>
          <cell r="H120">
            <v>14</v>
          </cell>
          <cell r="I120">
            <v>2</v>
          </cell>
          <cell r="J120" t="str">
            <v>중부스치로폼</v>
          </cell>
          <cell r="K120">
            <v>53</v>
          </cell>
          <cell r="L120">
            <v>57</v>
          </cell>
          <cell r="M120">
            <v>98</v>
          </cell>
          <cell r="N120">
            <v>102</v>
          </cell>
          <cell r="O120">
            <v>1170</v>
          </cell>
          <cell r="P120">
            <v>1360</v>
          </cell>
          <cell r="Q120">
            <v>200</v>
          </cell>
          <cell r="R120" t="str">
            <v>보라</v>
          </cell>
          <cell r="S120" t="str">
            <v>보라</v>
          </cell>
          <cell r="T120" t="str">
            <v>종합3호</v>
          </cell>
          <cell r="U120">
            <v>41991</v>
          </cell>
          <cell r="V120" t="str">
            <v>금형제조부</v>
          </cell>
          <cell r="W120" t="str">
            <v>적색무타공비닐포장</v>
          </cell>
          <cell r="Y120">
            <v>62</v>
          </cell>
          <cell r="Z120">
            <v>8972</v>
          </cell>
          <cell r="AC120" t="str">
            <v>종합3호 금형동일2015.07.24</v>
          </cell>
          <cell r="AD120">
            <v>0.85</v>
          </cell>
          <cell r="AE120">
            <v>80</v>
          </cell>
          <cell r="AF120">
            <v>1</v>
          </cell>
        </row>
        <row r="121">
          <cell r="A121" t="str">
            <v>종합3호(50배)</v>
          </cell>
          <cell r="B121" t="str">
            <v>BOX</v>
          </cell>
          <cell r="C121">
            <v>3</v>
          </cell>
          <cell r="D121">
            <v>80</v>
          </cell>
          <cell r="E121">
            <v>179</v>
          </cell>
          <cell r="F121">
            <v>62</v>
          </cell>
          <cell r="G121" t="str">
            <v>SE2500M</v>
          </cell>
          <cell r="H121">
            <v>14</v>
          </cell>
          <cell r="I121">
            <v>2</v>
          </cell>
          <cell r="J121" t="str">
            <v>중부스치로폼</v>
          </cell>
          <cell r="K121">
            <v>53</v>
          </cell>
          <cell r="L121">
            <v>57</v>
          </cell>
          <cell r="M121">
            <v>98</v>
          </cell>
          <cell r="N121">
            <v>102</v>
          </cell>
          <cell r="O121">
            <v>750</v>
          </cell>
          <cell r="P121">
            <v>1360</v>
          </cell>
          <cell r="Q121">
            <v>200</v>
          </cell>
          <cell r="T121" t="str">
            <v>종합3호</v>
          </cell>
          <cell r="U121">
            <v>41991</v>
          </cell>
          <cell r="V121" t="str">
            <v>금형제조부</v>
          </cell>
          <cell r="X121" t="str">
            <v>A-0305</v>
          </cell>
          <cell r="Y121">
            <v>50</v>
          </cell>
          <cell r="Z121">
            <v>8972</v>
          </cell>
          <cell r="AC121" t="str">
            <v>종합3호 금형동일2020.03.17</v>
          </cell>
          <cell r="AD121">
            <v>0.85</v>
          </cell>
          <cell r="AE121">
            <v>65</v>
          </cell>
          <cell r="AF121">
            <v>1</v>
          </cell>
        </row>
        <row r="122">
          <cell r="A122" t="str">
            <v>종합3호#2</v>
          </cell>
          <cell r="B122" t="str">
            <v>BOX</v>
          </cell>
          <cell r="C122">
            <v>3</v>
          </cell>
          <cell r="D122">
            <v>55</v>
          </cell>
          <cell r="E122">
            <v>150</v>
          </cell>
          <cell r="F122">
            <v>74</v>
          </cell>
          <cell r="G122" t="str">
            <v>SE2500M</v>
          </cell>
          <cell r="H122">
            <v>14</v>
          </cell>
          <cell r="I122">
            <v>2</v>
          </cell>
          <cell r="J122" t="str">
            <v>중부스치로폼</v>
          </cell>
          <cell r="K122">
            <v>53</v>
          </cell>
          <cell r="L122">
            <v>57</v>
          </cell>
          <cell r="M122">
            <v>102</v>
          </cell>
          <cell r="N122">
            <v>106</v>
          </cell>
          <cell r="O122">
            <v>750</v>
          </cell>
          <cell r="P122">
            <v>1360</v>
          </cell>
          <cell r="Q122">
            <v>200</v>
          </cell>
          <cell r="R122" t="str">
            <v>녹색</v>
          </cell>
          <cell r="S122" t="str">
            <v>녹색</v>
          </cell>
          <cell r="T122" t="str">
            <v>종합3호</v>
          </cell>
          <cell r="U122">
            <v>44306</v>
          </cell>
          <cell r="V122" t="str">
            <v>금형사업부</v>
          </cell>
          <cell r="W122" t="str">
            <v>적색무타공비닐,몸통수축주의!</v>
          </cell>
          <cell r="X122" t="str">
            <v>A-0305</v>
          </cell>
          <cell r="Y122">
            <v>62</v>
          </cell>
          <cell r="Z122">
            <v>8972</v>
          </cell>
          <cell r="AC122" t="str">
            <v>김영석사원,금형 삼일자산</v>
          </cell>
          <cell r="AD122">
            <v>0.85</v>
          </cell>
          <cell r="AE122">
            <v>75</v>
          </cell>
          <cell r="AF122">
            <v>6</v>
          </cell>
        </row>
        <row r="123">
          <cell r="A123" t="str">
            <v>종합2호(회색40배)</v>
          </cell>
          <cell r="B123" t="str">
            <v>회색</v>
          </cell>
          <cell r="C123">
            <v>3</v>
          </cell>
          <cell r="D123">
            <v>120</v>
          </cell>
          <cell r="E123">
            <v>242</v>
          </cell>
          <cell r="F123">
            <v>48</v>
          </cell>
          <cell r="G123" t="str">
            <v>ZP2500</v>
          </cell>
          <cell r="H123">
            <v>12</v>
          </cell>
          <cell r="I123">
            <v>2</v>
          </cell>
          <cell r="J123" t="str">
            <v>중부스치로폼</v>
          </cell>
          <cell r="K123">
            <v>83</v>
          </cell>
          <cell r="L123">
            <v>87</v>
          </cell>
          <cell r="M123">
            <v>83</v>
          </cell>
          <cell r="N123">
            <v>87</v>
          </cell>
          <cell r="O123">
            <v>1250</v>
          </cell>
          <cell r="P123">
            <v>1360</v>
          </cell>
          <cell r="Q123">
            <v>200</v>
          </cell>
          <cell r="R123" t="str">
            <v>검정</v>
          </cell>
          <cell r="S123" t="str">
            <v>검정</v>
          </cell>
          <cell r="T123" t="str">
            <v>종합2호</v>
          </cell>
          <cell r="U123">
            <v>41843</v>
          </cell>
          <cell r="V123" t="str">
            <v>대영기계</v>
          </cell>
          <cell r="W123" t="str">
            <v>적색무타공비닐포장</v>
          </cell>
          <cell r="Y123">
            <v>40</v>
          </cell>
          <cell r="Z123">
            <v>9581</v>
          </cell>
          <cell r="AC123" t="str">
            <v>종합2호 금형동일2014.12.12묶음단위변경(10-&gt;12)</v>
          </cell>
          <cell r="AD123">
            <v>0.85</v>
          </cell>
          <cell r="AE123">
            <v>80</v>
          </cell>
        </row>
        <row r="124">
          <cell r="A124" t="str">
            <v>종합2호</v>
          </cell>
          <cell r="B124" t="str">
            <v>BOX</v>
          </cell>
          <cell r="C124">
            <v>3</v>
          </cell>
          <cell r="D124">
            <v>62</v>
          </cell>
          <cell r="E124">
            <v>176</v>
          </cell>
          <cell r="F124">
            <v>74</v>
          </cell>
          <cell r="G124" t="str">
            <v>SE2500M</v>
          </cell>
          <cell r="H124">
            <v>12</v>
          </cell>
          <cell r="I124">
            <v>2</v>
          </cell>
          <cell r="J124" t="str">
            <v>중부스치로폼</v>
          </cell>
          <cell r="K124">
            <v>83</v>
          </cell>
          <cell r="L124">
            <v>87</v>
          </cell>
          <cell r="M124">
            <v>83</v>
          </cell>
          <cell r="N124">
            <v>87</v>
          </cell>
          <cell r="O124">
            <v>880</v>
          </cell>
          <cell r="P124">
            <v>1360</v>
          </cell>
          <cell r="Q124">
            <v>200</v>
          </cell>
          <cell r="R124" t="str">
            <v>검정</v>
          </cell>
          <cell r="S124" t="str">
            <v>검정</v>
          </cell>
          <cell r="T124" t="str">
            <v>종합2호</v>
          </cell>
          <cell r="U124">
            <v>41843</v>
          </cell>
          <cell r="V124" t="str">
            <v>대영기계</v>
          </cell>
          <cell r="W124" t="str">
            <v>적색무타공비닐포장</v>
          </cell>
          <cell r="X124" t="str">
            <v>E-0506</v>
          </cell>
          <cell r="Y124">
            <v>60</v>
          </cell>
          <cell r="Z124">
            <v>9581</v>
          </cell>
          <cell r="AC124" t="str">
            <v>조우리사원,끈색변경(노랑-&gt;검정)2014.08.062014.12.01코팅완료2014.12.12묶음단위변경(10-&gt;12),2015.01.07 승인중량(160-&gt;156),2015.03.10승인중량변경(156-&gt;176),,업체승인중량으로 중량관리</v>
          </cell>
          <cell r="AD124">
            <v>0.85</v>
          </cell>
          <cell r="AE124">
            <v>70</v>
          </cell>
        </row>
        <row r="125">
          <cell r="A125" t="str">
            <v>종합1호(회색40배)</v>
          </cell>
          <cell r="B125" t="str">
            <v>회색</v>
          </cell>
          <cell r="C125">
            <v>3</v>
          </cell>
          <cell r="D125">
            <v>80</v>
          </cell>
          <cell r="E125">
            <v>226</v>
          </cell>
          <cell r="F125">
            <v>48</v>
          </cell>
          <cell r="G125" t="str">
            <v>ZP2500</v>
          </cell>
          <cell r="H125">
            <v>14</v>
          </cell>
          <cell r="I125">
            <v>2</v>
          </cell>
          <cell r="J125" t="str">
            <v>중부스치로폼</v>
          </cell>
          <cell r="K125">
            <v>50</v>
          </cell>
          <cell r="L125">
            <v>54</v>
          </cell>
          <cell r="M125">
            <v>91</v>
          </cell>
          <cell r="N125">
            <v>95</v>
          </cell>
          <cell r="O125">
            <v>1150</v>
          </cell>
          <cell r="P125">
            <v>1360</v>
          </cell>
          <cell r="Q125">
            <v>200</v>
          </cell>
          <cell r="R125" t="str">
            <v>주황</v>
          </cell>
          <cell r="S125" t="str">
            <v>주황</v>
          </cell>
          <cell r="T125" t="str">
            <v>종합1호</v>
          </cell>
          <cell r="U125">
            <v>41857</v>
          </cell>
          <cell r="V125" t="str">
            <v>대영기계</v>
          </cell>
          <cell r="W125" t="str">
            <v>적색무타공비닐포장</v>
          </cell>
          <cell r="Y125">
            <v>40</v>
          </cell>
          <cell r="Z125">
            <v>9034</v>
          </cell>
          <cell r="AC125" t="str">
            <v>종합1호 금형동일2014.12.18묶음단위변경(10-&gt;14)</v>
          </cell>
          <cell r="AD125">
            <v>0.85</v>
          </cell>
          <cell r="AE125">
            <v>80</v>
          </cell>
          <cell r="AF125">
            <v>6</v>
          </cell>
        </row>
        <row r="126">
          <cell r="A126" t="str">
            <v>종합1호</v>
          </cell>
          <cell r="B126" t="str">
            <v>BOX</v>
          </cell>
          <cell r="C126">
            <v>3</v>
          </cell>
          <cell r="D126">
            <v>70</v>
          </cell>
          <cell r="E126">
            <v>151</v>
          </cell>
          <cell r="F126">
            <v>74</v>
          </cell>
          <cell r="G126" t="str">
            <v>SE2500M</v>
          </cell>
          <cell r="H126">
            <v>14</v>
          </cell>
          <cell r="I126">
            <v>2</v>
          </cell>
          <cell r="J126" t="str">
            <v>중부스치로폼</v>
          </cell>
          <cell r="K126">
            <v>50</v>
          </cell>
          <cell r="L126">
            <v>54</v>
          </cell>
          <cell r="M126">
            <v>91</v>
          </cell>
          <cell r="N126">
            <v>95</v>
          </cell>
          <cell r="O126">
            <v>650</v>
          </cell>
          <cell r="P126">
            <v>1360</v>
          </cell>
          <cell r="Q126">
            <v>200</v>
          </cell>
          <cell r="R126" t="str">
            <v>주황</v>
          </cell>
          <cell r="S126" t="str">
            <v>주황</v>
          </cell>
          <cell r="T126" t="str">
            <v>종합1호</v>
          </cell>
          <cell r="U126">
            <v>41857</v>
          </cell>
          <cell r="V126" t="str">
            <v>대영기계</v>
          </cell>
          <cell r="W126" t="str">
            <v>적색무타공비닐포장</v>
          </cell>
          <cell r="X126" t="str">
            <v>A-1004</v>
          </cell>
          <cell r="Y126">
            <v>62</v>
          </cell>
          <cell r="Z126">
            <v>9034</v>
          </cell>
          <cell r="AC126" t="str">
            <v>조우리사원2014.12.01기준배율변경(60-62)2014.12.01코팅완료2014.12.18묶음단위변경(10-&gt;14),2015.01.07 승인중량변경(146-&gt;127),2015.03.10승인중량변경(127-&gt;166)2023.08.29중량166→151변경</v>
          </cell>
          <cell r="AD126">
            <v>0.85</v>
          </cell>
          <cell r="AE126">
            <v>70</v>
          </cell>
          <cell r="AF126">
            <v>6</v>
          </cell>
        </row>
        <row r="127">
          <cell r="A127" t="str">
            <v>종이박스</v>
          </cell>
          <cell r="B127" t="str">
            <v>PAD</v>
          </cell>
          <cell r="E127">
            <v>0</v>
          </cell>
          <cell r="J127" t="str">
            <v>삼성기흥</v>
          </cell>
          <cell r="O127">
            <v>2400</v>
          </cell>
        </row>
        <row r="128">
          <cell r="A128" t="str">
            <v>제습기용</v>
          </cell>
          <cell r="B128" t="str">
            <v>SET</v>
          </cell>
          <cell r="C128">
            <v>2</v>
          </cell>
          <cell r="D128">
            <v>80</v>
          </cell>
          <cell r="E128">
            <v>580</v>
          </cell>
          <cell r="F128">
            <v>58</v>
          </cell>
          <cell r="G128" t="str">
            <v>B240NS</v>
          </cell>
          <cell r="H128">
            <v>1</v>
          </cell>
          <cell r="I128">
            <v>2</v>
          </cell>
          <cell r="J128" t="str">
            <v>가야</v>
          </cell>
          <cell r="K128">
            <v>88</v>
          </cell>
          <cell r="L128">
            <v>92</v>
          </cell>
          <cell r="M128">
            <v>103</v>
          </cell>
          <cell r="N128">
            <v>107</v>
          </cell>
          <cell r="P128">
            <v>1360</v>
          </cell>
          <cell r="Q128">
            <v>200</v>
          </cell>
          <cell r="U128">
            <v>44154</v>
          </cell>
          <cell r="V128" t="str">
            <v>금형사업부</v>
          </cell>
          <cell r="Y128">
            <v>44</v>
          </cell>
          <cell r="AC128" t="str">
            <v>석상준과장</v>
          </cell>
          <cell r="AD128">
            <v>0.85</v>
          </cell>
        </row>
        <row r="129">
          <cell r="A129" t="str">
            <v>제습기-CUSHION</v>
          </cell>
          <cell r="B129" t="str">
            <v>SET</v>
          </cell>
          <cell r="C129">
            <v>2</v>
          </cell>
          <cell r="D129">
            <v>80</v>
          </cell>
          <cell r="E129">
            <v>397</v>
          </cell>
          <cell r="F129">
            <v>50</v>
          </cell>
          <cell r="G129" t="str">
            <v>B240NS</v>
          </cell>
          <cell r="H129" t="str">
            <v>T:10 B:10</v>
          </cell>
          <cell r="I129">
            <v>2</v>
          </cell>
          <cell r="J129" t="str">
            <v>가야</v>
          </cell>
          <cell r="K129">
            <v>88</v>
          </cell>
          <cell r="L129">
            <v>92</v>
          </cell>
          <cell r="M129">
            <v>103</v>
          </cell>
          <cell r="N129">
            <v>107</v>
          </cell>
          <cell r="P129">
            <v>1360</v>
          </cell>
          <cell r="Q129">
            <v>200</v>
          </cell>
          <cell r="R129" t="str">
            <v>녹색</v>
          </cell>
          <cell r="S129" t="str">
            <v>녹색</v>
          </cell>
          <cell r="U129">
            <v>44154</v>
          </cell>
          <cell r="V129" t="str">
            <v>금형사업부</v>
          </cell>
          <cell r="Y129">
            <v>40</v>
          </cell>
          <cell r="Z129">
            <v>17485</v>
          </cell>
          <cell r="AC129" t="str">
            <v>석상준과장, 2021.01.14 개조(기준중량변경(580-397)</v>
          </cell>
          <cell r="AD129">
            <v>0.85</v>
          </cell>
          <cell r="AF129">
            <v>4</v>
          </cell>
        </row>
        <row r="130">
          <cell r="A130" t="str">
            <v>제습기-CUSHION</v>
          </cell>
          <cell r="B130" t="str">
            <v>SET</v>
          </cell>
          <cell r="C130">
            <v>2</v>
          </cell>
          <cell r="D130">
            <v>80</v>
          </cell>
          <cell r="E130">
            <v>397</v>
          </cell>
          <cell r="F130">
            <v>58</v>
          </cell>
          <cell r="G130" t="str">
            <v>SG302AN</v>
          </cell>
          <cell r="H130">
            <v>5</v>
          </cell>
          <cell r="I130">
            <v>2</v>
          </cell>
          <cell r="J130" t="str">
            <v>가야</v>
          </cell>
          <cell r="K130">
            <v>88</v>
          </cell>
          <cell r="L130">
            <v>92</v>
          </cell>
          <cell r="M130">
            <v>103</v>
          </cell>
          <cell r="N130">
            <v>107</v>
          </cell>
          <cell r="P130">
            <v>1360</v>
          </cell>
          <cell r="Q130">
            <v>200</v>
          </cell>
          <cell r="R130" t="str">
            <v>녹색</v>
          </cell>
          <cell r="S130" t="str">
            <v>녹색</v>
          </cell>
          <cell r="U130">
            <v>44154</v>
          </cell>
          <cell r="V130" t="str">
            <v>금형사업부</v>
          </cell>
          <cell r="Y130">
            <v>44</v>
          </cell>
          <cell r="Z130">
            <v>17485</v>
          </cell>
          <cell r="AC130" t="str">
            <v>석상준과장, 2021.01.14 개조(기준중량변경(580-397)</v>
          </cell>
          <cell r="AD130">
            <v>0.85</v>
          </cell>
        </row>
        <row r="131">
          <cell r="A131" t="str">
            <v>젖병소독기</v>
          </cell>
          <cell r="B131" t="str">
            <v>SET</v>
          </cell>
          <cell r="C131">
            <v>4</v>
          </cell>
          <cell r="D131">
            <v>100</v>
          </cell>
          <cell r="E131">
            <v>150</v>
          </cell>
          <cell r="F131">
            <v>74</v>
          </cell>
          <cell r="G131" t="str">
            <v>B240NS</v>
          </cell>
          <cell r="H131">
            <v>5</v>
          </cell>
          <cell r="I131">
            <v>2</v>
          </cell>
          <cell r="J131" t="str">
            <v>빌엘퓨리티</v>
          </cell>
          <cell r="P131">
            <v>1360</v>
          </cell>
          <cell r="Q131">
            <v>200</v>
          </cell>
          <cell r="R131" t="str">
            <v>파랑</v>
          </cell>
          <cell r="U131">
            <v>45484</v>
          </cell>
          <cell r="V131" t="str">
            <v>이관금형</v>
          </cell>
          <cell r="AD131">
            <v>0.85</v>
          </cell>
        </row>
        <row r="132">
          <cell r="A132" t="str">
            <v>젖병소독기</v>
          </cell>
          <cell r="B132" t="str">
            <v>SET</v>
          </cell>
          <cell r="C132">
            <v>4</v>
          </cell>
          <cell r="D132">
            <v>100</v>
          </cell>
          <cell r="E132">
            <v>135</v>
          </cell>
          <cell r="F132">
            <v>60</v>
          </cell>
          <cell r="G132" t="str">
            <v>B240NS</v>
          </cell>
          <cell r="H132">
            <v>5</v>
          </cell>
          <cell r="I132">
            <v>2</v>
          </cell>
          <cell r="J132" t="str">
            <v>빌엘퓨리티</v>
          </cell>
          <cell r="P132">
            <v>1360</v>
          </cell>
          <cell r="Q132">
            <v>200</v>
          </cell>
          <cell r="R132" t="str">
            <v>파랑</v>
          </cell>
          <cell r="U132">
            <v>45484</v>
          </cell>
          <cell r="V132" t="str">
            <v>이관금형</v>
          </cell>
        </row>
        <row r="133">
          <cell r="A133" t="str">
            <v>정육6구(회색40배)</v>
          </cell>
          <cell r="B133" t="str">
            <v>회색</v>
          </cell>
          <cell r="C133">
            <v>2</v>
          </cell>
          <cell r="D133">
            <v>100</v>
          </cell>
          <cell r="E133">
            <v>374</v>
          </cell>
          <cell r="F133">
            <v>48</v>
          </cell>
          <cell r="G133" t="str">
            <v>ZP2500</v>
          </cell>
          <cell r="H133">
            <v>6</v>
          </cell>
          <cell r="I133">
            <v>2</v>
          </cell>
          <cell r="J133" t="str">
            <v>중부스치로폼</v>
          </cell>
          <cell r="K133">
            <v>83</v>
          </cell>
          <cell r="L133">
            <v>87</v>
          </cell>
          <cell r="M133">
            <v>90</v>
          </cell>
          <cell r="N133">
            <v>94</v>
          </cell>
          <cell r="O133">
            <v>1100</v>
          </cell>
          <cell r="P133">
            <v>1360</v>
          </cell>
          <cell r="Q133">
            <v>200</v>
          </cell>
          <cell r="R133" t="str">
            <v>흰색</v>
          </cell>
          <cell r="S133" t="str">
            <v>흰색</v>
          </cell>
          <cell r="T133" t="str">
            <v>정육6구동일금형</v>
          </cell>
          <cell r="U133">
            <v>42156</v>
          </cell>
          <cell r="V133" t="str">
            <v>금형제조부</v>
          </cell>
          <cell r="W133" t="str">
            <v>적색무타공비닐포장</v>
          </cell>
          <cell r="Y133">
            <v>40</v>
          </cell>
          <cell r="Z133">
            <v>14987</v>
          </cell>
          <cell r="AC133" t="str">
            <v>김창준과장2015.8.10수정입고, 2020.12.15묶음단위변경(10-&gt;6)</v>
          </cell>
          <cell r="AD133">
            <v>0.85</v>
          </cell>
          <cell r="AE133">
            <v>60</v>
          </cell>
          <cell r="AF133">
            <v>0</v>
          </cell>
        </row>
        <row r="134">
          <cell r="A134" t="str">
            <v>정육6구</v>
          </cell>
          <cell r="B134" t="str">
            <v>BOX</v>
          </cell>
          <cell r="C134">
            <v>2</v>
          </cell>
          <cell r="D134">
            <v>60</v>
          </cell>
          <cell r="E134">
            <v>250</v>
          </cell>
          <cell r="F134">
            <v>74</v>
          </cell>
          <cell r="G134" t="str">
            <v>SE2500M</v>
          </cell>
          <cell r="H134">
            <v>6</v>
          </cell>
          <cell r="I134">
            <v>2</v>
          </cell>
          <cell r="J134" t="str">
            <v>중부스치로폼</v>
          </cell>
          <cell r="K134">
            <v>83</v>
          </cell>
          <cell r="L134">
            <v>87</v>
          </cell>
          <cell r="M134">
            <v>90</v>
          </cell>
          <cell r="N134">
            <v>94</v>
          </cell>
          <cell r="O134">
            <v>1100</v>
          </cell>
          <cell r="P134">
            <v>1360</v>
          </cell>
          <cell r="Q134">
            <v>200</v>
          </cell>
          <cell r="R134" t="str">
            <v>노랑</v>
          </cell>
          <cell r="S134" t="str">
            <v>노랑</v>
          </cell>
          <cell r="T134" t="str">
            <v>정육6구</v>
          </cell>
          <cell r="U134">
            <v>42156</v>
          </cell>
          <cell r="V134" t="str">
            <v>금형제조부</v>
          </cell>
          <cell r="W134" t="str">
            <v>적색무타공비닐포장</v>
          </cell>
          <cell r="X134" t="str">
            <v>D-0503</v>
          </cell>
          <cell r="Y134">
            <v>60</v>
          </cell>
          <cell r="Z134">
            <v>14987</v>
          </cell>
          <cell r="AC134" t="str">
            <v>김창준과장2015.8.10수정입고, 2020.12.15묶음단위변경(10-&gt;6)</v>
          </cell>
          <cell r="AD134">
            <v>0.85</v>
          </cell>
          <cell r="AE134">
            <v>80</v>
          </cell>
          <cell r="AF134">
            <v>4</v>
          </cell>
        </row>
        <row r="135">
          <cell r="A135" t="str">
            <v>정육5구(회색40배)</v>
          </cell>
          <cell r="B135" t="str">
            <v>회색</v>
          </cell>
          <cell r="C135">
            <v>3</v>
          </cell>
          <cell r="D135">
            <v>70</v>
          </cell>
          <cell r="E135">
            <v>267</v>
          </cell>
          <cell r="F135">
            <v>48</v>
          </cell>
          <cell r="G135" t="str">
            <v>ZP2500</v>
          </cell>
          <cell r="H135">
            <v>14</v>
          </cell>
          <cell r="I135">
            <v>2</v>
          </cell>
          <cell r="J135" t="str">
            <v>중부스치로폼</v>
          </cell>
          <cell r="K135">
            <v>73</v>
          </cell>
          <cell r="L135">
            <v>77</v>
          </cell>
          <cell r="M135">
            <v>73</v>
          </cell>
          <cell r="N135">
            <v>77</v>
          </cell>
          <cell r="O135">
            <v>1380</v>
          </cell>
          <cell r="P135">
            <v>1500</v>
          </cell>
          <cell r="Q135">
            <v>200</v>
          </cell>
          <cell r="R135" t="str">
            <v>노랑</v>
          </cell>
          <cell r="S135" t="str">
            <v>노랑</v>
          </cell>
          <cell r="T135" t="str">
            <v>정육5구</v>
          </cell>
          <cell r="U135">
            <v>41836</v>
          </cell>
          <cell r="V135" t="str">
            <v>금형제조부</v>
          </cell>
          <cell r="W135" t="str">
            <v>적색무타공비닐포장,직가래3개설치</v>
          </cell>
          <cell r="Y135">
            <v>40</v>
          </cell>
          <cell r="Z135">
            <v>10696</v>
          </cell>
          <cell r="AC135" t="str">
            <v>정육5구 금형동일2014.12.18묶음단위변경(10-&gt;14)</v>
          </cell>
          <cell r="AD135">
            <v>0.85</v>
          </cell>
          <cell r="AE135">
            <v>70</v>
          </cell>
          <cell r="AF135">
            <v>8</v>
          </cell>
        </row>
        <row r="136">
          <cell r="A136" t="str">
            <v>정육5구</v>
          </cell>
          <cell r="B136" t="str">
            <v>BOX</v>
          </cell>
          <cell r="C136">
            <v>3</v>
          </cell>
          <cell r="D136">
            <v>80</v>
          </cell>
          <cell r="E136">
            <v>192</v>
          </cell>
          <cell r="F136">
            <v>74</v>
          </cell>
          <cell r="G136" t="str">
            <v>SE2500M</v>
          </cell>
          <cell r="H136">
            <v>14</v>
          </cell>
          <cell r="I136">
            <v>2</v>
          </cell>
          <cell r="J136" t="str">
            <v>중부스치로폼</v>
          </cell>
          <cell r="K136">
            <v>73</v>
          </cell>
          <cell r="L136">
            <v>77</v>
          </cell>
          <cell r="M136">
            <v>73</v>
          </cell>
          <cell r="N136">
            <v>77</v>
          </cell>
          <cell r="O136">
            <v>770</v>
          </cell>
          <cell r="P136">
            <v>1500</v>
          </cell>
          <cell r="Q136">
            <v>200</v>
          </cell>
          <cell r="R136" t="str">
            <v>노랑</v>
          </cell>
          <cell r="S136" t="str">
            <v>노랑</v>
          </cell>
          <cell r="T136" t="str">
            <v>정육5구</v>
          </cell>
          <cell r="U136">
            <v>41836</v>
          </cell>
          <cell r="V136" t="str">
            <v>금형제조부</v>
          </cell>
          <cell r="W136" t="str">
            <v>적색무타공비닐포장,직가래3개설치</v>
          </cell>
          <cell r="X136" t="str">
            <v>E-0505</v>
          </cell>
          <cell r="Y136">
            <v>62</v>
          </cell>
          <cell r="Z136">
            <v>10696</v>
          </cell>
          <cell r="AC136" t="str">
            <v>석상준대리,코팅완료, 2014.09.15기준중량변경(178-&gt;175)2014.12.01기준중량,기준배율변경(175-172,60-62)2014.11.27수정2014.12.18묶음단위변경(10-&gt;14),2015.01.07 승인중량(172),2015.03.10승인중량변경(172-&gt;192)</v>
          </cell>
          <cell r="AD136">
            <v>0.9</v>
          </cell>
          <cell r="AE136">
            <v>80</v>
          </cell>
          <cell r="AF136">
            <v>8</v>
          </cell>
        </row>
        <row r="137">
          <cell r="A137" t="str">
            <v>정육4구(회색40배)</v>
          </cell>
          <cell r="B137" t="str">
            <v>회색</v>
          </cell>
          <cell r="C137">
            <v>4</v>
          </cell>
          <cell r="D137">
            <v>100</v>
          </cell>
          <cell r="E137">
            <v>222</v>
          </cell>
          <cell r="F137">
            <v>48</v>
          </cell>
          <cell r="G137" t="str">
            <v>ZP2500</v>
          </cell>
          <cell r="H137">
            <v>14</v>
          </cell>
          <cell r="I137">
            <v>2</v>
          </cell>
          <cell r="J137" t="str">
            <v>중부스치로폼</v>
          </cell>
          <cell r="K137">
            <v>73</v>
          </cell>
          <cell r="L137">
            <v>77</v>
          </cell>
          <cell r="M137">
            <v>73</v>
          </cell>
          <cell r="N137">
            <v>77</v>
          </cell>
          <cell r="O137">
            <v>1150</v>
          </cell>
          <cell r="P137">
            <v>1500</v>
          </cell>
          <cell r="Q137">
            <v>200</v>
          </cell>
          <cell r="R137" t="str">
            <v>보라</v>
          </cell>
          <cell r="S137" t="str">
            <v>보라</v>
          </cell>
          <cell r="T137" t="str">
            <v xml:space="preserve"> 정육4구</v>
          </cell>
          <cell r="U137">
            <v>41835</v>
          </cell>
          <cell r="V137" t="str">
            <v>금형제조부</v>
          </cell>
          <cell r="Y137">
            <v>40</v>
          </cell>
          <cell r="Z137">
            <v>8887</v>
          </cell>
          <cell r="AC137" t="str">
            <v>정육4구 금형동일2014.12.15묶음단위변경(10-&gt;14)</v>
          </cell>
          <cell r="AD137">
            <v>0.85</v>
          </cell>
          <cell r="AE137">
            <v>90</v>
          </cell>
          <cell r="AF137">
            <v>6</v>
          </cell>
        </row>
        <row r="138">
          <cell r="A138" t="str">
            <v>정육4구</v>
          </cell>
          <cell r="B138" t="str">
            <v>BOX</v>
          </cell>
          <cell r="C138">
            <v>4</v>
          </cell>
          <cell r="D138">
            <v>75</v>
          </cell>
          <cell r="E138">
            <v>155</v>
          </cell>
          <cell r="F138">
            <v>74</v>
          </cell>
          <cell r="G138" t="str">
            <v>SE2500M</v>
          </cell>
          <cell r="H138">
            <v>14</v>
          </cell>
          <cell r="I138">
            <v>2</v>
          </cell>
          <cell r="J138" t="str">
            <v>중부스치로폼</v>
          </cell>
          <cell r="K138">
            <v>73</v>
          </cell>
          <cell r="L138">
            <v>77</v>
          </cell>
          <cell r="M138">
            <v>73</v>
          </cell>
          <cell r="N138">
            <v>77</v>
          </cell>
          <cell r="O138">
            <v>635</v>
          </cell>
          <cell r="P138">
            <v>1500</v>
          </cell>
          <cell r="Q138">
            <v>200</v>
          </cell>
          <cell r="R138" t="str">
            <v>보라</v>
          </cell>
          <cell r="S138" t="str">
            <v>보라</v>
          </cell>
          <cell r="T138" t="str">
            <v xml:space="preserve"> 정육4구</v>
          </cell>
          <cell r="U138">
            <v>41835</v>
          </cell>
          <cell r="V138" t="str">
            <v>금형제조부</v>
          </cell>
          <cell r="W138" t="str">
            <v>적색무타공비닐포장</v>
          </cell>
          <cell r="X138" t="str">
            <v>A-0302</v>
          </cell>
          <cell r="Y138">
            <v>62</v>
          </cell>
          <cell r="Z138">
            <v>8887</v>
          </cell>
          <cell r="AC138" t="str">
            <v>조우리사원, 2014.09.15기준중량변경(148-&gt;145),엠코리아외주2014.12.01기준중량,기준배율변경(145-143,62배)2014.12.04수정,코팅완료2014.12.15묶음단위변경(10-&gt;14),2015.01.07 승인중량(143),2015.03.10승인중량변경(143-&gt;155)</v>
          </cell>
          <cell r="AD138">
            <v>0.85</v>
          </cell>
          <cell r="AE138">
            <v>80</v>
          </cell>
          <cell r="AF138">
            <v>6</v>
          </cell>
        </row>
        <row r="139">
          <cell r="A139" t="str">
            <v>정육3구(회색40배)</v>
          </cell>
          <cell r="B139" t="str">
            <v>회색</v>
          </cell>
          <cell r="C139">
            <v>5</v>
          </cell>
          <cell r="D139">
            <v>80</v>
          </cell>
          <cell r="E139">
            <v>188</v>
          </cell>
          <cell r="F139">
            <v>48</v>
          </cell>
          <cell r="G139" t="str">
            <v>ZP2500</v>
          </cell>
          <cell r="H139">
            <v>14</v>
          </cell>
          <cell r="I139">
            <v>2</v>
          </cell>
          <cell r="J139" t="str">
            <v>중부스치로폼</v>
          </cell>
          <cell r="K139">
            <v>73</v>
          </cell>
          <cell r="L139">
            <v>77</v>
          </cell>
          <cell r="M139">
            <v>73</v>
          </cell>
          <cell r="N139">
            <v>77</v>
          </cell>
          <cell r="O139">
            <v>960</v>
          </cell>
          <cell r="P139">
            <v>1500</v>
          </cell>
          <cell r="Q139">
            <v>200</v>
          </cell>
          <cell r="R139" t="str">
            <v>빨강</v>
          </cell>
          <cell r="S139" t="str">
            <v>빨강</v>
          </cell>
          <cell r="T139" t="str">
            <v>정육3구</v>
          </cell>
          <cell r="U139">
            <v>41837</v>
          </cell>
          <cell r="V139" t="str">
            <v>금형제조부</v>
          </cell>
          <cell r="Y139">
            <v>40</v>
          </cell>
          <cell r="Z139">
            <v>7520</v>
          </cell>
          <cell r="AC139" t="str">
            <v>정육3구 금형동일2014.12.15묶음단위변경(10-&gt;14)</v>
          </cell>
          <cell r="AD139">
            <v>0.85</v>
          </cell>
          <cell r="AE139">
            <v>80</v>
          </cell>
        </row>
        <row r="140">
          <cell r="A140" t="str">
            <v>정육3구(60배)</v>
          </cell>
          <cell r="B140" t="str">
            <v>BOX</v>
          </cell>
          <cell r="C140">
            <v>5</v>
          </cell>
          <cell r="D140">
            <v>70</v>
          </cell>
          <cell r="E140">
            <v>156</v>
          </cell>
          <cell r="F140">
            <v>60</v>
          </cell>
          <cell r="G140" t="str">
            <v>SE2500M</v>
          </cell>
          <cell r="H140">
            <v>14</v>
          </cell>
          <cell r="I140">
            <v>2</v>
          </cell>
          <cell r="J140" t="str">
            <v>중부스치로폼</v>
          </cell>
          <cell r="K140">
            <v>73</v>
          </cell>
          <cell r="L140">
            <v>77</v>
          </cell>
          <cell r="M140">
            <v>73</v>
          </cell>
          <cell r="N140">
            <v>77</v>
          </cell>
          <cell r="O140">
            <v>550</v>
          </cell>
          <cell r="P140">
            <v>1500</v>
          </cell>
          <cell r="Q140">
            <v>200</v>
          </cell>
          <cell r="R140" t="str">
            <v>흰색</v>
          </cell>
          <cell r="S140" t="str">
            <v>흰색</v>
          </cell>
          <cell r="T140" t="str">
            <v>정육3구</v>
          </cell>
          <cell r="U140">
            <v>41837</v>
          </cell>
          <cell r="V140" t="str">
            <v>금형제조부</v>
          </cell>
          <cell r="W140" t="str">
            <v>적색무타공비닐포장</v>
          </cell>
          <cell r="X140" t="str">
            <v>E-0502</v>
          </cell>
          <cell r="Y140">
            <v>62</v>
          </cell>
          <cell r="Z140">
            <v>7520</v>
          </cell>
          <cell r="AC140" t="str">
            <v>석상준대리 끈색변경(파랑-&gt;빨강)2014.08.15, 2014.09.15기준중량변경(121-&gt;125),엠코리아외주2014.12.01기준중량,기준배율변경(125-121,62배)2014.12.04수정,코팅완료2014.12.15묶음단위변경(10-&gt;14),2015.01.07 승인중량(121),2015.0310승인중량변경(121-&gt;133),2015.07.02바닥두께치수수정입고</v>
          </cell>
          <cell r="AD140">
            <v>0.85</v>
          </cell>
          <cell r="AE140">
            <v>80</v>
          </cell>
          <cell r="AF140">
            <v>6</v>
          </cell>
        </row>
        <row r="141">
          <cell r="A141" t="str">
            <v>정육3구</v>
          </cell>
          <cell r="B141" t="str">
            <v>BOX</v>
          </cell>
          <cell r="C141">
            <v>5</v>
          </cell>
          <cell r="D141">
            <v>70</v>
          </cell>
          <cell r="E141">
            <v>133</v>
          </cell>
          <cell r="F141">
            <v>74</v>
          </cell>
          <cell r="G141" t="str">
            <v>SE2500M</v>
          </cell>
          <cell r="H141">
            <v>14</v>
          </cell>
          <cell r="I141">
            <v>2</v>
          </cell>
          <cell r="J141" t="str">
            <v>중부스치로폼</v>
          </cell>
          <cell r="K141">
            <v>73</v>
          </cell>
          <cell r="L141">
            <v>77</v>
          </cell>
          <cell r="M141">
            <v>73</v>
          </cell>
          <cell r="N141">
            <v>77</v>
          </cell>
          <cell r="O141">
            <v>550</v>
          </cell>
          <cell r="P141">
            <v>1500</v>
          </cell>
          <cell r="Q141">
            <v>200</v>
          </cell>
          <cell r="R141" t="str">
            <v>빨강</v>
          </cell>
          <cell r="S141" t="str">
            <v>빨강</v>
          </cell>
          <cell r="T141" t="str">
            <v>정육3구</v>
          </cell>
          <cell r="U141">
            <v>41837</v>
          </cell>
          <cell r="V141" t="str">
            <v>금형제조부</v>
          </cell>
          <cell r="W141" t="str">
            <v>적색무타공비닐포장</v>
          </cell>
          <cell r="X141" t="str">
            <v>E-0502</v>
          </cell>
          <cell r="Y141">
            <v>62</v>
          </cell>
          <cell r="Z141">
            <v>7520</v>
          </cell>
          <cell r="AC141" t="str">
            <v>석상준대리 끈색변경(파랑-&gt;빨강)2014.08.15, 2014.09.15기준중량변경(121-&gt;125),엠코리아외주2014.12.01기준중량,기준배율변경(125-121,62배)2014.12.04수정,코팅완료2014.12.15묶음단위변경(10-&gt;14),2015.01.07 승인중량(121),2015.0310승인중량변경(121-&gt;133),2015.07.02바닥두께치수수정입고</v>
          </cell>
          <cell r="AD141">
            <v>0.85</v>
          </cell>
          <cell r="AE141">
            <v>80</v>
          </cell>
          <cell r="AF141">
            <v>6</v>
          </cell>
        </row>
        <row r="142">
          <cell r="A142" t="str">
            <v>정육2K(회색40배)</v>
          </cell>
          <cell r="B142" t="str">
            <v>회색</v>
          </cell>
          <cell r="C142">
            <v>6</v>
          </cell>
          <cell r="D142">
            <v>80</v>
          </cell>
          <cell r="E142">
            <v>102</v>
          </cell>
          <cell r="F142">
            <v>48</v>
          </cell>
          <cell r="G142" t="str">
            <v>ZP2500</v>
          </cell>
          <cell r="H142">
            <v>16</v>
          </cell>
          <cell r="I142">
            <v>2</v>
          </cell>
          <cell r="J142" t="str">
            <v>중부스치로폼</v>
          </cell>
          <cell r="K142">
            <v>58</v>
          </cell>
          <cell r="L142">
            <v>62</v>
          </cell>
          <cell r="M142">
            <v>68</v>
          </cell>
          <cell r="N142">
            <v>72</v>
          </cell>
          <cell r="O142">
            <v>550</v>
          </cell>
          <cell r="P142">
            <v>1360</v>
          </cell>
          <cell r="Q142">
            <v>200</v>
          </cell>
          <cell r="R142" t="str">
            <v>노랑</v>
          </cell>
          <cell r="S142" t="str">
            <v>노랑</v>
          </cell>
          <cell r="T142" t="str">
            <v>정육2K</v>
          </cell>
          <cell r="U142">
            <v>41841</v>
          </cell>
          <cell r="V142" t="str">
            <v>금형제조부</v>
          </cell>
          <cell r="W142" t="str">
            <v>적색무타공비닐포장</v>
          </cell>
          <cell r="Y142">
            <v>40</v>
          </cell>
          <cell r="Z142">
            <v>4069</v>
          </cell>
          <cell r="AC142" t="str">
            <v>정육2K 금형동일2014.12.18묶음단위변경(10-&gt;20)</v>
          </cell>
          <cell r="AD142">
            <v>0.85</v>
          </cell>
          <cell r="AE142">
            <v>80</v>
          </cell>
          <cell r="AF142">
            <v>6</v>
          </cell>
        </row>
        <row r="143">
          <cell r="A143" t="str">
            <v>정육2K</v>
          </cell>
          <cell r="B143" t="str">
            <v>BOX</v>
          </cell>
          <cell r="C143">
            <v>6</v>
          </cell>
          <cell r="D143">
            <v>55</v>
          </cell>
          <cell r="E143">
            <v>76</v>
          </cell>
          <cell r="F143">
            <v>74</v>
          </cell>
          <cell r="G143" t="str">
            <v>SE2500M</v>
          </cell>
          <cell r="H143">
            <v>16</v>
          </cell>
          <cell r="I143">
            <v>2</v>
          </cell>
          <cell r="J143" t="str">
            <v>중부스치로폼</v>
          </cell>
          <cell r="K143">
            <v>58</v>
          </cell>
          <cell r="L143">
            <v>62</v>
          </cell>
          <cell r="M143">
            <v>68</v>
          </cell>
          <cell r="N143">
            <v>72</v>
          </cell>
          <cell r="O143">
            <v>380</v>
          </cell>
          <cell r="P143">
            <v>1360</v>
          </cell>
          <cell r="Q143">
            <v>200</v>
          </cell>
          <cell r="R143" t="str">
            <v>노랑</v>
          </cell>
          <cell r="S143" t="str">
            <v>노랑</v>
          </cell>
          <cell r="T143" t="str">
            <v>정육2K</v>
          </cell>
          <cell r="U143">
            <v>41841</v>
          </cell>
          <cell r="V143" t="str">
            <v>금형제조부</v>
          </cell>
          <cell r="W143" t="str">
            <v>적색무타공비닐포장</v>
          </cell>
          <cell r="X143" t="str">
            <v>E-0906</v>
          </cell>
          <cell r="Y143">
            <v>62</v>
          </cell>
          <cell r="Z143">
            <v>4069</v>
          </cell>
          <cell r="AC143" t="str">
            <v>석상준대리, 코팅완료2014.12.01기준배율변경(60-62),2015.03.10승인중량변경(66-&gt;76),업체승인중량으로 중량관리2025-03-5재코팅</v>
          </cell>
          <cell r="AD143">
            <v>0.85</v>
          </cell>
          <cell r="AE143">
            <v>60</v>
          </cell>
          <cell r="AF143">
            <v>6</v>
          </cell>
        </row>
        <row r="144">
          <cell r="A144" t="str">
            <v>정식판77공(33배)</v>
          </cell>
          <cell r="B144" t="str">
            <v>SET</v>
          </cell>
          <cell r="C144">
            <v>1</v>
          </cell>
          <cell r="D144">
            <v>100</v>
          </cell>
          <cell r="E144">
            <v>990</v>
          </cell>
          <cell r="F144">
            <v>36</v>
          </cell>
          <cell r="G144" t="str">
            <v>B240NS</v>
          </cell>
          <cell r="H144">
            <v>5</v>
          </cell>
          <cell r="I144">
            <v>1</v>
          </cell>
          <cell r="J144" t="str">
            <v>가화텍</v>
          </cell>
          <cell r="K144">
            <v>28</v>
          </cell>
          <cell r="L144">
            <v>32</v>
          </cell>
          <cell r="O144">
            <v>4380</v>
          </cell>
          <cell r="P144">
            <v>1360</v>
          </cell>
          <cell r="Q144">
            <v>150</v>
          </cell>
          <cell r="R144" t="str">
            <v>빨강</v>
          </cell>
          <cell r="S144" t="str">
            <v>패드</v>
          </cell>
          <cell r="T144" t="str">
            <v>가화텍77구#32(식물공장형 정식판)</v>
          </cell>
          <cell r="V144" t="str">
            <v>삼일금형</v>
          </cell>
          <cell r="W144" t="str">
            <v>MPTP-77, 33차</v>
          </cell>
          <cell r="AC144" t="str">
            <v>금형없음, 정식판77공 동일금형</v>
          </cell>
          <cell r="AD144">
            <v>0.85</v>
          </cell>
          <cell r="AE144">
            <v>105</v>
          </cell>
          <cell r="AF144">
            <v>6</v>
          </cell>
        </row>
        <row r="145">
          <cell r="A145" t="str">
            <v>정식판77공</v>
          </cell>
          <cell r="B145" t="str">
            <v>SET</v>
          </cell>
          <cell r="C145">
            <v>1</v>
          </cell>
          <cell r="D145">
            <v>100</v>
          </cell>
          <cell r="E145">
            <v>820</v>
          </cell>
          <cell r="F145">
            <v>50</v>
          </cell>
          <cell r="G145" t="str">
            <v>B240NS</v>
          </cell>
          <cell r="H145">
            <v>5</v>
          </cell>
          <cell r="I145">
            <v>1</v>
          </cell>
          <cell r="J145" t="str">
            <v>가화텍</v>
          </cell>
          <cell r="K145">
            <v>28</v>
          </cell>
          <cell r="L145">
            <v>32</v>
          </cell>
          <cell r="O145">
            <v>4380</v>
          </cell>
          <cell r="P145">
            <v>1360</v>
          </cell>
          <cell r="Q145">
            <v>150</v>
          </cell>
          <cell r="R145" t="str">
            <v>패드</v>
          </cell>
          <cell r="S145" t="str">
            <v>패드</v>
          </cell>
          <cell r="T145" t="str">
            <v>가화텍77구#32(식물공장형 정식판)</v>
          </cell>
          <cell r="U145">
            <v>40450</v>
          </cell>
          <cell r="V145" t="str">
            <v>삼일금형</v>
          </cell>
          <cell r="W145" t="str">
            <v>MPTP-77, 33차</v>
          </cell>
          <cell r="X145" t="str">
            <v>계양리 M-3</v>
          </cell>
          <cell r="AC145" t="str">
            <v>2010.10.15승인완료</v>
          </cell>
          <cell r="AD145">
            <v>0.85</v>
          </cell>
          <cell r="AE145">
            <v>105</v>
          </cell>
          <cell r="AF145">
            <v>4</v>
          </cell>
        </row>
        <row r="146">
          <cell r="A146" t="str">
            <v>정식판36A(EPO)</v>
          </cell>
          <cell r="B146" t="str">
            <v>저발</v>
          </cell>
          <cell r="C146">
            <v>1</v>
          </cell>
          <cell r="D146">
            <v>90</v>
          </cell>
          <cell r="E146">
            <v>353</v>
          </cell>
          <cell r="F146">
            <v>30</v>
          </cell>
          <cell r="G146" t="str">
            <v>PNSD30</v>
          </cell>
          <cell r="H146">
            <v>20</v>
          </cell>
          <cell r="I146">
            <v>1</v>
          </cell>
          <cell r="J146" t="str">
            <v>가화텍</v>
          </cell>
          <cell r="O146">
            <v>1070</v>
          </cell>
          <cell r="P146">
            <v>500</v>
          </cell>
          <cell r="S146">
            <v>0</v>
          </cell>
          <cell r="T146" t="str">
            <v>다단용정식판36A#20</v>
          </cell>
          <cell r="U146">
            <v>38404</v>
          </cell>
          <cell r="V146" t="str">
            <v>삼일금형</v>
          </cell>
          <cell r="W146" t="str">
            <v>MPTP-36, 20차</v>
          </cell>
          <cell r="X146" t="str">
            <v>Q-0201</v>
          </cell>
          <cell r="AC146" t="str">
            <v>2019.8.27 EPO SAMPLE</v>
          </cell>
          <cell r="AD146">
            <v>0.85</v>
          </cell>
          <cell r="AE146">
            <v>100</v>
          </cell>
          <cell r="AF146">
            <v>16</v>
          </cell>
        </row>
        <row r="147">
          <cell r="A147" t="str">
            <v>정식판36A(33배)</v>
          </cell>
          <cell r="B147" t="str">
            <v>저발</v>
          </cell>
          <cell r="C147">
            <v>1</v>
          </cell>
          <cell r="D147">
            <v>120</v>
          </cell>
          <cell r="E147">
            <v>333</v>
          </cell>
          <cell r="F147">
            <v>36</v>
          </cell>
          <cell r="G147" t="str">
            <v>B240NS</v>
          </cell>
          <cell r="H147">
            <v>20</v>
          </cell>
          <cell r="I147">
            <v>1</v>
          </cell>
          <cell r="J147" t="str">
            <v>가화텍</v>
          </cell>
          <cell r="O147">
            <v>1070</v>
          </cell>
          <cell r="P147">
            <v>500</v>
          </cell>
          <cell r="S147">
            <v>0</v>
          </cell>
          <cell r="T147" t="str">
            <v>다단용정식판36A#20</v>
          </cell>
          <cell r="U147">
            <v>38404</v>
          </cell>
          <cell r="V147" t="str">
            <v>삼일금형</v>
          </cell>
          <cell r="W147" t="str">
            <v>MPTP-36, 20차</v>
          </cell>
          <cell r="AC147" t="str">
            <v xml:space="preserve">05-02-28CORE만코팅완료    </v>
          </cell>
          <cell r="AD147">
            <v>0.9</v>
          </cell>
          <cell r="AE147">
            <v>120</v>
          </cell>
          <cell r="AF147">
            <v>1</v>
          </cell>
        </row>
        <row r="148">
          <cell r="A148" t="str">
            <v>정식판36A</v>
          </cell>
          <cell r="B148" t="str">
            <v>저발</v>
          </cell>
          <cell r="C148">
            <v>1</v>
          </cell>
          <cell r="D148">
            <v>90</v>
          </cell>
          <cell r="E148">
            <v>200</v>
          </cell>
          <cell r="F148">
            <v>50</v>
          </cell>
          <cell r="G148" t="str">
            <v>B240NS</v>
          </cell>
          <cell r="H148">
            <v>20</v>
          </cell>
          <cell r="I148">
            <v>1</v>
          </cell>
          <cell r="J148" t="str">
            <v>가화텍</v>
          </cell>
          <cell r="O148">
            <v>1070</v>
          </cell>
          <cell r="P148">
            <v>500</v>
          </cell>
          <cell r="S148">
            <v>0</v>
          </cell>
          <cell r="T148" t="str">
            <v>다단용정식판36A#20</v>
          </cell>
          <cell r="U148">
            <v>38404</v>
          </cell>
          <cell r="V148" t="str">
            <v>삼일금형</v>
          </cell>
          <cell r="W148" t="str">
            <v>MPTP-36, 20차</v>
          </cell>
          <cell r="X148" t="str">
            <v>Q-0201</v>
          </cell>
          <cell r="AC148" t="str">
            <v xml:space="preserve">05-02-28CORE만코팅완료    </v>
          </cell>
          <cell r="AD148">
            <v>0.85</v>
          </cell>
          <cell r="AE148">
            <v>100</v>
          </cell>
          <cell r="AF148">
            <v>16</v>
          </cell>
        </row>
        <row r="149">
          <cell r="A149" t="str">
            <v>정식판30공(33배)</v>
          </cell>
          <cell r="B149" t="str">
            <v>SET</v>
          </cell>
          <cell r="C149">
            <v>1</v>
          </cell>
          <cell r="D149">
            <v>100</v>
          </cell>
          <cell r="E149">
            <v>1091</v>
          </cell>
          <cell r="F149">
            <v>36</v>
          </cell>
          <cell r="G149" t="str">
            <v>B240NS</v>
          </cell>
          <cell r="H149">
            <v>5</v>
          </cell>
          <cell r="I149">
            <v>1</v>
          </cell>
          <cell r="J149" t="str">
            <v>가화텍</v>
          </cell>
          <cell r="K149">
            <v>28</v>
          </cell>
          <cell r="L149">
            <v>32</v>
          </cell>
          <cell r="P149">
            <v>1360</v>
          </cell>
          <cell r="Q149">
            <v>150</v>
          </cell>
          <cell r="R149" t="str">
            <v>패드</v>
          </cell>
          <cell r="S149" t="str">
            <v>패드</v>
          </cell>
          <cell r="AD149">
            <v>0.85</v>
          </cell>
          <cell r="AE149">
            <v>100</v>
          </cell>
          <cell r="AF149">
            <v>4</v>
          </cell>
        </row>
        <row r="150">
          <cell r="A150" t="str">
            <v>정식판30공</v>
          </cell>
          <cell r="B150" t="str">
            <v>SET</v>
          </cell>
          <cell r="C150">
            <v>1</v>
          </cell>
          <cell r="D150">
            <v>100</v>
          </cell>
          <cell r="E150">
            <v>900</v>
          </cell>
          <cell r="F150">
            <v>50</v>
          </cell>
          <cell r="G150" t="str">
            <v>B240NS</v>
          </cell>
          <cell r="H150">
            <v>5</v>
          </cell>
          <cell r="I150">
            <v>1</v>
          </cell>
          <cell r="J150" t="str">
            <v>가화텍</v>
          </cell>
          <cell r="K150">
            <v>28</v>
          </cell>
          <cell r="L150">
            <v>32</v>
          </cell>
          <cell r="O150">
            <v>4810</v>
          </cell>
          <cell r="P150">
            <v>1360</v>
          </cell>
          <cell r="Q150">
            <v>150</v>
          </cell>
          <cell r="R150" t="str">
            <v>패드</v>
          </cell>
          <cell r="S150" t="str">
            <v>패드</v>
          </cell>
          <cell r="T150" t="str">
            <v>가화텍30구#31(식물공장형 정식판)</v>
          </cell>
          <cell r="U150">
            <v>40450</v>
          </cell>
          <cell r="V150" t="str">
            <v>삼일금형</v>
          </cell>
          <cell r="W150" t="str">
            <v>MPTP-30, 32차</v>
          </cell>
          <cell r="X150" t="str">
            <v>D-1304</v>
          </cell>
          <cell r="AC150" t="str">
            <v>2010.10.15승인완료</v>
          </cell>
          <cell r="AD150">
            <v>0.85</v>
          </cell>
          <cell r="AE150">
            <v>100</v>
          </cell>
          <cell r="AF150">
            <v>4</v>
          </cell>
        </row>
        <row r="151">
          <cell r="A151" t="str">
            <v>정식판(33배)</v>
          </cell>
          <cell r="B151" t="str">
            <v>SET</v>
          </cell>
          <cell r="C151">
            <v>1</v>
          </cell>
          <cell r="D151">
            <v>100</v>
          </cell>
          <cell r="E151">
            <v>920</v>
          </cell>
          <cell r="F151">
            <v>36</v>
          </cell>
          <cell r="G151" t="str">
            <v>B240NS</v>
          </cell>
          <cell r="H151">
            <v>5</v>
          </cell>
          <cell r="I151">
            <v>1</v>
          </cell>
          <cell r="J151" t="str">
            <v>가화텍</v>
          </cell>
          <cell r="K151">
            <v>28</v>
          </cell>
          <cell r="L151">
            <v>32</v>
          </cell>
          <cell r="O151">
            <v>4910</v>
          </cell>
          <cell r="P151">
            <v>1300</v>
          </cell>
          <cell r="Q151">
            <v>150</v>
          </cell>
          <cell r="R151" t="str">
            <v>밴딩</v>
          </cell>
          <cell r="S151" t="str">
            <v>밴딩</v>
          </cell>
          <cell r="T151" t="str">
            <v>다목적정식판#18</v>
          </cell>
          <cell r="V151" t="str">
            <v>삼일금형</v>
          </cell>
          <cell r="W151" t="str">
            <v>MPTP-48 , 18차, 빨강끈</v>
          </cell>
          <cell r="AC151" t="str">
            <v>06.03.04일아산이동입고, 정식판동일금형</v>
          </cell>
          <cell r="AD151">
            <v>0.9</v>
          </cell>
          <cell r="AE151">
            <v>100</v>
          </cell>
          <cell r="AF151">
            <v>1</v>
          </cell>
        </row>
        <row r="152">
          <cell r="A152" t="str">
            <v>정식판</v>
          </cell>
          <cell r="B152" t="str">
            <v>SET</v>
          </cell>
          <cell r="C152">
            <v>1</v>
          </cell>
          <cell r="D152">
            <v>93</v>
          </cell>
          <cell r="E152">
            <v>850</v>
          </cell>
          <cell r="F152">
            <v>50</v>
          </cell>
          <cell r="G152" t="str">
            <v>B240NS</v>
          </cell>
          <cell r="H152">
            <v>5</v>
          </cell>
          <cell r="I152">
            <v>1</v>
          </cell>
          <cell r="J152" t="str">
            <v>가화텍</v>
          </cell>
          <cell r="K152">
            <v>28</v>
          </cell>
          <cell r="L152">
            <v>32</v>
          </cell>
          <cell r="O152">
            <v>4540</v>
          </cell>
          <cell r="P152">
            <v>1300</v>
          </cell>
          <cell r="Q152">
            <v>150</v>
          </cell>
          <cell r="R152" t="str">
            <v>패드</v>
          </cell>
          <cell r="S152" t="str">
            <v>패드</v>
          </cell>
          <cell r="T152" t="str">
            <v>다목적정식판#18</v>
          </cell>
          <cell r="V152" t="str">
            <v>삼일금형</v>
          </cell>
          <cell r="W152" t="str">
            <v>MPTP-48 , 18차</v>
          </cell>
          <cell r="AC152" t="str">
            <v>06.03.04일아산이동입고, 2012.10.08 기준배율변경(42-&gt;45), 2020.07.08 수리입고</v>
          </cell>
          <cell r="AD152">
            <v>0.85</v>
          </cell>
          <cell r="AE152">
            <v>100</v>
          </cell>
          <cell r="AF152">
            <v>1</v>
          </cell>
        </row>
        <row r="153">
          <cell r="A153" t="str">
            <v>정수용발포립1</v>
          </cell>
          <cell r="B153" t="str">
            <v>발포립</v>
          </cell>
          <cell r="C153">
            <v>1</v>
          </cell>
          <cell r="D153">
            <v>250</v>
          </cell>
          <cell r="E153">
            <v>1000</v>
          </cell>
          <cell r="F153">
            <v>16</v>
          </cell>
          <cell r="G153" t="str">
            <v>B240NS</v>
          </cell>
          <cell r="H153">
            <v>1</v>
          </cell>
          <cell r="I153">
            <v>0</v>
          </cell>
          <cell r="J153" t="str">
            <v>건우종합상사</v>
          </cell>
          <cell r="O153">
            <v>5100</v>
          </cell>
          <cell r="S153">
            <v>0</v>
          </cell>
          <cell r="T153" t="str">
            <v>GN12 16배 발포립(2~3MM)</v>
          </cell>
          <cell r="AC153" t="str">
            <v xml:space="preserve">발포립 상태     </v>
          </cell>
          <cell r="AD153">
            <v>0.9</v>
          </cell>
          <cell r="AF153">
            <v>1</v>
          </cell>
        </row>
        <row r="154">
          <cell r="A154" t="str">
            <v>정수용발포립</v>
          </cell>
          <cell r="B154" t="str">
            <v>발포립</v>
          </cell>
          <cell r="C154">
            <v>1</v>
          </cell>
          <cell r="D154">
            <v>250</v>
          </cell>
          <cell r="E154">
            <v>1000</v>
          </cell>
          <cell r="F154">
            <v>20</v>
          </cell>
          <cell r="G154" t="str">
            <v>SG201/B160</v>
          </cell>
          <cell r="H154">
            <v>1</v>
          </cell>
          <cell r="I154">
            <v>0</v>
          </cell>
          <cell r="J154" t="str">
            <v>바이오엔텍</v>
          </cell>
          <cell r="O154">
            <v>5500</v>
          </cell>
          <cell r="S154">
            <v>0</v>
          </cell>
          <cell r="T154" t="str">
            <v>GN12 20배 발포립(2~3MM)</v>
          </cell>
          <cell r="AC154" t="str">
            <v xml:space="preserve">발포립 상태     </v>
          </cell>
          <cell r="AD154">
            <v>0.9</v>
          </cell>
          <cell r="AE154">
            <v>0</v>
          </cell>
          <cell r="AF154">
            <v>4</v>
          </cell>
        </row>
        <row r="155">
          <cell r="A155" t="str">
            <v>정수기CT</v>
          </cell>
          <cell r="B155" t="str">
            <v>SET</v>
          </cell>
          <cell r="C155">
            <v>4</v>
          </cell>
          <cell r="D155">
            <v>100</v>
          </cell>
          <cell r="E155">
            <v>227</v>
          </cell>
          <cell r="F155">
            <v>27</v>
          </cell>
          <cell r="G155" t="str">
            <v>B240NS</v>
          </cell>
          <cell r="H155">
            <v>10</v>
          </cell>
          <cell r="I155">
            <v>2</v>
          </cell>
          <cell r="J155" t="str">
            <v>SK매직</v>
          </cell>
          <cell r="K155">
            <v>153.1</v>
          </cell>
          <cell r="L155">
            <v>155.1</v>
          </cell>
          <cell r="M155">
            <v>54.5</v>
          </cell>
          <cell r="N155">
            <v>56.5</v>
          </cell>
          <cell r="O155">
            <v>1112</v>
          </cell>
          <cell r="P155">
            <v>1360</v>
          </cell>
          <cell r="Q155">
            <v>250</v>
          </cell>
          <cell r="R155" t="str">
            <v>보라</v>
          </cell>
          <cell r="S155" t="str">
            <v>보라</v>
          </cell>
          <cell r="T155" t="str">
            <v>정수기CT</v>
          </cell>
          <cell r="U155">
            <v>40675</v>
          </cell>
          <cell r="V155" t="str">
            <v>금형제조부</v>
          </cell>
          <cell r="X155" t="str">
            <v>P-0503</v>
          </cell>
          <cell r="AC155" t="str">
            <v>2011.07.18재제작, 2011.08.25코팅, 2011.10.10개조, 2011.10.18승인완료 및 기준중량변경(190g~233g), 2012.01.15기준중량변경(233-&gt;227)</v>
          </cell>
          <cell r="AD155">
            <v>0.9</v>
          </cell>
          <cell r="AE155">
            <v>100</v>
          </cell>
          <cell r="AF155">
            <v>4</v>
          </cell>
        </row>
        <row r="156">
          <cell r="A156" t="str">
            <v>전란박스6</v>
          </cell>
          <cell r="B156" t="str">
            <v>BOX</v>
          </cell>
          <cell r="C156">
            <v>4</v>
          </cell>
          <cell r="D156">
            <v>90</v>
          </cell>
          <cell r="E156">
            <v>170</v>
          </cell>
          <cell r="F156">
            <v>74</v>
          </cell>
          <cell r="G156" t="str">
            <v>B240NS</v>
          </cell>
          <cell r="H156">
            <v>6</v>
          </cell>
          <cell r="I156">
            <v>2</v>
          </cell>
          <cell r="J156" t="str">
            <v>양계농협</v>
          </cell>
          <cell r="K156">
            <v>41</v>
          </cell>
          <cell r="L156">
            <v>45</v>
          </cell>
          <cell r="M156">
            <v>263</v>
          </cell>
          <cell r="N156">
            <v>267</v>
          </cell>
          <cell r="O156">
            <v>1150</v>
          </cell>
          <cell r="P156">
            <v>1300</v>
          </cell>
          <cell r="Q156">
            <v>350</v>
          </cell>
          <cell r="R156" t="str">
            <v>검정</v>
          </cell>
          <cell r="S156" t="str">
            <v>검정</v>
          </cell>
          <cell r="T156" t="str">
            <v>전란#2</v>
          </cell>
          <cell r="U156">
            <v>39995</v>
          </cell>
          <cell r="V156" t="str">
            <v>삼일금형</v>
          </cell>
          <cell r="Y156">
            <v>64</v>
          </cell>
          <cell r="Z156">
            <v>10973</v>
          </cell>
          <cell r="AC156" t="str">
            <v>2009.07.06승인완료/삼일화학자산임.2014.07.29기준중량및 배율변경(57-&gt;70, 230-&gt;183)2014.12.01기준중량,기준배율변경(186-170,64배)2015.0106인중량변경(186g-170g)</v>
          </cell>
          <cell r="AD156">
            <v>0.85</v>
          </cell>
          <cell r="AE156">
            <v>100</v>
          </cell>
          <cell r="AF156">
            <v>2</v>
          </cell>
        </row>
        <row r="157">
          <cell r="A157" t="str">
            <v>전란박스</v>
          </cell>
          <cell r="B157" t="str">
            <v>BOX</v>
          </cell>
          <cell r="C157">
            <v>3</v>
          </cell>
          <cell r="D157">
            <v>100</v>
          </cell>
          <cell r="E157">
            <v>255</v>
          </cell>
          <cell r="F157">
            <v>74</v>
          </cell>
          <cell r="G157" t="str">
            <v>B240NS</v>
          </cell>
          <cell r="H157">
            <v>6</v>
          </cell>
          <cell r="I157">
            <v>2</v>
          </cell>
          <cell r="J157" t="str">
            <v>양계농협</v>
          </cell>
          <cell r="K157">
            <v>38</v>
          </cell>
          <cell r="L157">
            <v>42</v>
          </cell>
          <cell r="M157">
            <v>263</v>
          </cell>
          <cell r="N157">
            <v>267</v>
          </cell>
          <cell r="O157">
            <v>1500</v>
          </cell>
          <cell r="P157">
            <v>1360</v>
          </cell>
          <cell r="Q157">
            <v>350</v>
          </cell>
          <cell r="R157" t="str">
            <v>노랑</v>
          </cell>
          <cell r="S157" t="str">
            <v>노랑</v>
          </cell>
          <cell r="T157" t="str">
            <v>전란박스</v>
          </cell>
          <cell r="U157">
            <v>39872</v>
          </cell>
          <cell r="V157" t="str">
            <v>삼일금형</v>
          </cell>
          <cell r="Y157">
            <v>64</v>
          </cell>
          <cell r="Z157">
            <v>16517</v>
          </cell>
          <cell r="AC157" t="str">
            <v>2010.02.03기준중량변경(310g-300g), 2014.05.07사용배율 및 중량변경(300-&gt;270), (62-&gt;70), , 2014.06.02기준중량변경(270-&gt;275)2014.12.01기준중량,기준배율변경(275-255,60-64배)2015.0106인중량변경(275g-255g)</v>
          </cell>
          <cell r="AD157">
            <v>0.85</v>
          </cell>
          <cell r="AE157">
            <v>90</v>
          </cell>
          <cell r="AF157">
            <v>1</v>
          </cell>
        </row>
        <row r="158">
          <cell r="A158" t="str">
            <v>재배판-81공</v>
          </cell>
          <cell r="B158" t="str">
            <v>저발</v>
          </cell>
          <cell r="C158">
            <v>1</v>
          </cell>
          <cell r="D158">
            <v>120</v>
          </cell>
          <cell r="E158">
            <v>283</v>
          </cell>
          <cell r="F158">
            <v>36</v>
          </cell>
          <cell r="G158" t="str">
            <v>B240NS</v>
          </cell>
          <cell r="H158">
            <v>10</v>
          </cell>
          <cell r="I158">
            <v>1</v>
          </cell>
          <cell r="J158" t="str">
            <v>예천</v>
          </cell>
          <cell r="K158">
            <v>26</v>
          </cell>
          <cell r="L158">
            <v>28</v>
          </cell>
          <cell r="P158">
            <v>700</v>
          </cell>
          <cell r="R158" t="str">
            <v>패드</v>
          </cell>
          <cell r="S158" t="str">
            <v>밴딩</v>
          </cell>
          <cell r="U158">
            <v>45170</v>
          </cell>
          <cell r="V158" t="str">
            <v>금형사업부</v>
          </cell>
          <cell r="Z158">
            <v>9116.2000000000007</v>
          </cell>
          <cell r="AD158">
            <v>0.85</v>
          </cell>
        </row>
        <row r="159">
          <cell r="A159" t="str">
            <v>재배판-81공</v>
          </cell>
          <cell r="B159" t="str">
            <v>SET</v>
          </cell>
          <cell r="C159">
            <v>1</v>
          </cell>
          <cell r="D159">
            <v>120</v>
          </cell>
          <cell r="E159">
            <v>283</v>
          </cell>
          <cell r="F159">
            <v>36</v>
          </cell>
          <cell r="G159" t="str">
            <v>B240NS</v>
          </cell>
          <cell r="H159">
            <v>10</v>
          </cell>
          <cell r="I159">
            <v>1</v>
          </cell>
          <cell r="J159" t="str">
            <v>예천</v>
          </cell>
          <cell r="K159">
            <v>26</v>
          </cell>
          <cell r="L159">
            <v>28</v>
          </cell>
          <cell r="P159">
            <v>700</v>
          </cell>
          <cell r="R159" t="str">
            <v>패드</v>
          </cell>
          <cell r="S159" t="str">
            <v>밴딩</v>
          </cell>
          <cell r="U159">
            <v>45170</v>
          </cell>
          <cell r="V159" t="str">
            <v>금형사업부</v>
          </cell>
          <cell r="Z159">
            <v>9116.2000000000007</v>
          </cell>
          <cell r="AD159">
            <v>0.85</v>
          </cell>
        </row>
        <row r="160">
          <cell r="A160" t="str">
            <v>재배판-48공</v>
          </cell>
          <cell r="B160" t="str">
            <v>저발</v>
          </cell>
          <cell r="C160">
            <v>1</v>
          </cell>
          <cell r="D160">
            <v>120</v>
          </cell>
          <cell r="E160">
            <v>304</v>
          </cell>
          <cell r="F160">
            <v>36</v>
          </cell>
          <cell r="G160" t="str">
            <v>B240NS</v>
          </cell>
          <cell r="H160">
            <v>10</v>
          </cell>
          <cell r="I160">
            <v>1</v>
          </cell>
          <cell r="J160" t="str">
            <v>예천</v>
          </cell>
          <cell r="K160">
            <v>26</v>
          </cell>
          <cell r="L160">
            <v>28</v>
          </cell>
          <cell r="P160">
            <v>700</v>
          </cell>
          <cell r="R160" t="str">
            <v>패드</v>
          </cell>
          <cell r="S160" t="str">
            <v>밴딩</v>
          </cell>
          <cell r="U160">
            <v>45173</v>
          </cell>
          <cell r="V160" t="str">
            <v>금형사업부</v>
          </cell>
          <cell r="Z160">
            <v>8483</v>
          </cell>
          <cell r="AD160">
            <v>0.85</v>
          </cell>
        </row>
        <row r="161">
          <cell r="A161" t="str">
            <v>재배판-48공</v>
          </cell>
          <cell r="B161" t="str">
            <v>SET</v>
          </cell>
          <cell r="C161">
            <v>1</v>
          </cell>
          <cell r="D161">
            <v>120</v>
          </cell>
          <cell r="E161">
            <v>304</v>
          </cell>
          <cell r="F161">
            <v>36</v>
          </cell>
          <cell r="G161" t="str">
            <v>B240NS</v>
          </cell>
          <cell r="H161">
            <v>10</v>
          </cell>
          <cell r="I161">
            <v>1</v>
          </cell>
          <cell r="J161" t="str">
            <v>예천</v>
          </cell>
          <cell r="K161">
            <v>26</v>
          </cell>
          <cell r="L161">
            <v>28</v>
          </cell>
          <cell r="P161">
            <v>700</v>
          </cell>
          <cell r="R161" t="str">
            <v>패드</v>
          </cell>
          <cell r="S161" t="str">
            <v>밴딩</v>
          </cell>
          <cell r="U161">
            <v>45173</v>
          </cell>
          <cell r="V161" t="str">
            <v>금형사업부</v>
          </cell>
          <cell r="Z161">
            <v>8483</v>
          </cell>
          <cell r="AD161">
            <v>0.85</v>
          </cell>
        </row>
        <row r="162">
          <cell r="A162" t="str">
            <v>재배판-12공</v>
          </cell>
          <cell r="B162" t="str">
            <v>저발</v>
          </cell>
          <cell r="C162">
            <v>1</v>
          </cell>
          <cell r="D162">
            <v>120</v>
          </cell>
          <cell r="E162">
            <v>320</v>
          </cell>
          <cell r="F162">
            <v>36</v>
          </cell>
          <cell r="G162" t="str">
            <v>B240NS</v>
          </cell>
          <cell r="H162">
            <v>10</v>
          </cell>
          <cell r="I162">
            <v>1</v>
          </cell>
          <cell r="J162" t="str">
            <v>예천</v>
          </cell>
          <cell r="K162">
            <v>26</v>
          </cell>
          <cell r="L162">
            <v>28</v>
          </cell>
          <cell r="P162">
            <v>700</v>
          </cell>
          <cell r="R162" t="str">
            <v>패드</v>
          </cell>
          <cell r="S162" t="str">
            <v>밴딩</v>
          </cell>
          <cell r="U162">
            <v>45169</v>
          </cell>
          <cell r="V162" t="str">
            <v>금형사업부</v>
          </cell>
          <cell r="Z162">
            <v>9599.1</v>
          </cell>
          <cell r="AD162">
            <v>0.85</v>
          </cell>
        </row>
        <row r="163">
          <cell r="A163" t="str">
            <v>재배판-12공</v>
          </cell>
          <cell r="B163" t="str">
            <v>SET</v>
          </cell>
          <cell r="C163">
            <v>1</v>
          </cell>
          <cell r="D163">
            <v>120</v>
          </cell>
          <cell r="E163">
            <v>320</v>
          </cell>
          <cell r="F163">
            <v>36</v>
          </cell>
          <cell r="G163" t="str">
            <v>B240NS</v>
          </cell>
          <cell r="H163">
            <v>10</v>
          </cell>
          <cell r="I163">
            <v>1</v>
          </cell>
          <cell r="J163" t="str">
            <v>예천</v>
          </cell>
          <cell r="K163">
            <v>26</v>
          </cell>
          <cell r="L163">
            <v>28</v>
          </cell>
          <cell r="P163">
            <v>700</v>
          </cell>
          <cell r="R163" t="str">
            <v>패드</v>
          </cell>
          <cell r="S163" t="str">
            <v>밴딩</v>
          </cell>
          <cell r="U163">
            <v>45169</v>
          </cell>
          <cell r="V163" t="str">
            <v>금형사업부</v>
          </cell>
          <cell r="Z163">
            <v>9599.1</v>
          </cell>
          <cell r="AD163">
            <v>0.85</v>
          </cell>
        </row>
        <row r="164">
          <cell r="A164" t="str">
            <v>재배판(30구)</v>
          </cell>
          <cell r="B164" t="str">
            <v>SET</v>
          </cell>
          <cell r="C164">
            <v>1</v>
          </cell>
          <cell r="D164">
            <v>160</v>
          </cell>
          <cell r="E164">
            <v>275</v>
          </cell>
          <cell r="F164">
            <v>30</v>
          </cell>
          <cell r="G164" t="str">
            <v>B240NS</v>
          </cell>
          <cell r="H164">
            <v>10</v>
          </cell>
          <cell r="I164">
            <v>1</v>
          </cell>
          <cell r="J164" t="str">
            <v>일민농원</v>
          </cell>
          <cell r="K164">
            <v>22</v>
          </cell>
          <cell r="L164">
            <v>26</v>
          </cell>
          <cell r="P164">
            <v>1360</v>
          </cell>
          <cell r="Q164">
            <v>150</v>
          </cell>
          <cell r="U164">
            <v>45835</v>
          </cell>
          <cell r="V164" t="str">
            <v>금형사업부</v>
          </cell>
          <cell r="AD164">
            <v>0.85</v>
          </cell>
          <cell r="AE164">
            <v>80</v>
          </cell>
        </row>
        <row r="165">
          <cell r="A165" t="str">
            <v>재배판(30구)</v>
          </cell>
          <cell r="B165" t="str">
            <v>SET</v>
          </cell>
          <cell r="C165">
            <v>1</v>
          </cell>
          <cell r="D165">
            <v>160</v>
          </cell>
          <cell r="E165">
            <v>275</v>
          </cell>
          <cell r="F165">
            <v>30</v>
          </cell>
          <cell r="G165" t="str">
            <v>B240NS</v>
          </cell>
          <cell r="H165">
            <v>10</v>
          </cell>
          <cell r="I165">
            <v>1</v>
          </cell>
          <cell r="J165" t="str">
            <v>일민농원</v>
          </cell>
          <cell r="K165">
            <v>22</v>
          </cell>
          <cell r="L165">
            <v>26</v>
          </cell>
          <cell r="P165">
            <v>1360</v>
          </cell>
          <cell r="Q165">
            <v>150</v>
          </cell>
          <cell r="U165">
            <v>45835</v>
          </cell>
          <cell r="V165" t="str">
            <v>금형사업부</v>
          </cell>
          <cell r="AD165">
            <v>0.85</v>
          </cell>
          <cell r="AE165">
            <v>80</v>
          </cell>
        </row>
        <row r="166">
          <cell r="A166" t="str">
            <v>재배판(30구)</v>
          </cell>
          <cell r="B166" t="str">
            <v>SET</v>
          </cell>
          <cell r="C166">
            <v>1</v>
          </cell>
          <cell r="D166">
            <v>100</v>
          </cell>
          <cell r="E166">
            <v>275</v>
          </cell>
          <cell r="F166">
            <v>30</v>
          </cell>
          <cell r="G166" t="str">
            <v>B240NS</v>
          </cell>
          <cell r="H166">
            <v>10</v>
          </cell>
          <cell r="I166">
            <v>1</v>
          </cell>
          <cell r="J166" t="str">
            <v>일민농원</v>
          </cell>
          <cell r="K166">
            <v>22</v>
          </cell>
          <cell r="L166">
            <v>26</v>
          </cell>
          <cell r="P166">
            <v>1360</v>
          </cell>
          <cell r="Q166">
            <v>150</v>
          </cell>
          <cell r="U166">
            <v>45835</v>
          </cell>
          <cell r="V166" t="str">
            <v>금형사업부</v>
          </cell>
          <cell r="Z166">
            <v>8483</v>
          </cell>
          <cell r="AD166">
            <v>0.85</v>
          </cell>
        </row>
        <row r="167">
          <cell r="A167" t="str">
            <v>자반박스</v>
          </cell>
          <cell r="B167" t="str">
            <v>BOX</v>
          </cell>
          <cell r="C167">
            <v>3</v>
          </cell>
          <cell r="D167">
            <v>80</v>
          </cell>
          <cell r="E167">
            <v>167</v>
          </cell>
          <cell r="F167">
            <v>70</v>
          </cell>
          <cell r="G167" t="str">
            <v>B240NS</v>
          </cell>
          <cell r="H167">
            <v>10</v>
          </cell>
          <cell r="I167">
            <v>2</v>
          </cell>
          <cell r="J167" t="str">
            <v>삼일이노팩</v>
          </cell>
          <cell r="K167">
            <v>24</v>
          </cell>
          <cell r="L167">
            <v>28</v>
          </cell>
          <cell r="M167">
            <v>83</v>
          </cell>
          <cell r="N167">
            <v>87</v>
          </cell>
          <cell r="O167">
            <v>870</v>
          </cell>
          <cell r="P167">
            <v>1700</v>
          </cell>
          <cell r="Q167">
            <v>200</v>
          </cell>
          <cell r="R167" t="str">
            <v>파랑</v>
          </cell>
          <cell r="U167">
            <v>43637</v>
          </cell>
          <cell r="V167" t="str">
            <v>금형제조부</v>
          </cell>
          <cell r="W167" t="str">
            <v>직가래3개, 높이치수 필히확인할 것</v>
          </cell>
          <cell r="Y167">
            <v>50</v>
          </cell>
          <cell r="AD167">
            <v>0.85</v>
          </cell>
          <cell r="AE167">
            <v>65</v>
          </cell>
          <cell r="AF167">
            <v>1</v>
          </cell>
        </row>
        <row r="168">
          <cell r="A168" t="str">
            <v>자루배지베드</v>
          </cell>
          <cell r="B168" t="str">
            <v>SET</v>
          </cell>
          <cell r="C168">
            <v>2</v>
          </cell>
          <cell r="D168">
            <v>100</v>
          </cell>
          <cell r="E168">
            <v>413</v>
          </cell>
          <cell r="F168">
            <v>40</v>
          </cell>
          <cell r="G168" t="str">
            <v>B240NS</v>
          </cell>
          <cell r="H168">
            <v>10</v>
          </cell>
          <cell r="I168">
            <v>1</v>
          </cell>
          <cell r="J168" t="str">
            <v>가화텍</v>
          </cell>
          <cell r="P168">
            <v>1500</v>
          </cell>
          <cell r="Q168">
            <v>150</v>
          </cell>
          <cell r="S168" t="str">
            <v>패드</v>
          </cell>
          <cell r="U168">
            <v>45217</v>
          </cell>
          <cell r="V168" t="str">
            <v>금형사업부</v>
          </cell>
          <cell r="AD168">
            <v>0.85</v>
          </cell>
        </row>
        <row r="169">
          <cell r="A169" t="str">
            <v>자루배지베드</v>
          </cell>
          <cell r="B169" t="str">
            <v>SET</v>
          </cell>
          <cell r="C169">
            <v>2</v>
          </cell>
          <cell r="D169">
            <v>100</v>
          </cell>
          <cell r="E169">
            <v>413</v>
          </cell>
          <cell r="F169">
            <v>40</v>
          </cell>
          <cell r="G169" t="str">
            <v>B240NS</v>
          </cell>
          <cell r="H169">
            <v>10</v>
          </cell>
          <cell r="I169">
            <v>1</v>
          </cell>
          <cell r="J169" t="str">
            <v>가화텍</v>
          </cell>
          <cell r="P169">
            <v>1500</v>
          </cell>
          <cell r="Q169">
            <v>150</v>
          </cell>
          <cell r="S169" t="str">
            <v>패드</v>
          </cell>
          <cell r="U169">
            <v>45217</v>
          </cell>
          <cell r="V169" t="str">
            <v>금형사업부</v>
          </cell>
          <cell r="AD169">
            <v>0.85</v>
          </cell>
        </row>
        <row r="170">
          <cell r="A170" t="str">
            <v>일반기종-소-BOX</v>
          </cell>
          <cell r="B170" t="str">
            <v>SET</v>
          </cell>
          <cell r="E170">
            <v>350</v>
          </cell>
          <cell r="H170" t="str">
            <v>U:10/L:10</v>
          </cell>
          <cell r="J170" t="str">
            <v>알토엔대우</v>
          </cell>
          <cell r="R170" t="str">
            <v>검정</v>
          </cell>
          <cell r="S170" t="str">
            <v>BOX</v>
          </cell>
          <cell r="U170">
            <v>42038</v>
          </cell>
          <cell r="W170">
            <v>3311501700</v>
          </cell>
          <cell r="X170" t="str">
            <v>D-0402</v>
          </cell>
          <cell r="Y170">
            <v>45</v>
          </cell>
          <cell r="AC170" t="str">
            <v>금형없음, 일반기종-소 금형 박스 CODE</v>
          </cell>
          <cell r="AD170">
            <v>0.85</v>
          </cell>
          <cell r="AE170">
            <v>90</v>
          </cell>
          <cell r="AF170">
            <v>4</v>
          </cell>
        </row>
        <row r="171">
          <cell r="A171" t="str">
            <v>일반기종-소</v>
          </cell>
          <cell r="B171" t="str">
            <v>SET</v>
          </cell>
          <cell r="C171">
            <v>3</v>
          </cell>
          <cell r="D171">
            <v>90</v>
          </cell>
          <cell r="E171">
            <v>350</v>
          </cell>
          <cell r="F171">
            <v>65</v>
          </cell>
          <cell r="G171" t="str">
            <v>B240NS</v>
          </cell>
          <cell r="H171" t="str">
            <v>U:10/L:10</v>
          </cell>
          <cell r="I171">
            <v>2</v>
          </cell>
          <cell r="J171" t="str">
            <v>알토엔대우</v>
          </cell>
          <cell r="K171">
            <v>99</v>
          </cell>
          <cell r="L171">
            <v>101</v>
          </cell>
          <cell r="M171">
            <v>131</v>
          </cell>
          <cell r="N171">
            <v>133</v>
          </cell>
          <cell r="O171">
            <v>1900</v>
          </cell>
          <cell r="P171">
            <v>1300</v>
          </cell>
          <cell r="Q171">
            <v>200</v>
          </cell>
          <cell r="R171" t="str">
            <v>검정</v>
          </cell>
          <cell r="S171" t="str">
            <v>검정</v>
          </cell>
          <cell r="T171" t="str">
            <v>일반기종-소</v>
          </cell>
          <cell r="U171">
            <v>42038</v>
          </cell>
          <cell r="V171" t="str">
            <v>이관금형</v>
          </cell>
          <cell r="W171" t="str">
            <v>3311501800/3311501700</v>
          </cell>
          <cell r="X171" t="str">
            <v>D-0402</v>
          </cell>
          <cell r="Y171">
            <v>45</v>
          </cell>
          <cell r="AC171" t="str">
            <v>김일환계장2015.03.17묶음단위변경(8-&gt;10),2015.03.31사용배율변경50배-&gt;57배</v>
          </cell>
          <cell r="AD171">
            <v>0.85</v>
          </cell>
          <cell r="AE171">
            <v>90</v>
          </cell>
          <cell r="AF171">
            <v>4</v>
          </cell>
        </row>
        <row r="172">
          <cell r="A172" t="str">
            <v>일반기종-대-BOX</v>
          </cell>
          <cell r="B172" t="str">
            <v>SET</v>
          </cell>
          <cell r="E172">
            <v>490</v>
          </cell>
          <cell r="H172" t="str">
            <v>U:10/L:10</v>
          </cell>
          <cell r="J172" t="str">
            <v>알토엔대우</v>
          </cell>
          <cell r="R172" t="str">
            <v>파랑</v>
          </cell>
          <cell r="S172" t="str">
            <v>BOX</v>
          </cell>
          <cell r="T172" t="str">
            <v>일반기종-대</v>
          </cell>
          <cell r="U172">
            <v>42038</v>
          </cell>
          <cell r="W172">
            <v>3311501900</v>
          </cell>
          <cell r="X172" t="str">
            <v>D-0102</v>
          </cell>
          <cell r="Y172">
            <v>45</v>
          </cell>
          <cell r="AC172" t="str">
            <v>금형없음, 일반기종-대 금형 박스 CODE</v>
          </cell>
          <cell r="AD172">
            <v>0.85</v>
          </cell>
          <cell r="AE172">
            <v>90</v>
          </cell>
          <cell r="AF172">
            <v>4</v>
          </cell>
        </row>
        <row r="173">
          <cell r="A173" t="str">
            <v>일반기종-대</v>
          </cell>
          <cell r="B173" t="str">
            <v>SET</v>
          </cell>
          <cell r="C173">
            <v>2</v>
          </cell>
          <cell r="D173">
            <v>80</v>
          </cell>
          <cell r="E173">
            <v>490</v>
          </cell>
          <cell r="F173">
            <v>65</v>
          </cell>
          <cell r="G173" t="str">
            <v>B240NS</v>
          </cell>
          <cell r="H173" t="str">
            <v>U:10/L:10</v>
          </cell>
          <cell r="I173">
            <v>2</v>
          </cell>
          <cell r="J173" t="str">
            <v>알토엔대우</v>
          </cell>
          <cell r="K173">
            <v>94</v>
          </cell>
          <cell r="L173">
            <v>96</v>
          </cell>
          <cell r="M173">
            <v>131</v>
          </cell>
          <cell r="N173">
            <v>133</v>
          </cell>
          <cell r="O173">
            <v>2670</v>
          </cell>
          <cell r="P173">
            <v>1300</v>
          </cell>
          <cell r="Q173">
            <v>200</v>
          </cell>
          <cell r="R173" t="str">
            <v>파랑</v>
          </cell>
          <cell r="S173" t="str">
            <v>파랑</v>
          </cell>
          <cell r="T173" t="str">
            <v>일반기종-대</v>
          </cell>
          <cell r="U173">
            <v>42038</v>
          </cell>
          <cell r="V173" t="str">
            <v>이관금형</v>
          </cell>
          <cell r="W173" t="str">
            <v>3311502000/3311501900</v>
          </cell>
          <cell r="X173" t="str">
            <v>D-0102</v>
          </cell>
          <cell r="Y173">
            <v>45</v>
          </cell>
          <cell r="AC173" t="str">
            <v>김일환계장2015.03.17묶음단위변경(8-&gt;10)2015.03.20사용배율변경(50-&gt;57), 2020.10.20 수리</v>
          </cell>
          <cell r="AD173">
            <v>0.85</v>
          </cell>
          <cell r="AE173">
            <v>90</v>
          </cell>
          <cell r="AF173">
            <v>4</v>
          </cell>
        </row>
        <row r="174">
          <cell r="A174" t="str">
            <v>이뱅킹</v>
          </cell>
          <cell r="B174" t="str">
            <v>SET</v>
          </cell>
          <cell r="C174">
            <v>3</v>
          </cell>
          <cell r="D174">
            <v>70</v>
          </cell>
          <cell r="E174">
            <v>150</v>
          </cell>
          <cell r="F174">
            <v>58</v>
          </cell>
          <cell r="G174" t="str">
            <v>B240NS</v>
          </cell>
          <cell r="H174">
            <v>10</v>
          </cell>
          <cell r="I174">
            <v>2</v>
          </cell>
          <cell r="J174" t="str">
            <v>이뱅킹텍</v>
          </cell>
          <cell r="K174">
            <v>54</v>
          </cell>
          <cell r="L174">
            <v>56</v>
          </cell>
          <cell r="M174">
            <v>54</v>
          </cell>
          <cell r="N174">
            <v>56</v>
          </cell>
          <cell r="O174">
            <v>900</v>
          </cell>
          <cell r="P174">
            <v>1300</v>
          </cell>
          <cell r="Q174">
            <v>150</v>
          </cell>
          <cell r="R174" t="str">
            <v>파랑</v>
          </cell>
          <cell r="S174" t="str">
            <v>파랑</v>
          </cell>
          <cell r="T174" t="str">
            <v>E-BANK</v>
          </cell>
          <cell r="U174">
            <v>39214</v>
          </cell>
          <cell r="V174" t="str">
            <v>삼일금형</v>
          </cell>
          <cell r="W174" t="str">
            <v>몸통/뚜껑 따로포장</v>
          </cell>
          <cell r="X174" t="str">
            <v>E-0304</v>
          </cell>
          <cell r="AC174" t="str">
            <v>강윤호차장,2015.06.04 형상 추가 개조</v>
          </cell>
          <cell r="AD174">
            <v>0.85</v>
          </cell>
          <cell r="AE174">
            <v>70</v>
          </cell>
          <cell r="AF174">
            <v>4</v>
          </cell>
        </row>
        <row r="175">
          <cell r="A175" t="str">
            <v>유통5호</v>
          </cell>
          <cell r="B175" t="str">
            <v>BOX</v>
          </cell>
          <cell r="D175">
            <v>75</v>
          </cell>
          <cell r="E175">
            <v>230</v>
          </cell>
          <cell r="G175" t="str">
            <v>B240NS</v>
          </cell>
          <cell r="H175">
            <v>10</v>
          </cell>
          <cell r="J175" t="str">
            <v>삼일이노팩</v>
          </cell>
          <cell r="O175">
            <v>850</v>
          </cell>
          <cell r="S175">
            <v>0</v>
          </cell>
          <cell r="T175" t="str">
            <v>삼일팩외주</v>
          </cell>
          <cell r="V175" t="str">
            <v>삼일팩입고</v>
          </cell>
          <cell r="AC175" t="str">
            <v>삼일팩에서 제품만받음.(금형은없음)</v>
          </cell>
          <cell r="AD175">
            <v>0.85</v>
          </cell>
          <cell r="AE175">
            <v>100</v>
          </cell>
          <cell r="AF175">
            <v>2</v>
          </cell>
        </row>
        <row r="176">
          <cell r="A176" t="str">
            <v>유통2호</v>
          </cell>
          <cell r="B176" t="str">
            <v>BOX</v>
          </cell>
          <cell r="C176">
            <v>4</v>
          </cell>
          <cell r="D176">
            <v>104</v>
          </cell>
          <cell r="E176">
            <v>175</v>
          </cell>
          <cell r="F176">
            <v>74</v>
          </cell>
          <cell r="G176" t="str">
            <v>SE2500M</v>
          </cell>
          <cell r="H176" t="str">
            <v>T:42 B:14</v>
          </cell>
          <cell r="I176">
            <v>2</v>
          </cell>
          <cell r="J176" t="str">
            <v>용인공장</v>
          </cell>
          <cell r="P176">
            <v>1360</v>
          </cell>
          <cell r="Q176">
            <v>300</v>
          </cell>
          <cell r="R176" t="str">
            <v>검정</v>
          </cell>
          <cell r="U176">
            <v>44707</v>
          </cell>
          <cell r="V176" t="str">
            <v>이관금형</v>
          </cell>
          <cell r="Y176">
            <v>65</v>
          </cell>
          <cell r="Z176">
            <v>11422</v>
          </cell>
          <cell r="AD176">
            <v>0.85</v>
          </cell>
        </row>
        <row r="177">
          <cell r="A177" t="str">
            <v>유통2호</v>
          </cell>
          <cell r="B177" t="str">
            <v>BOX</v>
          </cell>
          <cell r="C177">
            <v>4</v>
          </cell>
          <cell r="D177">
            <v>104</v>
          </cell>
          <cell r="E177">
            <v>175</v>
          </cell>
          <cell r="F177">
            <v>74</v>
          </cell>
          <cell r="G177" t="str">
            <v>SE2500M</v>
          </cell>
          <cell r="H177" t="str">
            <v>T:42 B:14</v>
          </cell>
          <cell r="I177">
            <v>2</v>
          </cell>
          <cell r="J177" t="str">
            <v>용인공장</v>
          </cell>
          <cell r="P177">
            <v>1360</v>
          </cell>
          <cell r="Q177">
            <v>300</v>
          </cell>
          <cell r="R177" t="str">
            <v>검정</v>
          </cell>
          <cell r="U177">
            <v>44707</v>
          </cell>
          <cell r="V177" t="str">
            <v>이관금형</v>
          </cell>
          <cell r="Y177">
            <v>65</v>
          </cell>
          <cell r="Z177">
            <v>11422</v>
          </cell>
          <cell r="AD177">
            <v>0.85</v>
          </cell>
        </row>
        <row r="178">
          <cell r="A178" t="str">
            <v>유통25K</v>
          </cell>
          <cell r="B178" t="str">
            <v>BOX</v>
          </cell>
          <cell r="D178">
            <v>75</v>
          </cell>
          <cell r="E178">
            <v>500</v>
          </cell>
          <cell r="G178" t="str">
            <v>B240NS</v>
          </cell>
          <cell r="H178">
            <v>8</v>
          </cell>
          <cell r="J178" t="str">
            <v>삼일이노팩</v>
          </cell>
          <cell r="O178">
            <v>1810</v>
          </cell>
          <cell r="S178">
            <v>0</v>
          </cell>
          <cell r="T178" t="str">
            <v>삼일팩외주</v>
          </cell>
          <cell r="V178" t="str">
            <v>삼일팩입고</v>
          </cell>
          <cell r="AC178" t="str">
            <v>삼일팩에서 제품만받음.(금형은없음)</v>
          </cell>
          <cell r="AD178">
            <v>0.9</v>
          </cell>
          <cell r="AE178">
            <v>80</v>
          </cell>
          <cell r="AF178">
            <v>2</v>
          </cell>
        </row>
        <row r="179">
          <cell r="A179" t="str">
            <v>유통20K</v>
          </cell>
          <cell r="B179" t="str">
            <v>BOX</v>
          </cell>
          <cell r="D179">
            <v>75</v>
          </cell>
          <cell r="E179">
            <v>460</v>
          </cell>
          <cell r="G179" t="str">
            <v>B240NS</v>
          </cell>
          <cell r="H179">
            <v>8</v>
          </cell>
          <cell r="J179" t="str">
            <v>삼일이노팩</v>
          </cell>
          <cell r="O179">
            <v>1610</v>
          </cell>
          <cell r="S179">
            <v>0</v>
          </cell>
          <cell r="T179" t="str">
            <v>삼일팩외주</v>
          </cell>
          <cell r="V179" t="str">
            <v>삼일팩입고</v>
          </cell>
          <cell r="AC179" t="str">
            <v>삼일팩에서 제품만받음.(금형은없음)</v>
          </cell>
          <cell r="AD179">
            <v>0.85</v>
          </cell>
          <cell r="AE179">
            <v>80</v>
          </cell>
          <cell r="AF179">
            <v>1</v>
          </cell>
        </row>
        <row r="180">
          <cell r="A180" t="str">
            <v>유통1호-TOP</v>
          </cell>
          <cell r="B180" t="str">
            <v>BOX</v>
          </cell>
          <cell r="C180">
            <v>8</v>
          </cell>
          <cell r="D180">
            <v>105</v>
          </cell>
          <cell r="E180">
            <v>55</v>
          </cell>
          <cell r="F180">
            <v>74</v>
          </cell>
          <cell r="G180" t="str">
            <v>SE2500M</v>
          </cell>
          <cell r="H180">
            <v>42</v>
          </cell>
          <cell r="I180">
            <v>1</v>
          </cell>
          <cell r="J180" t="str">
            <v>용인공장</v>
          </cell>
          <cell r="P180">
            <v>1360</v>
          </cell>
          <cell r="Q180">
            <v>0</v>
          </cell>
          <cell r="R180" t="str">
            <v>주황</v>
          </cell>
          <cell r="U180">
            <v>44707</v>
          </cell>
          <cell r="V180" t="str">
            <v>이관금형</v>
          </cell>
          <cell r="Y180">
            <v>70</v>
          </cell>
          <cell r="Z180">
            <v>3871</v>
          </cell>
          <cell r="AD180">
            <v>0.85</v>
          </cell>
        </row>
        <row r="181">
          <cell r="A181" t="str">
            <v>유통1호-TOP</v>
          </cell>
          <cell r="B181" t="str">
            <v>BOX</v>
          </cell>
          <cell r="C181">
            <v>8</v>
          </cell>
          <cell r="D181">
            <v>105</v>
          </cell>
          <cell r="E181">
            <v>55</v>
          </cell>
          <cell r="F181">
            <v>74</v>
          </cell>
          <cell r="G181" t="str">
            <v>SE2500M</v>
          </cell>
          <cell r="H181">
            <v>42</v>
          </cell>
          <cell r="I181">
            <v>1</v>
          </cell>
          <cell r="J181" t="str">
            <v>용인공장</v>
          </cell>
          <cell r="P181">
            <v>1360</v>
          </cell>
          <cell r="Q181">
            <v>0</v>
          </cell>
          <cell r="R181" t="str">
            <v>주황</v>
          </cell>
          <cell r="U181">
            <v>44707</v>
          </cell>
          <cell r="V181" t="str">
            <v>이관금형</v>
          </cell>
          <cell r="Y181">
            <v>70</v>
          </cell>
          <cell r="Z181">
            <v>3871</v>
          </cell>
          <cell r="AD181">
            <v>0.85</v>
          </cell>
        </row>
        <row r="182">
          <cell r="A182" t="str">
            <v>유통1호-BOT</v>
          </cell>
          <cell r="B182" t="str">
            <v>BOX</v>
          </cell>
          <cell r="C182">
            <v>8</v>
          </cell>
          <cell r="D182">
            <v>106</v>
          </cell>
          <cell r="E182">
            <v>110</v>
          </cell>
          <cell r="F182">
            <v>74</v>
          </cell>
          <cell r="G182" t="str">
            <v>SE2500M</v>
          </cell>
          <cell r="H182">
            <v>14</v>
          </cell>
          <cell r="I182">
            <v>1</v>
          </cell>
          <cell r="J182" t="str">
            <v>용인공장</v>
          </cell>
          <cell r="P182">
            <v>1360</v>
          </cell>
          <cell r="Q182">
            <v>300</v>
          </cell>
          <cell r="R182" t="str">
            <v>주황</v>
          </cell>
          <cell r="U182">
            <v>44707</v>
          </cell>
          <cell r="V182" t="str">
            <v>이관금형</v>
          </cell>
          <cell r="Y182">
            <v>73</v>
          </cell>
          <cell r="Z182">
            <v>7984</v>
          </cell>
          <cell r="AD182">
            <v>0.85</v>
          </cell>
        </row>
        <row r="183">
          <cell r="A183" t="str">
            <v>유통1호-BOT</v>
          </cell>
          <cell r="B183" t="str">
            <v>BOX</v>
          </cell>
          <cell r="C183">
            <v>8</v>
          </cell>
          <cell r="D183">
            <v>106</v>
          </cell>
          <cell r="E183">
            <v>110</v>
          </cell>
          <cell r="F183">
            <v>74</v>
          </cell>
          <cell r="G183" t="str">
            <v>SE2500M</v>
          </cell>
          <cell r="H183">
            <v>14</v>
          </cell>
          <cell r="I183">
            <v>1</v>
          </cell>
          <cell r="J183" t="str">
            <v>용인공장</v>
          </cell>
          <cell r="P183">
            <v>1360</v>
          </cell>
          <cell r="Q183">
            <v>300</v>
          </cell>
          <cell r="R183" t="str">
            <v>주황</v>
          </cell>
          <cell r="U183">
            <v>44707</v>
          </cell>
          <cell r="V183" t="str">
            <v>이관금형</v>
          </cell>
          <cell r="Y183">
            <v>73</v>
          </cell>
          <cell r="Z183">
            <v>7984</v>
          </cell>
          <cell r="AD183">
            <v>0.85</v>
          </cell>
        </row>
        <row r="184">
          <cell r="A184" t="str">
            <v>유인충전기</v>
          </cell>
          <cell r="B184" t="str">
            <v>SET</v>
          </cell>
          <cell r="C184">
            <v>2</v>
          </cell>
          <cell r="D184">
            <v>90</v>
          </cell>
          <cell r="E184">
            <v>400</v>
          </cell>
          <cell r="F184">
            <v>65</v>
          </cell>
          <cell r="G184" t="str">
            <v>B240NS</v>
          </cell>
          <cell r="H184">
            <v>10</v>
          </cell>
          <cell r="I184">
            <v>2</v>
          </cell>
          <cell r="J184" t="str">
            <v>에이텍</v>
          </cell>
          <cell r="K184">
            <v>84</v>
          </cell>
          <cell r="L184">
            <v>86</v>
          </cell>
          <cell r="M184">
            <v>84</v>
          </cell>
          <cell r="N184">
            <v>86</v>
          </cell>
          <cell r="O184">
            <v>1950</v>
          </cell>
          <cell r="P184">
            <v>1360</v>
          </cell>
          <cell r="Q184">
            <v>200</v>
          </cell>
          <cell r="R184" t="str">
            <v>녹색</v>
          </cell>
          <cell r="S184" t="str">
            <v>녹색</v>
          </cell>
          <cell r="T184" t="str">
            <v>유인충전기</v>
          </cell>
          <cell r="U184">
            <v>40976</v>
          </cell>
          <cell r="V184" t="str">
            <v>금형제조부</v>
          </cell>
          <cell r="W184" t="str">
            <v>PPACRCUS0200(1)A</v>
          </cell>
          <cell r="X184" t="str">
            <v>계양리 J-3</v>
          </cell>
          <cell r="AC184" t="str">
            <v>2012.05.23각인부착,2012.09.05 기준배율변경(57-&gt;62), 2013.04.18배율변경(62-&gt;57)</v>
          </cell>
          <cell r="AD184">
            <v>0.85</v>
          </cell>
          <cell r="AE184">
            <v>75</v>
          </cell>
          <cell r="AF184">
            <v>8</v>
          </cell>
        </row>
        <row r="185">
          <cell r="A185" t="str">
            <v>유공패드(소)</v>
          </cell>
          <cell r="E185">
            <v>0</v>
          </cell>
          <cell r="J185" t="str">
            <v>아드마텍</v>
          </cell>
          <cell r="O185">
            <v>367</v>
          </cell>
          <cell r="T185" t="str">
            <v>DWA90 패드</v>
          </cell>
          <cell r="U185">
            <v>44134</v>
          </cell>
        </row>
        <row r="186">
          <cell r="A186" t="str">
            <v>유공패드(소)</v>
          </cell>
          <cell r="J186" t="str">
            <v>NCK</v>
          </cell>
        </row>
        <row r="187">
          <cell r="A187" t="str">
            <v>유공패드(소)</v>
          </cell>
          <cell r="E187">
            <v>0</v>
          </cell>
          <cell r="J187" t="str">
            <v>아드마텍</v>
          </cell>
          <cell r="O187">
            <v>367</v>
          </cell>
        </row>
        <row r="188">
          <cell r="A188" t="str">
            <v>유공패드(대)</v>
          </cell>
          <cell r="E188">
            <v>0</v>
          </cell>
          <cell r="J188" t="str">
            <v>아드마텍</v>
          </cell>
          <cell r="O188">
            <v>545</v>
          </cell>
        </row>
        <row r="189">
          <cell r="A189" t="str">
            <v>유공패드(대)</v>
          </cell>
          <cell r="J189" t="str">
            <v>NCK</v>
          </cell>
        </row>
        <row r="190">
          <cell r="A190" t="str">
            <v>유공패드(대)</v>
          </cell>
          <cell r="E190">
            <v>0</v>
          </cell>
          <cell r="J190" t="str">
            <v>아드마텍</v>
          </cell>
          <cell r="O190">
            <v>545</v>
          </cell>
        </row>
        <row r="191">
          <cell r="A191" t="str">
            <v>윈디3-UP</v>
          </cell>
          <cell r="B191" t="str">
            <v>SET</v>
          </cell>
          <cell r="C191">
            <v>2</v>
          </cell>
          <cell r="D191">
            <v>100</v>
          </cell>
          <cell r="E191">
            <v>170</v>
          </cell>
          <cell r="F191">
            <v>60</v>
          </cell>
          <cell r="G191" t="str">
            <v>B240NS</v>
          </cell>
          <cell r="H191">
            <v>10</v>
          </cell>
          <cell r="I191">
            <v>2</v>
          </cell>
          <cell r="J191" t="str">
            <v>코웨이</v>
          </cell>
          <cell r="K191">
            <v>112</v>
          </cell>
          <cell r="L191">
            <v>118</v>
          </cell>
          <cell r="P191">
            <v>1360</v>
          </cell>
          <cell r="Q191">
            <v>200</v>
          </cell>
          <cell r="R191" t="str">
            <v>보라</v>
          </cell>
          <cell r="T191" t="str">
            <v>CHP-6330L</v>
          </cell>
          <cell r="U191">
            <v>45008</v>
          </cell>
          <cell r="V191" t="str">
            <v>대부</v>
          </cell>
          <cell r="W191" t="str">
            <v>CHP-6330L DB 23005</v>
          </cell>
          <cell r="AD191">
            <v>0.85</v>
          </cell>
        </row>
        <row r="192">
          <cell r="A192" t="str">
            <v>윈디3-UP</v>
          </cell>
          <cell r="B192" t="str">
            <v>SET</v>
          </cell>
          <cell r="C192">
            <v>2</v>
          </cell>
          <cell r="D192">
            <v>100</v>
          </cell>
          <cell r="E192">
            <v>170</v>
          </cell>
          <cell r="F192">
            <v>60</v>
          </cell>
          <cell r="G192" t="str">
            <v>B240NS</v>
          </cell>
          <cell r="H192">
            <v>10</v>
          </cell>
          <cell r="I192">
            <v>2</v>
          </cell>
          <cell r="J192" t="str">
            <v>코웨이</v>
          </cell>
          <cell r="K192">
            <v>112</v>
          </cell>
          <cell r="L192">
            <v>118</v>
          </cell>
          <cell r="P192">
            <v>1300</v>
          </cell>
          <cell r="Q192">
            <v>200</v>
          </cell>
          <cell r="R192" t="str">
            <v>보라</v>
          </cell>
          <cell r="T192" t="str">
            <v>CHP-6330L</v>
          </cell>
          <cell r="U192">
            <v>45008</v>
          </cell>
          <cell r="V192" t="str">
            <v>대부</v>
          </cell>
          <cell r="W192" t="str">
            <v>CHP-6330L DB 23005</v>
          </cell>
          <cell r="AD192">
            <v>0.85</v>
          </cell>
        </row>
        <row r="193">
          <cell r="A193" t="str">
            <v>윈디3-LOW</v>
          </cell>
          <cell r="B193" t="str">
            <v>SET</v>
          </cell>
          <cell r="C193">
            <v>2</v>
          </cell>
          <cell r="D193">
            <v>100</v>
          </cell>
          <cell r="E193">
            <v>187</v>
          </cell>
          <cell r="F193">
            <v>60</v>
          </cell>
          <cell r="G193" t="str">
            <v>B240NS</v>
          </cell>
          <cell r="H193">
            <v>10</v>
          </cell>
          <cell r="I193">
            <v>2</v>
          </cell>
          <cell r="J193" t="str">
            <v>코웨이</v>
          </cell>
          <cell r="M193">
            <v>92</v>
          </cell>
          <cell r="N193">
            <v>98</v>
          </cell>
          <cell r="P193">
            <v>1360</v>
          </cell>
          <cell r="Q193">
            <v>200</v>
          </cell>
          <cell r="R193" t="str">
            <v>보라</v>
          </cell>
          <cell r="T193" t="str">
            <v>CHP-6330L</v>
          </cell>
          <cell r="U193">
            <v>45008</v>
          </cell>
          <cell r="V193" t="str">
            <v>대부</v>
          </cell>
          <cell r="W193" t="str">
            <v>CHP-6330L DB 23005</v>
          </cell>
          <cell r="AD193">
            <v>0.85</v>
          </cell>
        </row>
        <row r="194">
          <cell r="A194" t="str">
            <v>윈디3-LOW</v>
          </cell>
          <cell r="B194" t="str">
            <v>SET</v>
          </cell>
          <cell r="C194">
            <v>2</v>
          </cell>
          <cell r="D194">
            <v>100</v>
          </cell>
          <cell r="E194">
            <v>187</v>
          </cell>
          <cell r="F194">
            <v>60</v>
          </cell>
          <cell r="G194" t="str">
            <v>B240NS</v>
          </cell>
          <cell r="H194">
            <v>10</v>
          </cell>
          <cell r="I194">
            <v>2</v>
          </cell>
          <cell r="J194" t="str">
            <v>코웨이</v>
          </cell>
          <cell r="M194">
            <v>92</v>
          </cell>
          <cell r="N194">
            <v>98</v>
          </cell>
          <cell r="P194">
            <v>1300</v>
          </cell>
          <cell r="Q194">
            <v>200</v>
          </cell>
          <cell r="R194" t="str">
            <v>보라</v>
          </cell>
          <cell r="T194" t="str">
            <v>CHP-6330L</v>
          </cell>
          <cell r="U194">
            <v>45008</v>
          </cell>
          <cell r="V194" t="str">
            <v>대부</v>
          </cell>
          <cell r="W194" t="str">
            <v>CHP-6330L DB 23005</v>
          </cell>
          <cell r="AD194">
            <v>0.85</v>
          </cell>
        </row>
        <row r="195">
          <cell r="A195" t="str">
            <v>윈디3</v>
          </cell>
          <cell r="B195" t="str">
            <v>SET</v>
          </cell>
          <cell r="C195">
            <v>2</v>
          </cell>
          <cell r="D195">
            <v>100</v>
          </cell>
          <cell r="E195">
            <v>357</v>
          </cell>
          <cell r="F195">
            <v>60</v>
          </cell>
          <cell r="G195" t="str">
            <v>B240NS</v>
          </cell>
          <cell r="H195">
            <v>10</v>
          </cell>
          <cell r="I195">
            <v>2</v>
          </cell>
          <cell r="J195" t="str">
            <v>코웨이</v>
          </cell>
          <cell r="K195">
            <v>112</v>
          </cell>
          <cell r="L195">
            <v>118</v>
          </cell>
          <cell r="M195">
            <v>92</v>
          </cell>
          <cell r="N195">
            <v>98</v>
          </cell>
          <cell r="P195">
            <v>1360</v>
          </cell>
          <cell r="Q195">
            <v>200</v>
          </cell>
          <cell r="R195" t="str">
            <v>보라</v>
          </cell>
          <cell r="T195" t="str">
            <v>CHP-6330L</v>
          </cell>
          <cell r="U195">
            <v>45008</v>
          </cell>
          <cell r="V195" t="str">
            <v>대부</v>
          </cell>
          <cell r="W195" t="str">
            <v>CHP-6330L DB 23005</v>
          </cell>
          <cell r="AD195">
            <v>0.85</v>
          </cell>
        </row>
        <row r="196">
          <cell r="A196" t="str">
            <v>윈디3</v>
          </cell>
          <cell r="B196" t="str">
            <v>SET</v>
          </cell>
          <cell r="C196">
            <v>2</v>
          </cell>
          <cell r="D196">
            <v>100</v>
          </cell>
          <cell r="E196">
            <v>357</v>
          </cell>
          <cell r="F196">
            <v>60</v>
          </cell>
          <cell r="G196" t="str">
            <v>B240NS</v>
          </cell>
          <cell r="H196">
            <v>10</v>
          </cell>
          <cell r="I196">
            <v>2</v>
          </cell>
          <cell r="J196" t="str">
            <v>코웨이</v>
          </cell>
          <cell r="K196">
            <v>112</v>
          </cell>
          <cell r="L196">
            <v>118</v>
          </cell>
          <cell r="M196">
            <v>92</v>
          </cell>
          <cell r="N196">
            <v>98</v>
          </cell>
          <cell r="P196">
            <v>1300</v>
          </cell>
          <cell r="Q196">
            <v>200</v>
          </cell>
          <cell r="R196" t="str">
            <v>보라</v>
          </cell>
          <cell r="T196" t="str">
            <v>CHP-6330L</v>
          </cell>
          <cell r="U196">
            <v>45008</v>
          </cell>
          <cell r="V196" t="str">
            <v>대부</v>
          </cell>
          <cell r="W196" t="str">
            <v>CHP-6330L DB 23005</v>
          </cell>
          <cell r="AD196">
            <v>0.85</v>
          </cell>
        </row>
        <row r="197">
          <cell r="A197" t="str">
            <v>위너-미주향-UP</v>
          </cell>
          <cell r="B197" t="str">
            <v>SET</v>
          </cell>
          <cell r="C197">
            <v>2</v>
          </cell>
          <cell r="D197">
            <v>100</v>
          </cell>
          <cell r="E197">
            <v>252</v>
          </cell>
          <cell r="F197">
            <v>70</v>
          </cell>
          <cell r="G197" t="str">
            <v>B240NS</v>
          </cell>
          <cell r="H197">
            <v>5</v>
          </cell>
          <cell r="I197">
            <v>2</v>
          </cell>
          <cell r="J197" t="str">
            <v>코웨이</v>
          </cell>
          <cell r="R197" t="str">
            <v>흰색</v>
          </cell>
          <cell r="AD197">
            <v>0.85</v>
          </cell>
          <cell r="AF197">
            <v>4</v>
          </cell>
        </row>
        <row r="198">
          <cell r="A198" t="str">
            <v>위너-미주향-LOW</v>
          </cell>
          <cell r="B198" t="str">
            <v>SET</v>
          </cell>
          <cell r="C198">
            <v>2</v>
          </cell>
          <cell r="D198">
            <v>100</v>
          </cell>
          <cell r="E198">
            <v>327</v>
          </cell>
          <cell r="F198">
            <v>70</v>
          </cell>
          <cell r="G198" t="str">
            <v>B240NS</v>
          </cell>
          <cell r="H198">
            <v>5</v>
          </cell>
          <cell r="I198">
            <v>2</v>
          </cell>
          <cell r="J198" t="str">
            <v>코웨이</v>
          </cell>
          <cell r="R198" t="str">
            <v>흰색</v>
          </cell>
          <cell r="W198" t="str">
            <v>LOWER A'SSY 제품 (비닐포장 X)</v>
          </cell>
          <cell r="AD198">
            <v>0.85</v>
          </cell>
          <cell r="AF198">
            <v>4</v>
          </cell>
        </row>
        <row r="199">
          <cell r="A199" t="str">
            <v>위너-UP</v>
          </cell>
          <cell r="B199" t="str">
            <v>SET</v>
          </cell>
          <cell r="C199">
            <v>2</v>
          </cell>
          <cell r="D199">
            <v>100</v>
          </cell>
          <cell r="E199">
            <v>318</v>
          </cell>
          <cell r="F199">
            <v>70</v>
          </cell>
          <cell r="G199" t="str">
            <v>B240NS</v>
          </cell>
          <cell r="H199">
            <v>5</v>
          </cell>
          <cell r="I199">
            <v>2</v>
          </cell>
          <cell r="J199" t="str">
            <v>코웨이</v>
          </cell>
          <cell r="R199" t="str">
            <v>흰색</v>
          </cell>
          <cell r="AD199">
            <v>0.85</v>
          </cell>
          <cell r="AF199">
            <v>4</v>
          </cell>
        </row>
        <row r="200">
          <cell r="A200" t="str">
            <v>위너-UP</v>
          </cell>
          <cell r="B200" t="str">
            <v>SET</v>
          </cell>
          <cell r="C200">
            <v>2</v>
          </cell>
          <cell r="D200">
            <v>100</v>
          </cell>
          <cell r="E200">
            <v>318</v>
          </cell>
          <cell r="F200">
            <v>70</v>
          </cell>
          <cell r="G200" t="str">
            <v>B240NS</v>
          </cell>
          <cell r="H200">
            <v>6</v>
          </cell>
          <cell r="I200">
            <v>2</v>
          </cell>
          <cell r="J200" t="str">
            <v>코웨이</v>
          </cell>
          <cell r="R200" t="str">
            <v>흰색</v>
          </cell>
        </row>
        <row r="201">
          <cell r="A201" t="str">
            <v>위너-LOW</v>
          </cell>
          <cell r="B201" t="str">
            <v>SET</v>
          </cell>
          <cell r="C201">
            <v>2</v>
          </cell>
          <cell r="D201">
            <v>100</v>
          </cell>
          <cell r="E201">
            <v>390</v>
          </cell>
          <cell r="F201">
            <v>70</v>
          </cell>
          <cell r="G201" t="str">
            <v>B240NS</v>
          </cell>
          <cell r="H201">
            <v>5</v>
          </cell>
          <cell r="I201">
            <v>2</v>
          </cell>
          <cell r="J201" t="str">
            <v>코웨이</v>
          </cell>
          <cell r="R201" t="str">
            <v>흰색</v>
          </cell>
          <cell r="W201" t="str">
            <v>LOWER A'SSY 제품 (비닐포장 X)</v>
          </cell>
          <cell r="AD201">
            <v>0.85</v>
          </cell>
          <cell r="AF201">
            <v>4</v>
          </cell>
        </row>
        <row r="202">
          <cell r="A202" t="str">
            <v>위너-LOW</v>
          </cell>
          <cell r="B202" t="str">
            <v>SET</v>
          </cell>
          <cell r="C202">
            <v>2</v>
          </cell>
          <cell r="D202">
            <v>100</v>
          </cell>
          <cell r="E202">
            <v>390</v>
          </cell>
          <cell r="F202">
            <v>70</v>
          </cell>
          <cell r="G202" t="str">
            <v>B240NS</v>
          </cell>
          <cell r="H202">
            <v>6</v>
          </cell>
          <cell r="I202">
            <v>2</v>
          </cell>
          <cell r="J202" t="str">
            <v>코웨이</v>
          </cell>
          <cell r="R202" t="str">
            <v>흰색</v>
          </cell>
          <cell r="W202" t="str">
            <v>LOWER A'SSY 제품 (비닐포장 X)</v>
          </cell>
        </row>
        <row r="203">
          <cell r="A203" t="str">
            <v>위너</v>
          </cell>
          <cell r="B203" t="str">
            <v>SET</v>
          </cell>
          <cell r="C203">
            <v>2</v>
          </cell>
          <cell r="D203">
            <v>85</v>
          </cell>
          <cell r="E203">
            <v>708</v>
          </cell>
          <cell r="F203">
            <v>70</v>
          </cell>
          <cell r="G203" t="str">
            <v>B240NS</v>
          </cell>
          <cell r="H203" t="str">
            <v>UP:5 LOW:5</v>
          </cell>
          <cell r="I203">
            <v>2</v>
          </cell>
          <cell r="J203" t="str">
            <v>코웨이</v>
          </cell>
          <cell r="K203">
            <v>128</v>
          </cell>
          <cell r="L203">
            <v>132</v>
          </cell>
          <cell r="M203">
            <v>133</v>
          </cell>
          <cell r="N203">
            <v>137</v>
          </cell>
          <cell r="P203">
            <v>1360</v>
          </cell>
          <cell r="Q203">
            <v>250</v>
          </cell>
          <cell r="R203" t="str">
            <v>흰색</v>
          </cell>
          <cell r="T203" t="str">
            <v>WINNER UP/LOW</v>
          </cell>
          <cell r="U203">
            <v>44580</v>
          </cell>
          <cell r="V203" t="str">
            <v>경원 ENG</v>
          </cell>
          <cell r="W203" t="str">
            <v>LOWER A'SSY 제품 (비닐포장 X)</v>
          </cell>
          <cell r="Y203">
            <v>60</v>
          </cell>
          <cell r="Z203">
            <v>42422</v>
          </cell>
          <cell r="AC203" t="str">
            <v>석상준차장</v>
          </cell>
          <cell r="AD203">
            <v>0.85</v>
          </cell>
          <cell r="AE203">
            <v>85</v>
          </cell>
          <cell r="AF203">
            <v>4</v>
          </cell>
        </row>
        <row r="204">
          <cell r="A204" t="str">
            <v>위너</v>
          </cell>
          <cell r="B204" t="str">
            <v>SET</v>
          </cell>
          <cell r="C204">
            <v>2</v>
          </cell>
          <cell r="D204">
            <v>100</v>
          </cell>
          <cell r="E204">
            <v>709</v>
          </cell>
          <cell r="F204">
            <v>70</v>
          </cell>
          <cell r="G204" t="str">
            <v>B240NS</v>
          </cell>
          <cell r="H204" t="str">
            <v>UP:6 LOW:6</v>
          </cell>
          <cell r="I204">
            <v>2</v>
          </cell>
          <cell r="J204" t="str">
            <v>코웨이</v>
          </cell>
          <cell r="K204">
            <v>128</v>
          </cell>
          <cell r="L204">
            <v>132</v>
          </cell>
          <cell r="M204">
            <v>133</v>
          </cell>
          <cell r="N204">
            <v>137</v>
          </cell>
          <cell r="P204">
            <v>1360</v>
          </cell>
          <cell r="Q204">
            <v>250</v>
          </cell>
          <cell r="R204" t="str">
            <v>흰색</v>
          </cell>
          <cell r="T204" t="str">
            <v>WINNER UP/LOW</v>
          </cell>
          <cell r="U204">
            <v>44580</v>
          </cell>
          <cell r="V204" t="str">
            <v>경원 ENG</v>
          </cell>
          <cell r="W204" t="str">
            <v>LOWER A'SSY 제품 (비닐포장 X)</v>
          </cell>
          <cell r="Y204">
            <v>60</v>
          </cell>
          <cell r="Z204">
            <v>42422</v>
          </cell>
          <cell r="AC204" t="str">
            <v>석상준차장</v>
          </cell>
          <cell r="AD204">
            <v>0.85</v>
          </cell>
        </row>
        <row r="205">
          <cell r="A205" t="str">
            <v>웰초박스</v>
          </cell>
          <cell r="B205" t="str">
            <v>BOX</v>
          </cell>
          <cell r="C205">
            <v>3</v>
          </cell>
          <cell r="D205">
            <v>60</v>
          </cell>
          <cell r="E205">
            <v>105</v>
          </cell>
          <cell r="F205">
            <v>74</v>
          </cell>
          <cell r="G205" t="str">
            <v>B240NS</v>
          </cell>
          <cell r="H205">
            <v>16</v>
          </cell>
          <cell r="I205">
            <v>2</v>
          </cell>
          <cell r="J205" t="str">
            <v>동아메디팜</v>
          </cell>
          <cell r="K205">
            <v>24</v>
          </cell>
          <cell r="L205">
            <v>26</v>
          </cell>
          <cell r="M205">
            <v>119</v>
          </cell>
          <cell r="N205">
            <v>121</v>
          </cell>
          <cell r="O205">
            <v>600</v>
          </cell>
          <cell r="P205">
            <v>1300</v>
          </cell>
          <cell r="Q205">
            <v>200</v>
          </cell>
          <cell r="R205" t="str">
            <v>주황</v>
          </cell>
          <cell r="S205" t="str">
            <v>주황</v>
          </cell>
          <cell r="T205" t="str">
            <v>WELL초박스</v>
          </cell>
          <cell r="U205">
            <v>40074</v>
          </cell>
          <cell r="V205" t="str">
            <v>삼일금형</v>
          </cell>
          <cell r="X205" t="str">
            <v>P-0903</v>
          </cell>
          <cell r="Y205">
            <v>60</v>
          </cell>
          <cell r="Z205">
            <v>6311</v>
          </cell>
          <cell r="AC205" t="str">
            <v>2009.09.18승인완료, 2014.06.02기준중량 및 배율변경(130-&gt;105, 57-&gt;70)</v>
          </cell>
          <cell r="AD205">
            <v>0.85</v>
          </cell>
          <cell r="AE205">
            <v>70</v>
          </cell>
        </row>
        <row r="206">
          <cell r="A206" t="str">
            <v>웨이퍼-쿠션</v>
          </cell>
          <cell r="B206" t="str">
            <v>SET</v>
          </cell>
          <cell r="C206">
            <v>3</v>
          </cell>
          <cell r="D206">
            <v>125</v>
          </cell>
          <cell r="E206">
            <v>465</v>
          </cell>
          <cell r="F206">
            <v>40</v>
          </cell>
          <cell r="G206" t="str">
            <v>B240NS</v>
          </cell>
          <cell r="H206">
            <v>6</v>
          </cell>
          <cell r="I206">
            <v>2</v>
          </cell>
          <cell r="J206" t="str">
            <v>에이텍솔루션</v>
          </cell>
          <cell r="K206">
            <v>188</v>
          </cell>
          <cell r="L206">
            <v>192</v>
          </cell>
          <cell r="M206">
            <v>181</v>
          </cell>
          <cell r="N206">
            <v>185</v>
          </cell>
          <cell r="P206">
            <v>1360</v>
          </cell>
          <cell r="Q206">
            <v>250</v>
          </cell>
          <cell r="R206" t="str">
            <v>흰색</v>
          </cell>
          <cell r="U206">
            <v>45446</v>
          </cell>
          <cell r="V206" t="str">
            <v>금형사업부</v>
          </cell>
          <cell r="AD206">
            <v>0.85</v>
          </cell>
        </row>
        <row r="207">
          <cell r="A207" t="str">
            <v>웨이퍼-쿠션</v>
          </cell>
          <cell r="B207" t="str">
            <v>SET</v>
          </cell>
          <cell r="C207">
            <v>3</v>
          </cell>
          <cell r="D207">
            <v>100</v>
          </cell>
          <cell r="E207">
            <v>465</v>
          </cell>
          <cell r="F207">
            <v>40</v>
          </cell>
          <cell r="G207" t="str">
            <v>B240NS</v>
          </cell>
          <cell r="H207">
            <v>6</v>
          </cell>
          <cell r="I207">
            <v>2</v>
          </cell>
          <cell r="J207" t="str">
            <v>에이텍솔루션</v>
          </cell>
          <cell r="P207">
            <v>1360</v>
          </cell>
          <cell r="Q207">
            <v>250</v>
          </cell>
          <cell r="R207" t="str">
            <v>흰색</v>
          </cell>
          <cell r="U207">
            <v>45446</v>
          </cell>
          <cell r="V207" t="str">
            <v>금형사업부</v>
          </cell>
        </row>
        <row r="208">
          <cell r="A208" t="str">
            <v>웨스턴RO-UP</v>
          </cell>
          <cell r="B208" t="str">
            <v>SET</v>
          </cell>
          <cell r="C208">
            <v>2</v>
          </cell>
          <cell r="D208">
            <v>100</v>
          </cell>
          <cell r="E208">
            <v>297</v>
          </cell>
          <cell r="F208">
            <v>40</v>
          </cell>
          <cell r="G208" t="str">
            <v>B240NS</v>
          </cell>
          <cell r="H208" t="str">
            <v>TOP:5</v>
          </cell>
          <cell r="I208">
            <v>1</v>
          </cell>
          <cell r="J208" t="str">
            <v>코웨이</v>
          </cell>
          <cell r="K208">
            <v>128</v>
          </cell>
          <cell r="L208">
            <v>132</v>
          </cell>
          <cell r="P208">
            <v>1360</v>
          </cell>
          <cell r="Q208">
            <v>250</v>
          </cell>
          <cell r="R208" t="str">
            <v>빨강</v>
          </cell>
          <cell r="T208" t="str">
            <v>2303-043</v>
          </cell>
          <cell r="U208">
            <v>45014</v>
          </cell>
          <cell r="V208" t="str">
            <v>금형사업부</v>
          </cell>
          <cell r="W208" t="str">
            <v>2303-043</v>
          </cell>
          <cell r="AD208">
            <v>0.85</v>
          </cell>
        </row>
        <row r="209">
          <cell r="A209" t="str">
            <v>웨스턴RO-UP</v>
          </cell>
          <cell r="B209" t="str">
            <v>SET</v>
          </cell>
          <cell r="C209">
            <v>2</v>
          </cell>
          <cell r="D209">
            <v>100</v>
          </cell>
          <cell r="E209">
            <v>297</v>
          </cell>
          <cell r="F209">
            <v>40</v>
          </cell>
          <cell r="G209" t="str">
            <v>B240NS</v>
          </cell>
          <cell r="H209">
            <v>10</v>
          </cell>
          <cell r="I209">
            <v>1</v>
          </cell>
          <cell r="J209" t="str">
            <v>코웨이</v>
          </cell>
          <cell r="K209">
            <v>98</v>
          </cell>
          <cell r="L209">
            <v>102</v>
          </cell>
          <cell r="P209">
            <v>1360</v>
          </cell>
          <cell r="Q209">
            <v>250</v>
          </cell>
          <cell r="R209" t="str">
            <v>빨강</v>
          </cell>
          <cell r="T209" t="str">
            <v>2303-043</v>
          </cell>
          <cell r="U209">
            <v>45014</v>
          </cell>
          <cell r="V209" t="str">
            <v>금형사업부</v>
          </cell>
          <cell r="W209" t="str">
            <v>2303-043</v>
          </cell>
          <cell r="AD209">
            <v>0.85</v>
          </cell>
        </row>
        <row r="210">
          <cell r="A210" t="str">
            <v>웨스턴RO-LOW</v>
          </cell>
          <cell r="B210" t="str">
            <v>SET</v>
          </cell>
          <cell r="C210">
            <v>2</v>
          </cell>
          <cell r="D210">
            <v>100</v>
          </cell>
          <cell r="E210">
            <v>404</v>
          </cell>
          <cell r="F210">
            <v>40</v>
          </cell>
          <cell r="G210" t="str">
            <v>B240NS</v>
          </cell>
          <cell r="H210" t="str">
            <v xml:space="preserve"> BOT:5</v>
          </cell>
          <cell r="I210">
            <v>1</v>
          </cell>
          <cell r="J210" t="str">
            <v>코웨이</v>
          </cell>
          <cell r="M210">
            <v>128</v>
          </cell>
          <cell r="N210">
            <v>132</v>
          </cell>
          <cell r="P210">
            <v>1360</v>
          </cell>
          <cell r="Q210">
            <v>250</v>
          </cell>
          <cell r="R210" t="str">
            <v>빨강</v>
          </cell>
          <cell r="T210" t="str">
            <v>2303-043</v>
          </cell>
          <cell r="U210">
            <v>45014</v>
          </cell>
          <cell r="V210" t="str">
            <v>금형사업부</v>
          </cell>
          <cell r="W210" t="str">
            <v>2303-043</v>
          </cell>
          <cell r="AD210">
            <v>0.85</v>
          </cell>
        </row>
        <row r="211">
          <cell r="A211" t="str">
            <v>웨스턴RO-LOW</v>
          </cell>
          <cell r="B211" t="str">
            <v>SET</v>
          </cell>
          <cell r="C211">
            <v>2</v>
          </cell>
          <cell r="D211">
            <v>100</v>
          </cell>
          <cell r="E211">
            <v>404</v>
          </cell>
          <cell r="F211">
            <v>40</v>
          </cell>
          <cell r="G211" t="str">
            <v>B240NS</v>
          </cell>
          <cell r="H211">
            <v>10</v>
          </cell>
          <cell r="I211">
            <v>1</v>
          </cell>
          <cell r="J211" t="str">
            <v>코웨이</v>
          </cell>
          <cell r="M211">
            <v>98</v>
          </cell>
          <cell r="N211">
            <v>102</v>
          </cell>
          <cell r="P211">
            <v>1360</v>
          </cell>
          <cell r="Q211">
            <v>250</v>
          </cell>
          <cell r="R211" t="str">
            <v>빨강</v>
          </cell>
          <cell r="T211" t="str">
            <v>2303-043</v>
          </cell>
          <cell r="U211">
            <v>45014</v>
          </cell>
          <cell r="V211" t="str">
            <v>금형사업부</v>
          </cell>
          <cell r="W211" t="str">
            <v>2303-043</v>
          </cell>
          <cell r="AD211">
            <v>0.85</v>
          </cell>
        </row>
        <row r="212">
          <cell r="A212" t="str">
            <v>웨스턴 RO</v>
          </cell>
          <cell r="B212" t="str">
            <v>SET</v>
          </cell>
          <cell r="C212">
            <v>2</v>
          </cell>
          <cell r="D212">
            <v>100</v>
          </cell>
          <cell r="E212">
            <v>701</v>
          </cell>
          <cell r="F212">
            <v>40</v>
          </cell>
          <cell r="G212" t="str">
            <v>B240NS</v>
          </cell>
          <cell r="H212" t="str">
            <v>TOP:5/ BOT:5</v>
          </cell>
          <cell r="I212">
            <v>1</v>
          </cell>
          <cell r="J212" t="str">
            <v>코웨이</v>
          </cell>
          <cell r="K212">
            <v>128</v>
          </cell>
          <cell r="L212">
            <v>132</v>
          </cell>
          <cell r="M212">
            <v>128</v>
          </cell>
          <cell r="N212">
            <v>132</v>
          </cell>
          <cell r="P212">
            <v>1360</v>
          </cell>
          <cell r="Q212">
            <v>250</v>
          </cell>
          <cell r="R212" t="str">
            <v>빨강</v>
          </cell>
          <cell r="T212" t="str">
            <v>2303-043</v>
          </cell>
          <cell r="U212">
            <v>45014</v>
          </cell>
          <cell r="V212" t="str">
            <v>금형사업부</v>
          </cell>
          <cell r="W212" t="str">
            <v>2303-043</v>
          </cell>
          <cell r="AC212" t="str">
            <v>347G에서 701G 으로 2024.07.30 변경</v>
          </cell>
          <cell r="AD212">
            <v>0.85</v>
          </cell>
        </row>
        <row r="213">
          <cell r="A213" t="str">
            <v>웨스턴 RO</v>
          </cell>
          <cell r="B213" t="str">
            <v>SET</v>
          </cell>
          <cell r="C213">
            <v>2</v>
          </cell>
          <cell r="D213">
            <v>100</v>
          </cell>
          <cell r="E213">
            <v>701</v>
          </cell>
          <cell r="F213">
            <v>40</v>
          </cell>
          <cell r="G213" t="str">
            <v>B240NS</v>
          </cell>
          <cell r="H213">
            <v>10</v>
          </cell>
          <cell r="I213">
            <v>1</v>
          </cell>
          <cell r="J213" t="str">
            <v>코웨이</v>
          </cell>
          <cell r="K213">
            <v>98</v>
          </cell>
          <cell r="L213">
            <v>102</v>
          </cell>
          <cell r="M213">
            <v>98</v>
          </cell>
          <cell r="N213">
            <v>102</v>
          </cell>
          <cell r="P213">
            <v>1360</v>
          </cell>
          <cell r="Q213">
            <v>250</v>
          </cell>
          <cell r="R213" t="str">
            <v>빨강</v>
          </cell>
          <cell r="T213" t="str">
            <v>2303-043</v>
          </cell>
          <cell r="U213">
            <v>45014</v>
          </cell>
          <cell r="V213" t="str">
            <v>금형사업부</v>
          </cell>
          <cell r="W213" t="str">
            <v>2303-043</v>
          </cell>
          <cell r="AC213" t="str">
            <v>347G에서 701G 으로 2024.07.30 변경</v>
          </cell>
          <cell r="AD213">
            <v>0.85</v>
          </cell>
        </row>
        <row r="214">
          <cell r="A214" t="str">
            <v>웨스턴 NT</v>
          </cell>
          <cell r="B214" t="str">
            <v>회색</v>
          </cell>
          <cell r="C214">
            <v>3</v>
          </cell>
          <cell r="D214">
            <v>100</v>
          </cell>
          <cell r="E214">
            <v>50</v>
          </cell>
          <cell r="F214">
            <v>30</v>
          </cell>
          <cell r="G214" t="str">
            <v>ZP2500</v>
          </cell>
          <cell r="H214">
            <v>0</v>
          </cell>
          <cell r="I214">
            <v>3</v>
          </cell>
          <cell r="J214" t="str">
            <v>코웨이</v>
          </cell>
          <cell r="P214">
            <v>1360</v>
          </cell>
          <cell r="Q214">
            <v>250</v>
          </cell>
          <cell r="T214" t="str">
            <v>CHP-1200N DB / 23013,30배42G,25배50G</v>
          </cell>
          <cell r="U214" t="str">
            <v>2023.05.22</v>
          </cell>
          <cell r="V214" t="str">
            <v>대부</v>
          </cell>
          <cell r="AD214">
            <v>0.85</v>
          </cell>
        </row>
        <row r="215">
          <cell r="A215" t="str">
            <v>웨스턴 NT</v>
          </cell>
          <cell r="B215" t="str">
            <v>SET</v>
          </cell>
          <cell r="C215">
            <v>3</v>
          </cell>
          <cell r="D215">
            <v>100</v>
          </cell>
          <cell r="E215">
            <v>50</v>
          </cell>
          <cell r="F215">
            <v>25</v>
          </cell>
          <cell r="G215" t="str">
            <v>ZP2500</v>
          </cell>
          <cell r="H215">
            <v>0</v>
          </cell>
          <cell r="I215">
            <v>3</v>
          </cell>
          <cell r="J215" t="str">
            <v>코웨이</v>
          </cell>
          <cell r="P215">
            <v>1360</v>
          </cell>
          <cell r="Q215">
            <v>250</v>
          </cell>
          <cell r="T215" t="str">
            <v>CHP-1200N DB / 23013</v>
          </cell>
          <cell r="U215" t="str">
            <v>2023.05.22</v>
          </cell>
          <cell r="V215" t="str">
            <v>대부</v>
          </cell>
          <cell r="AD215">
            <v>0.85</v>
          </cell>
        </row>
        <row r="216">
          <cell r="A216" t="str">
            <v>옴니플러스</v>
          </cell>
          <cell r="B216" t="str">
            <v>SET</v>
          </cell>
          <cell r="C216">
            <v>2</v>
          </cell>
          <cell r="D216">
            <v>100</v>
          </cell>
          <cell r="E216">
            <v>277</v>
          </cell>
          <cell r="F216">
            <v>70</v>
          </cell>
          <cell r="G216" t="str">
            <v>B240NS</v>
          </cell>
          <cell r="H216" t="str">
            <v>T10/B10</v>
          </cell>
          <cell r="I216">
            <v>2</v>
          </cell>
          <cell r="J216" t="str">
            <v>청호나이스</v>
          </cell>
          <cell r="K216">
            <v>78</v>
          </cell>
          <cell r="L216">
            <v>82</v>
          </cell>
          <cell r="M216">
            <v>53.2</v>
          </cell>
          <cell r="N216">
            <v>56.2</v>
          </cell>
          <cell r="P216">
            <v>1360</v>
          </cell>
          <cell r="Q216">
            <v>200</v>
          </cell>
          <cell r="R216" t="str">
            <v>빨강</v>
          </cell>
          <cell r="S216" t="str">
            <v>빨강</v>
          </cell>
          <cell r="T216" t="str">
            <v>61-1794-0/61-1795-0금형번호66476</v>
          </cell>
          <cell r="U216">
            <v>43745</v>
          </cell>
          <cell r="V216" t="str">
            <v>금형제조부</v>
          </cell>
          <cell r="W216" t="str">
            <v>크라킹 4mm이하 BOT냉각불량확인!!, 종이패드부착</v>
          </cell>
          <cell r="Y216">
            <v>60</v>
          </cell>
          <cell r="AD216">
            <v>0.85</v>
          </cell>
          <cell r="AE216">
            <v>100</v>
          </cell>
          <cell r="AF216">
            <v>6</v>
          </cell>
        </row>
        <row r="217">
          <cell r="A217" t="str">
            <v>온수매트</v>
          </cell>
          <cell r="B217" t="str">
            <v>SET</v>
          </cell>
          <cell r="C217">
            <v>1</v>
          </cell>
          <cell r="D217">
            <v>150</v>
          </cell>
          <cell r="F217">
            <v>36</v>
          </cell>
          <cell r="G217" t="str">
            <v>B240NS</v>
          </cell>
          <cell r="H217">
            <v>1</v>
          </cell>
          <cell r="I217">
            <v>1</v>
          </cell>
          <cell r="J217" t="str">
            <v>TSI</v>
          </cell>
          <cell r="O217">
            <v>10</v>
          </cell>
          <cell r="P217">
            <v>1360</v>
          </cell>
          <cell r="Q217">
            <v>150</v>
          </cell>
          <cell r="S217">
            <v>0</v>
          </cell>
          <cell r="U217">
            <v>42297</v>
          </cell>
          <cell r="V217" t="str">
            <v>세일하이테크</v>
          </cell>
          <cell r="AC217" t="str">
            <v>최재학사원</v>
          </cell>
          <cell r="AD217">
            <v>0.9</v>
          </cell>
          <cell r="AE217">
            <v>130</v>
          </cell>
          <cell r="AF217">
            <v>6</v>
          </cell>
        </row>
        <row r="218">
          <cell r="A218" t="str">
            <v>온수기용</v>
          </cell>
          <cell r="B218" t="str">
            <v>SET</v>
          </cell>
          <cell r="C218">
            <v>6</v>
          </cell>
          <cell r="D218">
            <v>100</v>
          </cell>
          <cell r="E218">
            <v>105</v>
          </cell>
          <cell r="F218">
            <v>65</v>
          </cell>
          <cell r="G218" t="str">
            <v>B240NS</v>
          </cell>
          <cell r="H218">
            <v>1</v>
          </cell>
          <cell r="I218">
            <v>1</v>
          </cell>
          <cell r="J218" t="str">
            <v>알토엔대우</v>
          </cell>
          <cell r="K218">
            <v>147</v>
          </cell>
          <cell r="L218">
            <v>149</v>
          </cell>
          <cell r="O218">
            <v>546</v>
          </cell>
          <cell r="P218">
            <v>1700</v>
          </cell>
          <cell r="Q218">
            <v>250</v>
          </cell>
          <cell r="S218">
            <v>0</v>
          </cell>
          <cell r="T218" t="str">
            <v>온수기용</v>
          </cell>
          <cell r="U218">
            <v>42038</v>
          </cell>
          <cell r="V218" t="str">
            <v>이관금형</v>
          </cell>
          <cell r="W218" t="str">
            <v>3311506700/</v>
          </cell>
          <cell r="X218" t="str">
            <v>E-0208</v>
          </cell>
          <cell r="Y218">
            <v>45</v>
          </cell>
          <cell r="AC218" t="str">
            <v>김일환계장,2015.03.31사용배율변경50배-&gt;57배</v>
          </cell>
          <cell r="AD218">
            <v>0.85</v>
          </cell>
          <cell r="AE218">
            <v>85</v>
          </cell>
          <cell r="AF218">
            <v>8</v>
          </cell>
        </row>
        <row r="219">
          <cell r="A219" t="str">
            <v>온수기</v>
          </cell>
          <cell r="B219" t="str">
            <v>SET</v>
          </cell>
          <cell r="C219">
            <v>3</v>
          </cell>
          <cell r="D219">
            <v>100</v>
          </cell>
          <cell r="E219">
            <v>305</v>
          </cell>
          <cell r="F219">
            <v>65</v>
          </cell>
          <cell r="G219" t="str">
            <v>B240NS</v>
          </cell>
          <cell r="H219">
            <v>1</v>
          </cell>
          <cell r="I219">
            <v>2</v>
          </cell>
          <cell r="J219" t="str">
            <v>알토엔대우</v>
          </cell>
          <cell r="K219">
            <v>149</v>
          </cell>
          <cell r="L219">
            <v>151</v>
          </cell>
          <cell r="M219">
            <v>154</v>
          </cell>
          <cell r="N219">
            <v>156</v>
          </cell>
          <cell r="O219">
            <v>1586</v>
          </cell>
          <cell r="P219">
            <v>1360</v>
          </cell>
          <cell r="Q219">
            <v>250</v>
          </cell>
          <cell r="S219">
            <v>0</v>
          </cell>
          <cell r="T219" t="str">
            <v>온수기</v>
          </cell>
          <cell r="U219">
            <v>42038</v>
          </cell>
          <cell r="V219" t="str">
            <v>이관금형</v>
          </cell>
          <cell r="W219" t="str">
            <v>3311506500/3311506600</v>
          </cell>
          <cell r="X219" t="str">
            <v>S-0110</v>
          </cell>
          <cell r="Y219">
            <v>45</v>
          </cell>
          <cell r="AC219" t="str">
            <v>김일환계장,2015.03.31사용배율변경50배-&gt;57배</v>
          </cell>
          <cell r="AD219">
            <v>0.85</v>
          </cell>
          <cell r="AE219">
            <v>90</v>
          </cell>
          <cell r="AF219">
            <v>4</v>
          </cell>
        </row>
        <row r="220">
          <cell r="A220" t="str">
            <v>오일2구</v>
          </cell>
          <cell r="B220" t="str">
            <v>BOX</v>
          </cell>
          <cell r="C220">
            <v>15</v>
          </cell>
          <cell r="D220">
            <v>65</v>
          </cell>
          <cell r="E220">
            <v>23</v>
          </cell>
          <cell r="F220">
            <v>74</v>
          </cell>
          <cell r="G220" t="str">
            <v>B240NS</v>
          </cell>
          <cell r="H220">
            <v>80</v>
          </cell>
          <cell r="I220">
            <v>1</v>
          </cell>
          <cell r="J220" t="str">
            <v>선우테크</v>
          </cell>
          <cell r="O220">
            <v>135</v>
          </cell>
          <cell r="P220">
            <v>1360</v>
          </cell>
          <cell r="Q220">
            <v>150</v>
          </cell>
          <cell r="R220" t="str">
            <v>녹색</v>
          </cell>
          <cell r="S220" t="str">
            <v>녹색</v>
          </cell>
          <cell r="U220">
            <v>43322</v>
          </cell>
          <cell r="V220" t="str">
            <v>금형제조부</v>
          </cell>
          <cell r="W220" t="str">
            <v>자동반 물기 제거, 포장반 물기확인 후 포장, 2바퀴 건조!</v>
          </cell>
          <cell r="Y220">
            <v>60</v>
          </cell>
          <cell r="AC220" t="str">
            <v>최재학계장</v>
          </cell>
          <cell r="AD220">
            <v>0.85</v>
          </cell>
          <cell r="AE220">
            <v>70</v>
          </cell>
          <cell r="AF220">
            <v>1</v>
          </cell>
        </row>
        <row r="221">
          <cell r="A221" t="str">
            <v>오디텍T/B</v>
          </cell>
          <cell r="B221" t="str">
            <v>SET</v>
          </cell>
          <cell r="C221">
            <v>2</v>
          </cell>
          <cell r="D221">
            <v>90</v>
          </cell>
          <cell r="E221">
            <v>160</v>
          </cell>
          <cell r="F221">
            <v>70</v>
          </cell>
          <cell r="G221" t="str">
            <v>B400</v>
          </cell>
          <cell r="H221">
            <v>10</v>
          </cell>
          <cell r="I221">
            <v>2</v>
          </cell>
          <cell r="J221" t="str">
            <v>오디텍</v>
          </cell>
          <cell r="K221">
            <v>33</v>
          </cell>
          <cell r="L221">
            <v>37</v>
          </cell>
          <cell r="M221">
            <v>58</v>
          </cell>
          <cell r="N221">
            <v>62</v>
          </cell>
          <cell r="O221">
            <v>830</v>
          </cell>
          <cell r="P221">
            <v>1300</v>
          </cell>
          <cell r="Q221">
            <v>150</v>
          </cell>
          <cell r="R221" t="str">
            <v>파랑</v>
          </cell>
          <cell r="S221" t="str">
            <v>파랑</v>
          </cell>
          <cell r="T221" t="str">
            <v>오디텍T/B</v>
          </cell>
          <cell r="U221">
            <v>38517</v>
          </cell>
          <cell r="V221" t="str">
            <v>삼일금형</v>
          </cell>
          <cell r="X221" t="str">
            <v>Q-0301</v>
          </cell>
          <cell r="AD221">
            <v>0.85</v>
          </cell>
          <cell r="AE221">
            <v>110</v>
          </cell>
          <cell r="AF221">
            <v>4</v>
          </cell>
        </row>
        <row r="222">
          <cell r="A222" t="str">
            <v>영양제토출기기</v>
          </cell>
          <cell r="B222" t="str">
            <v>SET</v>
          </cell>
          <cell r="C222">
            <v>3</v>
          </cell>
          <cell r="D222">
            <v>100</v>
          </cell>
          <cell r="E222">
            <v>479</v>
          </cell>
          <cell r="F222">
            <v>60</v>
          </cell>
          <cell r="G222" t="str">
            <v>B240NS</v>
          </cell>
          <cell r="H222">
            <v>4</v>
          </cell>
          <cell r="I222">
            <v>2</v>
          </cell>
          <cell r="J222" t="str">
            <v>알고케어</v>
          </cell>
          <cell r="K222">
            <v>203</v>
          </cell>
          <cell r="L222">
            <v>207</v>
          </cell>
          <cell r="M222">
            <v>248</v>
          </cell>
          <cell r="N222">
            <v>252</v>
          </cell>
          <cell r="P222">
            <v>1360</v>
          </cell>
          <cell r="Q222">
            <v>350</v>
          </cell>
          <cell r="R222" t="str">
            <v>주황</v>
          </cell>
          <cell r="T222" t="str">
            <v>2301-007 / 포장단위 SET 기준</v>
          </cell>
          <cell r="U222">
            <v>44970</v>
          </cell>
          <cell r="V222" t="str">
            <v>금형사업부</v>
          </cell>
          <cell r="AD222">
            <v>0.85</v>
          </cell>
        </row>
        <row r="223">
          <cell r="A223" t="str">
            <v>영양제토출기기</v>
          </cell>
          <cell r="B223" t="str">
            <v>SET</v>
          </cell>
          <cell r="C223">
            <v>3</v>
          </cell>
          <cell r="D223">
            <v>100</v>
          </cell>
          <cell r="E223">
            <v>479</v>
          </cell>
          <cell r="F223">
            <v>60</v>
          </cell>
          <cell r="G223" t="str">
            <v>B240NS</v>
          </cell>
          <cell r="H223">
            <v>4</v>
          </cell>
          <cell r="I223">
            <v>2</v>
          </cell>
          <cell r="J223" t="str">
            <v>알고케어</v>
          </cell>
          <cell r="K223">
            <v>203</v>
          </cell>
          <cell r="L223">
            <v>207</v>
          </cell>
          <cell r="M223">
            <v>248</v>
          </cell>
          <cell r="N223">
            <v>252</v>
          </cell>
          <cell r="P223">
            <v>1360</v>
          </cell>
          <cell r="Q223">
            <v>350</v>
          </cell>
          <cell r="R223" t="str">
            <v>주황</v>
          </cell>
          <cell r="T223" t="str">
            <v>2301-007 / 포장단위 SET 기준</v>
          </cell>
          <cell r="U223">
            <v>44970</v>
          </cell>
          <cell r="V223" t="str">
            <v>금형사업부</v>
          </cell>
          <cell r="AD223">
            <v>0.85</v>
          </cell>
        </row>
        <row r="224">
          <cell r="A224" t="str">
            <v>연어1미</v>
          </cell>
          <cell r="B224" t="str">
            <v>BOX</v>
          </cell>
          <cell r="C224">
            <v>2</v>
          </cell>
          <cell r="D224">
            <v>100</v>
          </cell>
          <cell r="F224">
            <v>65</v>
          </cell>
          <cell r="G224" t="str">
            <v>B240NS</v>
          </cell>
          <cell r="H224">
            <v>5</v>
          </cell>
          <cell r="I224">
            <v>2</v>
          </cell>
          <cell r="J224" t="str">
            <v>이지패키지</v>
          </cell>
          <cell r="P224">
            <v>1360</v>
          </cell>
          <cell r="Q224">
            <v>250</v>
          </cell>
          <cell r="U224">
            <v>45709</v>
          </cell>
          <cell r="V224" t="str">
            <v>이관금형</v>
          </cell>
        </row>
        <row r="225">
          <cell r="A225" t="str">
            <v>엑스커버(신형)</v>
          </cell>
          <cell r="B225" t="str">
            <v>SET</v>
          </cell>
          <cell r="C225">
            <v>1</v>
          </cell>
          <cell r="D225">
            <v>82</v>
          </cell>
          <cell r="E225">
            <v>998</v>
          </cell>
          <cell r="F225">
            <v>74</v>
          </cell>
          <cell r="G225" t="str">
            <v>B240NS</v>
          </cell>
          <cell r="H225">
            <v>1</v>
          </cell>
          <cell r="I225">
            <v>4</v>
          </cell>
          <cell r="J225" t="str">
            <v>아이캠퍼</v>
          </cell>
          <cell r="P225">
            <v>1300</v>
          </cell>
          <cell r="Q225">
            <v>400</v>
          </cell>
          <cell r="T225" t="str">
            <v>크라킹 10mm 이상 생산, 기준 중량 설정</v>
          </cell>
          <cell r="U225">
            <v>43725</v>
          </cell>
          <cell r="V225" t="str">
            <v>보령금형</v>
          </cell>
          <cell r="Y225">
            <v>60</v>
          </cell>
          <cell r="AD225">
            <v>0.85</v>
          </cell>
          <cell r="AE225">
            <v>80</v>
          </cell>
          <cell r="AF225">
            <v>16</v>
          </cell>
        </row>
        <row r="226">
          <cell r="A226" t="str">
            <v>에어컨거치대</v>
          </cell>
          <cell r="B226" t="str">
            <v>SET</v>
          </cell>
          <cell r="C226">
            <v>5</v>
          </cell>
          <cell r="D226">
            <v>130</v>
          </cell>
          <cell r="E226">
            <v>95</v>
          </cell>
          <cell r="F226">
            <v>50</v>
          </cell>
          <cell r="G226" t="str">
            <v>B240NS</v>
          </cell>
          <cell r="I226">
            <v>2</v>
          </cell>
          <cell r="J226" t="str">
            <v>위닉스</v>
          </cell>
          <cell r="P226">
            <v>1360</v>
          </cell>
          <cell r="Q226">
            <v>150</v>
          </cell>
          <cell r="U226">
            <v>45986</v>
          </cell>
          <cell r="V226" t="str">
            <v>둔포 이관</v>
          </cell>
          <cell r="W226" t="str">
            <v>후레임일체</v>
          </cell>
          <cell r="AD226">
            <v>0.85</v>
          </cell>
          <cell r="AE226">
            <v>90</v>
          </cell>
        </row>
        <row r="227">
          <cell r="A227" t="str">
            <v>에어컨거치대</v>
          </cell>
          <cell r="B227" t="str">
            <v>SET</v>
          </cell>
          <cell r="C227">
            <v>5</v>
          </cell>
          <cell r="D227">
            <v>130</v>
          </cell>
          <cell r="E227">
            <v>95</v>
          </cell>
          <cell r="F227">
            <v>50</v>
          </cell>
          <cell r="G227" t="str">
            <v>B240NS</v>
          </cell>
          <cell r="I227">
            <v>2</v>
          </cell>
          <cell r="J227" t="str">
            <v>위닉스</v>
          </cell>
          <cell r="P227">
            <v>1360</v>
          </cell>
          <cell r="Q227">
            <v>150</v>
          </cell>
          <cell r="U227">
            <v>45986</v>
          </cell>
          <cell r="V227" t="str">
            <v>둔포 이관</v>
          </cell>
          <cell r="W227" t="str">
            <v>후레임일체</v>
          </cell>
          <cell r="AD227">
            <v>0.85</v>
          </cell>
          <cell r="AE227">
            <v>90</v>
          </cell>
        </row>
        <row r="228">
          <cell r="A228" t="str">
            <v>언더필840g</v>
          </cell>
          <cell r="B228" t="str">
            <v>SET</v>
          </cell>
          <cell r="C228">
            <v>3</v>
          </cell>
          <cell r="D228">
            <v>170</v>
          </cell>
          <cell r="E228">
            <v>340</v>
          </cell>
          <cell r="F228">
            <v>65</v>
          </cell>
          <cell r="G228" t="str">
            <v>SF400</v>
          </cell>
          <cell r="H228">
            <v>6</v>
          </cell>
          <cell r="I228">
            <v>2</v>
          </cell>
          <cell r="J228" t="str">
            <v>원케미컬</v>
          </cell>
          <cell r="O228">
            <v>10</v>
          </cell>
          <cell r="P228">
            <v>1300</v>
          </cell>
          <cell r="Q228">
            <v>350</v>
          </cell>
          <cell r="R228" t="str">
            <v>비닐</v>
          </cell>
          <cell r="S228" t="str">
            <v>비닐</v>
          </cell>
          <cell r="U228">
            <v>42564</v>
          </cell>
          <cell r="V228" t="str">
            <v>원케미칼이관</v>
          </cell>
          <cell r="W228" t="str">
            <v>수축확인</v>
          </cell>
          <cell r="AC228" t="str">
            <v>최재학 사원,2016.07.19사용배율 변경(50-&gt;57)</v>
          </cell>
          <cell r="AD228">
            <v>0.85</v>
          </cell>
          <cell r="AE228">
            <v>80</v>
          </cell>
          <cell r="AF228">
            <v>8</v>
          </cell>
        </row>
        <row r="229">
          <cell r="A229" t="str">
            <v>어상자20K(몸통/뚜껑)</v>
          </cell>
          <cell r="B229" t="str">
            <v>BOX</v>
          </cell>
          <cell r="C229">
            <v>3</v>
          </cell>
          <cell r="D229">
            <v>101</v>
          </cell>
          <cell r="E229">
            <v>370</v>
          </cell>
          <cell r="F229">
            <v>74</v>
          </cell>
          <cell r="G229" t="str">
            <v>SE2500M</v>
          </cell>
          <cell r="H229" t="str">
            <v>T:24 B:8</v>
          </cell>
          <cell r="I229">
            <v>2</v>
          </cell>
          <cell r="J229" t="str">
            <v>용인공장</v>
          </cell>
          <cell r="P229">
            <v>1500</v>
          </cell>
          <cell r="Q229">
            <v>350</v>
          </cell>
          <cell r="R229" t="str">
            <v>노랑</v>
          </cell>
          <cell r="U229">
            <v>44707</v>
          </cell>
          <cell r="V229" t="str">
            <v>이관금형</v>
          </cell>
          <cell r="Y229">
            <v>65</v>
          </cell>
          <cell r="Z229">
            <v>24223</v>
          </cell>
          <cell r="AD229">
            <v>0.85</v>
          </cell>
        </row>
        <row r="230">
          <cell r="A230" t="str">
            <v>어상자20K</v>
          </cell>
          <cell r="B230" t="str">
            <v>BOX</v>
          </cell>
          <cell r="C230">
            <v>3</v>
          </cell>
          <cell r="D230">
            <v>101</v>
          </cell>
          <cell r="E230">
            <v>370</v>
          </cell>
          <cell r="F230">
            <v>74</v>
          </cell>
          <cell r="G230" t="str">
            <v>SE2500M</v>
          </cell>
          <cell r="H230" t="str">
            <v>T:24 B:8</v>
          </cell>
          <cell r="I230">
            <v>2</v>
          </cell>
          <cell r="J230" t="str">
            <v>용인공장</v>
          </cell>
          <cell r="P230">
            <v>1500</v>
          </cell>
          <cell r="Q230">
            <v>350</v>
          </cell>
          <cell r="R230" t="str">
            <v>노랑</v>
          </cell>
          <cell r="U230">
            <v>44707</v>
          </cell>
          <cell r="V230" t="str">
            <v>이관금형</v>
          </cell>
          <cell r="Y230">
            <v>65</v>
          </cell>
          <cell r="Z230">
            <v>24223</v>
          </cell>
          <cell r="AD230">
            <v>0.85</v>
          </cell>
        </row>
        <row r="231">
          <cell r="A231" t="str">
            <v>어상자20K</v>
          </cell>
          <cell r="B231" t="str">
            <v>BOX</v>
          </cell>
          <cell r="C231">
            <v>3</v>
          </cell>
          <cell r="D231">
            <v>101</v>
          </cell>
          <cell r="E231">
            <v>370</v>
          </cell>
          <cell r="F231">
            <v>74</v>
          </cell>
          <cell r="G231" t="str">
            <v>SE2500M</v>
          </cell>
          <cell r="H231" t="str">
            <v>T:24 B:8</v>
          </cell>
          <cell r="I231">
            <v>2</v>
          </cell>
          <cell r="J231" t="str">
            <v>용인공장</v>
          </cell>
          <cell r="P231">
            <v>1500</v>
          </cell>
          <cell r="Q231">
            <v>350</v>
          </cell>
          <cell r="R231" t="str">
            <v>노랑</v>
          </cell>
          <cell r="U231">
            <v>44707</v>
          </cell>
          <cell r="V231" t="str">
            <v>이관금형</v>
          </cell>
          <cell r="Y231">
            <v>65</v>
          </cell>
          <cell r="Z231">
            <v>24223</v>
          </cell>
          <cell r="AD231">
            <v>0.85</v>
          </cell>
        </row>
        <row r="232">
          <cell r="A232" t="str">
            <v>어상자15K</v>
          </cell>
          <cell r="B232" t="str">
            <v>BOX</v>
          </cell>
          <cell r="C232">
            <v>3</v>
          </cell>
          <cell r="D232">
            <v>102</v>
          </cell>
          <cell r="E232">
            <v>340</v>
          </cell>
          <cell r="F232">
            <v>74</v>
          </cell>
          <cell r="G232" t="str">
            <v>SE2500M</v>
          </cell>
          <cell r="H232">
            <v>6</v>
          </cell>
          <cell r="I232">
            <v>2</v>
          </cell>
          <cell r="J232" t="str">
            <v>용인공장</v>
          </cell>
          <cell r="P232">
            <v>1500</v>
          </cell>
          <cell r="Q232">
            <v>350</v>
          </cell>
          <cell r="R232" t="str">
            <v>검정</v>
          </cell>
          <cell r="U232">
            <v>44707</v>
          </cell>
          <cell r="V232" t="str">
            <v>이관금형</v>
          </cell>
          <cell r="Y232">
            <v>67</v>
          </cell>
          <cell r="Z232">
            <v>22650</v>
          </cell>
          <cell r="AD232">
            <v>0.85</v>
          </cell>
        </row>
        <row r="233">
          <cell r="A233" t="str">
            <v>어상자15K</v>
          </cell>
          <cell r="B233" t="str">
            <v>BOX</v>
          </cell>
          <cell r="C233">
            <v>3</v>
          </cell>
          <cell r="D233">
            <v>102</v>
          </cell>
          <cell r="E233">
            <v>340</v>
          </cell>
          <cell r="F233">
            <v>74</v>
          </cell>
          <cell r="G233" t="str">
            <v>SE2500M</v>
          </cell>
          <cell r="H233">
            <v>6</v>
          </cell>
          <cell r="I233">
            <v>2</v>
          </cell>
          <cell r="J233" t="str">
            <v>용인공장</v>
          </cell>
          <cell r="P233">
            <v>1500</v>
          </cell>
          <cell r="Q233">
            <v>350</v>
          </cell>
          <cell r="R233" t="str">
            <v>검정</v>
          </cell>
          <cell r="U233">
            <v>44707</v>
          </cell>
          <cell r="V233" t="str">
            <v>이관금형</v>
          </cell>
          <cell r="Y233">
            <v>67</v>
          </cell>
          <cell r="Z233">
            <v>22650</v>
          </cell>
          <cell r="AD233">
            <v>0.85</v>
          </cell>
        </row>
        <row r="234">
          <cell r="A234" t="str">
            <v>어니-4구</v>
          </cell>
          <cell r="B234" t="str">
            <v>BOX</v>
          </cell>
          <cell r="C234">
            <v>3</v>
          </cell>
          <cell r="D234">
            <v>90</v>
          </cell>
          <cell r="E234">
            <v>263</v>
          </cell>
          <cell r="F234">
            <v>74</v>
          </cell>
          <cell r="G234" t="str">
            <v>B240NS</v>
          </cell>
          <cell r="H234">
            <v>8</v>
          </cell>
          <cell r="I234">
            <v>2</v>
          </cell>
          <cell r="J234" t="str">
            <v>이지패키지</v>
          </cell>
          <cell r="P234">
            <v>1360</v>
          </cell>
          <cell r="Q234">
            <v>300</v>
          </cell>
          <cell r="R234" t="str">
            <v>노랑</v>
          </cell>
          <cell r="U234">
            <v>44769</v>
          </cell>
          <cell r="V234" t="str">
            <v>금형사업부</v>
          </cell>
          <cell r="Y234">
            <v>60</v>
          </cell>
          <cell r="AD234">
            <v>0.85</v>
          </cell>
        </row>
        <row r="235">
          <cell r="A235" t="str">
            <v>어니-4구</v>
          </cell>
          <cell r="B235" t="str">
            <v>BOX</v>
          </cell>
          <cell r="C235">
            <v>3</v>
          </cell>
          <cell r="D235">
            <v>100</v>
          </cell>
          <cell r="E235">
            <v>281</v>
          </cell>
          <cell r="F235">
            <v>60</v>
          </cell>
          <cell r="G235" t="str">
            <v>B240NS</v>
          </cell>
          <cell r="H235">
            <v>8</v>
          </cell>
          <cell r="I235">
            <v>2</v>
          </cell>
          <cell r="J235" t="str">
            <v>이지패키지</v>
          </cell>
          <cell r="P235">
            <v>1360</v>
          </cell>
          <cell r="Q235">
            <v>300</v>
          </cell>
          <cell r="R235" t="str">
            <v>노랑</v>
          </cell>
          <cell r="U235">
            <v>44769</v>
          </cell>
          <cell r="V235" t="str">
            <v>금형사업부</v>
          </cell>
        </row>
        <row r="236">
          <cell r="A236" t="str">
            <v>어니-4구</v>
          </cell>
          <cell r="B236" t="str">
            <v>BOX</v>
          </cell>
          <cell r="C236">
            <v>3</v>
          </cell>
          <cell r="D236">
            <v>100</v>
          </cell>
          <cell r="E236">
            <v>281</v>
          </cell>
          <cell r="F236">
            <v>60</v>
          </cell>
          <cell r="G236" t="str">
            <v>B240NS</v>
          </cell>
          <cell r="H236">
            <v>8</v>
          </cell>
          <cell r="I236">
            <v>2</v>
          </cell>
          <cell r="J236" t="str">
            <v>이지패키지</v>
          </cell>
          <cell r="P236">
            <v>1360</v>
          </cell>
          <cell r="Q236">
            <v>300</v>
          </cell>
          <cell r="R236" t="str">
            <v>노랑</v>
          </cell>
          <cell r="U236">
            <v>44769</v>
          </cell>
          <cell r="V236" t="str">
            <v>금형사업부</v>
          </cell>
        </row>
        <row r="237">
          <cell r="A237" t="str">
            <v>어니-2구</v>
          </cell>
          <cell r="B237" t="str">
            <v>BOX</v>
          </cell>
          <cell r="C237">
            <v>4</v>
          </cell>
          <cell r="D237">
            <v>100</v>
          </cell>
          <cell r="E237">
            <v>176</v>
          </cell>
          <cell r="F237">
            <v>74</v>
          </cell>
          <cell r="G237" t="str">
            <v>B240NS</v>
          </cell>
          <cell r="H237">
            <v>1</v>
          </cell>
          <cell r="I237">
            <v>2</v>
          </cell>
          <cell r="J237" t="str">
            <v>이지패키지</v>
          </cell>
          <cell r="P237">
            <v>1360</v>
          </cell>
          <cell r="Q237">
            <v>350</v>
          </cell>
          <cell r="U237" t="str">
            <v>2022.11.07</v>
          </cell>
          <cell r="V237" t="str">
            <v>금형사업부</v>
          </cell>
          <cell r="Y237">
            <v>60</v>
          </cell>
          <cell r="AC237" t="str">
            <v>김영석사원</v>
          </cell>
          <cell r="AD237">
            <v>0.85</v>
          </cell>
        </row>
        <row r="238">
          <cell r="A238" t="str">
            <v>어니-2구</v>
          </cell>
          <cell r="B238" t="str">
            <v>BOX</v>
          </cell>
          <cell r="C238">
            <v>4</v>
          </cell>
          <cell r="D238">
            <v>100</v>
          </cell>
          <cell r="E238">
            <v>176</v>
          </cell>
          <cell r="F238">
            <v>74</v>
          </cell>
          <cell r="G238" t="str">
            <v>B240NS</v>
          </cell>
          <cell r="H238">
            <v>1</v>
          </cell>
          <cell r="I238">
            <v>2</v>
          </cell>
          <cell r="J238" t="str">
            <v>이지패키지</v>
          </cell>
          <cell r="P238">
            <v>1360</v>
          </cell>
          <cell r="Q238">
            <v>350</v>
          </cell>
          <cell r="U238" t="str">
            <v>2022.11.07</v>
          </cell>
          <cell r="V238" t="str">
            <v>금형사업부</v>
          </cell>
          <cell r="Y238">
            <v>60</v>
          </cell>
          <cell r="AC238" t="str">
            <v>김영석사원</v>
          </cell>
          <cell r="AD238">
            <v>0.85</v>
          </cell>
        </row>
        <row r="239">
          <cell r="A239" t="str">
            <v>어니-2구</v>
          </cell>
          <cell r="B239" t="str">
            <v>BOX</v>
          </cell>
          <cell r="C239">
            <v>4</v>
          </cell>
          <cell r="D239">
            <v>100</v>
          </cell>
          <cell r="E239">
            <v>188</v>
          </cell>
          <cell r="F239">
            <v>60</v>
          </cell>
          <cell r="G239" t="str">
            <v>B240NS</v>
          </cell>
          <cell r="H239">
            <v>1</v>
          </cell>
          <cell r="I239">
            <v>2</v>
          </cell>
          <cell r="J239" t="str">
            <v>이지패키지</v>
          </cell>
          <cell r="P239">
            <v>1360</v>
          </cell>
          <cell r="Q239">
            <v>350</v>
          </cell>
          <cell r="U239" t="str">
            <v>2022.11.07</v>
          </cell>
          <cell r="V239" t="str">
            <v>금형사업부</v>
          </cell>
        </row>
        <row r="240">
          <cell r="A240" t="str">
            <v>양액재배3호</v>
          </cell>
          <cell r="B240" t="str">
            <v>SET</v>
          </cell>
          <cell r="C240">
            <v>1</v>
          </cell>
          <cell r="D240">
            <v>100</v>
          </cell>
          <cell r="E240">
            <v>1050</v>
          </cell>
          <cell r="F240">
            <v>50</v>
          </cell>
          <cell r="G240" t="str">
            <v>B240NS</v>
          </cell>
          <cell r="H240">
            <v>4</v>
          </cell>
          <cell r="I240">
            <v>1</v>
          </cell>
          <cell r="J240" t="str">
            <v>가화텍</v>
          </cell>
          <cell r="K240">
            <v>188</v>
          </cell>
          <cell r="L240">
            <v>192</v>
          </cell>
          <cell r="O240">
            <v>5610</v>
          </cell>
          <cell r="P240">
            <v>1500</v>
          </cell>
          <cell r="Q240">
            <v>300</v>
          </cell>
          <cell r="S240">
            <v>0</v>
          </cell>
          <cell r="T240" t="str">
            <v>양액재배3호(다목적3호)#6</v>
          </cell>
          <cell r="V240" t="str">
            <v>신아</v>
          </cell>
          <cell r="W240" t="str">
            <v>MP3B , 6차, 중량엄수</v>
          </cell>
          <cell r="X240" t="str">
            <v>Q-0503</v>
          </cell>
          <cell r="AC240" t="str">
            <v>8.9.10.14호기만착형    06.03.04일 아산이동입고</v>
          </cell>
          <cell r="AD240">
            <v>0.85</v>
          </cell>
          <cell r="AE240">
            <v>100</v>
          </cell>
          <cell r="AF240">
            <v>1</v>
          </cell>
        </row>
        <row r="241">
          <cell r="A241" t="str">
            <v>양액끝막이</v>
          </cell>
          <cell r="B241" t="str">
            <v>SET</v>
          </cell>
          <cell r="C241">
            <v>1</v>
          </cell>
          <cell r="D241">
            <v>100</v>
          </cell>
          <cell r="E241">
            <v>600</v>
          </cell>
          <cell r="F241">
            <v>50</v>
          </cell>
          <cell r="G241" t="str">
            <v>B240NS</v>
          </cell>
          <cell r="H241">
            <v>2</v>
          </cell>
          <cell r="I241">
            <v>2</v>
          </cell>
          <cell r="J241" t="str">
            <v>가화텍</v>
          </cell>
          <cell r="K241">
            <v>188</v>
          </cell>
          <cell r="L241">
            <v>192</v>
          </cell>
          <cell r="O241">
            <v>3200</v>
          </cell>
          <cell r="P241">
            <v>1360</v>
          </cell>
          <cell r="Q241">
            <v>300</v>
          </cell>
          <cell r="R241" t="str">
            <v>파랑</v>
          </cell>
          <cell r="S241" t="str">
            <v>파랑</v>
          </cell>
          <cell r="T241" t="str">
            <v>양액끝막이(다목적3호마감)#7</v>
          </cell>
          <cell r="V241" t="str">
            <v>신아</v>
          </cell>
          <cell r="W241" t="str">
            <v>MP3EB , 7차</v>
          </cell>
          <cell r="X241" t="str">
            <v>P-0602</v>
          </cell>
          <cell r="AC241" t="str">
            <v>600±50G2*1 .(SET)2개1조임. 개당단가(3030원) 세트단가(6060원)</v>
          </cell>
          <cell r="AD241">
            <v>0.85</v>
          </cell>
          <cell r="AE241">
            <v>100</v>
          </cell>
          <cell r="AF241">
            <v>2</v>
          </cell>
        </row>
        <row r="242">
          <cell r="A242" t="str">
            <v>양송이2K</v>
          </cell>
          <cell r="B242" t="str">
            <v>BOX</v>
          </cell>
          <cell r="C242">
            <v>4</v>
          </cell>
          <cell r="D242">
            <v>105</v>
          </cell>
          <cell r="E242">
            <v>88</v>
          </cell>
          <cell r="F242">
            <v>74</v>
          </cell>
          <cell r="G242" t="str">
            <v>B240NS</v>
          </cell>
          <cell r="H242">
            <v>20</v>
          </cell>
          <cell r="I242">
            <v>2</v>
          </cell>
          <cell r="J242" t="str">
            <v>삼일이노팩</v>
          </cell>
          <cell r="K242">
            <v>25</v>
          </cell>
          <cell r="L242">
            <v>29</v>
          </cell>
          <cell r="M242">
            <v>125</v>
          </cell>
          <cell r="N242">
            <v>127</v>
          </cell>
          <cell r="O242">
            <v>10</v>
          </cell>
          <cell r="P242">
            <v>1360</v>
          </cell>
          <cell r="Q242">
            <v>200</v>
          </cell>
          <cell r="R242" t="str">
            <v>파랑</v>
          </cell>
          <cell r="S242" t="str">
            <v>파랑</v>
          </cell>
          <cell r="T242" t="str">
            <v>양송이2K</v>
          </cell>
          <cell r="U242">
            <v>41801</v>
          </cell>
          <cell r="V242" t="str">
            <v>SI</v>
          </cell>
          <cell r="X242" t="str">
            <v>Q-1102</v>
          </cell>
          <cell r="AC242" t="str">
            <v>SI 이관금형,조우리2015.01.07 승인중량변경(100-&gt;88), 2020.04.14 BURR 수리</v>
          </cell>
          <cell r="AD242">
            <v>0.9</v>
          </cell>
          <cell r="AE242">
            <v>70</v>
          </cell>
          <cell r="AF242">
            <v>2</v>
          </cell>
        </row>
        <row r="243">
          <cell r="A243" t="str">
            <v>양변기C2000</v>
          </cell>
          <cell r="B243" t="str">
            <v>SET</v>
          </cell>
          <cell r="C243">
            <v>1</v>
          </cell>
          <cell r="D243">
            <v>100</v>
          </cell>
          <cell r="E243">
            <v>674</v>
          </cell>
          <cell r="F243">
            <v>53</v>
          </cell>
          <cell r="G243" t="str">
            <v>B240NS</v>
          </cell>
          <cell r="H243">
            <v>5</v>
          </cell>
          <cell r="I243">
            <v>2</v>
          </cell>
          <cell r="J243" t="str">
            <v>IS동서</v>
          </cell>
          <cell r="K243">
            <v>245</v>
          </cell>
          <cell r="L243">
            <v>61</v>
          </cell>
          <cell r="M243">
            <v>79</v>
          </cell>
          <cell r="N243">
            <v>81</v>
          </cell>
          <cell r="O243">
            <v>3850</v>
          </cell>
          <cell r="P243">
            <v>1360</v>
          </cell>
          <cell r="Q243">
            <v>200</v>
          </cell>
          <cell r="R243" t="str">
            <v>밴딩</v>
          </cell>
          <cell r="S243" t="str">
            <v>밴딩</v>
          </cell>
          <cell r="T243" t="str">
            <v>양변기C2000</v>
          </cell>
          <cell r="U243">
            <v>42038</v>
          </cell>
          <cell r="V243" t="str">
            <v>금형제조부</v>
          </cell>
          <cell r="W243" t="str">
            <v>양변기C2000</v>
          </cell>
          <cell r="Y243">
            <v>40</v>
          </cell>
          <cell r="Z243">
            <v>26972</v>
          </cell>
          <cell r="AC243" t="str">
            <v>김일환계장코팅완료</v>
          </cell>
          <cell r="AD243">
            <v>0.85</v>
          </cell>
          <cell r="AE243">
            <v>85</v>
          </cell>
          <cell r="AF243">
            <v>2</v>
          </cell>
        </row>
        <row r="244">
          <cell r="A244" t="str">
            <v>양갈비-6구</v>
          </cell>
          <cell r="B244" t="str">
            <v>BOX</v>
          </cell>
          <cell r="C244">
            <v>2</v>
          </cell>
          <cell r="D244">
            <v>90</v>
          </cell>
          <cell r="E244">
            <v>255</v>
          </cell>
          <cell r="F244">
            <v>60</v>
          </cell>
          <cell r="G244" t="str">
            <v>B240NS</v>
          </cell>
          <cell r="H244" t="str">
            <v>TOP:20/BOT:10</v>
          </cell>
          <cell r="I244">
            <v>2</v>
          </cell>
          <cell r="J244" t="str">
            <v>렘스푸드</v>
          </cell>
          <cell r="K244">
            <v>34</v>
          </cell>
          <cell r="L244">
            <v>38</v>
          </cell>
          <cell r="M244">
            <v>128</v>
          </cell>
          <cell r="N244">
            <v>132</v>
          </cell>
          <cell r="P244">
            <v>1360</v>
          </cell>
          <cell r="Q244">
            <v>250</v>
          </cell>
          <cell r="R244" t="str">
            <v>노랑</v>
          </cell>
          <cell r="U244">
            <v>45344</v>
          </cell>
          <cell r="V244" t="str">
            <v>금형사업부</v>
          </cell>
          <cell r="AD244">
            <v>0.85</v>
          </cell>
          <cell r="AF244">
            <v>8</v>
          </cell>
        </row>
        <row r="245">
          <cell r="A245" t="str">
            <v>양갈비-6구</v>
          </cell>
          <cell r="B245" t="str">
            <v>BOX</v>
          </cell>
          <cell r="C245">
            <v>2</v>
          </cell>
          <cell r="D245">
            <v>90</v>
          </cell>
          <cell r="E245">
            <v>255</v>
          </cell>
          <cell r="F245">
            <v>60</v>
          </cell>
          <cell r="G245" t="str">
            <v>B240NS</v>
          </cell>
          <cell r="H245" t="str">
            <v>TOP:20/BOT:10</v>
          </cell>
          <cell r="I245">
            <v>2</v>
          </cell>
          <cell r="J245" t="str">
            <v>렘스푸드</v>
          </cell>
          <cell r="K245">
            <v>34</v>
          </cell>
          <cell r="L245">
            <v>38</v>
          </cell>
          <cell r="M245">
            <v>128</v>
          </cell>
          <cell r="N245">
            <v>132</v>
          </cell>
          <cell r="P245">
            <v>1360</v>
          </cell>
          <cell r="Q245">
            <v>250</v>
          </cell>
          <cell r="R245" t="str">
            <v>노랑</v>
          </cell>
          <cell r="U245">
            <v>45344</v>
          </cell>
          <cell r="V245" t="str">
            <v>금형사업부</v>
          </cell>
          <cell r="AD245">
            <v>0.85</v>
          </cell>
        </row>
        <row r="246">
          <cell r="A246" t="str">
            <v>양갈비-6구</v>
          </cell>
          <cell r="B246" t="str">
            <v>BOX</v>
          </cell>
          <cell r="C246">
            <v>2</v>
          </cell>
          <cell r="D246">
            <v>90</v>
          </cell>
          <cell r="E246">
            <v>255</v>
          </cell>
          <cell r="F246">
            <v>60</v>
          </cell>
          <cell r="G246" t="str">
            <v>B240NS</v>
          </cell>
          <cell r="H246">
            <v>1</v>
          </cell>
          <cell r="I246">
            <v>2</v>
          </cell>
          <cell r="J246" t="str">
            <v>렘스푸드</v>
          </cell>
          <cell r="P246">
            <v>1360</v>
          </cell>
          <cell r="Q246">
            <v>250</v>
          </cell>
          <cell r="U246">
            <v>45344</v>
          </cell>
          <cell r="V246" t="str">
            <v>금형사업부</v>
          </cell>
          <cell r="AD246">
            <v>0.85</v>
          </cell>
        </row>
        <row r="247">
          <cell r="A247" t="str">
            <v>양갈비-3구</v>
          </cell>
          <cell r="B247" t="str">
            <v>BOX</v>
          </cell>
          <cell r="C247">
            <v>3</v>
          </cell>
          <cell r="D247">
            <v>90</v>
          </cell>
          <cell r="E247">
            <v>145</v>
          </cell>
          <cell r="F247">
            <v>60</v>
          </cell>
          <cell r="G247" t="str">
            <v>B240NS</v>
          </cell>
          <cell r="H247" t="str">
            <v>TOP:20/BOT:10</v>
          </cell>
          <cell r="I247">
            <v>2</v>
          </cell>
          <cell r="J247" t="str">
            <v>렘스푸드</v>
          </cell>
          <cell r="K247">
            <v>34</v>
          </cell>
          <cell r="L247">
            <v>38</v>
          </cell>
          <cell r="M247">
            <v>128</v>
          </cell>
          <cell r="N247">
            <v>132</v>
          </cell>
          <cell r="P247">
            <v>1360</v>
          </cell>
          <cell r="Q247">
            <v>250</v>
          </cell>
          <cell r="R247" t="str">
            <v>파랑</v>
          </cell>
          <cell r="U247">
            <v>45344</v>
          </cell>
          <cell r="V247" t="str">
            <v>금형사업부</v>
          </cell>
          <cell r="AD247">
            <v>0.85</v>
          </cell>
          <cell r="AF247">
            <v>8</v>
          </cell>
        </row>
        <row r="248">
          <cell r="A248" t="str">
            <v>양갈비-3구</v>
          </cell>
          <cell r="B248" t="str">
            <v>BOX</v>
          </cell>
          <cell r="C248">
            <v>3</v>
          </cell>
          <cell r="D248">
            <v>90</v>
          </cell>
          <cell r="E248">
            <v>145</v>
          </cell>
          <cell r="F248">
            <v>60</v>
          </cell>
          <cell r="G248" t="str">
            <v>B240NS</v>
          </cell>
          <cell r="H248" t="str">
            <v>TOP:20/BOT:10</v>
          </cell>
          <cell r="I248">
            <v>2</v>
          </cell>
          <cell r="J248" t="str">
            <v>렘스푸드</v>
          </cell>
          <cell r="K248">
            <v>34</v>
          </cell>
          <cell r="L248">
            <v>38</v>
          </cell>
          <cell r="M248">
            <v>128</v>
          </cell>
          <cell r="N248">
            <v>132</v>
          </cell>
          <cell r="P248">
            <v>1360</v>
          </cell>
          <cell r="Q248">
            <v>250</v>
          </cell>
          <cell r="R248" t="str">
            <v>파랑</v>
          </cell>
          <cell r="U248">
            <v>45344</v>
          </cell>
          <cell r="V248" t="str">
            <v>금형사업부</v>
          </cell>
          <cell r="AD248">
            <v>0.85</v>
          </cell>
        </row>
        <row r="249">
          <cell r="A249" t="str">
            <v>양갈비-3구</v>
          </cell>
          <cell r="B249" t="str">
            <v>BOX</v>
          </cell>
          <cell r="C249">
            <v>3</v>
          </cell>
          <cell r="D249">
            <v>90</v>
          </cell>
          <cell r="E249">
            <v>145</v>
          </cell>
          <cell r="F249">
            <v>60</v>
          </cell>
          <cell r="G249" t="str">
            <v>B240NS</v>
          </cell>
          <cell r="H249">
            <v>1</v>
          </cell>
          <cell r="I249">
            <v>2</v>
          </cell>
          <cell r="J249" t="str">
            <v>렘스푸드</v>
          </cell>
          <cell r="P249">
            <v>1360</v>
          </cell>
          <cell r="Q249">
            <v>250</v>
          </cell>
          <cell r="U249">
            <v>45344</v>
          </cell>
          <cell r="V249" t="str">
            <v>금형사업부</v>
          </cell>
          <cell r="AD249">
            <v>0.85</v>
          </cell>
        </row>
        <row r="250">
          <cell r="A250" t="str">
            <v>약품박스(ARC)60배</v>
          </cell>
          <cell r="B250" t="str">
            <v>BOX</v>
          </cell>
          <cell r="C250">
            <v>1</v>
          </cell>
          <cell r="D250">
            <v>130</v>
          </cell>
          <cell r="E250">
            <v>929</v>
          </cell>
          <cell r="F250">
            <v>74</v>
          </cell>
          <cell r="G250" t="str">
            <v>B240NS</v>
          </cell>
          <cell r="H250">
            <v>2</v>
          </cell>
          <cell r="I250">
            <v>2</v>
          </cell>
          <cell r="J250" t="str">
            <v>NCK</v>
          </cell>
          <cell r="K250">
            <v>66</v>
          </cell>
          <cell r="L250">
            <v>70</v>
          </cell>
          <cell r="M250">
            <v>453</v>
          </cell>
          <cell r="N250">
            <v>457</v>
          </cell>
          <cell r="O250">
            <v>3870</v>
          </cell>
          <cell r="P250">
            <v>1300</v>
          </cell>
          <cell r="Q250">
            <v>550</v>
          </cell>
          <cell r="R250" t="str">
            <v>빨강</v>
          </cell>
          <cell r="S250" t="str">
            <v>빨강</v>
          </cell>
          <cell r="T250" t="str">
            <v>약품박스(ARC)</v>
          </cell>
          <cell r="W250" t="str">
            <v>수축확인 주의!!!(BOT), FS351 사용!</v>
          </cell>
          <cell r="AC250" t="str">
            <v>금형없음 약품박스(ARC) 동일금형2015.0106인중량변경(977g-929g)</v>
          </cell>
          <cell r="AD250">
            <v>0.85</v>
          </cell>
          <cell r="AE250">
            <v>130</v>
          </cell>
          <cell r="AF250">
            <v>2</v>
          </cell>
        </row>
        <row r="251">
          <cell r="A251" t="str">
            <v>약품박스(ARC)30배</v>
          </cell>
          <cell r="B251" t="str">
            <v>BOX</v>
          </cell>
          <cell r="C251">
            <v>1</v>
          </cell>
          <cell r="D251">
            <v>170</v>
          </cell>
          <cell r="E251">
            <v>2215</v>
          </cell>
          <cell r="F251">
            <v>36</v>
          </cell>
          <cell r="G251" t="str">
            <v>B240NS</v>
          </cell>
          <cell r="H251">
            <v>2</v>
          </cell>
          <cell r="I251">
            <v>2</v>
          </cell>
          <cell r="J251" t="str">
            <v>NCK</v>
          </cell>
          <cell r="K251">
            <v>66</v>
          </cell>
          <cell r="L251">
            <v>70</v>
          </cell>
          <cell r="M251">
            <v>453</v>
          </cell>
          <cell r="N251">
            <v>457</v>
          </cell>
          <cell r="O251">
            <v>10</v>
          </cell>
          <cell r="P251">
            <v>1300</v>
          </cell>
          <cell r="Q251">
            <v>550</v>
          </cell>
          <cell r="S251">
            <v>0</v>
          </cell>
          <cell r="T251" t="str">
            <v>약품박스(ARC)</v>
          </cell>
          <cell r="AC251" t="str">
            <v>금형없음 약품박스(ARC) 동일금형</v>
          </cell>
          <cell r="AD251">
            <v>0.9</v>
          </cell>
          <cell r="AE251">
            <v>180</v>
          </cell>
          <cell r="AF251">
            <v>2</v>
          </cell>
        </row>
        <row r="252">
          <cell r="A252" t="str">
            <v>약품박스(ARC)</v>
          </cell>
          <cell r="B252" t="str">
            <v>BOX</v>
          </cell>
          <cell r="C252">
            <v>1</v>
          </cell>
          <cell r="D252">
            <v>125</v>
          </cell>
          <cell r="E252">
            <v>1200</v>
          </cell>
          <cell r="F252">
            <v>65</v>
          </cell>
          <cell r="G252" t="str">
            <v>B240NS</v>
          </cell>
          <cell r="H252" t="str">
            <v>뚜껑:10 몸통:2</v>
          </cell>
          <cell r="I252">
            <v>2</v>
          </cell>
          <cell r="J252" t="str">
            <v>NCK</v>
          </cell>
          <cell r="K252">
            <v>66</v>
          </cell>
          <cell r="L252">
            <v>70</v>
          </cell>
          <cell r="M252">
            <v>453</v>
          </cell>
          <cell r="N252">
            <v>457</v>
          </cell>
          <cell r="O252">
            <v>6000</v>
          </cell>
          <cell r="P252">
            <v>1300</v>
          </cell>
          <cell r="Q252">
            <v>550</v>
          </cell>
          <cell r="R252" t="str">
            <v>녹색</v>
          </cell>
          <cell r="T252" t="str">
            <v>약품박스(ARC)</v>
          </cell>
          <cell r="U252">
            <v>40100</v>
          </cell>
          <cell r="V252" t="str">
            <v>최신화학이동</v>
          </cell>
          <cell r="X252" t="str">
            <v>A-1106</v>
          </cell>
          <cell r="AC252" t="str">
            <v>2009.10.24 코아 및 케비트 수정  (박스 5930원, 패드 570원), 2020.01.04수리</v>
          </cell>
          <cell r="AD252">
            <v>0.85</v>
          </cell>
          <cell r="AE252">
            <v>180</v>
          </cell>
          <cell r="AF252">
            <v>2</v>
          </cell>
        </row>
        <row r="253">
          <cell r="A253" t="str">
            <v>약품박스</v>
          </cell>
          <cell r="B253" t="str">
            <v>BOX</v>
          </cell>
          <cell r="C253">
            <v>1</v>
          </cell>
          <cell r="D253">
            <v>130</v>
          </cell>
          <cell r="E253">
            <v>929</v>
          </cell>
          <cell r="F253">
            <v>74</v>
          </cell>
          <cell r="G253" t="str">
            <v>B240NS</v>
          </cell>
          <cell r="H253">
            <v>2</v>
          </cell>
          <cell r="I253">
            <v>2</v>
          </cell>
          <cell r="J253" t="str">
            <v>동아에스티</v>
          </cell>
          <cell r="K253">
            <v>66</v>
          </cell>
          <cell r="L253">
            <v>70</v>
          </cell>
          <cell r="M253">
            <v>453</v>
          </cell>
          <cell r="N253">
            <v>457</v>
          </cell>
          <cell r="O253">
            <v>6000</v>
          </cell>
          <cell r="P253">
            <v>1360</v>
          </cell>
          <cell r="Q253">
            <v>650</v>
          </cell>
          <cell r="R253" t="str">
            <v>녹색</v>
          </cell>
          <cell r="T253" t="str">
            <v>약품박스(ARC)#2</v>
          </cell>
          <cell r="U253">
            <v>45148</v>
          </cell>
          <cell r="AD253">
            <v>0.85</v>
          </cell>
          <cell r="AE253">
            <v>180</v>
          </cell>
        </row>
        <row r="254">
          <cell r="A254" t="str">
            <v>약품박스</v>
          </cell>
          <cell r="B254" t="str">
            <v>BOX</v>
          </cell>
          <cell r="C254">
            <v>1</v>
          </cell>
          <cell r="D254">
            <v>130</v>
          </cell>
          <cell r="E254">
            <v>929</v>
          </cell>
          <cell r="F254">
            <v>74</v>
          </cell>
          <cell r="G254" t="str">
            <v>B240NS</v>
          </cell>
          <cell r="H254">
            <v>2</v>
          </cell>
          <cell r="I254">
            <v>2</v>
          </cell>
          <cell r="J254" t="str">
            <v>동아에스티</v>
          </cell>
          <cell r="K254">
            <v>66</v>
          </cell>
          <cell r="L254">
            <v>70</v>
          </cell>
          <cell r="M254">
            <v>453</v>
          </cell>
          <cell r="N254">
            <v>457</v>
          </cell>
          <cell r="O254">
            <v>6000</v>
          </cell>
          <cell r="P254">
            <v>1300</v>
          </cell>
          <cell r="Q254">
            <v>650</v>
          </cell>
          <cell r="R254" t="str">
            <v>녹색</v>
          </cell>
          <cell r="T254" t="str">
            <v>약품박스(ARC)#2</v>
          </cell>
          <cell r="U254">
            <v>45148</v>
          </cell>
          <cell r="AD254">
            <v>0.85</v>
          </cell>
          <cell r="AE254">
            <v>180</v>
          </cell>
          <cell r="AF254">
            <v>2</v>
          </cell>
        </row>
        <row r="255">
          <cell r="A255" t="str">
            <v>야채절단기-하</v>
          </cell>
          <cell r="B255" t="str">
            <v>SET</v>
          </cell>
          <cell r="C255">
            <v>1</v>
          </cell>
          <cell r="D255">
            <v>100</v>
          </cell>
          <cell r="E255">
            <v>845</v>
          </cell>
          <cell r="F255">
            <v>74</v>
          </cell>
          <cell r="G255" t="str">
            <v>B240NS</v>
          </cell>
          <cell r="H255">
            <v>5</v>
          </cell>
          <cell r="I255">
            <v>1</v>
          </cell>
          <cell r="J255" t="str">
            <v>영광포장</v>
          </cell>
          <cell r="P255">
            <v>1500</v>
          </cell>
          <cell r="Q255">
            <v>250</v>
          </cell>
          <cell r="R255" t="str">
            <v>노랑</v>
          </cell>
          <cell r="U255">
            <v>44753</v>
          </cell>
          <cell r="V255" t="str">
            <v>이관금형</v>
          </cell>
          <cell r="AC255" t="str">
            <v>김영석사원</v>
          </cell>
          <cell r="AD255">
            <v>0.85</v>
          </cell>
        </row>
        <row r="256">
          <cell r="A256" t="str">
            <v>야채절단기-하</v>
          </cell>
          <cell r="B256" t="str">
            <v>SET</v>
          </cell>
          <cell r="C256">
            <v>1</v>
          </cell>
          <cell r="D256">
            <v>100</v>
          </cell>
          <cell r="E256">
            <v>845</v>
          </cell>
          <cell r="F256">
            <v>74</v>
          </cell>
          <cell r="G256" t="str">
            <v>B240NS</v>
          </cell>
          <cell r="H256">
            <v>5</v>
          </cell>
          <cell r="I256">
            <v>1</v>
          </cell>
          <cell r="J256" t="str">
            <v>영광포장</v>
          </cell>
          <cell r="P256">
            <v>1500</v>
          </cell>
          <cell r="Q256">
            <v>250</v>
          </cell>
          <cell r="R256" t="str">
            <v>노랑</v>
          </cell>
          <cell r="U256">
            <v>44753</v>
          </cell>
          <cell r="V256" t="str">
            <v>이관금형</v>
          </cell>
          <cell r="AC256" t="str">
            <v>김영석사원</v>
          </cell>
          <cell r="AD256">
            <v>0.85</v>
          </cell>
        </row>
        <row r="257">
          <cell r="A257" t="str">
            <v>야채절단기-상</v>
          </cell>
          <cell r="B257" t="str">
            <v>SET</v>
          </cell>
          <cell r="C257">
            <v>1</v>
          </cell>
          <cell r="D257">
            <v>100</v>
          </cell>
          <cell r="E257">
            <v>544</v>
          </cell>
          <cell r="F257">
            <v>74</v>
          </cell>
          <cell r="G257" t="str">
            <v>SE2500M</v>
          </cell>
          <cell r="H257">
            <v>5</v>
          </cell>
          <cell r="I257">
            <v>1</v>
          </cell>
          <cell r="J257" t="str">
            <v>영광포장</v>
          </cell>
          <cell r="P257">
            <v>1500</v>
          </cell>
          <cell r="Q257">
            <v>300</v>
          </cell>
          <cell r="R257" t="str">
            <v>빨강</v>
          </cell>
          <cell r="U257">
            <v>44741</v>
          </cell>
          <cell r="V257" t="str">
            <v>이관금형</v>
          </cell>
          <cell r="AC257" t="str">
            <v>김영석사원</v>
          </cell>
          <cell r="AD257">
            <v>0.85</v>
          </cell>
        </row>
        <row r="258">
          <cell r="A258" t="str">
            <v>야채절단기-상</v>
          </cell>
          <cell r="B258" t="str">
            <v>SET</v>
          </cell>
          <cell r="C258">
            <v>1</v>
          </cell>
          <cell r="D258">
            <v>100</v>
          </cell>
          <cell r="E258">
            <v>544</v>
          </cell>
          <cell r="F258">
            <v>74</v>
          </cell>
          <cell r="G258" t="str">
            <v>SE2500M</v>
          </cell>
          <cell r="H258">
            <v>5</v>
          </cell>
          <cell r="I258">
            <v>1</v>
          </cell>
          <cell r="J258" t="str">
            <v>영광포장</v>
          </cell>
          <cell r="P258">
            <v>1500</v>
          </cell>
          <cell r="Q258">
            <v>300</v>
          </cell>
          <cell r="R258" t="str">
            <v>빨강</v>
          </cell>
          <cell r="U258">
            <v>44741</v>
          </cell>
          <cell r="V258" t="str">
            <v>이관금형</v>
          </cell>
          <cell r="AC258" t="str">
            <v>김영석사원</v>
          </cell>
          <cell r="AD258">
            <v>0.85</v>
          </cell>
        </row>
        <row r="259">
          <cell r="A259" t="str">
            <v>아이콘프로-UP</v>
          </cell>
          <cell r="B259" t="str">
            <v>SET</v>
          </cell>
          <cell r="C259">
            <v>3</v>
          </cell>
          <cell r="D259">
            <v>102</v>
          </cell>
          <cell r="E259">
            <v>104</v>
          </cell>
          <cell r="F259">
            <v>50</v>
          </cell>
          <cell r="G259" t="str">
            <v>B240NS</v>
          </cell>
          <cell r="H259">
            <v>12</v>
          </cell>
          <cell r="I259">
            <v>2</v>
          </cell>
          <cell r="J259" t="str">
            <v>코웨이</v>
          </cell>
          <cell r="P259">
            <v>1360</v>
          </cell>
          <cell r="Q259">
            <v>300</v>
          </cell>
          <cell r="U259">
            <v>45476</v>
          </cell>
          <cell r="V259" t="str">
            <v>금형사업부</v>
          </cell>
          <cell r="W259" t="str">
            <v>UP102G,LOW102G</v>
          </cell>
          <cell r="Y259">
            <v>50</v>
          </cell>
          <cell r="AD259">
            <v>0.85</v>
          </cell>
          <cell r="AE259">
            <v>80</v>
          </cell>
          <cell r="AF259">
            <v>4</v>
          </cell>
        </row>
        <row r="260">
          <cell r="A260" t="str">
            <v>아이콘프로-UP</v>
          </cell>
          <cell r="B260" t="str">
            <v>SET</v>
          </cell>
          <cell r="C260">
            <v>3</v>
          </cell>
          <cell r="D260">
            <v>102</v>
          </cell>
          <cell r="E260">
            <v>104</v>
          </cell>
          <cell r="F260">
            <v>50</v>
          </cell>
          <cell r="G260" t="str">
            <v>B240NS</v>
          </cell>
          <cell r="H260">
            <v>12</v>
          </cell>
          <cell r="I260">
            <v>2</v>
          </cell>
          <cell r="J260" t="str">
            <v>코웨이</v>
          </cell>
          <cell r="P260">
            <v>1360</v>
          </cell>
          <cell r="Q260">
            <v>300</v>
          </cell>
          <cell r="U260">
            <v>45476</v>
          </cell>
          <cell r="V260" t="str">
            <v>금형사업부</v>
          </cell>
          <cell r="W260" t="str">
            <v>UP102G,LOW102G</v>
          </cell>
          <cell r="Y260">
            <v>50</v>
          </cell>
          <cell r="AD260">
            <v>0.85</v>
          </cell>
          <cell r="AE260">
            <v>80</v>
          </cell>
        </row>
        <row r="261">
          <cell r="A261" t="str">
            <v>아이콘프로-LOW</v>
          </cell>
          <cell r="B261" t="str">
            <v>SET</v>
          </cell>
          <cell r="C261">
            <v>3</v>
          </cell>
          <cell r="D261">
            <v>102</v>
          </cell>
          <cell r="E261">
            <v>102</v>
          </cell>
          <cell r="F261">
            <v>50</v>
          </cell>
          <cell r="G261" t="str">
            <v>B240NS</v>
          </cell>
          <cell r="H261">
            <v>12</v>
          </cell>
          <cell r="I261">
            <v>2</v>
          </cell>
          <cell r="J261" t="str">
            <v>코웨이</v>
          </cell>
          <cell r="P261">
            <v>1360</v>
          </cell>
          <cell r="Q261">
            <v>300</v>
          </cell>
          <cell r="U261">
            <v>45476</v>
          </cell>
          <cell r="V261" t="str">
            <v>금형사업부</v>
          </cell>
          <cell r="W261" t="str">
            <v>UP102G,LOW102G</v>
          </cell>
          <cell r="Y261">
            <v>50</v>
          </cell>
          <cell r="AD261">
            <v>0.85</v>
          </cell>
          <cell r="AE261">
            <v>80</v>
          </cell>
        </row>
        <row r="262">
          <cell r="A262" t="str">
            <v>아이콘프로-LOW</v>
          </cell>
          <cell r="B262" t="str">
            <v>SET</v>
          </cell>
          <cell r="C262">
            <v>3</v>
          </cell>
          <cell r="D262">
            <v>102</v>
          </cell>
          <cell r="E262">
            <v>102</v>
          </cell>
          <cell r="F262">
            <v>50</v>
          </cell>
          <cell r="G262" t="str">
            <v>B240NS</v>
          </cell>
          <cell r="H262">
            <v>12</v>
          </cell>
          <cell r="I262">
            <v>2</v>
          </cell>
          <cell r="J262" t="str">
            <v>코웨이</v>
          </cell>
          <cell r="P262">
            <v>1360</v>
          </cell>
          <cell r="Q262">
            <v>300</v>
          </cell>
          <cell r="U262">
            <v>45476</v>
          </cell>
          <cell r="V262" t="str">
            <v>금형사업부</v>
          </cell>
          <cell r="W262" t="str">
            <v>UP102G,LOW102G</v>
          </cell>
          <cell r="Y262">
            <v>50</v>
          </cell>
          <cell r="AD262">
            <v>0.85</v>
          </cell>
          <cell r="AE262">
            <v>80</v>
          </cell>
        </row>
        <row r="263">
          <cell r="A263" t="str">
            <v>아이콘프로</v>
          </cell>
          <cell r="B263" t="str">
            <v>SET</v>
          </cell>
          <cell r="C263">
            <v>3</v>
          </cell>
          <cell r="D263">
            <v>204</v>
          </cell>
          <cell r="E263">
            <v>206</v>
          </cell>
          <cell r="F263">
            <v>50</v>
          </cell>
          <cell r="G263" t="str">
            <v>B240NS</v>
          </cell>
          <cell r="H263" t="str">
            <v>TOP:12/BOT:12</v>
          </cell>
          <cell r="I263">
            <v>2</v>
          </cell>
          <cell r="J263" t="str">
            <v>코웨이</v>
          </cell>
          <cell r="K263">
            <v>83</v>
          </cell>
          <cell r="L263">
            <v>87</v>
          </cell>
          <cell r="M263">
            <v>178</v>
          </cell>
          <cell r="N263">
            <v>182</v>
          </cell>
          <cell r="P263">
            <v>1360</v>
          </cell>
          <cell r="Q263">
            <v>300</v>
          </cell>
          <cell r="R263" t="str">
            <v>보라</v>
          </cell>
          <cell r="U263">
            <v>45476</v>
          </cell>
          <cell r="V263" t="str">
            <v>금형사업부</v>
          </cell>
          <cell r="W263" t="str">
            <v>코팅입고,UP102G,LOW102G</v>
          </cell>
          <cell r="Y263">
            <v>50</v>
          </cell>
          <cell r="AD263">
            <v>0.85</v>
          </cell>
          <cell r="AE263">
            <v>80</v>
          </cell>
          <cell r="AF263">
            <v>6</v>
          </cell>
        </row>
        <row r="264">
          <cell r="A264" t="str">
            <v>아이콘프로</v>
          </cell>
          <cell r="B264" t="str">
            <v>SET</v>
          </cell>
          <cell r="C264">
            <v>3</v>
          </cell>
          <cell r="D264">
            <v>204</v>
          </cell>
          <cell r="E264">
            <v>206</v>
          </cell>
          <cell r="F264">
            <v>50</v>
          </cell>
          <cell r="G264" t="str">
            <v>B240NS</v>
          </cell>
          <cell r="H264" t="str">
            <v>TOP:12/BOT:12</v>
          </cell>
          <cell r="I264">
            <v>2</v>
          </cell>
          <cell r="J264" t="str">
            <v>코웨이</v>
          </cell>
          <cell r="K264">
            <v>83</v>
          </cell>
          <cell r="L264">
            <v>87</v>
          </cell>
          <cell r="M264">
            <v>178</v>
          </cell>
          <cell r="N264">
            <v>182</v>
          </cell>
          <cell r="P264">
            <v>1360</v>
          </cell>
          <cell r="Q264">
            <v>300</v>
          </cell>
          <cell r="R264" t="str">
            <v>보라</v>
          </cell>
          <cell r="U264">
            <v>45476</v>
          </cell>
          <cell r="V264" t="str">
            <v>금형사업부</v>
          </cell>
          <cell r="W264" t="str">
            <v>코팅입고,UP102G,LOW102G</v>
          </cell>
          <cell r="Y264">
            <v>50</v>
          </cell>
          <cell r="AD264">
            <v>0.85</v>
          </cell>
          <cell r="AE264">
            <v>80</v>
          </cell>
        </row>
        <row r="265">
          <cell r="A265" t="str">
            <v>아이콘맥스프리-쿠션</v>
          </cell>
          <cell r="B265" t="str">
            <v>SET</v>
          </cell>
          <cell r="C265">
            <v>3</v>
          </cell>
          <cell r="D265">
            <v>90</v>
          </cell>
          <cell r="E265">
            <v>252</v>
          </cell>
          <cell r="F265">
            <v>70</v>
          </cell>
          <cell r="G265" t="str">
            <v>B240NS</v>
          </cell>
          <cell r="H265" t="str">
            <v>T:10 B:10</v>
          </cell>
          <cell r="I265">
            <v>2</v>
          </cell>
          <cell r="J265" t="str">
            <v>코웨이</v>
          </cell>
          <cell r="K265">
            <v>107</v>
          </cell>
          <cell r="L265">
            <v>113</v>
          </cell>
          <cell r="M265">
            <v>97</v>
          </cell>
          <cell r="N265">
            <v>103</v>
          </cell>
          <cell r="P265">
            <v>1360</v>
          </cell>
          <cell r="Q265">
            <v>200</v>
          </cell>
          <cell r="R265" t="str">
            <v>파란</v>
          </cell>
          <cell r="U265">
            <v>44763</v>
          </cell>
          <cell r="V265" t="str">
            <v>금형사업부</v>
          </cell>
          <cell r="Y265">
            <v>60</v>
          </cell>
          <cell r="AD265">
            <v>0.85</v>
          </cell>
        </row>
        <row r="266">
          <cell r="A266" t="str">
            <v>아이콘맥스프리-쿠션</v>
          </cell>
          <cell r="B266" t="str">
            <v>SET</v>
          </cell>
          <cell r="C266">
            <v>3</v>
          </cell>
          <cell r="D266">
            <v>100</v>
          </cell>
          <cell r="E266">
            <v>252</v>
          </cell>
          <cell r="F266">
            <v>70</v>
          </cell>
          <cell r="G266" t="str">
            <v>B240NS</v>
          </cell>
          <cell r="H266" t="str">
            <v>T:10 B:10</v>
          </cell>
          <cell r="I266">
            <v>2</v>
          </cell>
          <cell r="J266" t="str">
            <v>코웨이</v>
          </cell>
          <cell r="K266">
            <v>107</v>
          </cell>
          <cell r="L266">
            <v>113</v>
          </cell>
          <cell r="M266">
            <v>97</v>
          </cell>
          <cell r="N266">
            <v>103</v>
          </cell>
          <cell r="P266">
            <v>1360</v>
          </cell>
          <cell r="Q266">
            <v>200</v>
          </cell>
          <cell r="R266" t="str">
            <v>파란</v>
          </cell>
          <cell r="U266">
            <v>44763</v>
          </cell>
          <cell r="V266" t="str">
            <v>금형사업부</v>
          </cell>
          <cell r="Y266">
            <v>60</v>
          </cell>
          <cell r="AD266">
            <v>0.85</v>
          </cell>
        </row>
        <row r="267">
          <cell r="A267" t="str">
            <v>아이콘맥스프리</v>
          </cell>
          <cell r="B267" t="str">
            <v>회색</v>
          </cell>
          <cell r="C267">
            <v>8</v>
          </cell>
          <cell r="D267">
            <v>140</v>
          </cell>
          <cell r="E267">
            <v>84</v>
          </cell>
          <cell r="F267">
            <v>30</v>
          </cell>
          <cell r="G267" t="str">
            <v>ZP2500</v>
          </cell>
          <cell r="H267">
            <v>16</v>
          </cell>
          <cell r="I267">
            <v>2</v>
          </cell>
          <cell r="J267" t="str">
            <v>코웨이</v>
          </cell>
          <cell r="P267">
            <v>1360</v>
          </cell>
          <cell r="Q267">
            <v>200</v>
          </cell>
          <cell r="R267" t="str">
            <v>흰색</v>
          </cell>
          <cell r="U267">
            <v>44762</v>
          </cell>
          <cell r="V267" t="str">
            <v>금형사업부</v>
          </cell>
          <cell r="AD267">
            <v>0.85</v>
          </cell>
        </row>
        <row r="268">
          <cell r="A268" t="str">
            <v>아이콘맥스프리</v>
          </cell>
          <cell r="B268" t="str">
            <v>SET</v>
          </cell>
          <cell r="C268">
            <v>8</v>
          </cell>
          <cell r="D268">
            <v>147</v>
          </cell>
          <cell r="E268">
            <v>84</v>
          </cell>
          <cell r="F268">
            <v>30</v>
          </cell>
          <cell r="G268" t="str">
            <v>ZP2500</v>
          </cell>
          <cell r="H268">
            <v>16</v>
          </cell>
          <cell r="I268">
            <v>2</v>
          </cell>
          <cell r="J268" t="str">
            <v>코웨이</v>
          </cell>
          <cell r="P268">
            <v>1360</v>
          </cell>
          <cell r="Q268">
            <v>200</v>
          </cell>
          <cell r="R268" t="str">
            <v>흰색</v>
          </cell>
          <cell r="U268">
            <v>44762</v>
          </cell>
          <cell r="V268" t="str">
            <v>금형사업부</v>
          </cell>
          <cell r="AD268">
            <v>0.85</v>
          </cell>
        </row>
        <row r="269">
          <cell r="A269" t="str">
            <v>아이콘22년형-UP(40배)</v>
          </cell>
          <cell r="B269" t="str">
            <v>SET</v>
          </cell>
          <cell r="C269">
            <v>3</v>
          </cell>
          <cell r="D269">
            <v>100</v>
          </cell>
          <cell r="E269">
            <v>86</v>
          </cell>
          <cell r="F269">
            <v>50</v>
          </cell>
          <cell r="G269" t="str">
            <v>SG302</v>
          </cell>
          <cell r="H269">
            <v>20</v>
          </cell>
          <cell r="I269">
            <v>2</v>
          </cell>
          <cell r="J269" t="str">
            <v>코웨이</v>
          </cell>
          <cell r="R269" t="str">
            <v>파랑</v>
          </cell>
          <cell r="U269">
            <v>44533</v>
          </cell>
          <cell r="AD269">
            <v>0.85</v>
          </cell>
          <cell r="AF269">
            <v>6</v>
          </cell>
        </row>
        <row r="270">
          <cell r="A270" t="str">
            <v>아이콘22년형-UP</v>
          </cell>
          <cell r="B270" t="str">
            <v>SET</v>
          </cell>
          <cell r="C270">
            <v>3</v>
          </cell>
          <cell r="D270">
            <v>100</v>
          </cell>
          <cell r="E270">
            <v>69</v>
          </cell>
          <cell r="F270">
            <v>60</v>
          </cell>
          <cell r="G270" t="str">
            <v>SG302</v>
          </cell>
          <cell r="H270">
            <v>20</v>
          </cell>
          <cell r="I270">
            <v>2</v>
          </cell>
          <cell r="J270" t="str">
            <v>코웨이</v>
          </cell>
          <cell r="R270" t="str">
            <v>녹색</v>
          </cell>
          <cell r="U270">
            <v>44533</v>
          </cell>
          <cell r="AD270">
            <v>0.85</v>
          </cell>
          <cell r="AF270">
            <v>8</v>
          </cell>
        </row>
        <row r="271">
          <cell r="A271" t="str">
            <v>아이콘22년형-LOW(40배)</v>
          </cell>
          <cell r="B271" t="str">
            <v>SET</v>
          </cell>
          <cell r="C271">
            <v>3</v>
          </cell>
          <cell r="D271">
            <v>100</v>
          </cell>
          <cell r="E271">
            <v>129</v>
          </cell>
          <cell r="F271">
            <v>50</v>
          </cell>
          <cell r="G271" t="str">
            <v>SG302</v>
          </cell>
          <cell r="H271">
            <v>20</v>
          </cell>
          <cell r="I271">
            <v>2</v>
          </cell>
          <cell r="J271" t="str">
            <v>코웨이</v>
          </cell>
          <cell r="R271" t="str">
            <v>파랑</v>
          </cell>
          <cell r="U271">
            <v>44533</v>
          </cell>
          <cell r="W271" t="str">
            <v>LOWER A'SSY 제품 (비닐포장 X)</v>
          </cell>
          <cell r="AD271">
            <v>0.85</v>
          </cell>
          <cell r="AF271">
            <v>6</v>
          </cell>
        </row>
        <row r="272">
          <cell r="A272" t="str">
            <v>아이콘22년형-LOW</v>
          </cell>
          <cell r="B272" t="str">
            <v>SET</v>
          </cell>
          <cell r="C272">
            <v>3</v>
          </cell>
          <cell r="D272">
            <v>100</v>
          </cell>
          <cell r="E272">
            <v>103</v>
          </cell>
          <cell r="F272">
            <v>60</v>
          </cell>
          <cell r="G272" t="str">
            <v>SG302</v>
          </cell>
          <cell r="H272">
            <v>20</v>
          </cell>
          <cell r="I272">
            <v>2</v>
          </cell>
          <cell r="J272" t="str">
            <v>코웨이</v>
          </cell>
          <cell r="R272" t="str">
            <v>녹색</v>
          </cell>
          <cell r="U272">
            <v>44533</v>
          </cell>
          <cell r="W272" t="str">
            <v>LOWER A'SSY 제품 (비닐포장 X)</v>
          </cell>
          <cell r="AD272">
            <v>0.85</v>
          </cell>
          <cell r="AF272">
            <v>8</v>
          </cell>
        </row>
        <row r="273">
          <cell r="A273" t="str">
            <v>아이콘22년형(40배)</v>
          </cell>
          <cell r="B273" t="str">
            <v>SET</v>
          </cell>
          <cell r="C273">
            <v>3</v>
          </cell>
          <cell r="D273">
            <v>100</v>
          </cell>
          <cell r="E273">
            <v>215</v>
          </cell>
          <cell r="F273">
            <v>50</v>
          </cell>
          <cell r="G273" t="str">
            <v>SG302</v>
          </cell>
          <cell r="H273" t="str">
            <v>UP:20 LOW:20</v>
          </cell>
          <cell r="I273">
            <v>2</v>
          </cell>
          <cell r="J273" t="str">
            <v>코웨이</v>
          </cell>
          <cell r="K273">
            <v>78</v>
          </cell>
          <cell r="L273">
            <v>82</v>
          </cell>
          <cell r="M273">
            <v>83</v>
          </cell>
          <cell r="N273">
            <v>87</v>
          </cell>
          <cell r="P273">
            <v>1360</v>
          </cell>
          <cell r="Q273">
            <v>200</v>
          </cell>
          <cell r="R273" t="str">
            <v>파랑</v>
          </cell>
          <cell r="U273">
            <v>44533</v>
          </cell>
          <cell r="V273" t="str">
            <v>이피엠테크</v>
          </cell>
          <cell r="W273" t="str">
            <v>ICON HQ12</v>
          </cell>
          <cell r="Y273">
            <v>50</v>
          </cell>
          <cell r="AC273" t="str">
            <v>석상준과장</v>
          </cell>
          <cell r="AD273">
            <v>0.85</v>
          </cell>
          <cell r="AF273">
            <v>5</v>
          </cell>
        </row>
        <row r="274">
          <cell r="A274" t="str">
            <v>아이콘22년형</v>
          </cell>
          <cell r="B274" t="str">
            <v>SET</v>
          </cell>
          <cell r="C274">
            <v>3</v>
          </cell>
          <cell r="D274">
            <v>100</v>
          </cell>
          <cell r="E274">
            <v>172</v>
          </cell>
          <cell r="F274">
            <v>60</v>
          </cell>
          <cell r="G274" t="str">
            <v>SG302</v>
          </cell>
          <cell r="H274" t="str">
            <v>UP:20 LOW:20</v>
          </cell>
          <cell r="I274">
            <v>2</v>
          </cell>
          <cell r="J274" t="str">
            <v>코웨이</v>
          </cell>
          <cell r="K274">
            <v>78</v>
          </cell>
          <cell r="L274">
            <v>82</v>
          </cell>
          <cell r="M274">
            <v>83</v>
          </cell>
          <cell r="N274">
            <v>87</v>
          </cell>
          <cell r="P274">
            <v>1360</v>
          </cell>
          <cell r="Q274">
            <v>200</v>
          </cell>
          <cell r="R274" t="str">
            <v>녹색</v>
          </cell>
          <cell r="U274">
            <v>44533</v>
          </cell>
          <cell r="V274" t="str">
            <v>이피엠테크</v>
          </cell>
          <cell r="W274" t="str">
            <v>ICON HQ12</v>
          </cell>
          <cell r="Y274">
            <v>50</v>
          </cell>
          <cell r="AC274" t="str">
            <v>2024-05-23금형 개조 끈 오랜지→녹색으로 변경</v>
          </cell>
          <cell r="AD274">
            <v>0.85</v>
          </cell>
          <cell r="AF274">
            <v>8</v>
          </cell>
        </row>
        <row r="275">
          <cell r="A275" t="str">
            <v>아이옥스</v>
          </cell>
          <cell r="B275" t="str">
            <v>SET</v>
          </cell>
          <cell r="C275">
            <v>2</v>
          </cell>
          <cell r="D275">
            <v>75</v>
          </cell>
          <cell r="E275">
            <v>414</v>
          </cell>
          <cell r="F275">
            <v>74</v>
          </cell>
          <cell r="G275" t="str">
            <v>B240NS</v>
          </cell>
          <cell r="H275">
            <v>5</v>
          </cell>
          <cell r="I275">
            <v>2</v>
          </cell>
          <cell r="J275" t="str">
            <v>아이캠퍼</v>
          </cell>
          <cell r="P275">
            <v>1360</v>
          </cell>
          <cell r="Q275">
            <v>250</v>
          </cell>
          <cell r="R275" t="str">
            <v>황색</v>
          </cell>
          <cell r="T275" t="str">
            <v>크라킹 10mm 이상 생산, 기준 중량 설정</v>
          </cell>
          <cell r="U275">
            <v>43725</v>
          </cell>
          <cell r="V275" t="str">
            <v>보령금형</v>
          </cell>
          <cell r="Y275">
            <v>60</v>
          </cell>
          <cell r="AD275">
            <v>0.85</v>
          </cell>
          <cell r="AE275">
            <v>75</v>
          </cell>
          <cell r="AF275">
            <v>6</v>
          </cell>
        </row>
        <row r="276">
          <cell r="A276" t="str">
            <v>아이오배드쿠션</v>
          </cell>
          <cell r="B276" t="str">
            <v>SET</v>
          </cell>
          <cell r="C276">
            <v>7</v>
          </cell>
          <cell r="D276">
            <v>100</v>
          </cell>
          <cell r="E276">
            <v>86</v>
          </cell>
          <cell r="F276">
            <v>60</v>
          </cell>
          <cell r="G276" t="str">
            <v>B240NS</v>
          </cell>
          <cell r="H276">
            <v>10</v>
          </cell>
          <cell r="I276">
            <v>2</v>
          </cell>
          <cell r="J276" t="str">
            <v>알비코리아</v>
          </cell>
          <cell r="P276">
            <v>1360</v>
          </cell>
          <cell r="Q276">
            <v>150</v>
          </cell>
          <cell r="R276" t="str">
            <v>노랑</v>
          </cell>
          <cell r="U276">
            <v>45470</v>
          </cell>
          <cell r="V276" t="str">
            <v>인천티피에스(이관)</v>
          </cell>
          <cell r="AD276">
            <v>0.85</v>
          </cell>
        </row>
        <row r="277">
          <cell r="A277" t="str">
            <v>아이오배드쿠션</v>
          </cell>
          <cell r="B277" t="str">
            <v>SET</v>
          </cell>
          <cell r="C277">
            <v>7</v>
          </cell>
          <cell r="D277">
            <v>100</v>
          </cell>
          <cell r="E277">
            <v>86</v>
          </cell>
          <cell r="F277">
            <v>60</v>
          </cell>
          <cell r="G277" t="str">
            <v>B240NS</v>
          </cell>
          <cell r="H277">
            <v>1</v>
          </cell>
          <cell r="I277">
            <v>2</v>
          </cell>
          <cell r="J277" t="str">
            <v>알비코리아</v>
          </cell>
          <cell r="P277">
            <v>1360</v>
          </cell>
          <cell r="Q277">
            <v>200</v>
          </cell>
          <cell r="U277">
            <v>45470</v>
          </cell>
          <cell r="V277" t="str">
            <v>인천티피에스(이관)</v>
          </cell>
        </row>
        <row r="278">
          <cell r="A278" t="str">
            <v xml:space="preserve">아산박스 </v>
          </cell>
          <cell r="B278" t="str">
            <v>BOX</v>
          </cell>
          <cell r="C278">
            <v>6</v>
          </cell>
          <cell r="D278">
            <v>70</v>
          </cell>
          <cell r="E278">
            <v>140</v>
          </cell>
          <cell r="F278">
            <v>74</v>
          </cell>
          <cell r="G278" t="str">
            <v>SE2500M</v>
          </cell>
          <cell r="H278">
            <v>20</v>
          </cell>
          <cell r="I278">
            <v>2</v>
          </cell>
          <cell r="J278" t="str">
            <v>아산이피에스</v>
          </cell>
          <cell r="K278">
            <v>28</v>
          </cell>
          <cell r="L278">
            <v>32</v>
          </cell>
          <cell r="M278">
            <v>218</v>
          </cell>
          <cell r="N278">
            <v>222</v>
          </cell>
          <cell r="O278">
            <v>700</v>
          </cell>
          <cell r="P278">
            <v>1500</v>
          </cell>
          <cell r="Q278">
            <v>350</v>
          </cell>
          <cell r="R278" t="str">
            <v>빨강</v>
          </cell>
          <cell r="S278" t="str">
            <v>빨강</v>
          </cell>
          <cell r="T278" t="str">
            <v>굴BOX(뚜껑,몸체)</v>
          </cell>
          <cell r="U278">
            <v>43948</v>
          </cell>
          <cell r="V278" t="str">
            <v>금형제조부</v>
          </cell>
          <cell r="Y278">
            <v>64</v>
          </cell>
          <cell r="Z278">
            <v>6744</v>
          </cell>
          <cell r="AC278" t="str">
            <v>석상준과장, 2021.05.03재코팅</v>
          </cell>
          <cell r="AD278">
            <v>0.85</v>
          </cell>
          <cell r="AE278">
            <v>70</v>
          </cell>
        </row>
        <row r="279">
          <cell r="A279" t="str">
            <v>아산박스</v>
          </cell>
          <cell r="B279" t="str">
            <v>BOX</v>
          </cell>
          <cell r="E279">
            <v>140</v>
          </cell>
          <cell r="J279" t="str">
            <v>아산이피에스</v>
          </cell>
        </row>
        <row r="280">
          <cell r="A280" t="str">
            <v>신일쿠션</v>
          </cell>
          <cell r="B280" t="str">
            <v>저발</v>
          </cell>
          <cell r="C280">
            <v>5</v>
          </cell>
          <cell r="D280">
            <v>75</v>
          </cell>
          <cell r="E280">
            <v>42</v>
          </cell>
          <cell r="F280">
            <v>65</v>
          </cell>
          <cell r="G280" t="str">
            <v>B240NS</v>
          </cell>
          <cell r="H280">
            <v>60</v>
          </cell>
          <cell r="I280">
            <v>1</v>
          </cell>
          <cell r="J280" t="str">
            <v>아산EPS</v>
          </cell>
          <cell r="K280">
            <v>59</v>
          </cell>
          <cell r="L280">
            <v>61</v>
          </cell>
          <cell r="O280">
            <v>10</v>
          </cell>
          <cell r="P280">
            <v>500</v>
          </cell>
          <cell r="R280" t="str">
            <v>파랑</v>
          </cell>
          <cell r="S280" t="str">
            <v>파랑</v>
          </cell>
          <cell r="U280">
            <v>42600</v>
          </cell>
          <cell r="V280" t="str">
            <v>아산EPS이동입고</v>
          </cell>
          <cell r="Y280">
            <v>50</v>
          </cell>
          <cell r="AC280" t="str">
            <v>최재학사원,2016.11.28기준배율 및 중량 변경(60배-&gt;50배, 35g-&gt;42g)</v>
          </cell>
          <cell r="AD280">
            <v>0.85</v>
          </cell>
          <cell r="AE280">
            <v>85</v>
          </cell>
          <cell r="AF280">
            <v>4</v>
          </cell>
        </row>
        <row r="281">
          <cell r="A281" t="str">
            <v>신4구선물셋트(회색)</v>
          </cell>
          <cell r="B281" t="str">
            <v>회색</v>
          </cell>
          <cell r="C281">
            <v>2</v>
          </cell>
          <cell r="D281">
            <v>85</v>
          </cell>
          <cell r="E281">
            <v>408</v>
          </cell>
          <cell r="F281">
            <v>48</v>
          </cell>
          <cell r="G281" t="str">
            <v>ZP2500</v>
          </cell>
          <cell r="H281">
            <v>5</v>
          </cell>
          <cell r="I281">
            <v>3</v>
          </cell>
          <cell r="J281" t="str">
            <v>평창축협</v>
          </cell>
          <cell r="K281">
            <v>28</v>
          </cell>
          <cell r="L281">
            <v>32</v>
          </cell>
          <cell r="M281">
            <v>146.5</v>
          </cell>
          <cell r="N281">
            <v>150.5</v>
          </cell>
          <cell r="O281">
            <v>3260</v>
          </cell>
          <cell r="P281">
            <v>1360</v>
          </cell>
          <cell r="Q281">
            <v>250</v>
          </cell>
          <cell r="R281" t="str">
            <v>주황</v>
          </cell>
          <cell r="S281" t="str">
            <v>주황</v>
          </cell>
          <cell r="T281" t="str">
            <v>갈비박스4구</v>
          </cell>
          <cell r="U281">
            <v>41834</v>
          </cell>
          <cell r="V281" t="str">
            <v>금형제조부</v>
          </cell>
          <cell r="W281" t="str">
            <v>갈비4구T/B/M, 모델확인 철저</v>
          </cell>
          <cell r="AC281" t="str">
            <v>금형없음, 신4구선물셋트 동일금형,2016.08.18포장단위 변경(5-&gt;10),2017.08.22포장단위변경(10-&gt;5)</v>
          </cell>
          <cell r="AD281">
            <v>0.85</v>
          </cell>
          <cell r="AE281">
            <v>80</v>
          </cell>
          <cell r="AF281">
            <v>4</v>
          </cell>
        </row>
        <row r="282">
          <cell r="A282" t="str">
            <v>신4구선물셋트(64배)</v>
          </cell>
          <cell r="B282" t="str">
            <v>BOX</v>
          </cell>
          <cell r="C282">
            <v>2</v>
          </cell>
          <cell r="D282">
            <v>80</v>
          </cell>
          <cell r="E282">
            <v>254</v>
          </cell>
          <cell r="F282">
            <v>74</v>
          </cell>
          <cell r="G282" t="str">
            <v>SE2500M</v>
          </cell>
          <cell r="H282">
            <v>5</v>
          </cell>
          <cell r="I282">
            <v>3</v>
          </cell>
          <cell r="J282" t="str">
            <v>평창축협</v>
          </cell>
          <cell r="K282">
            <v>28</v>
          </cell>
          <cell r="L282">
            <v>32</v>
          </cell>
          <cell r="M282">
            <v>146.5</v>
          </cell>
          <cell r="N282">
            <v>150.5</v>
          </cell>
          <cell r="O282">
            <v>10</v>
          </cell>
          <cell r="P282">
            <v>1360</v>
          </cell>
          <cell r="Q282">
            <v>250</v>
          </cell>
          <cell r="R282" t="str">
            <v>빨강</v>
          </cell>
          <cell r="S282" t="str">
            <v>빨강</v>
          </cell>
          <cell r="T282" t="str">
            <v>갈비박스4구</v>
          </cell>
          <cell r="U282">
            <v>41834</v>
          </cell>
          <cell r="V282" t="str">
            <v>금형제조부</v>
          </cell>
          <cell r="W282" t="str">
            <v>갈비4구T/B/M, 모델확인 철저</v>
          </cell>
          <cell r="X282" t="str">
            <v>P-0101</v>
          </cell>
          <cell r="AC282" t="str">
            <v>조우리사원, 2014.07.14코팅완료,2015.01.07 승인중량(405)</v>
          </cell>
          <cell r="AD282">
            <v>0.85</v>
          </cell>
          <cell r="AE282">
            <v>100</v>
          </cell>
          <cell r="AF282">
            <v>2</v>
          </cell>
        </row>
        <row r="283">
          <cell r="A283" t="str">
            <v>신4구선물셋트</v>
          </cell>
          <cell r="B283" t="str">
            <v>BOX</v>
          </cell>
          <cell r="C283">
            <v>2</v>
          </cell>
          <cell r="D283">
            <v>70</v>
          </cell>
          <cell r="E283">
            <v>405</v>
          </cell>
          <cell r="F283">
            <v>58</v>
          </cell>
          <cell r="G283" t="str">
            <v>B240NS</v>
          </cell>
          <cell r="H283">
            <v>5</v>
          </cell>
          <cell r="I283">
            <v>3</v>
          </cell>
          <cell r="J283" t="str">
            <v>평창축협</v>
          </cell>
          <cell r="K283">
            <v>28</v>
          </cell>
          <cell r="L283">
            <v>32</v>
          </cell>
          <cell r="M283">
            <v>146.5</v>
          </cell>
          <cell r="N283">
            <v>150.5</v>
          </cell>
          <cell r="O283">
            <v>10</v>
          </cell>
          <cell r="P283">
            <v>1360</v>
          </cell>
          <cell r="Q283">
            <v>250</v>
          </cell>
          <cell r="R283" t="str">
            <v>주황</v>
          </cell>
          <cell r="S283" t="str">
            <v>주황</v>
          </cell>
          <cell r="T283" t="str">
            <v>갈비박스4구</v>
          </cell>
          <cell r="U283">
            <v>41834</v>
          </cell>
          <cell r="V283" t="str">
            <v>금형제조부</v>
          </cell>
          <cell r="W283" t="str">
            <v>갈비4구T/B/M, 모델확인 철저</v>
          </cell>
          <cell r="X283" t="str">
            <v>P-0101</v>
          </cell>
          <cell r="AC283" t="str">
            <v>조우리사원, 2014.07.14코팅완료,2015.01.07 승인중량(405)</v>
          </cell>
          <cell r="AD283">
            <v>0.85</v>
          </cell>
          <cell r="AE283">
            <v>80</v>
          </cell>
          <cell r="AF283">
            <v>8</v>
          </cell>
        </row>
        <row r="284">
          <cell r="A284" t="str">
            <v>신4구-2(회색)</v>
          </cell>
          <cell r="B284" t="str">
            <v>회색</v>
          </cell>
          <cell r="C284">
            <v>2</v>
          </cell>
          <cell r="D284">
            <v>100</v>
          </cell>
          <cell r="E284">
            <v>437</v>
          </cell>
          <cell r="F284">
            <v>50</v>
          </cell>
          <cell r="G284" t="str">
            <v>ZP2500</v>
          </cell>
          <cell r="H284">
            <v>5</v>
          </cell>
          <cell r="I284">
            <v>3</v>
          </cell>
          <cell r="J284" t="str">
            <v>평창축협</v>
          </cell>
          <cell r="K284">
            <v>28</v>
          </cell>
          <cell r="L284">
            <v>32</v>
          </cell>
          <cell r="M284">
            <v>146.5</v>
          </cell>
          <cell r="N284">
            <v>150.5</v>
          </cell>
          <cell r="P284">
            <v>1360</v>
          </cell>
          <cell r="Q284">
            <v>250</v>
          </cell>
          <cell r="R284" t="str">
            <v>빨강</v>
          </cell>
          <cell r="U284">
            <v>44027</v>
          </cell>
          <cell r="V284" t="str">
            <v>금형제조부</v>
          </cell>
          <cell r="W284" t="str">
            <v>신갈비4구박스</v>
          </cell>
          <cell r="Y284">
            <v>40</v>
          </cell>
          <cell r="Z284">
            <v>17506</v>
          </cell>
          <cell r="AC284" t="str">
            <v>석상준과장</v>
          </cell>
          <cell r="AD284">
            <v>0.85</v>
          </cell>
          <cell r="AF284">
            <v>6</v>
          </cell>
        </row>
        <row r="285">
          <cell r="A285" t="str">
            <v>신4구-2</v>
          </cell>
          <cell r="B285" t="str">
            <v>BOX</v>
          </cell>
          <cell r="C285">
            <v>2</v>
          </cell>
          <cell r="D285">
            <v>100</v>
          </cell>
          <cell r="E285">
            <v>437</v>
          </cell>
          <cell r="F285">
            <v>50</v>
          </cell>
          <cell r="G285" t="str">
            <v>B240NS</v>
          </cell>
          <cell r="H285">
            <v>5</v>
          </cell>
          <cell r="I285">
            <v>3</v>
          </cell>
          <cell r="J285" t="str">
            <v>평창축협</v>
          </cell>
          <cell r="K285">
            <v>28</v>
          </cell>
          <cell r="L285">
            <v>32</v>
          </cell>
          <cell r="M285">
            <v>146.5</v>
          </cell>
          <cell r="N285">
            <v>150.5</v>
          </cell>
          <cell r="P285">
            <v>1360</v>
          </cell>
          <cell r="Q285">
            <v>250</v>
          </cell>
          <cell r="R285" t="str">
            <v>빨강</v>
          </cell>
          <cell r="U285">
            <v>44027</v>
          </cell>
          <cell r="V285" t="str">
            <v>금형제조부</v>
          </cell>
          <cell r="W285" t="str">
            <v>신갈비4구박스</v>
          </cell>
          <cell r="Y285">
            <v>40</v>
          </cell>
          <cell r="Z285">
            <v>17506</v>
          </cell>
          <cell r="AC285" t="str">
            <v>석상준과장</v>
          </cell>
          <cell r="AD285">
            <v>0.85</v>
          </cell>
          <cell r="AF285">
            <v>2</v>
          </cell>
        </row>
        <row r="286">
          <cell r="A286" t="str">
            <v>신3구선물셋트(회색)</v>
          </cell>
          <cell r="B286" t="str">
            <v>회색</v>
          </cell>
          <cell r="C286">
            <v>2</v>
          </cell>
          <cell r="D286">
            <v>85</v>
          </cell>
          <cell r="E286">
            <v>320</v>
          </cell>
          <cell r="F286">
            <v>48</v>
          </cell>
          <cell r="G286" t="str">
            <v>ZP2500</v>
          </cell>
          <cell r="H286">
            <v>10</v>
          </cell>
          <cell r="I286">
            <v>2</v>
          </cell>
          <cell r="J286" t="str">
            <v>평창축협</v>
          </cell>
          <cell r="K286">
            <v>28</v>
          </cell>
          <cell r="L286">
            <v>32</v>
          </cell>
          <cell r="M286">
            <v>136.5</v>
          </cell>
          <cell r="N286">
            <v>140.5</v>
          </cell>
          <cell r="O286">
            <v>2560</v>
          </cell>
          <cell r="P286">
            <v>1360</v>
          </cell>
          <cell r="Q286">
            <v>250</v>
          </cell>
          <cell r="R286" t="str">
            <v>파랑</v>
          </cell>
          <cell r="S286" t="str">
            <v>파랑</v>
          </cell>
          <cell r="T286" t="str">
            <v>갈비박스3구</v>
          </cell>
          <cell r="U286">
            <v>41830</v>
          </cell>
          <cell r="V286" t="str">
            <v>금형제조부</v>
          </cell>
          <cell r="W286" t="str">
            <v>갈비3구T/B/M, 모델확인 철저</v>
          </cell>
          <cell r="Y286">
            <v>40</v>
          </cell>
          <cell r="AC286" t="str">
            <v>금형없음, 신3구선물셋트 동일금형</v>
          </cell>
          <cell r="AD286">
            <v>0.85</v>
          </cell>
          <cell r="AE286">
            <v>80</v>
          </cell>
          <cell r="AF286">
            <v>6</v>
          </cell>
        </row>
        <row r="287">
          <cell r="A287" t="str">
            <v>신3구선물셋트(64배)</v>
          </cell>
          <cell r="B287" t="str">
            <v>BOX</v>
          </cell>
          <cell r="C287">
            <v>2</v>
          </cell>
          <cell r="D287">
            <v>100</v>
          </cell>
          <cell r="E287">
            <v>200</v>
          </cell>
          <cell r="F287">
            <v>74</v>
          </cell>
          <cell r="G287" t="str">
            <v>SE2500M</v>
          </cell>
          <cell r="H287">
            <v>10</v>
          </cell>
          <cell r="I287">
            <v>3</v>
          </cell>
          <cell r="J287" t="str">
            <v>평창축협</v>
          </cell>
          <cell r="K287">
            <v>28</v>
          </cell>
          <cell r="L287">
            <v>32</v>
          </cell>
          <cell r="M287">
            <v>136.5</v>
          </cell>
          <cell r="N287">
            <v>140.5</v>
          </cell>
          <cell r="P287">
            <v>1360</v>
          </cell>
          <cell r="Q287">
            <v>250</v>
          </cell>
          <cell r="R287" t="str">
            <v>노랑</v>
          </cell>
          <cell r="T287" t="str">
            <v>갈비박스3구</v>
          </cell>
          <cell r="U287">
            <v>41830</v>
          </cell>
          <cell r="V287" t="str">
            <v>금형제조부</v>
          </cell>
          <cell r="W287" t="str">
            <v>갈비3구T/B/M, 모델확인 철저</v>
          </cell>
          <cell r="Y287">
            <v>64</v>
          </cell>
          <cell r="Z287">
            <v>12814</v>
          </cell>
          <cell r="AC287" t="str">
            <v>김영석사원</v>
          </cell>
        </row>
        <row r="288">
          <cell r="A288" t="str">
            <v>신3구선물셋트</v>
          </cell>
          <cell r="B288" t="str">
            <v>BOX</v>
          </cell>
          <cell r="C288">
            <v>2</v>
          </cell>
          <cell r="D288">
            <v>70</v>
          </cell>
          <cell r="E288">
            <v>320</v>
          </cell>
          <cell r="F288">
            <v>58</v>
          </cell>
          <cell r="G288" t="str">
            <v>B240NS</v>
          </cell>
          <cell r="H288">
            <v>10</v>
          </cell>
          <cell r="I288">
            <v>3</v>
          </cell>
          <cell r="J288" t="str">
            <v>평창축협</v>
          </cell>
          <cell r="K288">
            <v>28</v>
          </cell>
          <cell r="L288">
            <v>32</v>
          </cell>
          <cell r="M288">
            <v>136.5</v>
          </cell>
          <cell r="N288">
            <v>140.5</v>
          </cell>
          <cell r="O288">
            <v>10</v>
          </cell>
          <cell r="P288">
            <v>1360</v>
          </cell>
          <cell r="Q288">
            <v>250</v>
          </cell>
          <cell r="R288" t="str">
            <v>파랑</v>
          </cell>
          <cell r="S288" t="str">
            <v>파랑</v>
          </cell>
          <cell r="T288" t="str">
            <v>갈비박스3구</v>
          </cell>
          <cell r="U288">
            <v>41830</v>
          </cell>
          <cell r="V288" t="str">
            <v>금형제조부</v>
          </cell>
          <cell r="W288" t="str">
            <v>갈비3구T/B/M, 모델확인 철저</v>
          </cell>
          <cell r="X288" t="str">
            <v>P-0101</v>
          </cell>
          <cell r="AC288" t="str">
            <v>석상준대리, 2014.07.10코팅완료,2015.01.07 승인중량(320)</v>
          </cell>
          <cell r="AD288">
            <v>0.85</v>
          </cell>
          <cell r="AE288">
            <v>65</v>
          </cell>
        </row>
        <row r="289">
          <cell r="A289" t="str">
            <v>신3구-2(회색)</v>
          </cell>
          <cell r="B289" t="str">
            <v>회색</v>
          </cell>
          <cell r="C289">
            <v>2</v>
          </cell>
          <cell r="D289">
            <v>100</v>
          </cell>
          <cell r="E289">
            <v>423</v>
          </cell>
          <cell r="F289">
            <v>50</v>
          </cell>
          <cell r="G289" t="str">
            <v>ZP2500</v>
          </cell>
          <cell r="H289">
            <v>5</v>
          </cell>
          <cell r="I289">
            <v>3</v>
          </cell>
          <cell r="J289" t="str">
            <v>평창축협</v>
          </cell>
          <cell r="K289">
            <v>28</v>
          </cell>
          <cell r="L289">
            <v>32</v>
          </cell>
          <cell r="M289">
            <v>146.5</v>
          </cell>
          <cell r="N289">
            <v>150.5</v>
          </cell>
          <cell r="P289">
            <v>1360</v>
          </cell>
          <cell r="Q289">
            <v>250</v>
          </cell>
          <cell r="R289" t="str">
            <v>녹색</v>
          </cell>
          <cell r="U289">
            <v>44027</v>
          </cell>
          <cell r="V289" t="str">
            <v>금형제조부</v>
          </cell>
          <cell r="W289" t="str">
            <v>신갈비4구박스</v>
          </cell>
          <cell r="Y289">
            <v>40</v>
          </cell>
          <cell r="Z289">
            <v>17506</v>
          </cell>
          <cell r="AC289" t="str">
            <v>석상준과장</v>
          </cell>
          <cell r="AD289">
            <v>0.85</v>
          </cell>
          <cell r="AF289">
            <v>8</v>
          </cell>
        </row>
        <row r="290">
          <cell r="A290" t="str">
            <v>신3구-2(50배)</v>
          </cell>
          <cell r="B290" t="str">
            <v>BOX</v>
          </cell>
          <cell r="C290">
            <v>2</v>
          </cell>
          <cell r="D290">
            <v>100</v>
          </cell>
          <cell r="E290">
            <v>338</v>
          </cell>
          <cell r="F290">
            <v>60</v>
          </cell>
          <cell r="G290" t="str">
            <v>B240NS</v>
          </cell>
          <cell r="H290">
            <v>10</v>
          </cell>
          <cell r="I290">
            <v>3</v>
          </cell>
          <cell r="J290" t="str">
            <v>평창축협</v>
          </cell>
          <cell r="K290">
            <v>28</v>
          </cell>
          <cell r="L290">
            <v>32</v>
          </cell>
          <cell r="M290">
            <v>146.5</v>
          </cell>
          <cell r="N290">
            <v>150.5</v>
          </cell>
          <cell r="P290">
            <v>1360</v>
          </cell>
          <cell r="Q290">
            <v>250</v>
          </cell>
          <cell r="R290" t="str">
            <v>보라</v>
          </cell>
          <cell r="U290">
            <v>44027</v>
          </cell>
          <cell r="V290" t="str">
            <v>금형제조부</v>
          </cell>
          <cell r="W290" t="str">
            <v>신갈비3구박스</v>
          </cell>
          <cell r="Y290">
            <v>40</v>
          </cell>
          <cell r="Z290">
            <v>16922</v>
          </cell>
          <cell r="AC290" t="str">
            <v>석상준과장</v>
          </cell>
          <cell r="AD290">
            <v>0.85</v>
          </cell>
          <cell r="AF290">
            <v>12</v>
          </cell>
        </row>
        <row r="291">
          <cell r="A291" t="str">
            <v>신3구-2</v>
          </cell>
          <cell r="B291" t="str">
            <v>BOX</v>
          </cell>
          <cell r="C291">
            <v>2</v>
          </cell>
          <cell r="D291">
            <v>100</v>
          </cell>
          <cell r="E291">
            <v>423</v>
          </cell>
          <cell r="F291">
            <v>50</v>
          </cell>
          <cell r="G291" t="str">
            <v>B240NS</v>
          </cell>
          <cell r="H291">
            <v>10</v>
          </cell>
          <cell r="I291">
            <v>3</v>
          </cell>
          <cell r="J291" t="str">
            <v>평창축협</v>
          </cell>
          <cell r="K291">
            <v>28</v>
          </cell>
          <cell r="L291">
            <v>32</v>
          </cell>
          <cell r="M291">
            <v>146.5</v>
          </cell>
          <cell r="N291">
            <v>150.5</v>
          </cell>
          <cell r="P291">
            <v>1360</v>
          </cell>
          <cell r="Q291">
            <v>250</v>
          </cell>
          <cell r="R291" t="str">
            <v>녹색</v>
          </cell>
          <cell r="U291">
            <v>44027</v>
          </cell>
          <cell r="V291" t="str">
            <v>금형제조부</v>
          </cell>
          <cell r="W291" t="str">
            <v>신갈비3구박스</v>
          </cell>
          <cell r="Y291">
            <v>40</v>
          </cell>
          <cell r="Z291">
            <v>16922</v>
          </cell>
          <cell r="AC291" t="str">
            <v>석상준과장</v>
          </cell>
          <cell r="AD291">
            <v>0.85</v>
          </cell>
          <cell r="AF291">
            <v>6</v>
          </cell>
        </row>
        <row r="292">
          <cell r="A292" t="str">
            <v>신1구(60배)</v>
          </cell>
          <cell r="B292" t="str">
            <v>BOX</v>
          </cell>
          <cell r="C292">
            <v>4</v>
          </cell>
          <cell r="D292">
            <v>100</v>
          </cell>
          <cell r="E292">
            <v>80</v>
          </cell>
          <cell r="F292">
            <v>70</v>
          </cell>
          <cell r="G292" t="str">
            <v>B240NS</v>
          </cell>
          <cell r="H292">
            <v>20</v>
          </cell>
          <cell r="I292">
            <v>3</v>
          </cell>
          <cell r="J292" t="str">
            <v>한국TPS</v>
          </cell>
          <cell r="P292">
            <v>1300</v>
          </cell>
          <cell r="Q292">
            <v>200</v>
          </cell>
          <cell r="R292" t="str">
            <v>보라</v>
          </cell>
          <cell r="S292" t="str">
            <v>보라</v>
          </cell>
          <cell r="AC292" t="str">
            <v>석상준과장 금형없음 신1구 동일금형</v>
          </cell>
          <cell r="AD292">
            <v>0.85</v>
          </cell>
          <cell r="AF292">
            <v>8</v>
          </cell>
        </row>
        <row r="293">
          <cell r="A293" t="str">
            <v>신1구</v>
          </cell>
          <cell r="B293" t="str">
            <v>BOX</v>
          </cell>
          <cell r="C293">
            <v>4</v>
          </cell>
          <cell r="D293">
            <v>100</v>
          </cell>
          <cell r="E293">
            <v>141</v>
          </cell>
          <cell r="F293">
            <v>36</v>
          </cell>
          <cell r="G293" t="str">
            <v>B240NS</v>
          </cell>
          <cell r="H293">
            <v>20</v>
          </cell>
          <cell r="I293">
            <v>3</v>
          </cell>
          <cell r="J293" t="str">
            <v>한국TPS</v>
          </cell>
          <cell r="O293">
            <v>705</v>
          </cell>
          <cell r="P293">
            <v>1300</v>
          </cell>
          <cell r="Q293">
            <v>200</v>
          </cell>
          <cell r="R293" t="str">
            <v>검정</v>
          </cell>
          <cell r="S293" t="str">
            <v>검정</v>
          </cell>
          <cell r="U293">
            <v>43082</v>
          </cell>
          <cell r="V293" t="str">
            <v>한국TPS이동</v>
          </cell>
          <cell r="AC293" t="str">
            <v>최재학계장,2017.12.27기준중량변경(130-&gt;141)</v>
          </cell>
          <cell r="AD293">
            <v>0.85</v>
          </cell>
          <cell r="AE293">
            <v>70</v>
          </cell>
          <cell r="AF293">
            <v>8</v>
          </cell>
        </row>
        <row r="294">
          <cell r="A294" t="str">
            <v>식기세척기-R</v>
          </cell>
          <cell r="B294" t="str">
            <v>SET</v>
          </cell>
          <cell r="C294">
            <v>1</v>
          </cell>
          <cell r="D294">
            <v>85</v>
          </cell>
          <cell r="E294">
            <v>270</v>
          </cell>
          <cell r="F294">
            <v>70</v>
          </cell>
          <cell r="G294" t="str">
            <v>B240NS</v>
          </cell>
          <cell r="H294">
            <v>10</v>
          </cell>
          <cell r="I294">
            <v>1</v>
          </cell>
          <cell r="J294" t="str">
            <v>SK매직</v>
          </cell>
          <cell r="K294">
            <v>80</v>
          </cell>
          <cell r="L294">
            <v>82</v>
          </cell>
          <cell r="O294">
            <v>1303</v>
          </cell>
          <cell r="P294">
            <v>1300</v>
          </cell>
          <cell r="Q294">
            <v>150</v>
          </cell>
          <cell r="R294" t="str">
            <v>노랑</v>
          </cell>
          <cell r="S294" t="str">
            <v>노랑</v>
          </cell>
          <cell r="T294" t="str">
            <v>식기세척기 SIDE PAD-R</v>
          </cell>
          <cell r="U294">
            <v>40115</v>
          </cell>
          <cell r="V294" t="str">
            <v>삼일금형</v>
          </cell>
          <cell r="W294" t="str">
            <v>51224-87001</v>
          </cell>
          <cell r="X294" t="str">
            <v>계양리 J-2</v>
          </cell>
          <cell r="AC294" t="str">
            <v xml:space="preserve">2009.11.07수정, 2010.02.20수정, 2010.02.12승인완료, 2010.02.26수정 </v>
          </cell>
          <cell r="AD294">
            <v>0.85</v>
          </cell>
          <cell r="AE294">
            <v>85</v>
          </cell>
          <cell r="AF294">
            <v>1</v>
          </cell>
        </row>
        <row r="295">
          <cell r="A295" t="str">
            <v>식기세척기LOW#2</v>
          </cell>
          <cell r="B295" t="str">
            <v>SET</v>
          </cell>
          <cell r="C295">
            <v>1</v>
          </cell>
          <cell r="D295">
            <v>70</v>
          </cell>
          <cell r="E295">
            <v>210</v>
          </cell>
          <cell r="F295">
            <v>70</v>
          </cell>
          <cell r="G295" t="str">
            <v>B240NS</v>
          </cell>
          <cell r="H295">
            <v>10</v>
          </cell>
          <cell r="I295">
            <v>1</v>
          </cell>
          <cell r="J295" t="str">
            <v>SK매직</v>
          </cell>
          <cell r="K295">
            <v>92.5</v>
          </cell>
          <cell r="L295">
            <v>97</v>
          </cell>
          <cell r="O295">
            <v>1048</v>
          </cell>
          <cell r="P295">
            <v>1300</v>
          </cell>
          <cell r="Q295">
            <v>200</v>
          </cell>
          <cell r="R295" t="str">
            <v>파랑</v>
          </cell>
          <cell r="S295" t="str">
            <v>파랑</v>
          </cell>
          <cell r="T295" t="str">
            <v>식기세척기 PAD LOWER</v>
          </cell>
          <cell r="U295">
            <v>40424</v>
          </cell>
          <cell r="V295" t="str">
            <v>금형제조부</v>
          </cell>
          <cell r="W295" t="str">
            <v>51224-88000</v>
          </cell>
          <cell r="X295" t="str">
            <v>계양리 H-3</v>
          </cell>
          <cell r="AC295" t="str">
            <v>2010.09.14수정, 2012.01.15기준중량변경(220-&gt;210)</v>
          </cell>
          <cell r="AD295">
            <v>0.85</v>
          </cell>
          <cell r="AE295">
            <v>70</v>
          </cell>
          <cell r="AF295">
            <v>10</v>
          </cell>
        </row>
        <row r="296">
          <cell r="A296" t="str">
            <v>식기세척기-L</v>
          </cell>
          <cell r="B296" t="str">
            <v>SET</v>
          </cell>
          <cell r="C296">
            <v>1</v>
          </cell>
          <cell r="D296">
            <v>80</v>
          </cell>
          <cell r="E296">
            <v>270</v>
          </cell>
          <cell r="F296">
            <v>70</v>
          </cell>
          <cell r="G296" t="str">
            <v>B240NS</v>
          </cell>
          <cell r="H296">
            <v>10</v>
          </cell>
          <cell r="I296">
            <v>1</v>
          </cell>
          <cell r="J296" t="str">
            <v>SK매직</v>
          </cell>
          <cell r="K296">
            <v>80</v>
          </cell>
          <cell r="L296">
            <v>82</v>
          </cell>
          <cell r="O296">
            <v>1303</v>
          </cell>
          <cell r="P296">
            <v>1300</v>
          </cell>
          <cell r="Q296">
            <v>150</v>
          </cell>
          <cell r="R296" t="str">
            <v>파랑</v>
          </cell>
          <cell r="S296" t="str">
            <v>파랑</v>
          </cell>
          <cell r="T296" t="str">
            <v>식기세척기 SIDE PAD-L</v>
          </cell>
          <cell r="U296">
            <v>40114</v>
          </cell>
          <cell r="V296" t="str">
            <v>삼일금형</v>
          </cell>
          <cell r="W296" t="str">
            <v>51224-86001</v>
          </cell>
          <cell r="X296" t="str">
            <v>계양리 L-2</v>
          </cell>
          <cell r="AC296" t="str">
            <v xml:space="preserve">2009.11.06수정, 2010.02.20수정, 2010.02.12승인완료, 2010.02.26수정 </v>
          </cell>
          <cell r="AD296">
            <v>0.85</v>
          </cell>
          <cell r="AE296">
            <v>80</v>
          </cell>
          <cell r="AF296">
            <v>1</v>
          </cell>
        </row>
        <row r="297">
          <cell r="A297" t="str">
            <v>식기세척기-F</v>
          </cell>
          <cell r="B297" t="str">
            <v>SET</v>
          </cell>
          <cell r="C297">
            <v>1</v>
          </cell>
          <cell r="D297">
            <v>110</v>
          </cell>
          <cell r="E297">
            <v>210</v>
          </cell>
          <cell r="F297">
            <v>70</v>
          </cell>
          <cell r="G297" t="str">
            <v>B240NS</v>
          </cell>
          <cell r="H297">
            <v>14</v>
          </cell>
          <cell r="I297">
            <v>1</v>
          </cell>
          <cell r="J297" t="str">
            <v>SK매직</v>
          </cell>
          <cell r="K297">
            <v>39</v>
          </cell>
          <cell r="L297">
            <v>41</v>
          </cell>
          <cell r="O297">
            <v>1048</v>
          </cell>
          <cell r="P297">
            <v>1300</v>
          </cell>
          <cell r="Q297">
            <v>150</v>
          </cell>
          <cell r="R297" t="str">
            <v>파랑</v>
          </cell>
          <cell r="S297" t="str">
            <v>파랑</v>
          </cell>
          <cell r="T297" t="str">
            <v>DWAS400</v>
          </cell>
          <cell r="U297">
            <v>40231</v>
          </cell>
          <cell r="V297" t="str">
            <v>삼일금형</v>
          </cell>
          <cell r="AC297" t="str">
            <v>2010.06.18승인완료, 2012.01.15기준중량변경(200-&gt;210)</v>
          </cell>
          <cell r="AD297">
            <v>0.85</v>
          </cell>
          <cell r="AE297">
            <v>110</v>
          </cell>
          <cell r="AF297">
            <v>4</v>
          </cell>
        </row>
        <row r="298">
          <cell r="A298" t="str">
            <v>시계박스-소</v>
          </cell>
          <cell r="B298" t="str">
            <v>저발</v>
          </cell>
          <cell r="C298">
            <v>6</v>
          </cell>
          <cell r="D298">
            <v>70</v>
          </cell>
          <cell r="E298">
            <v>40</v>
          </cell>
          <cell r="F298">
            <v>65</v>
          </cell>
          <cell r="G298" t="str">
            <v>B240NS</v>
          </cell>
          <cell r="H298">
            <v>40</v>
          </cell>
          <cell r="I298">
            <v>1</v>
          </cell>
          <cell r="J298" t="str">
            <v>파슬코리아</v>
          </cell>
          <cell r="K298">
            <v>65.5</v>
          </cell>
          <cell r="L298">
            <v>69.5</v>
          </cell>
          <cell r="O298">
            <v>360</v>
          </cell>
          <cell r="P298">
            <v>500</v>
          </cell>
          <cell r="R298" t="str">
            <v>비닐</v>
          </cell>
          <cell r="S298" t="str">
            <v>비닐</v>
          </cell>
          <cell r="T298" t="str">
            <v>포실코리아 시계박스-소</v>
          </cell>
          <cell r="U298">
            <v>39539</v>
          </cell>
          <cell r="V298" t="str">
            <v>삼일금형</v>
          </cell>
          <cell r="X298" t="str">
            <v>F-0110</v>
          </cell>
          <cell r="AD298">
            <v>0.85</v>
          </cell>
          <cell r="AE298">
            <v>70</v>
          </cell>
          <cell r="AF298">
            <v>4</v>
          </cell>
        </row>
        <row r="299">
          <cell r="A299" t="str">
            <v>시계박스-대(회색)</v>
          </cell>
          <cell r="B299" t="str">
            <v>저발</v>
          </cell>
          <cell r="C299">
            <v>2</v>
          </cell>
          <cell r="D299">
            <v>85</v>
          </cell>
          <cell r="E299">
            <v>50</v>
          </cell>
          <cell r="F299">
            <v>65</v>
          </cell>
          <cell r="G299" t="str">
            <v>ZP2500</v>
          </cell>
          <cell r="H299">
            <v>40</v>
          </cell>
          <cell r="I299">
            <v>1</v>
          </cell>
          <cell r="J299" t="str">
            <v>파슬코리아</v>
          </cell>
          <cell r="K299">
            <v>27</v>
          </cell>
          <cell r="L299">
            <v>31</v>
          </cell>
          <cell r="O299">
            <v>750</v>
          </cell>
          <cell r="P299">
            <v>500</v>
          </cell>
          <cell r="R299" t="str">
            <v>빨강</v>
          </cell>
          <cell r="S299" t="str">
            <v>빨강</v>
          </cell>
          <cell r="T299" t="str">
            <v>포실코리아 시계박스-대</v>
          </cell>
          <cell r="U299">
            <v>39539</v>
          </cell>
          <cell r="V299" t="str">
            <v>삼일금형</v>
          </cell>
          <cell r="W299" t="str">
            <v>융착철저</v>
          </cell>
          <cell r="AC299" t="str">
            <v>금형없음(시계박스-대동일)</v>
          </cell>
          <cell r="AD299">
            <v>0.85</v>
          </cell>
          <cell r="AE299">
            <v>80</v>
          </cell>
          <cell r="AF299">
            <v>2</v>
          </cell>
        </row>
        <row r="300">
          <cell r="A300" t="str">
            <v>시계박스-대</v>
          </cell>
          <cell r="B300" t="str">
            <v>저발</v>
          </cell>
          <cell r="C300">
            <v>2</v>
          </cell>
          <cell r="D300">
            <v>87</v>
          </cell>
          <cell r="E300">
            <v>50</v>
          </cell>
          <cell r="F300">
            <v>65</v>
          </cell>
          <cell r="G300" t="str">
            <v>B240NS</v>
          </cell>
          <cell r="H300">
            <v>40</v>
          </cell>
          <cell r="I300">
            <v>1</v>
          </cell>
          <cell r="J300" t="str">
            <v>파슬코리아</v>
          </cell>
          <cell r="K300">
            <v>27</v>
          </cell>
          <cell r="L300">
            <v>31</v>
          </cell>
          <cell r="O300">
            <v>700</v>
          </cell>
          <cell r="P300">
            <v>700</v>
          </cell>
          <cell r="R300" t="str">
            <v>비닐</v>
          </cell>
          <cell r="S300" t="str">
            <v>비닐</v>
          </cell>
          <cell r="T300" t="str">
            <v>포실코리아 시계박스-대</v>
          </cell>
          <cell r="U300">
            <v>39539</v>
          </cell>
          <cell r="V300" t="str">
            <v>삼일금형</v>
          </cell>
          <cell r="W300" t="str">
            <v>수냉 최소, 건조 철저 확인!, 2번 건조.</v>
          </cell>
          <cell r="X300" t="str">
            <v>F-0205</v>
          </cell>
          <cell r="AC300" t="str">
            <v>2017.06.15기종변경(500GF-&gt;700VS)</v>
          </cell>
          <cell r="AD300">
            <v>0.85</v>
          </cell>
          <cell r="AE300">
            <v>90</v>
          </cell>
          <cell r="AF300">
            <v>8</v>
          </cell>
        </row>
        <row r="301">
          <cell r="A301" t="str">
            <v>시계박스NEW특대(회색)</v>
          </cell>
          <cell r="B301" t="str">
            <v>회색</v>
          </cell>
          <cell r="C301">
            <v>8</v>
          </cell>
          <cell r="D301">
            <v>90</v>
          </cell>
          <cell r="E301">
            <v>70</v>
          </cell>
          <cell r="F301">
            <v>65</v>
          </cell>
          <cell r="G301" t="str">
            <v>ZP2500</v>
          </cell>
          <cell r="H301">
            <v>30</v>
          </cell>
          <cell r="I301">
            <v>1</v>
          </cell>
          <cell r="J301" t="str">
            <v>파슬코리아</v>
          </cell>
          <cell r="K301">
            <v>66</v>
          </cell>
          <cell r="L301">
            <v>70</v>
          </cell>
          <cell r="O301">
            <v>670</v>
          </cell>
          <cell r="P301">
            <v>1360</v>
          </cell>
          <cell r="Q301">
            <v>150</v>
          </cell>
          <cell r="R301" t="str">
            <v>보라</v>
          </cell>
          <cell r="S301" t="str">
            <v>보라</v>
          </cell>
          <cell r="T301" t="str">
            <v>포실코리아 시계박스-특대</v>
          </cell>
          <cell r="U301">
            <v>40826</v>
          </cell>
          <cell r="V301" t="str">
            <v>금형제조부</v>
          </cell>
          <cell r="W301" t="str">
            <v>융착철저</v>
          </cell>
          <cell r="AC301" t="str">
            <v>금형없음(시계박스NEW특대동일)</v>
          </cell>
          <cell r="AD301">
            <v>0.85</v>
          </cell>
          <cell r="AE301">
            <v>120</v>
          </cell>
          <cell r="AF301">
            <v>8</v>
          </cell>
        </row>
        <row r="302">
          <cell r="A302" t="str">
            <v>시계박스NEW특대</v>
          </cell>
          <cell r="B302" t="str">
            <v>SET</v>
          </cell>
          <cell r="C302">
            <v>8</v>
          </cell>
          <cell r="D302">
            <v>75</v>
          </cell>
          <cell r="E302">
            <v>70</v>
          </cell>
          <cell r="F302">
            <v>65</v>
          </cell>
          <cell r="G302" t="str">
            <v>B240NS</v>
          </cell>
          <cell r="H302">
            <v>30</v>
          </cell>
          <cell r="I302">
            <v>1</v>
          </cell>
          <cell r="J302" t="str">
            <v>파슬코리아</v>
          </cell>
          <cell r="K302">
            <v>66</v>
          </cell>
          <cell r="L302">
            <v>70</v>
          </cell>
          <cell r="O302">
            <v>470</v>
          </cell>
          <cell r="P302">
            <v>1360</v>
          </cell>
          <cell r="Q302">
            <v>150</v>
          </cell>
          <cell r="R302" t="str">
            <v>보라</v>
          </cell>
          <cell r="S302" t="str">
            <v>보라</v>
          </cell>
          <cell r="T302" t="str">
            <v>포실코리아 시계박스-특대</v>
          </cell>
          <cell r="U302">
            <v>40826</v>
          </cell>
          <cell r="V302" t="str">
            <v>금형제조부</v>
          </cell>
          <cell r="W302" t="str">
            <v>융착철저</v>
          </cell>
          <cell r="X302" t="str">
            <v>E-0205</v>
          </cell>
          <cell r="AC302" t="str">
            <v>2011.10.11수정</v>
          </cell>
          <cell r="AD302">
            <v>0.85</v>
          </cell>
          <cell r="AE302">
            <v>90</v>
          </cell>
          <cell r="AF302">
            <v>6</v>
          </cell>
        </row>
        <row r="303">
          <cell r="A303" t="str">
            <v>슬림바디연수기</v>
          </cell>
          <cell r="B303" t="str">
            <v>SET</v>
          </cell>
          <cell r="C303">
            <v>4</v>
          </cell>
          <cell r="D303">
            <v>100</v>
          </cell>
          <cell r="E303">
            <v>112</v>
          </cell>
          <cell r="F303">
            <v>70</v>
          </cell>
          <cell r="G303" t="str">
            <v>SG302</v>
          </cell>
          <cell r="H303">
            <v>10</v>
          </cell>
          <cell r="I303">
            <v>1</v>
          </cell>
          <cell r="J303" t="str">
            <v>코웨이</v>
          </cell>
          <cell r="K303">
            <v>125.5</v>
          </cell>
          <cell r="L303">
            <v>131.5</v>
          </cell>
          <cell r="P303">
            <v>1360</v>
          </cell>
          <cell r="Q303">
            <v>250</v>
          </cell>
          <cell r="R303" t="str">
            <v>빨강</v>
          </cell>
          <cell r="U303">
            <v>44545</v>
          </cell>
          <cell r="V303" t="str">
            <v>대부</v>
          </cell>
          <cell r="W303" t="str">
            <v>BB16-A(슬림바디기본형)</v>
          </cell>
          <cell r="Y303">
            <v>60</v>
          </cell>
          <cell r="AC303" t="str">
            <v>석상준과장, 2021.02.03 수정 및 기준중량변경(109-&gt;111.7), 2022.06.23 코팅</v>
          </cell>
          <cell r="AD303">
            <v>0.85</v>
          </cell>
          <cell r="AF303">
            <v>6</v>
          </cell>
        </row>
        <row r="304">
          <cell r="A304" t="str">
            <v>스크롤</v>
          </cell>
          <cell r="B304" t="str">
            <v>저발</v>
          </cell>
          <cell r="C304">
            <v>2</v>
          </cell>
          <cell r="D304">
            <v>100</v>
          </cell>
          <cell r="E304">
            <v>160</v>
          </cell>
          <cell r="F304">
            <v>36</v>
          </cell>
          <cell r="G304" t="str">
            <v>B240NS</v>
          </cell>
          <cell r="H304">
            <v>8</v>
          </cell>
          <cell r="I304">
            <v>2</v>
          </cell>
          <cell r="J304" t="str">
            <v>코모텍</v>
          </cell>
          <cell r="O304">
            <v>1600</v>
          </cell>
          <cell r="P304">
            <v>500</v>
          </cell>
          <cell r="R304" t="str">
            <v>보라</v>
          </cell>
          <cell r="U304">
            <v>44216</v>
          </cell>
          <cell r="V304" t="str">
            <v>청호수지</v>
          </cell>
          <cell r="Y304">
            <v>30</v>
          </cell>
          <cell r="AC304" t="str">
            <v>2021.04.16 기준중량변경(320-&gt;160)</v>
          </cell>
          <cell r="AD304">
            <v>0.85</v>
          </cell>
          <cell r="AF304">
            <v>4</v>
          </cell>
        </row>
        <row r="305">
          <cell r="A305" t="str">
            <v>스카이캠프(구형)</v>
          </cell>
          <cell r="B305" t="str">
            <v>SET</v>
          </cell>
          <cell r="C305">
            <v>1</v>
          </cell>
          <cell r="D305">
            <v>85</v>
          </cell>
          <cell r="E305">
            <v>1169</v>
          </cell>
          <cell r="F305">
            <v>74</v>
          </cell>
          <cell r="G305" t="str">
            <v>B240NS</v>
          </cell>
          <cell r="H305">
            <v>2</v>
          </cell>
          <cell r="I305">
            <v>6</v>
          </cell>
          <cell r="J305" t="str">
            <v>아이캠퍼</v>
          </cell>
          <cell r="P305">
            <v>1300</v>
          </cell>
          <cell r="Q305">
            <v>350</v>
          </cell>
          <cell r="R305" t="str">
            <v>빨강</v>
          </cell>
          <cell r="S305" t="str">
            <v>빨강</v>
          </cell>
          <cell r="T305" t="str">
            <v>크라킹 10mm 이상 생산, 기준 중량 설정</v>
          </cell>
          <cell r="U305">
            <v>43725</v>
          </cell>
          <cell r="V305" t="str">
            <v>보령금형</v>
          </cell>
          <cell r="Y305">
            <v>60</v>
          </cell>
          <cell r="AD305">
            <v>0.85</v>
          </cell>
          <cell r="AE305">
            <v>80</v>
          </cell>
          <cell r="AF305">
            <v>6</v>
          </cell>
        </row>
        <row r="306">
          <cell r="A306" t="str">
            <v>스마트쿠션-대</v>
          </cell>
          <cell r="B306" t="str">
            <v>저발</v>
          </cell>
          <cell r="C306">
            <v>1</v>
          </cell>
          <cell r="D306">
            <v>110</v>
          </cell>
          <cell r="E306">
            <v>224</v>
          </cell>
          <cell r="F306">
            <v>58</v>
          </cell>
          <cell r="G306" t="str">
            <v>B240NS</v>
          </cell>
          <cell r="H306">
            <v>1</v>
          </cell>
          <cell r="I306">
            <v>2</v>
          </cell>
          <cell r="J306" t="str">
            <v>스마트</v>
          </cell>
          <cell r="K306">
            <v>103</v>
          </cell>
          <cell r="L306">
            <v>107</v>
          </cell>
          <cell r="M306">
            <v>83</v>
          </cell>
          <cell r="N306">
            <v>87</v>
          </cell>
          <cell r="O306">
            <v>1200</v>
          </cell>
          <cell r="P306">
            <v>500</v>
          </cell>
          <cell r="S306">
            <v>0</v>
          </cell>
          <cell r="T306" t="str">
            <v>SMAT-CUSHION</v>
          </cell>
          <cell r="U306">
            <v>39164</v>
          </cell>
          <cell r="V306" t="str">
            <v>삼일금형</v>
          </cell>
          <cell r="AD306">
            <v>0.85</v>
          </cell>
          <cell r="AE306">
            <v>125</v>
          </cell>
          <cell r="AF306">
            <v>20</v>
          </cell>
        </row>
        <row r="307">
          <cell r="A307" t="str">
            <v>스마트싸이클-TOP</v>
          </cell>
          <cell r="B307" t="str">
            <v>SET</v>
          </cell>
          <cell r="C307">
            <v>1</v>
          </cell>
          <cell r="D307">
            <v>250</v>
          </cell>
          <cell r="E307">
            <v>1954</v>
          </cell>
          <cell r="F307">
            <v>70</v>
          </cell>
          <cell r="G307" t="str">
            <v>B240NS</v>
          </cell>
          <cell r="H307">
            <v>1</v>
          </cell>
          <cell r="I307">
            <v>1</v>
          </cell>
          <cell r="J307" t="str">
            <v>코웨이</v>
          </cell>
          <cell r="P307">
            <v>1500</v>
          </cell>
          <cell r="U307">
            <v>44774</v>
          </cell>
          <cell r="V307" t="str">
            <v>금형사업부</v>
          </cell>
          <cell r="AD307">
            <v>0.85</v>
          </cell>
        </row>
        <row r="308">
          <cell r="A308" t="str">
            <v>스마트싸이클-TOP</v>
          </cell>
          <cell r="B308" t="str">
            <v>SET</v>
          </cell>
          <cell r="C308">
            <v>1</v>
          </cell>
          <cell r="D308">
            <v>250</v>
          </cell>
          <cell r="E308">
            <v>1954</v>
          </cell>
          <cell r="F308">
            <v>70</v>
          </cell>
          <cell r="G308" t="str">
            <v>B240NS</v>
          </cell>
          <cell r="H308">
            <v>1</v>
          </cell>
          <cell r="I308">
            <v>1</v>
          </cell>
          <cell r="J308" t="str">
            <v>코웨이</v>
          </cell>
          <cell r="P308">
            <v>1500</v>
          </cell>
          <cell r="U308">
            <v>44774</v>
          </cell>
          <cell r="V308" t="str">
            <v>금형사업부</v>
          </cell>
          <cell r="AD308">
            <v>0.85</v>
          </cell>
        </row>
        <row r="309">
          <cell r="A309" t="str">
            <v>스마트싸이클-BOT</v>
          </cell>
          <cell r="B309" t="str">
            <v>SET</v>
          </cell>
          <cell r="C309">
            <v>1</v>
          </cell>
          <cell r="D309">
            <v>250</v>
          </cell>
          <cell r="E309">
            <v>1939</v>
          </cell>
          <cell r="F309">
            <v>70</v>
          </cell>
          <cell r="G309" t="str">
            <v>B240NS</v>
          </cell>
          <cell r="H309">
            <v>1</v>
          </cell>
          <cell r="I309">
            <v>1</v>
          </cell>
          <cell r="J309" t="str">
            <v>코웨이</v>
          </cell>
          <cell r="P309">
            <v>1500</v>
          </cell>
          <cell r="U309">
            <v>44774</v>
          </cell>
          <cell r="V309" t="str">
            <v>금형사업부</v>
          </cell>
          <cell r="AD309">
            <v>0.85</v>
          </cell>
        </row>
        <row r="310">
          <cell r="A310" t="str">
            <v>스마트싸이클-BOT</v>
          </cell>
          <cell r="B310" t="str">
            <v>SET</v>
          </cell>
          <cell r="C310">
            <v>1</v>
          </cell>
          <cell r="D310">
            <v>250</v>
          </cell>
          <cell r="E310">
            <v>1939</v>
          </cell>
          <cell r="F310">
            <v>70</v>
          </cell>
          <cell r="G310" t="str">
            <v>B240NS</v>
          </cell>
          <cell r="H310">
            <v>1</v>
          </cell>
          <cell r="I310">
            <v>1</v>
          </cell>
          <cell r="J310" t="str">
            <v>코웨이</v>
          </cell>
          <cell r="P310">
            <v>1500</v>
          </cell>
          <cell r="U310">
            <v>44774</v>
          </cell>
          <cell r="V310" t="str">
            <v>금형사업부</v>
          </cell>
          <cell r="AD310">
            <v>0.85</v>
          </cell>
        </row>
        <row r="311">
          <cell r="A311" t="str">
            <v>슈퍼리뉴얼-TANK</v>
          </cell>
          <cell r="B311" t="str">
            <v>SET</v>
          </cell>
          <cell r="C311">
            <v>4</v>
          </cell>
          <cell r="D311">
            <v>100</v>
          </cell>
          <cell r="E311">
            <v>398</v>
          </cell>
          <cell r="F311">
            <v>36</v>
          </cell>
          <cell r="G311" t="str">
            <v>B240NS</v>
          </cell>
          <cell r="H311">
            <v>2</v>
          </cell>
          <cell r="I311">
            <v>1</v>
          </cell>
          <cell r="J311" t="str">
            <v>청호나이스</v>
          </cell>
          <cell r="K311">
            <v>358</v>
          </cell>
          <cell r="L311">
            <v>362</v>
          </cell>
          <cell r="P311">
            <v>1360</v>
          </cell>
          <cell r="Q311">
            <v>450</v>
          </cell>
          <cell r="R311" t="str">
            <v>파란</v>
          </cell>
          <cell r="T311" t="str">
            <v>61-2277-0</v>
          </cell>
          <cell r="U311" t="str">
            <v>2022.11.22</v>
          </cell>
          <cell r="V311" t="str">
            <v>알루텍</v>
          </cell>
          <cell r="W311" t="str">
            <v>양면테이프 작업</v>
          </cell>
          <cell r="AC311" t="str">
            <v>김영석사원</v>
          </cell>
          <cell r="AD311">
            <v>0.85</v>
          </cell>
          <cell r="AF311">
            <v>6</v>
          </cell>
        </row>
        <row r="312">
          <cell r="A312" t="str">
            <v>슈퍼리뉴얼-TANK</v>
          </cell>
          <cell r="B312" t="str">
            <v>SET</v>
          </cell>
          <cell r="C312">
            <v>4</v>
          </cell>
          <cell r="D312">
            <v>100</v>
          </cell>
          <cell r="E312">
            <v>398</v>
          </cell>
          <cell r="F312">
            <v>36</v>
          </cell>
          <cell r="G312" t="str">
            <v>B240NS</v>
          </cell>
          <cell r="H312">
            <v>2</v>
          </cell>
          <cell r="I312">
            <v>1</v>
          </cell>
          <cell r="J312" t="str">
            <v>청호나이스</v>
          </cell>
          <cell r="K312">
            <v>358</v>
          </cell>
          <cell r="L312">
            <v>362</v>
          </cell>
          <cell r="P312">
            <v>1360</v>
          </cell>
          <cell r="Q312">
            <v>450</v>
          </cell>
          <cell r="R312" t="str">
            <v>파란</v>
          </cell>
          <cell r="U312" t="str">
            <v>2022.11.22</v>
          </cell>
          <cell r="V312" t="str">
            <v>알루텍</v>
          </cell>
          <cell r="W312" t="str">
            <v>양면테이프 작업</v>
          </cell>
          <cell r="AC312" t="str">
            <v>김영석사원</v>
          </cell>
          <cell r="AD312">
            <v>0.85</v>
          </cell>
        </row>
        <row r="313">
          <cell r="A313" t="str">
            <v>슈퍼리뉴얼</v>
          </cell>
          <cell r="B313" t="str">
            <v>저발</v>
          </cell>
          <cell r="C313">
            <v>2</v>
          </cell>
          <cell r="D313">
            <v>100</v>
          </cell>
          <cell r="E313">
            <v>32</v>
          </cell>
          <cell r="F313">
            <v>36</v>
          </cell>
          <cell r="G313" t="str">
            <v>B240NS</v>
          </cell>
          <cell r="H313">
            <v>40</v>
          </cell>
          <cell r="I313">
            <v>3</v>
          </cell>
          <cell r="J313" t="str">
            <v>청호나이스</v>
          </cell>
          <cell r="P313">
            <v>500</v>
          </cell>
          <cell r="Q313">
            <v>0</v>
          </cell>
          <cell r="R313" t="str">
            <v>BOX</v>
          </cell>
          <cell r="T313" t="str">
            <v>61-2280/61-2279/61-2278</v>
          </cell>
          <cell r="U313" t="str">
            <v>2022.11.22</v>
          </cell>
          <cell r="V313" t="str">
            <v>알루텍</v>
          </cell>
          <cell r="AC313" t="str">
            <v>김영석사원</v>
          </cell>
          <cell r="AD313">
            <v>0.85</v>
          </cell>
          <cell r="AF313">
            <v>6</v>
          </cell>
        </row>
        <row r="314">
          <cell r="A314" t="str">
            <v>슈퍼리뉴얼</v>
          </cell>
          <cell r="B314" t="str">
            <v>SET</v>
          </cell>
          <cell r="C314">
            <v>2</v>
          </cell>
          <cell r="D314">
            <v>100</v>
          </cell>
          <cell r="E314">
            <v>32</v>
          </cell>
          <cell r="F314">
            <v>36</v>
          </cell>
          <cell r="G314" t="str">
            <v>B240NS</v>
          </cell>
          <cell r="H314">
            <v>40</v>
          </cell>
          <cell r="I314">
            <v>3</v>
          </cell>
          <cell r="J314" t="str">
            <v>청호나이스</v>
          </cell>
          <cell r="P314">
            <v>500</v>
          </cell>
          <cell r="Q314">
            <v>0</v>
          </cell>
          <cell r="R314" t="str">
            <v>BOX</v>
          </cell>
          <cell r="U314" t="str">
            <v>2022.11.22</v>
          </cell>
          <cell r="V314" t="str">
            <v>알루텍</v>
          </cell>
          <cell r="AC314" t="str">
            <v>김영석사원</v>
          </cell>
          <cell r="AD314">
            <v>0.85</v>
          </cell>
        </row>
        <row r="315">
          <cell r="A315" t="str">
            <v>슈퍼V2-BOT</v>
          </cell>
          <cell r="B315" t="str">
            <v>회색</v>
          </cell>
          <cell r="C315">
            <v>6</v>
          </cell>
          <cell r="D315">
            <v>170</v>
          </cell>
          <cell r="E315">
            <v>48</v>
          </cell>
          <cell r="F315">
            <v>40</v>
          </cell>
          <cell r="G315" t="str">
            <v>ZP2500</v>
          </cell>
          <cell r="H315">
            <v>1</v>
          </cell>
          <cell r="I315">
            <v>1</v>
          </cell>
          <cell r="J315" t="str">
            <v>청호나이스</v>
          </cell>
          <cell r="K315">
            <v>10</v>
          </cell>
          <cell r="L315">
            <v>11.2</v>
          </cell>
          <cell r="M315">
            <v>6.5</v>
          </cell>
          <cell r="N315">
            <v>7.7</v>
          </cell>
          <cell r="P315">
            <v>1700</v>
          </cell>
          <cell r="Q315">
            <v>350</v>
          </cell>
          <cell r="R315" t="str">
            <v>박스</v>
          </cell>
          <cell r="T315" t="str">
            <v>61-2522</v>
          </cell>
          <cell r="U315">
            <v>45385</v>
          </cell>
          <cell r="V315" t="str">
            <v>금형사업부</v>
          </cell>
          <cell r="W315" t="str">
            <v>16호기 착형금지,고치수확인,물기 털어서 보내기</v>
          </cell>
          <cell r="AD315">
            <v>0.85</v>
          </cell>
        </row>
        <row r="316">
          <cell r="A316" t="str">
            <v>슈퍼V2-BOT</v>
          </cell>
          <cell r="B316" t="str">
            <v>SET</v>
          </cell>
          <cell r="C316">
            <v>6</v>
          </cell>
          <cell r="D316">
            <v>100</v>
          </cell>
          <cell r="E316">
            <v>48</v>
          </cell>
          <cell r="F316">
            <v>40</v>
          </cell>
          <cell r="G316" t="str">
            <v>ZP2500</v>
          </cell>
          <cell r="H316">
            <v>1</v>
          </cell>
          <cell r="I316">
            <v>1</v>
          </cell>
          <cell r="J316" t="str">
            <v>청호나이스</v>
          </cell>
          <cell r="K316">
            <v>9</v>
          </cell>
          <cell r="L316">
            <v>11</v>
          </cell>
          <cell r="M316">
            <v>5.5</v>
          </cell>
          <cell r="N316">
            <v>7.5</v>
          </cell>
          <cell r="P316">
            <v>1700</v>
          </cell>
          <cell r="Q316">
            <v>350</v>
          </cell>
          <cell r="U316">
            <v>45385</v>
          </cell>
          <cell r="V316" t="str">
            <v>금형사업부</v>
          </cell>
          <cell r="W316" t="str">
            <v>16호기 착형금지</v>
          </cell>
          <cell r="AD316">
            <v>0.85</v>
          </cell>
        </row>
        <row r="317">
          <cell r="A317" t="str">
            <v>슈퍼V2-BOT</v>
          </cell>
          <cell r="B317" t="str">
            <v>SET</v>
          </cell>
          <cell r="C317">
            <v>6</v>
          </cell>
          <cell r="D317">
            <v>100</v>
          </cell>
          <cell r="E317">
            <v>40</v>
          </cell>
          <cell r="F317">
            <v>40</v>
          </cell>
          <cell r="G317" t="str">
            <v>ZP2500</v>
          </cell>
          <cell r="H317">
            <v>1</v>
          </cell>
          <cell r="I317">
            <v>1</v>
          </cell>
          <cell r="J317" t="str">
            <v>청호나이스</v>
          </cell>
          <cell r="P317">
            <v>1700</v>
          </cell>
          <cell r="Q317">
            <v>350</v>
          </cell>
          <cell r="U317">
            <v>45385</v>
          </cell>
          <cell r="V317" t="str">
            <v>금형사업부</v>
          </cell>
          <cell r="AD317">
            <v>0.85</v>
          </cell>
        </row>
        <row r="318">
          <cell r="A318" t="str">
            <v>슈퍼V2-BOT</v>
          </cell>
          <cell r="B318" t="str">
            <v>SET</v>
          </cell>
          <cell r="C318">
            <v>6</v>
          </cell>
          <cell r="D318">
            <v>100</v>
          </cell>
          <cell r="E318">
            <v>40</v>
          </cell>
          <cell r="F318">
            <v>40</v>
          </cell>
          <cell r="G318" t="str">
            <v>ZP2500</v>
          </cell>
          <cell r="H318">
            <v>1</v>
          </cell>
          <cell r="I318">
            <v>1</v>
          </cell>
          <cell r="J318" t="str">
            <v>청호나이스</v>
          </cell>
          <cell r="P318">
            <v>1700</v>
          </cell>
          <cell r="Q318">
            <v>350</v>
          </cell>
          <cell r="U318">
            <v>45385</v>
          </cell>
          <cell r="V318" t="str">
            <v>금형사업부</v>
          </cell>
        </row>
        <row r="319">
          <cell r="A319" t="str">
            <v>슈퍼6K-TANK</v>
          </cell>
          <cell r="B319" t="str">
            <v>회색</v>
          </cell>
          <cell r="C319">
            <v>8</v>
          </cell>
          <cell r="D319">
            <v>100</v>
          </cell>
          <cell r="E319">
            <v>183</v>
          </cell>
          <cell r="F319">
            <v>36</v>
          </cell>
          <cell r="G319" t="str">
            <v>ZP2500</v>
          </cell>
          <cell r="H319" t="str">
            <v>4조4다발</v>
          </cell>
          <cell r="I319">
            <v>1</v>
          </cell>
          <cell r="J319" t="str">
            <v>청호나이스</v>
          </cell>
          <cell r="P319">
            <v>1360</v>
          </cell>
          <cell r="R319" t="str">
            <v>빨강</v>
          </cell>
          <cell r="T319" t="str">
            <v>61-2458</v>
          </cell>
          <cell r="U319">
            <v>45268</v>
          </cell>
          <cell r="V319" t="str">
            <v>금형사업부</v>
          </cell>
          <cell r="AD319">
            <v>0.85</v>
          </cell>
        </row>
        <row r="320">
          <cell r="A320" t="str">
            <v>슈퍼6K-TANK</v>
          </cell>
          <cell r="B320" t="str">
            <v>SET</v>
          </cell>
          <cell r="C320">
            <v>8</v>
          </cell>
          <cell r="D320">
            <v>100</v>
          </cell>
          <cell r="E320">
            <v>183</v>
          </cell>
          <cell r="F320">
            <v>36</v>
          </cell>
          <cell r="G320" t="str">
            <v>ZP2500</v>
          </cell>
          <cell r="H320" t="str">
            <v>4조4다발</v>
          </cell>
          <cell r="I320">
            <v>1</v>
          </cell>
          <cell r="J320" t="str">
            <v>청호나이스</v>
          </cell>
          <cell r="P320">
            <v>1360</v>
          </cell>
          <cell r="R320" t="str">
            <v>빨강</v>
          </cell>
          <cell r="U320">
            <v>45268</v>
          </cell>
          <cell r="V320" t="str">
            <v>금형사업부</v>
          </cell>
          <cell r="AD320">
            <v>0.85</v>
          </cell>
        </row>
        <row r="321">
          <cell r="A321" t="str">
            <v>슈퍼6K</v>
          </cell>
          <cell r="B321" t="str">
            <v>저발</v>
          </cell>
          <cell r="C321">
            <v>2</v>
          </cell>
          <cell r="D321">
            <v>100</v>
          </cell>
          <cell r="E321">
            <v>93</v>
          </cell>
          <cell r="F321">
            <v>36</v>
          </cell>
          <cell r="G321" t="str">
            <v>ZP2500</v>
          </cell>
          <cell r="H321">
            <v>1</v>
          </cell>
          <cell r="I321">
            <v>4</v>
          </cell>
          <cell r="J321" t="str">
            <v>청호나이스</v>
          </cell>
          <cell r="P321">
            <v>900</v>
          </cell>
          <cell r="R321" t="str">
            <v>박스</v>
          </cell>
          <cell r="T321" t="str">
            <v>61-2457/61-2459/61-2461/61-2460</v>
          </cell>
          <cell r="U321">
            <v>45268</v>
          </cell>
          <cell r="V321" t="str">
            <v>금형사업부</v>
          </cell>
          <cell r="AD321">
            <v>0.85</v>
          </cell>
        </row>
        <row r="322">
          <cell r="A322" t="str">
            <v>슈퍼6K</v>
          </cell>
          <cell r="B322" t="str">
            <v>SET</v>
          </cell>
          <cell r="C322">
            <v>2</v>
          </cell>
          <cell r="D322">
            <v>100</v>
          </cell>
          <cell r="E322">
            <v>93</v>
          </cell>
          <cell r="F322">
            <v>36</v>
          </cell>
          <cell r="G322" t="str">
            <v>ZP2500</v>
          </cell>
          <cell r="H322">
            <v>1</v>
          </cell>
          <cell r="I322">
            <v>4</v>
          </cell>
          <cell r="J322" t="str">
            <v>청호나이스</v>
          </cell>
          <cell r="P322">
            <v>900</v>
          </cell>
          <cell r="R322" t="str">
            <v>박스</v>
          </cell>
          <cell r="U322">
            <v>45268</v>
          </cell>
          <cell r="V322" t="str">
            <v>금형사업부</v>
          </cell>
          <cell r="AD322">
            <v>0.85</v>
          </cell>
        </row>
        <row r="323">
          <cell r="A323" t="str">
            <v>순생막걸리박스(백색)</v>
          </cell>
          <cell r="B323" t="str">
            <v>BOX</v>
          </cell>
          <cell r="C323">
            <v>6</v>
          </cell>
          <cell r="D323">
            <v>100</v>
          </cell>
          <cell r="E323">
            <v>175</v>
          </cell>
          <cell r="F323">
            <v>58</v>
          </cell>
          <cell r="G323" t="str">
            <v>B240NS</v>
          </cell>
          <cell r="H323">
            <v>8</v>
          </cell>
          <cell r="I323">
            <v>2</v>
          </cell>
          <cell r="J323" t="str">
            <v>보령금형</v>
          </cell>
          <cell r="K323">
            <v>118</v>
          </cell>
          <cell r="L323">
            <v>122</v>
          </cell>
          <cell r="M323">
            <v>183</v>
          </cell>
          <cell r="N323">
            <v>187</v>
          </cell>
          <cell r="P323">
            <v>1360</v>
          </cell>
          <cell r="Q323">
            <v>300</v>
          </cell>
          <cell r="R323" t="str">
            <v>노랑</v>
          </cell>
          <cell r="S323" t="str">
            <v>노랑</v>
          </cell>
          <cell r="U323">
            <v>44026</v>
          </cell>
          <cell r="V323" t="str">
            <v>금형제조부</v>
          </cell>
          <cell r="W323" t="str">
            <v>막걸리박스</v>
          </cell>
          <cell r="Y323">
            <v>50</v>
          </cell>
          <cell r="Z323">
            <v>8256</v>
          </cell>
          <cell r="AC323" t="str">
            <v>석상준과장</v>
          </cell>
          <cell r="AD323">
            <v>0.85</v>
          </cell>
          <cell r="AF323">
            <v>6</v>
          </cell>
        </row>
        <row r="324">
          <cell r="A324" t="str">
            <v>순생막걸리박스</v>
          </cell>
          <cell r="B324" t="str">
            <v>회색</v>
          </cell>
          <cell r="C324">
            <v>6</v>
          </cell>
          <cell r="D324">
            <v>100</v>
          </cell>
          <cell r="E324">
            <v>207</v>
          </cell>
          <cell r="F324">
            <v>48</v>
          </cell>
          <cell r="G324" t="str">
            <v>ZP2500</v>
          </cell>
          <cell r="H324">
            <v>8</v>
          </cell>
          <cell r="I324">
            <v>2</v>
          </cell>
          <cell r="J324" t="str">
            <v>보령금형</v>
          </cell>
          <cell r="K324">
            <v>118</v>
          </cell>
          <cell r="L324">
            <v>122</v>
          </cell>
          <cell r="M324">
            <v>183</v>
          </cell>
          <cell r="N324">
            <v>187</v>
          </cell>
          <cell r="P324">
            <v>1360</v>
          </cell>
          <cell r="Q324">
            <v>300</v>
          </cell>
          <cell r="R324" t="str">
            <v>녹색</v>
          </cell>
          <cell r="U324">
            <v>44026</v>
          </cell>
          <cell r="V324" t="str">
            <v>금형제조부</v>
          </cell>
          <cell r="W324" t="str">
            <v>막걸리박스</v>
          </cell>
          <cell r="Y324">
            <v>40</v>
          </cell>
          <cell r="Z324">
            <v>8256</v>
          </cell>
          <cell r="AC324" t="str">
            <v>석상준과장</v>
          </cell>
          <cell r="AD324">
            <v>0.85</v>
          </cell>
          <cell r="AF324">
            <v>6</v>
          </cell>
        </row>
        <row r="325">
          <cell r="A325" t="str">
            <v>수출향보일러공용</v>
          </cell>
          <cell r="B325" t="str">
            <v>SET</v>
          </cell>
          <cell r="C325">
            <v>2</v>
          </cell>
          <cell r="D325">
            <v>75</v>
          </cell>
          <cell r="E325">
            <v>215</v>
          </cell>
          <cell r="F325">
            <v>70</v>
          </cell>
          <cell r="G325" t="str">
            <v>B240NS</v>
          </cell>
          <cell r="H325">
            <v>10</v>
          </cell>
          <cell r="I325">
            <v>2</v>
          </cell>
          <cell r="J325" t="str">
            <v>알토엔대우</v>
          </cell>
          <cell r="K325">
            <v>84</v>
          </cell>
          <cell r="L325">
            <v>87</v>
          </cell>
          <cell r="M325">
            <v>84</v>
          </cell>
          <cell r="N325">
            <v>87</v>
          </cell>
          <cell r="O325">
            <v>1160</v>
          </cell>
          <cell r="P325">
            <v>1300</v>
          </cell>
          <cell r="Q325">
            <v>150</v>
          </cell>
          <cell r="R325" t="str">
            <v>노랑</v>
          </cell>
          <cell r="S325" t="str">
            <v>노랑</v>
          </cell>
          <cell r="T325" t="str">
            <v>수출향보일러공용</v>
          </cell>
          <cell r="U325">
            <v>42038</v>
          </cell>
          <cell r="V325" t="str">
            <v>이관금형</v>
          </cell>
          <cell r="W325" t="str">
            <v>3311502100/3311502200</v>
          </cell>
          <cell r="X325" t="str">
            <v>E-0901</v>
          </cell>
          <cell r="Y325">
            <v>45</v>
          </cell>
          <cell r="AC325" t="str">
            <v>김일환계장2015.03.20사용배율변경(50-&gt;57),2015.10.09배율변경(57-&gt;62)</v>
          </cell>
          <cell r="AD325">
            <v>0.85</v>
          </cell>
          <cell r="AE325">
            <v>72</v>
          </cell>
          <cell r="AF325">
            <v>8</v>
          </cell>
        </row>
        <row r="326">
          <cell r="A326" t="str">
            <v>수출향-대</v>
          </cell>
          <cell r="B326" t="str">
            <v>BOX</v>
          </cell>
          <cell r="C326">
            <v>2</v>
          </cell>
          <cell r="D326">
            <v>150</v>
          </cell>
          <cell r="E326">
            <v>1000</v>
          </cell>
          <cell r="F326">
            <v>74</v>
          </cell>
          <cell r="G326" t="str">
            <v>B240NS</v>
          </cell>
          <cell r="H326">
            <v>2</v>
          </cell>
          <cell r="I326">
            <v>2</v>
          </cell>
          <cell r="J326" t="str">
            <v>삼일이노팩</v>
          </cell>
          <cell r="P326">
            <v>1360</v>
          </cell>
          <cell r="Q326">
            <v>500</v>
          </cell>
          <cell r="R326" t="str">
            <v>비닐</v>
          </cell>
          <cell r="U326">
            <v>46051</v>
          </cell>
          <cell r="V326" t="str">
            <v>삼일 용인(이관)</v>
          </cell>
          <cell r="AD326">
            <v>0.85</v>
          </cell>
          <cell r="AE326">
            <v>120</v>
          </cell>
        </row>
        <row r="327">
          <cell r="A327" t="str">
            <v>수출향-대</v>
          </cell>
          <cell r="B327" t="str">
            <v>BOX</v>
          </cell>
          <cell r="C327">
            <v>2</v>
          </cell>
          <cell r="D327">
            <v>150</v>
          </cell>
          <cell r="E327">
            <v>1000</v>
          </cell>
          <cell r="F327">
            <v>74</v>
          </cell>
          <cell r="G327" t="str">
            <v>B240NS</v>
          </cell>
          <cell r="H327">
            <v>2</v>
          </cell>
          <cell r="I327">
            <v>2</v>
          </cell>
          <cell r="J327" t="str">
            <v>삼일이노팩</v>
          </cell>
          <cell r="P327">
            <v>1360</v>
          </cell>
          <cell r="Q327">
            <v>500</v>
          </cell>
          <cell r="R327" t="str">
            <v>비닐</v>
          </cell>
          <cell r="U327">
            <v>46051</v>
          </cell>
          <cell r="V327" t="str">
            <v>삼일 용인(이관)</v>
          </cell>
          <cell r="AD327">
            <v>0.85</v>
          </cell>
          <cell r="AE327">
            <v>120</v>
          </cell>
        </row>
        <row r="328">
          <cell r="A328" t="str">
            <v>수출향-대</v>
          </cell>
          <cell r="B328" t="str">
            <v>BOX</v>
          </cell>
          <cell r="C328">
            <v>2</v>
          </cell>
          <cell r="D328">
            <v>150</v>
          </cell>
          <cell r="E328">
            <v>1000</v>
          </cell>
          <cell r="F328">
            <v>74</v>
          </cell>
          <cell r="G328" t="str">
            <v>B240NS</v>
          </cell>
          <cell r="H328">
            <v>2</v>
          </cell>
          <cell r="I328">
            <v>2</v>
          </cell>
          <cell r="J328" t="str">
            <v>삼일이노팩</v>
          </cell>
          <cell r="P328">
            <v>1360</v>
          </cell>
          <cell r="Q328">
            <v>500</v>
          </cell>
          <cell r="R328" t="str">
            <v>비닐</v>
          </cell>
          <cell r="U328">
            <v>46051</v>
          </cell>
          <cell r="V328" t="str">
            <v>삼일 용인(이관)</v>
          </cell>
          <cell r="W328" t="str">
            <v>가스레인지-포장재</v>
          </cell>
          <cell r="AD328">
            <v>0.85</v>
          </cell>
        </row>
        <row r="329">
          <cell r="A329" t="str">
            <v>수경재배기(33배)</v>
          </cell>
          <cell r="B329" t="str">
            <v>저발</v>
          </cell>
          <cell r="C329">
            <v>2</v>
          </cell>
          <cell r="D329">
            <v>75</v>
          </cell>
          <cell r="E329">
            <v>204</v>
          </cell>
          <cell r="F329">
            <v>36</v>
          </cell>
          <cell r="G329" t="str">
            <v>B240NS</v>
          </cell>
          <cell r="H329">
            <v>20</v>
          </cell>
          <cell r="I329">
            <v>1</v>
          </cell>
          <cell r="J329" t="str">
            <v>가화텍</v>
          </cell>
          <cell r="K329">
            <v>34</v>
          </cell>
          <cell r="L329">
            <v>46</v>
          </cell>
          <cell r="O329">
            <v>1390</v>
          </cell>
          <cell r="P329">
            <v>500</v>
          </cell>
          <cell r="R329" t="str">
            <v>패드</v>
          </cell>
          <cell r="S329" t="str">
            <v>패드</v>
          </cell>
          <cell r="T329" t="str">
            <v>수경재배기#31(14공)</v>
          </cell>
          <cell r="U329">
            <v>40351</v>
          </cell>
          <cell r="V329" t="str">
            <v>대경수지이동</v>
          </cell>
          <cell r="W329" t="str">
            <v>MPTP-14, 31차</v>
          </cell>
          <cell r="AC329" t="str">
            <v>2010.06.25승인완료, (14공)</v>
          </cell>
          <cell r="AD329">
            <v>0.9</v>
          </cell>
          <cell r="AE329">
            <v>85</v>
          </cell>
          <cell r="AF329">
            <v>9</v>
          </cell>
        </row>
        <row r="330">
          <cell r="A330" t="str">
            <v>수경재배기</v>
          </cell>
          <cell r="B330" t="str">
            <v>저발</v>
          </cell>
          <cell r="C330">
            <v>2</v>
          </cell>
          <cell r="D330">
            <v>100</v>
          </cell>
          <cell r="E330">
            <v>140</v>
          </cell>
          <cell r="F330">
            <v>50</v>
          </cell>
          <cell r="G330" t="str">
            <v>B240NS</v>
          </cell>
          <cell r="H330">
            <v>20</v>
          </cell>
          <cell r="I330">
            <v>1</v>
          </cell>
          <cell r="J330" t="str">
            <v>가화텍</v>
          </cell>
          <cell r="K330">
            <v>34</v>
          </cell>
          <cell r="L330">
            <v>46</v>
          </cell>
          <cell r="O330">
            <v>900</v>
          </cell>
          <cell r="P330">
            <v>500</v>
          </cell>
          <cell r="R330" t="str">
            <v>패드</v>
          </cell>
          <cell r="S330" t="str">
            <v>패드</v>
          </cell>
          <cell r="T330" t="str">
            <v>수경재배기#31(14공)</v>
          </cell>
          <cell r="U330">
            <v>40351</v>
          </cell>
          <cell r="V330" t="str">
            <v>대경수지이동</v>
          </cell>
          <cell r="W330" t="str">
            <v>MPTP-14, 31차</v>
          </cell>
          <cell r="X330" t="str">
            <v>F-0207</v>
          </cell>
          <cell r="AC330" t="str">
            <v>2010.06.25승인완료, (14공)</v>
          </cell>
          <cell r="AD330">
            <v>0.85</v>
          </cell>
          <cell r="AE330">
            <v>100</v>
          </cell>
          <cell r="AF330">
            <v>4</v>
          </cell>
        </row>
        <row r="331">
          <cell r="A331" t="str">
            <v>수경재배3호고(33배)</v>
          </cell>
          <cell r="B331" t="str">
            <v>SET</v>
          </cell>
          <cell r="C331">
            <v>1</v>
          </cell>
          <cell r="D331">
            <v>155</v>
          </cell>
          <cell r="E331">
            <v>2230</v>
          </cell>
          <cell r="F331">
            <v>36</v>
          </cell>
          <cell r="G331" t="str">
            <v>B240NS</v>
          </cell>
          <cell r="H331">
            <v>2</v>
          </cell>
          <cell r="I331">
            <v>1</v>
          </cell>
          <cell r="J331" t="str">
            <v>가화텍</v>
          </cell>
          <cell r="K331">
            <v>298</v>
          </cell>
          <cell r="L331">
            <v>302</v>
          </cell>
          <cell r="O331">
            <v>11910</v>
          </cell>
          <cell r="P331">
            <v>1300</v>
          </cell>
          <cell r="Q331">
            <v>350</v>
          </cell>
          <cell r="S331">
            <v>0</v>
          </cell>
          <cell r="T331" t="str">
            <v>가정원예 3호고#11/수경패드3호에서개명</v>
          </cell>
          <cell r="U331">
            <v>36977</v>
          </cell>
          <cell r="V331" t="str">
            <v>신아</v>
          </cell>
          <cell r="W331" t="str">
            <v>MP3HEB , 11차</v>
          </cell>
          <cell r="AC331" t="str">
            <v xml:space="preserve">06.03.04일 아산입고(2개맞묶음)1*1, 수경재배3호고동일금형      </v>
          </cell>
          <cell r="AD331">
            <v>0.9</v>
          </cell>
          <cell r="AE331">
            <v>130</v>
          </cell>
          <cell r="AF331">
            <v>12</v>
          </cell>
        </row>
        <row r="332">
          <cell r="A332" t="str">
            <v>수경재배3호고</v>
          </cell>
          <cell r="B332" t="str">
            <v>SET</v>
          </cell>
          <cell r="C332">
            <v>1</v>
          </cell>
          <cell r="D332">
            <v>130</v>
          </cell>
          <cell r="E332">
            <v>1350</v>
          </cell>
          <cell r="F332">
            <v>65</v>
          </cell>
          <cell r="G332" t="str">
            <v>B240NS</v>
          </cell>
          <cell r="H332">
            <v>2</v>
          </cell>
          <cell r="I332">
            <v>1</v>
          </cell>
          <cell r="J332" t="str">
            <v>가화텍</v>
          </cell>
          <cell r="K332">
            <v>298</v>
          </cell>
          <cell r="L332">
            <v>302</v>
          </cell>
          <cell r="O332">
            <v>7210</v>
          </cell>
          <cell r="P332">
            <v>1300</v>
          </cell>
          <cell r="Q332">
            <v>350</v>
          </cell>
          <cell r="S332">
            <v>0</v>
          </cell>
          <cell r="T332" t="str">
            <v>가정원예 3호고#11/수경패드3호에서개명</v>
          </cell>
          <cell r="U332">
            <v>36977</v>
          </cell>
          <cell r="V332" t="str">
            <v>신아</v>
          </cell>
          <cell r="W332" t="str">
            <v>MP3HEB , 11차</v>
          </cell>
          <cell r="AC332" t="str">
            <v xml:space="preserve">06.03.04일 아산입고(2개맞묶음)1*1      </v>
          </cell>
          <cell r="AD332">
            <v>0.85</v>
          </cell>
          <cell r="AE332">
            <v>130</v>
          </cell>
          <cell r="AF332">
            <v>9</v>
          </cell>
        </row>
        <row r="333">
          <cell r="A333" t="str">
            <v>송이BOX</v>
          </cell>
          <cell r="B333" t="str">
            <v>BOX</v>
          </cell>
          <cell r="D333">
            <v>75</v>
          </cell>
          <cell r="E333">
            <v>140</v>
          </cell>
          <cell r="G333" t="str">
            <v>B240NS</v>
          </cell>
          <cell r="H333">
            <v>30</v>
          </cell>
          <cell r="J333" t="str">
            <v>삼일이노팩</v>
          </cell>
          <cell r="O333">
            <v>700</v>
          </cell>
          <cell r="S333">
            <v>0</v>
          </cell>
          <cell r="AC333" t="str">
            <v>삼일팩에서 제품만받음.(금형은없음)</v>
          </cell>
          <cell r="AD333">
            <v>0.85</v>
          </cell>
          <cell r="AE333">
            <v>70</v>
          </cell>
          <cell r="AF333">
            <v>2</v>
          </cell>
        </row>
        <row r="334">
          <cell r="A334" t="str">
            <v>손세정기-쿠션</v>
          </cell>
          <cell r="B334" t="str">
            <v>SET</v>
          </cell>
          <cell r="C334">
            <v>8</v>
          </cell>
          <cell r="D334">
            <v>70</v>
          </cell>
          <cell r="E334">
            <v>67</v>
          </cell>
          <cell r="F334">
            <v>60</v>
          </cell>
          <cell r="G334" t="str">
            <v>B240NS</v>
          </cell>
          <cell r="H334">
            <v>20</v>
          </cell>
          <cell r="I334">
            <v>1</v>
          </cell>
          <cell r="J334" t="str">
            <v>세스코</v>
          </cell>
          <cell r="K334">
            <v>78.2</v>
          </cell>
          <cell r="L334">
            <v>80.2</v>
          </cell>
          <cell r="P334">
            <v>1360</v>
          </cell>
          <cell r="Q334">
            <v>150</v>
          </cell>
          <cell r="R334" t="str">
            <v>블랙</v>
          </cell>
          <cell r="U334">
            <v>45453</v>
          </cell>
          <cell r="V334" t="str">
            <v>금형사업부</v>
          </cell>
        </row>
        <row r="335">
          <cell r="A335" t="str">
            <v>손세정기-쿠션</v>
          </cell>
          <cell r="B335" t="str">
            <v>SET</v>
          </cell>
          <cell r="C335">
            <v>8</v>
          </cell>
          <cell r="D335">
            <v>70</v>
          </cell>
          <cell r="E335">
            <v>67</v>
          </cell>
          <cell r="F335">
            <v>60</v>
          </cell>
          <cell r="G335" t="str">
            <v>B240NS</v>
          </cell>
          <cell r="H335">
            <v>1</v>
          </cell>
          <cell r="I335">
            <v>1</v>
          </cell>
          <cell r="J335" t="str">
            <v>세스코</v>
          </cell>
          <cell r="P335">
            <v>1360</v>
          </cell>
          <cell r="U335">
            <v>45453</v>
          </cell>
          <cell r="V335" t="str">
            <v>금형사업부</v>
          </cell>
          <cell r="AD335">
            <v>0.85</v>
          </cell>
        </row>
        <row r="336">
          <cell r="A336" t="str">
            <v>소형3구칸막이</v>
          </cell>
          <cell r="B336" t="str">
            <v>BOX</v>
          </cell>
          <cell r="C336">
            <v>6</v>
          </cell>
          <cell r="D336">
            <v>80</v>
          </cell>
          <cell r="E336">
            <v>75</v>
          </cell>
          <cell r="F336">
            <v>60</v>
          </cell>
          <cell r="G336" t="str">
            <v>B240NS</v>
          </cell>
          <cell r="H336">
            <v>1</v>
          </cell>
          <cell r="I336">
            <v>1</v>
          </cell>
          <cell r="J336" t="str">
            <v>㈜탭스</v>
          </cell>
          <cell r="O336">
            <v>433</v>
          </cell>
          <cell r="P336">
            <v>1300</v>
          </cell>
          <cell r="Q336">
            <v>200</v>
          </cell>
          <cell r="T336" t="str">
            <v>3구칸막이</v>
          </cell>
          <cell r="U336">
            <v>45267</v>
          </cell>
          <cell r="V336" t="str">
            <v>대양이동입고</v>
          </cell>
          <cell r="W336" t="str">
            <v>3구칸막이</v>
          </cell>
          <cell r="AD336">
            <v>0.85</v>
          </cell>
        </row>
        <row r="337">
          <cell r="A337" t="str">
            <v>소형3구칸막이</v>
          </cell>
          <cell r="B337" t="str">
            <v>BOX</v>
          </cell>
          <cell r="C337">
            <v>6</v>
          </cell>
          <cell r="D337">
            <v>80</v>
          </cell>
          <cell r="E337">
            <v>75</v>
          </cell>
          <cell r="F337">
            <v>60</v>
          </cell>
          <cell r="G337" t="str">
            <v>B240NS</v>
          </cell>
          <cell r="H337">
            <v>1</v>
          </cell>
          <cell r="I337">
            <v>1</v>
          </cell>
          <cell r="J337" t="str">
            <v>㈜탭스</v>
          </cell>
          <cell r="O337">
            <v>433</v>
          </cell>
          <cell r="P337">
            <v>1300</v>
          </cell>
          <cell r="Q337">
            <v>200</v>
          </cell>
          <cell r="T337" t="str">
            <v>3구칸막이</v>
          </cell>
          <cell r="U337">
            <v>45267</v>
          </cell>
          <cell r="V337" t="str">
            <v>대양이동입고</v>
          </cell>
          <cell r="W337" t="str">
            <v>3구칸막이</v>
          </cell>
          <cell r="AD337">
            <v>0.85</v>
          </cell>
        </row>
        <row r="338">
          <cell r="A338" t="str">
            <v>소초3매BOX(60배)</v>
          </cell>
          <cell r="B338" t="str">
            <v>BOX</v>
          </cell>
          <cell r="C338">
            <v>4</v>
          </cell>
          <cell r="D338">
            <v>100</v>
          </cell>
          <cell r="E338">
            <v>207</v>
          </cell>
          <cell r="F338">
            <v>74</v>
          </cell>
          <cell r="G338" t="str">
            <v>B240NS</v>
          </cell>
          <cell r="I338">
            <v>2</v>
          </cell>
          <cell r="J338" t="str">
            <v>삼일이노팩</v>
          </cell>
          <cell r="P338">
            <v>1360</v>
          </cell>
          <cell r="Q338">
            <v>350</v>
          </cell>
          <cell r="U338">
            <v>43678</v>
          </cell>
          <cell r="V338" t="str">
            <v>금형제조부</v>
          </cell>
          <cell r="W338" t="str">
            <v>이동측 노즐 확인 필!</v>
          </cell>
          <cell r="Y338">
            <v>60</v>
          </cell>
          <cell r="Z338">
            <v>12391</v>
          </cell>
          <cell r="AD338">
            <v>0.85</v>
          </cell>
          <cell r="AE338">
            <v>95</v>
          </cell>
          <cell r="AF338">
            <v>0</v>
          </cell>
        </row>
        <row r="339">
          <cell r="A339" t="str">
            <v>소초3매BOX(50배)</v>
          </cell>
          <cell r="B339" t="str">
            <v>BOX</v>
          </cell>
          <cell r="C339">
            <v>4</v>
          </cell>
          <cell r="D339">
            <v>100</v>
          </cell>
          <cell r="E339">
            <v>248</v>
          </cell>
          <cell r="F339">
            <v>65</v>
          </cell>
          <cell r="G339" t="str">
            <v>B240NS</v>
          </cell>
          <cell r="H339">
            <v>8</v>
          </cell>
          <cell r="I339">
            <v>2</v>
          </cell>
          <cell r="J339" t="str">
            <v>삼일이노팩</v>
          </cell>
          <cell r="P339">
            <v>1360</v>
          </cell>
          <cell r="Q339">
            <v>350</v>
          </cell>
          <cell r="R339" t="str">
            <v>보라</v>
          </cell>
          <cell r="U339">
            <v>43678</v>
          </cell>
          <cell r="V339" t="str">
            <v>금형제조부</v>
          </cell>
          <cell r="W339" t="str">
            <v>이동측 노즐 확인 필!</v>
          </cell>
          <cell r="Y339">
            <v>50</v>
          </cell>
          <cell r="Z339">
            <v>12391</v>
          </cell>
          <cell r="AD339">
            <v>0.85</v>
          </cell>
          <cell r="AE339">
            <v>95</v>
          </cell>
          <cell r="AF339">
            <v>1</v>
          </cell>
        </row>
        <row r="340">
          <cell r="A340" t="str">
            <v>소초3매BOX(30배)</v>
          </cell>
          <cell r="B340" t="str">
            <v>BOX</v>
          </cell>
          <cell r="C340">
            <v>4</v>
          </cell>
          <cell r="D340">
            <v>100</v>
          </cell>
          <cell r="E340">
            <v>440</v>
          </cell>
          <cell r="F340">
            <v>40</v>
          </cell>
          <cell r="G340" t="str">
            <v>B240NS</v>
          </cell>
          <cell r="H340">
            <v>8</v>
          </cell>
          <cell r="I340">
            <v>2</v>
          </cell>
          <cell r="J340" t="str">
            <v>벌이랑꿀이랑</v>
          </cell>
          <cell r="P340">
            <v>1360</v>
          </cell>
          <cell r="Q340">
            <v>350</v>
          </cell>
          <cell r="R340" t="str">
            <v>흰색</v>
          </cell>
          <cell r="U340">
            <v>43678</v>
          </cell>
          <cell r="V340" t="str">
            <v>금형제조부</v>
          </cell>
          <cell r="W340" t="str">
            <v>이동측 노즐 확인 필!</v>
          </cell>
          <cell r="Y340">
            <v>30</v>
          </cell>
          <cell r="Z340">
            <v>13755</v>
          </cell>
          <cell r="AC340" t="str">
            <v>455→440(24년5월7일 변경)</v>
          </cell>
          <cell r="AD340">
            <v>0.85</v>
          </cell>
          <cell r="AE340">
            <v>100</v>
          </cell>
          <cell r="AF340">
            <v>1</v>
          </cell>
        </row>
        <row r="341">
          <cell r="A341" t="str">
            <v>소독기상하</v>
          </cell>
          <cell r="B341" t="str">
            <v>SET</v>
          </cell>
          <cell r="C341">
            <v>2</v>
          </cell>
          <cell r="D341">
            <v>80</v>
          </cell>
          <cell r="E341">
            <v>320</v>
          </cell>
          <cell r="F341">
            <v>70</v>
          </cell>
          <cell r="G341" t="str">
            <v>B240NS</v>
          </cell>
          <cell r="H341">
            <v>5</v>
          </cell>
          <cell r="I341">
            <v>2</v>
          </cell>
          <cell r="J341" t="str">
            <v>아풍</v>
          </cell>
          <cell r="K341">
            <v>88</v>
          </cell>
          <cell r="L341">
            <v>92</v>
          </cell>
          <cell r="M341">
            <v>88</v>
          </cell>
          <cell r="N341">
            <v>92</v>
          </cell>
          <cell r="O341">
            <v>1900</v>
          </cell>
          <cell r="P341">
            <v>1300</v>
          </cell>
          <cell r="Q341">
            <v>200</v>
          </cell>
          <cell r="R341" t="str">
            <v>백색</v>
          </cell>
          <cell r="S341" t="str">
            <v>백색</v>
          </cell>
          <cell r="T341" t="str">
            <v>아풍소독기 상하</v>
          </cell>
          <cell r="U341">
            <v>38072</v>
          </cell>
          <cell r="V341" t="str">
            <v>삼일금형</v>
          </cell>
          <cell r="X341" t="str">
            <v>R-0101</v>
          </cell>
          <cell r="AD341">
            <v>0.85</v>
          </cell>
          <cell r="AE341">
            <v>125</v>
          </cell>
          <cell r="AF341">
            <v>6</v>
          </cell>
        </row>
        <row r="342">
          <cell r="A342" t="str">
            <v>성림BOX(몸통,뚜껑따로)50배</v>
          </cell>
          <cell r="B342" t="str">
            <v>BOX</v>
          </cell>
          <cell r="C342">
            <v>3</v>
          </cell>
          <cell r="D342">
            <v>100</v>
          </cell>
          <cell r="E342">
            <v>299</v>
          </cell>
          <cell r="F342">
            <v>58</v>
          </cell>
          <cell r="G342" t="str">
            <v>B240NS</v>
          </cell>
          <cell r="H342" t="str">
            <v>몸통8뚜껑24</v>
          </cell>
          <cell r="I342">
            <v>2</v>
          </cell>
          <cell r="J342" t="str">
            <v>성림에프엔비</v>
          </cell>
          <cell r="K342">
            <v>48</v>
          </cell>
          <cell r="L342">
            <v>52</v>
          </cell>
          <cell r="M342">
            <v>291</v>
          </cell>
          <cell r="N342">
            <v>295</v>
          </cell>
          <cell r="P342">
            <v>1360</v>
          </cell>
          <cell r="Q342">
            <v>400</v>
          </cell>
          <cell r="R342" t="str">
            <v>파랑</v>
          </cell>
          <cell r="U342">
            <v>41460</v>
          </cell>
          <cell r="V342" t="str">
            <v>금형제조부</v>
          </cell>
          <cell r="AD342">
            <v>0.85</v>
          </cell>
          <cell r="AE342">
            <v>80</v>
          </cell>
          <cell r="AF342">
            <v>2</v>
          </cell>
        </row>
        <row r="343">
          <cell r="A343" t="str">
            <v>성림BOX(몸통,뚜껑따로)</v>
          </cell>
          <cell r="B343" t="str">
            <v>BOX</v>
          </cell>
          <cell r="C343">
            <v>3</v>
          </cell>
          <cell r="D343">
            <v>75</v>
          </cell>
          <cell r="E343">
            <v>234</v>
          </cell>
          <cell r="F343">
            <v>74</v>
          </cell>
          <cell r="G343" t="str">
            <v>B240NS</v>
          </cell>
          <cell r="H343" t="str">
            <v>몸통8뚜껑24</v>
          </cell>
          <cell r="I343">
            <v>2</v>
          </cell>
          <cell r="J343" t="str">
            <v>성림에프엔비</v>
          </cell>
          <cell r="K343">
            <v>48</v>
          </cell>
          <cell r="L343">
            <v>52</v>
          </cell>
          <cell r="M343">
            <v>291</v>
          </cell>
          <cell r="N343">
            <v>295</v>
          </cell>
          <cell r="O343">
            <v>1350</v>
          </cell>
          <cell r="P343">
            <v>1360</v>
          </cell>
          <cell r="Q343">
            <v>400</v>
          </cell>
          <cell r="R343" t="str">
            <v>노란비닐</v>
          </cell>
          <cell r="S343" t="str">
            <v>빨강</v>
          </cell>
          <cell r="T343" t="str">
            <v>성림BOX</v>
          </cell>
          <cell r="U343">
            <v>41460</v>
          </cell>
          <cell r="V343" t="str">
            <v>금형제조부</v>
          </cell>
          <cell r="W343" t="str">
            <v>몸통8,뚜껑24개 포장준수! 노란비닐포장 1150*1500 열十자로 묶을것</v>
          </cell>
          <cell r="X343" t="str">
            <v>A-0105</v>
          </cell>
          <cell r="Y343">
            <v>64</v>
          </cell>
          <cell r="Z343">
            <v>14979</v>
          </cell>
          <cell r="AC343" t="str">
            <v>최재학사원,2013.08.08 코팅입고2014.11.14끈변경(노랑-&gt;보라)2026-2-13후판 자비교체</v>
          </cell>
          <cell r="AD343">
            <v>0.85</v>
          </cell>
          <cell r="AE343">
            <v>80</v>
          </cell>
          <cell r="AF343">
            <v>2</v>
          </cell>
        </row>
        <row r="344">
          <cell r="A344" t="str">
            <v>성림BOX</v>
          </cell>
          <cell r="B344" t="str">
            <v>BOX</v>
          </cell>
          <cell r="C344">
            <v>3</v>
          </cell>
          <cell r="D344">
            <v>75</v>
          </cell>
          <cell r="E344">
            <v>234</v>
          </cell>
          <cell r="F344">
            <v>74</v>
          </cell>
          <cell r="G344" t="str">
            <v>B240NS</v>
          </cell>
          <cell r="H344">
            <v>8</v>
          </cell>
          <cell r="I344">
            <v>2</v>
          </cell>
          <cell r="J344" t="str">
            <v>성림에프엔비</v>
          </cell>
          <cell r="K344">
            <v>48</v>
          </cell>
          <cell r="L344">
            <v>52</v>
          </cell>
          <cell r="M344">
            <v>291</v>
          </cell>
          <cell r="N344">
            <v>295</v>
          </cell>
          <cell r="O344">
            <v>1350</v>
          </cell>
          <cell r="P344">
            <v>1360</v>
          </cell>
          <cell r="Q344">
            <v>400</v>
          </cell>
          <cell r="R344" t="str">
            <v>보라</v>
          </cell>
          <cell r="S344" t="str">
            <v>보라</v>
          </cell>
          <cell r="T344" t="str">
            <v>성림BOX</v>
          </cell>
          <cell r="U344">
            <v>41460</v>
          </cell>
          <cell r="V344" t="str">
            <v>금형제조부</v>
          </cell>
          <cell r="X344" t="str">
            <v>A-0105</v>
          </cell>
          <cell r="Y344">
            <v>64</v>
          </cell>
          <cell r="Z344">
            <v>14979</v>
          </cell>
          <cell r="AC344" t="str">
            <v>최재학사원,2013.08.08 코팅입고2014.11.14끈변경(노랑-&gt;보라), 2020.03.06 BOT CAVITY 핀눌림 수리, 2021.07.01,2026-2-13후판 자비 교체</v>
          </cell>
          <cell r="AD344">
            <v>0.85</v>
          </cell>
          <cell r="AE344">
            <v>80</v>
          </cell>
          <cell r="AF344">
            <v>1</v>
          </cell>
        </row>
        <row r="345">
          <cell r="A345" t="str">
            <v>선물세트-소(50배)</v>
          </cell>
          <cell r="B345" t="str">
            <v>BOX</v>
          </cell>
          <cell r="C345">
            <v>2</v>
          </cell>
          <cell r="D345">
            <v>75</v>
          </cell>
          <cell r="E345">
            <v>98</v>
          </cell>
          <cell r="F345">
            <v>50</v>
          </cell>
          <cell r="G345" t="str">
            <v>B240NS</v>
          </cell>
          <cell r="H345">
            <v>10</v>
          </cell>
          <cell r="I345">
            <v>3</v>
          </cell>
          <cell r="J345" t="str">
            <v>구르메</v>
          </cell>
          <cell r="K345">
            <v>34</v>
          </cell>
          <cell r="L345">
            <v>37</v>
          </cell>
          <cell r="M345">
            <v>107</v>
          </cell>
          <cell r="N345">
            <v>110</v>
          </cell>
          <cell r="P345">
            <v>1360</v>
          </cell>
          <cell r="Q345">
            <v>250</v>
          </cell>
          <cell r="R345" t="str">
            <v>노랑</v>
          </cell>
          <cell r="S345">
            <v>0</v>
          </cell>
          <cell r="U345">
            <v>43102</v>
          </cell>
          <cell r="V345" t="str">
            <v>금형제조부</v>
          </cell>
          <cell r="W345" t="str">
            <v>세미금형, 초물확인.</v>
          </cell>
          <cell r="Y345">
            <v>30</v>
          </cell>
          <cell r="Z345">
            <v>4886</v>
          </cell>
          <cell r="AC345" t="str">
            <v>20191008 50배기준중량 98g</v>
          </cell>
          <cell r="AD345">
            <v>0.85</v>
          </cell>
          <cell r="AE345">
            <v>80</v>
          </cell>
          <cell r="AF345">
            <v>1</v>
          </cell>
        </row>
        <row r="346">
          <cell r="A346" t="str">
            <v>선물세트-소(30배)</v>
          </cell>
          <cell r="B346" t="str">
            <v>BOX</v>
          </cell>
          <cell r="C346">
            <v>2</v>
          </cell>
          <cell r="D346">
            <v>75</v>
          </cell>
          <cell r="E346">
            <v>162</v>
          </cell>
          <cell r="F346">
            <v>42</v>
          </cell>
          <cell r="G346" t="str">
            <v>B240NS</v>
          </cell>
          <cell r="H346">
            <v>10</v>
          </cell>
          <cell r="I346">
            <v>3</v>
          </cell>
          <cell r="J346" t="str">
            <v>구르메</v>
          </cell>
          <cell r="K346">
            <v>34</v>
          </cell>
          <cell r="L346">
            <v>37</v>
          </cell>
          <cell r="M346">
            <v>107</v>
          </cell>
          <cell r="N346">
            <v>110</v>
          </cell>
          <cell r="P346">
            <v>1360</v>
          </cell>
          <cell r="Q346">
            <v>250</v>
          </cell>
          <cell r="R346" t="str">
            <v>빨강</v>
          </cell>
          <cell r="S346">
            <v>0</v>
          </cell>
          <cell r="U346">
            <v>43102</v>
          </cell>
          <cell r="V346" t="str">
            <v>금형제조부</v>
          </cell>
          <cell r="W346" t="str">
            <v>세미금형, 초물확인.</v>
          </cell>
          <cell r="Y346">
            <v>30</v>
          </cell>
          <cell r="Z346">
            <v>4886</v>
          </cell>
          <cell r="AD346">
            <v>0.85</v>
          </cell>
          <cell r="AE346">
            <v>80</v>
          </cell>
          <cell r="AF346">
            <v>1</v>
          </cell>
        </row>
        <row r="347">
          <cell r="A347" t="str">
            <v>선물세트-소</v>
          </cell>
          <cell r="B347" t="str">
            <v>BOX</v>
          </cell>
          <cell r="C347">
            <v>2</v>
          </cell>
          <cell r="D347">
            <v>75</v>
          </cell>
          <cell r="E347">
            <v>125</v>
          </cell>
          <cell r="F347">
            <v>50</v>
          </cell>
          <cell r="G347" t="str">
            <v>B240NS</v>
          </cell>
          <cell r="H347">
            <v>10</v>
          </cell>
          <cell r="I347">
            <v>3</v>
          </cell>
          <cell r="J347" t="str">
            <v>구르메</v>
          </cell>
          <cell r="K347">
            <v>34</v>
          </cell>
          <cell r="L347">
            <v>37</v>
          </cell>
          <cell r="M347">
            <v>107</v>
          </cell>
          <cell r="N347">
            <v>110</v>
          </cell>
          <cell r="P347">
            <v>1360</v>
          </cell>
          <cell r="Q347">
            <v>250</v>
          </cell>
          <cell r="S347">
            <v>0</v>
          </cell>
          <cell r="U347">
            <v>43102</v>
          </cell>
          <cell r="V347" t="str">
            <v>금형제조부</v>
          </cell>
          <cell r="W347" t="str">
            <v>세미금형</v>
          </cell>
          <cell r="Y347">
            <v>40</v>
          </cell>
          <cell r="AD347">
            <v>0.85</v>
          </cell>
          <cell r="AE347">
            <v>80</v>
          </cell>
          <cell r="AF347">
            <v>1</v>
          </cell>
        </row>
        <row r="348">
          <cell r="A348" t="str">
            <v>선물세트-대(50배)</v>
          </cell>
          <cell r="B348" t="str">
            <v>BOX</v>
          </cell>
          <cell r="C348">
            <v>2</v>
          </cell>
          <cell r="D348">
            <v>90</v>
          </cell>
          <cell r="E348">
            <v>138</v>
          </cell>
          <cell r="F348">
            <v>50</v>
          </cell>
          <cell r="G348" t="str">
            <v>B240NS</v>
          </cell>
          <cell r="H348">
            <v>10</v>
          </cell>
          <cell r="I348">
            <v>3</v>
          </cell>
          <cell r="J348" t="str">
            <v>구르메</v>
          </cell>
          <cell r="K348">
            <v>34</v>
          </cell>
          <cell r="L348">
            <v>37</v>
          </cell>
          <cell r="M348">
            <v>112</v>
          </cell>
          <cell r="N348">
            <v>115</v>
          </cell>
          <cell r="P348">
            <v>1360</v>
          </cell>
          <cell r="Q348">
            <v>250</v>
          </cell>
          <cell r="R348" t="str">
            <v>검정</v>
          </cell>
          <cell r="S348">
            <v>0</v>
          </cell>
          <cell r="U348">
            <v>43102</v>
          </cell>
          <cell r="V348" t="str">
            <v>금형제조부</v>
          </cell>
          <cell r="W348" t="str">
            <v>세미금형, 초물확인.</v>
          </cell>
          <cell r="Y348">
            <v>30</v>
          </cell>
          <cell r="Z348">
            <v>6885</v>
          </cell>
          <cell r="AC348" t="str">
            <v>20191008 50배기준중량 138g</v>
          </cell>
          <cell r="AD348">
            <v>0.85</v>
          </cell>
          <cell r="AE348">
            <v>90</v>
          </cell>
          <cell r="AF348">
            <v>1</v>
          </cell>
        </row>
        <row r="349">
          <cell r="A349" t="str">
            <v>선물세트-대(30배)</v>
          </cell>
          <cell r="B349" t="str">
            <v>BOX</v>
          </cell>
          <cell r="C349">
            <v>2</v>
          </cell>
          <cell r="D349">
            <v>90</v>
          </cell>
          <cell r="E349">
            <v>230</v>
          </cell>
          <cell r="F349">
            <v>42</v>
          </cell>
          <cell r="G349" t="str">
            <v>B240NS</v>
          </cell>
          <cell r="H349">
            <v>10</v>
          </cell>
          <cell r="I349">
            <v>3</v>
          </cell>
          <cell r="J349" t="str">
            <v>구르메</v>
          </cell>
          <cell r="K349">
            <v>34</v>
          </cell>
          <cell r="L349">
            <v>37</v>
          </cell>
          <cell r="M349">
            <v>112</v>
          </cell>
          <cell r="N349">
            <v>115</v>
          </cell>
          <cell r="P349">
            <v>1360</v>
          </cell>
          <cell r="Q349">
            <v>250</v>
          </cell>
          <cell r="R349" t="str">
            <v>파랑</v>
          </cell>
          <cell r="S349">
            <v>0</v>
          </cell>
          <cell r="U349">
            <v>43102</v>
          </cell>
          <cell r="V349" t="str">
            <v>금형제조부</v>
          </cell>
          <cell r="W349" t="str">
            <v>세미금형, 초물확인.</v>
          </cell>
          <cell r="Y349">
            <v>30</v>
          </cell>
          <cell r="Z349">
            <v>6885</v>
          </cell>
          <cell r="AD349">
            <v>0.85</v>
          </cell>
          <cell r="AE349">
            <v>90</v>
          </cell>
          <cell r="AF349">
            <v>1</v>
          </cell>
        </row>
        <row r="350">
          <cell r="A350" t="str">
            <v>선물세트-대</v>
          </cell>
          <cell r="B350" t="str">
            <v>BOX</v>
          </cell>
          <cell r="C350">
            <v>2</v>
          </cell>
          <cell r="D350">
            <v>75</v>
          </cell>
          <cell r="E350">
            <v>172</v>
          </cell>
          <cell r="F350">
            <v>50</v>
          </cell>
          <cell r="G350" t="str">
            <v>B240NS</v>
          </cell>
          <cell r="H350">
            <v>10</v>
          </cell>
          <cell r="I350">
            <v>3</v>
          </cell>
          <cell r="J350" t="str">
            <v>구르메</v>
          </cell>
          <cell r="K350">
            <v>34</v>
          </cell>
          <cell r="L350">
            <v>37</v>
          </cell>
          <cell r="M350">
            <v>112</v>
          </cell>
          <cell r="N350">
            <v>115</v>
          </cell>
          <cell r="P350">
            <v>1360</v>
          </cell>
          <cell r="Q350">
            <v>250</v>
          </cell>
          <cell r="S350">
            <v>0</v>
          </cell>
          <cell r="U350">
            <v>43102</v>
          </cell>
          <cell r="V350" t="str">
            <v>금형제조부</v>
          </cell>
          <cell r="W350" t="str">
            <v>세미금형</v>
          </cell>
          <cell r="Y350">
            <v>40</v>
          </cell>
          <cell r="AD350">
            <v>0.85</v>
          </cell>
          <cell r="AE350">
            <v>80</v>
          </cell>
          <cell r="AF350">
            <v>1</v>
          </cell>
        </row>
        <row r="351">
          <cell r="A351" t="str">
            <v>서우박스</v>
          </cell>
          <cell r="B351" t="str">
            <v>SET</v>
          </cell>
          <cell r="C351">
            <v>2</v>
          </cell>
          <cell r="D351">
            <v>100</v>
          </cell>
          <cell r="E351">
            <v>190</v>
          </cell>
          <cell r="F351">
            <v>74</v>
          </cell>
          <cell r="G351" t="str">
            <v>SE2500M</v>
          </cell>
          <cell r="H351">
            <v>10</v>
          </cell>
          <cell r="I351">
            <v>2</v>
          </cell>
          <cell r="J351" t="str">
            <v>서우코퍼레이션</v>
          </cell>
          <cell r="K351">
            <v>28</v>
          </cell>
          <cell r="L351">
            <v>32</v>
          </cell>
          <cell r="M351">
            <v>79</v>
          </cell>
          <cell r="N351">
            <v>83</v>
          </cell>
          <cell r="P351">
            <v>1360</v>
          </cell>
          <cell r="Q351">
            <v>200</v>
          </cell>
          <cell r="R351" t="str">
            <v>검정</v>
          </cell>
          <cell r="S351" t="str">
            <v>검정</v>
          </cell>
          <cell r="U351">
            <v>44424</v>
          </cell>
          <cell r="V351" t="str">
            <v>경원 ENG</v>
          </cell>
          <cell r="Y351">
            <v>64</v>
          </cell>
          <cell r="Z351">
            <v>12242</v>
          </cell>
          <cell r="AC351" t="str">
            <v>석상준과장, 2021.08.27 각인변경</v>
          </cell>
          <cell r="AD351">
            <v>0.85</v>
          </cell>
          <cell r="AF351">
            <v>6</v>
          </cell>
        </row>
        <row r="352">
          <cell r="A352" t="str">
            <v>서랍장박스</v>
          </cell>
          <cell r="B352" t="str">
            <v>SET</v>
          </cell>
          <cell r="C352">
            <v>6</v>
          </cell>
          <cell r="D352">
            <v>62</v>
          </cell>
          <cell r="E352">
            <v>63</v>
          </cell>
          <cell r="F352">
            <v>65</v>
          </cell>
          <cell r="G352" t="str">
            <v>B240NS</v>
          </cell>
          <cell r="H352">
            <v>40</v>
          </cell>
          <cell r="I352">
            <v>1</v>
          </cell>
          <cell r="J352" t="str">
            <v>아트박스</v>
          </cell>
          <cell r="K352">
            <v>48</v>
          </cell>
          <cell r="L352">
            <v>52</v>
          </cell>
          <cell r="O352">
            <v>380</v>
          </cell>
          <cell r="P352">
            <v>1300</v>
          </cell>
          <cell r="Q352">
            <v>150</v>
          </cell>
          <cell r="R352" t="str">
            <v>밴딩</v>
          </cell>
          <cell r="S352" t="str">
            <v>밴딩</v>
          </cell>
          <cell r="T352" t="str">
            <v>아트박스-서랍장박스</v>
          </cell>
          <cell r="U352">
            <v>39111</v>
          </cell>
          <cell r="V352" t="str">
            <v>삼일금형</v>
          </cell>
          <cell r="X352" t="str">
            <v>T-0112</v>
          </cell>
          <cell r="AC352" t="str">
            <v>2020.07.08 BURR 수리</v>
          </cell>
          <cell r="AD352">
            <v>0.85</v>
          </cell>
          <cell r="AE352">
            <v>80</v>
          </cell>
          <cell r="AF352">
            <v>6</v>
          </cell>
        </row>
        <row r="353">
          <cell r="A353" t="str">
            <v>삼진타우로린</v>
          </cell>
          <cell r="B353" t="str">
            <v>SET</v>
          </cell>
          <cell r="C353">
            <v>4</v>
          </cell>
          <cell r="D353">
            <v>85</v>
          </cell>
          <cell r="E353">
            <v>161</v>
          </cell>
          <cell r="F353">
            <v>65</v>
          </cell>
          <cell r="G353" t="str">
            <v>B240NS</v>
          </cell>
          <cell r="H353">
            <v>20</v>
          </cell>
          <cell r="I353">
            <v>2</v>
          </cell>
          <cell r="J353" t="str">
            <v>삼진제약</v>
          </cell>
          <cell r="K353">
            <v>68</v>
          </cell>
          <cell r="L353">
            <v>72</v>
          </cell>
          <cell r="M353">
            <v>116</v>
          </cell>
          <cell r="N353">
            <v>120</v>
          </cell>
          <cell r="O353">
            <v>1600</v>
          </cell>
          <cell r="P353">
            <v>1360</v>
          </cell>
          <cell r="Q353">
            <v>200</v>
          </cell>
          <cell r="R353" t="str">
            <v>초록</v>
          </cell>
          <cell r="S353" t="str">
            <v>초록</v>
          </cell>
          <cell r="T353" t="str">
            <v>삼진타우로린</v>
          </cell>
          <cell r="U353">
            <v>42019</v>
          </cell>
          <cell r="V353" t="str">
            <v>금형제조부</v>
          </cell>
          <cell r="W353" t="str">
            <v>지그검사 후 양산, 몸통,뚜껑따로포장,건조2회,6~9착형지양.기름,이물,벌레주의!,17~20호기착형 추천.</v>
          </cell>
          <cell r="Y353">
            <v>50</v>
          </cell>
          <cell r="Z353">
            <v>7995</v>
          </cell>
          <cell r="AC353" t="str">
            <v>김일환계장,코팅완료</v>
          </cell>
          <cell r="AD353">
            <v>0.85</v>
          </cell>
          <cell r="AE353">
            <v>80</v>
          </cell>
          <cell r="AF353">
            <v>1</v>
          </cell>
        </row>
        <row r="354">
          <cell r="A354" t="str">
            <v>삼BOX-중(40배)</v>
          </cell>
          <cell r="B354" t="str">
            <v>BOX</v>
          </cell>
          <cell r="C354">
            <v>4</v>
          </cell>
          <cell r="D354">
            <v>95</v>
          </cell>
          <cell r="E354">
            <v>120</v>
          </cell>
          <cell r="F354">
            <v>50</v>
          </cell>
          <cell r="G354" t="str">
            <v>B240NS</v>
          </cell>
          <cell r="H354">
            <v>40</v>
          </cell>
          <cell r="I354">
            <v>2</v>
          </cell>
          <cell r="J354" t="str">
            <v>모을패키지</v>
          </cell>
          <cell r="K354">
            <v>28</v>
          </cell>
          <cell r="L354">
            <v>31</v>
          </cell>
          <cell r="M354">
            <v>48</v>
          </cell>
          <cell r="N354">
            <v>51</v>
          </cell>
          <cell r="O354">
            <v>790</v>
          </cell>
          <cell r="P354">
            <v>1500</v>
          </cell>
          <cell r="Q354">
            <v>150</v>
          </cell>
          <cell r="R354" t="str">
            <v>노랑</v>
          </cell>
          <cell r="S354" t="str">
            <v>노랑</v>
          </cell>
          <cell r="U354">
            <v>42814</v>
          </cell>
          <cell r="V354" t="str">
            <v>세일하이테크</v>
          </cell>
          <cell r="W354" t="str">
            <v>TOP/BOT따로포장,융착,오염,초물/건조중량 확인.높이치수30mm</v>
          </cell>
          <cell r="AC354" t="str">
            <v>삼BOX-중 동일금형</v>
          </cell>
          <cell r="AD354">
            <v>0.9</v>
          </cell>
          <cell r="AE354">
            <v>90</v>
          </cell>
          <cell r="AF354">
            <v>4</v>
          </cell>
        </row>
        <row r="355">
          <cell r="A355" t="str">
            <v>삼BOX-중(30배)</v>
          </cell>
          <cell r="B355" t="str">
            <v>BOX</v>
          </cell>
          <cell r="C355">
            <v>4</v>
          </cell>
          <cell r="D355">
            <v>95</v>
          </cell>
          <cell r="E355">
            <v>135</v>
          </cell>
          <cell r="F355">
            <v>36</v>
          </cell>
          <cell r="G355" t="str">
            <v>B240NS</v>
          </cell>
          <cell r="H355">
            <v>40</v>
          </cell>
          <cell r="I355">
            <v>2</v>
          </cell>
          <cell r="J355" t="str">
            <v>모을패키지</v>
          </cell>
          <cell r="K355">
            <v>28</v>
          </cell>
          <cell r="L355">
            <v>31</v>
          </cell>
          <cell r="M355">
            <v>48</v>
          </cell>
          <cell r="N355">
            <v>51</v>
          </cell>
          <cell r="O355">
            <v>840</v>
          </cell>
          <cell r="P355">
            <v>1500</v>
          </cell>
          <cell r="Q355">
            <v>150</v>
          </cell>
          <cell r="R355" t="str">
            <v>흰색</v>
          </cell>
          <cell r="S355" t="str">
            <v>흰색</v>
          </cell>
          <cell r="U355">
            <v>42814</v>
          </cell>
          <cell r="V355" t="str">
            <v>세일하이테크</v>
          </cell>
          <cell r="W355" t="str">
            <v>TOP/BOT따로포장,융착,오염,초물/건조중량 확인.높이치수30mm</v>
          </cell>
          <cell r="AC355" t="str">
            <v>삼BOX-중 동일금형</v>
          </cell>
          <cell r="AD355">
            <v>0.9</v>
          </cell>
          <cell r="AE355">
            <v>90</v>
          </cell>
          <cell r="AF355">
            <v>4</v>
          </cell>
        </row>
        <row r="356">
          <cell r="A356" t="str">
            <v>삼BOX-중</v>
          </cell>
          <cell r="B356" t="str">
            <v>BOX</v>
          </cell>
          <cell r="C356">
            <v>4</v>
          </cell>
          <cell r="D356">
            <v>65</v>
          </cell>
          <cell r="E356">
            <v>100</v>
          </cell>
          <cell r="F356">
            <v>65</v>
          </cell>
          <cell r="G356" t="str">
            <v>B240NS</v>
          </cell>
          <cell r="H356">
            <v>40</v>
          </cell>
          <cell r="I356">
            <v>2</v>
          </cell>
          <cell r="J356" t="str">
            <v>모을패키지</v>
          </cell>
          <cell r="K356">
            <v>28</v>
          </cell>
          <cell r="L356">
            <v>31</v>
          </cell>
          <cell r="M356">
            <v>48</v>
          </cell>
          <cell r="N356">
            <v>51</v>
          </cell>
          <cell r="O356">
            <v>600</v>
          </cell>
          <cell r="P356">
            <v>1500</v>
          </cell>
          <cell r="Q356">
            <v>150</v>
          </cell>
          <cell r="R356" t="str">
            <v>녹색</v>
          </cell>
          <cell r="S356" t="str">
            <v>녹색</v>
          </cell>
          <cell r="U356">
            <v>42814</v>
          </cell>
          <cell r="V356" t="str">
            <v>세일하이테크</v>
          </cell>
          <cell r="W356" t="str">
            <v>TOP/BOT따로포장,융착,오염,초물/건조중량 확인.높이치수30mm</v>
          </cell>
          <cell r="AC356" t="str">
            <v>최재학계장(2018.09.15 배율 변경 53배--&gt;62배)</v>
          </cell>
          <cell r="AD356">
            <v>0.85</v>
          </cell>
          <cell r="AE356">
            <v>70</v>
          </cell>
          <cell r="AF356">
            <v>2</v>
          </cell>
        </row>
        <row r="357">
          <cell r="A357" t="str">
            <v>삼BOX-소(30배)</v>
          </cell>
          <cell r="B357" t="str">
            <v>BOX</v>
          </cell>
          <cell r="C357">
            <v>4</v>
          </cell>
          <cell r="D357">
            <v>85</v>
          </cell>
          <cell r="E357">
            <v>105</v>
          </cell>
          <cell r="F357">
            <v>36</v>
          </cell>
          <cell r="G357" t="str">
            <v>B240NS</v>
          </cell>
          <cell r="H357">
            <v>40</v>
          </cell>
          <cell r="I357">
            <v>2</v>
          </cell>
          <cell r="J357" t="str">
            <v>모을패키지</v>
          </cell>
          <cell r="K357">
            <v>28</v>
          </cell>
          <cell r="L357">
            <v>31</v>
          </cell>
          <cell r="M357">
            <v>48</v>
          </cell>
          <cell r="N357">
            <v>51</v>
          </cell>
          <cell r="O357">
            <v>660</v>
          </cell>
          <cell r="P357">
            <v>1360</v>
          </cell>
          <cell r="Q357">
            <v>150</v>
          </cell>
          <cell r="R357" t="str">
            <v>검정</v>
          </cell>
          <cell r="S357" t="str">
            <v>검정</v>
          </cell>
          <cell r="U357">
            <v>42814</v>
          </cell>
          <cell r="V357" t="str">
            <v>세일하이테크</v>
          </cell>
          <cell r="W357" t="str">
            <v>TOP/BOT따로포장,융착,오염,초물/건조중량 확인.높이치수30mm</v>
          </cell>
          <cell r="AC357" t="str">
            <v>삼BOX-소 동일금형</v>
          </cell>
          <cell r="AD357">
            <v>0.9</v>
          </cell>
          <cell r="AE357">
            <v>80</v>
          </cell>
          <cell r="AF357">
            <v>2</v>
          </cell>
        </row>
        <row r="358">
          <cell r="A358" t="str">
            <v>삼BOX-소</v>
          </cell>
          <cell r="B358" t="str">
            <v>BOX</v>
          </cell>
          <cell r="C358">
            <v>4</v>
          </cell>
          <cell r="D358">
            <v>65</v>
          </cell>
          <cell r="E358">
            <v>80</v>
          </cell>
          <cell r="F358">
            <v>65</v>
          </cell>
          <cell r="G358" t="str">
            <v>B240NS</v>
          </cell>
          <cell r="H358">
            <v>40</v>
          </cell>
          <cell r="I358">
            <v>2</v>
          </cell>
          <cell r="J358" t="str">
            <v>모을패키지</v>
          </cell>
          <cell r="K358">
            <v>28</v>
          </cell>
          <cell r="L358">
            <v>31</v>
          </cell>
          <cell r="M358">
            <v>48</v>
          </cell>
          <cell r="N358">
            <v>51</v>
          </cell>
          <cell r="O358">
            <v>480</v>
          </cell>
          <cell r="P358">
            <v>1360</v>
          </cell>
          <cell r="Q358">
            <v>150</v>
          </cell>
          <cell r="R358" t="str">
            <v>주황</v>
          </cell>
          <cell r="S358" t="str">
            <v>주황</v>
          </cell>
          <cell r="U358">
            <v>42814</v>
          </cell>
          <cell r="V358" t="str">
            <v>세일하이테크</v>
          </cell>
          <cell r="W358" t="str">
            <v>TOP/BOT따로포장,융착,오염,초물/건조중량 확인.높이치수30mm</v>
          </cell>
          <cell r="AC358" t="str">
            <v>최재학계장(2018.09.15 배율 변경 53배--&gt;62배),2019.05.14끈색변경(빨강-&gt;주황)</v>
          </cell>
          <cell r="AD358">
            <v>0.85</v>
          </cell>
          <cell r="AE358">
            <v>70</v>
          </cell>
          <cell r="AF358">
            <v>1</v>
          </cell>
        </row>
        <row r="359">
          <cell r="A359" t="str">
            <v>삼BOX-대</v>
          </cell>
          <cell r="B359" t="str">
            <v>BOX</v>
          </cell>
          <cell r="C359">
            <v>2</v>
          </cell>
          <cell r="D359">
            <v>80</v>
          </cell>
          <cell r="E359">
            <v>198</v>
          </cell>
          <cell r="F359">
            <v>50</v>
          </cell>
          <cell r="G359" t="str">
            <v>B240NS</v>
          </cell>
          <cell r="H359" t="str">
            <v>몸통20뚜껑40</v>
          </cell>
          <cell r="I359">
            <v>2</v>
          </cell>
          <cell r="J359" t="str">
            <v>해외문화</v>
          </cell>
          <cell r="K359">
            <v>38.5</v>
          </cell>
          <cell r="L359">
            <v>42.5</v>
          </cell>
          <cell r="O359">
            <v>10</v>
          </cell>
          <cell r="P359">
            <v>1360</v>
          </cell>
          <cell r="Q359">
            <v>200</v>
          </cell>
          <cell r="R359" t="str">
            <v>보라</v>
          </cell>
          <cell r="S359" t="str">
            <v>보라</v>
          </cell>
          <cell r="U359">
            <v>43118</v>
          </cell>
          <cell r="V359" t="str">
            <v>금형제조부</v>
          </cell>
          <cell r="Y359">
            <v>40</v>
          </cell>
          <cell r="Z359">
            <v>7900</v>
          </cell>
          <cell r="AC359" t="str">
            <v>최재학계장</v>
          </cell>
          <cell r="AD359">
            <v>0.9</v>
          </cell>
          <cell r="AE359">
            <v>150</v>
          </cell>
          <cell r="AF359">
            <v>6</v>
          </cell>
        </row>
        <row r="360">
          <cell r="A360" t="str">
            <v>빌트인제습기</v>
          </cell>
          <cell r="B360" t="str">
            <v>SET</v>
          </cell>
          <cell r="C360">
            <v>3</v>
          </cell>
          <cell r="D360">
            <v>100</v>
          </cell>
          <cell r="E360">
            <v>374</v>
          </cell>
          <cell r="F360">
            <v>58</v>
          </cell>
          <cell r="G360" t="str">
            <v>B240NS</v>
          </cell>
          <cell r="H360">
            <v>6</v>
          </cell>
          <cell r="I360">
            <v>2</v>
          </cell>
          <cell r="J360" t="str">
            <v>힘펠</v>
          </cell>
          <cell r="K360">
            <v>148</v>
          </cell>
          <cell r="L360">
            <v>152</v>
          </cell>
          <cell r="M360">
            <v>148</v>
          </cell>
          <cell r="N360">
            <v>152</v>
          </cell>
          <cell r="P360">
            <v>1360</v>
          </cell>
          <cell r="Q360">
            <v>250</v>
          </cell>
          <cell r="R360" t="str">
            <v>빨강</v>
          </cell>
          <cell r="U360">
            <v>44742</v>
          </cell>
          <cell r="V360" t="str">
            <v>경원 ENG</v>
          </cell>
          <cell r="AC360" t="str">
            <v>김영석사원</v>
          </cell>
          <cell r="AD360">
            <v>0.85</v>
          </cell>
        </row>
        <row r="361">
          <cell r="A361" t="str">
            <v>빌트인제습기</v>
          </cell>
          <cell r="B361" t="str">
            <v>SET</v>
          </cell>
          <cell r="C361">
            <v>3</v>
          </cell>
          <cell r="D361">
            <v>100</v>
          </cell>
          <cell r="E361">
            <v>374</v>
          </cell>
          <cell r="F361">
            <v>58</v>
          </cell>
          <cell r="G361" t="str">
            <v>B240NS</v>
          </cell>
          <cell r="H361">
            <v>6</v>
          </cell>
          <cell r="I361">
            <v>2</v>
          </cell>
          <cell r="J361" t="str">
            <v>힘펠</v>
          </cell>
          <cell r="K361">
            <v>148</v>
          </cell>
          <cell r="L361">
            <v>152</v>
          </cell>
          <cell r="M361">
            <v>148</v>
          </cell>
          <cell r="N361">
            <v>152</v>
          </cell>
          <cell r="P361">
            <v>1360</v>
          </cell>
          <cell r="Q361">
            <v>250</v>
          </cell>
          <cell r="R361" t="str">
            <v>빨강</v>
          </cell>
          <cell r="U361">
            <v>44742</v>
          </cell>
          <cell r="V361" t="str">
            <v>경원 ENG</v>
          </cell>
          <cell r="AC361" t="str">
            <v>김영석사원</v>
          </cell>
          <cell r="AD361">
            <v>0.85</v>
          </cell>
        </row>
        <row r="362">
          <cell r="A362" t="str">
            <v>빅토리아-KL/KU</v>
          </cell>
          <cell r="B362" t="str">
            <v>SET</v>
          </cell>
          <cell r="C362">
            <v>1</v>
          </cell>
          <cell r="D362">
            <v>140</v>
          </cell>
          <cell r="E362">
            <v>3146</v>
          </cell>
          <cell r="F362">
            <v>50</v>
          </cell>
          <cell r="G362" t="str">
            <v>B240NS</v>
          </cell>
          <cell r="H362">
            <v>1</v>
          </cell>
          <cell r="I362">
            <v>4</v>
          </cell>
          <cell r="J362" t="str">
            <v>뉴옵틱스</v>
          </cell>
          <cell r="K362">
            <v>118</v>
          </cell>
          <cell r="L362">
            <v>120</v>
          </cell>
          <cell r="M362">
            <v>295</v>
          </cell>
          <cell r="N362">
            <v>299</v>
          </cell>
          <cell r="P362">
            <v>1700</v>
          </cell>
          <cell r="Q362">
            <v>400</v>
          </cell>
          <cell r="U362">
            <v>44630</v>
          </cell>
          <cell r="V362" t="str">
            <v>세일하이테크</v>
          </cell>
          <cell r="W362" t="str">
            <v>PE폼 TOP (488*40*15) / BOT (488*60*15)</v>
          </cell>
          <cell r="Y362">
            <v>40</v>
          </cell>
          <cell r="AC362" t="str">
            <v>김영석사원</v>
          </cell>
          <cell r="AD362">
            <v>0.85</v>
          </cell>
        </row>
        <row r="363">
          <cell r="A363" t="str">
            <v>빅토리아-KL/KU</v>
          </cell>
          <cell r="B363" t="str">
            <v>SET</v>
          </cell>
          <cell r="C363">
            <v>1</v>
          </cell>
          <cell r="D363">
            <v>100</v>
          </cell>
          <cell r="E363">
            <v>3146</v>
          </cell>
          <cell r="F363">
            <v>50</v>
          </cell>
          <cell r="G363" t="str">
            <v>B240NS</v>
          </cell>
          <cell r="H363">
            <v>1</v>
          </cell>
          <cell r="I363">
            <v>4</v>
          </cell>
          <cell r="J363" t="str">
            <v>뉴옵틱스</v>
          </cell>
          <cell r="K363">
            <v>118</v>
          </cell>
          <cell r="L363">
            <v>120</v>
          </cell>
          <cell r="M363">
            <v>295</v>
          </cell>
          <cell r="N363">
            <v>299</v>
          </cell>
          <cell r="P363">
            <v>1700</v>
          </cell>
          <cell r="Q363">
            <v>400</v>
          </cell>
          <cell r="U363">
            <v>44630</v>
          </cell>
          <cell r="V363" t="str">
            <v>세일하이테크</v>
          </cell>
          <cell r="W363" t="str">
            <v>PE폼 TOP (488*40*15) / BOT (488*60*15)</v>
          </cell>
          <cell r="Y363">
            <v>40</v>
          </cell>
          <cell r="AC363" t="str">
            <v>김영석사원</v>
          </cell>
          <cell r="AD363">
            <v>0.85</v>
          </cell>
        </row>
        <row r="364">
          <cell r="A364" t="str">
            <v>빅토리아-F</v>
          </cell>
          <cell r="B364" t="str">
            <v>SET</v>
          </cell>
          <cell r="C364">
            <v>1</v>
          </cell>
          <cell r="D364">
            <v>140</v>
          </cell>
          <cell r="E364">
            <v>2888</v>
          </cell>
          <cell r="F364">
            <v>50</v>
          </cell>
          <cell r="G364" t="str">
            <v>B240NS</v>
          </cell>
          <cell r="H364">
            <v>1</v>
          </cell>
          <cell r="I364">
            <v>2</v>
          </cell>
          <cell r="J364" t="str">
            <v>뉴옵틱스</v>
          </cell>
          <cell r="K364">
            <v>519</v>
          </cell>
          <cell r="L364">
            <v>522</v>
          </cell>
          <cell r="M364">
            <v>585</v>
          </cell>
          <cell r="N364">
            <v>589</v>
          </cell>
          <cell r="P364">
            <v>1360</v>
          </cell>
          <cell r="Q364">
            <v>700</v>
          </cell>
          <cell r="T364" t="str">
            <v>빅토리아-TOP/BOT</v>
          </cell>
          <cell r="U364">
            <v>44631</v>
          </cell>
          <cell r="V364" t="str">
            <v>이피엠테크</v>
          </cell>
          <cell r="W364" t="str">
            <v>PE폼 TOP (488*40*15) / BOT (488*60*15)1304a1305a</v>
          </cell>
          <cell r="Y364">
            <v>40</v>
          </cell>
          <cell r="AC364" t="str">
            <v>김영석사원</v>
          </cell>
          <cell r="AD364">
            <v>0.85</v>
          </cell>
        </row>
        <row r="365">
          <cell r="A365" t="str">
            <v>빅토리아-F</v>
          </cell>
          <cell r="B365" t="str">
            <v>SET</v>
          </cell>
          <cell r="C365">
            <v>1</v>
          </cell>
          <cell r="D365">
            <v>100</v>
          </cell>
          <cell r="E365">
            <v>2888</v>
          </cell>
          <cell r="F365">
            <v>50</v>
          </cell>
          <cell r="G365" t="str">
            <v>B240NS</v>
          </cell>
          <cell r="H365">
            <v>1</v>
          </cell>
          <cell r="I365">
            <v>2</v>
          </cell>
          <cell r="J365" t="str">
            <v>뉴옵틱스</v>
          </cell>
          <cell r="K365">
            <v>519</v>
          </cell>
          <cell r="L365">
            <v>522</v>
          </cell>
          <cell r="M365">
            <v>585</v>
          </cell>
          <cell r="N365">
            <v>589</v>
          </cell>
          <cell r="P365">
            <v>1360</v>
          </cell>
          <cell r="Q365">
            <v>700</v>
          </cell>
          <cell r="T365" t="str">
            <v>빅토리아-TOP/BOT</v>
          </cell>
          <cell r="U365">
            <v>44631</v>
          </cell>
          <cell r="V365" t="str">
            <v>이피엠테크</v>
          </cell>
          <cell r="W365" t="str">
            <v>PE폼 TOP (488*40*15) / BOT (488*60*15)1304a1305a</v>
          </cell>
          <cell r="Y365">
            <v>40</v>
          </cell>
          <cell r="AC365" t="str">
            <v>김영석사원</v>
          </cell>
          <cell r="AD365">
            <v>0.85</v>
          </cell>
        </row>
        <row r="366">
          <cell r="A366" t="str">
            <v>빅카메라</v>
          </cell>
          <cell r="B366" t="str">
            <v>저발</v>
          </cell>
          <cell r="C366">
            <v>3</v>
          </cell>
          <cell r="D366">
            <v>100</v>
          </cell>
          <cell r="E366">
            <v>48</v>
          </cell>
          <cell r="F366">
            <v>58</v>
          </cell>
          <cell r="G366" t="str">
            <v>B240NS</v>
          </cell>
          <cell r="H366" t="str">
            <v>TOP:40/BOT:40</v>
          </cell>
          <cell r="I366">
            <v>2</v>
          </cell>
          <cell r="J366" t="str">
            <v>오비오</v>
          </cell>
          <cell r="P366">
            <v>700</v>
          </cell>
          <cell r="Q366">
            <v>0</v>
          </cell>
          <cell r="U366" t="str">
            <v>2022.11.22</v>
          </cell>
          <cell r="V366" t="str">
            <v>금형사업부</v>
          </cell>
          <cell r="AC366" t="str">
            <v>김영석사원</v>
          </cell>
          <cell r="AD366">
            <v>0.85</v>
          </cell>
          <cell r="AF366">
            <v>6</v>
          </cell>
        </row>
        <row r="367">
          <cell r="A367" t="str">
            <v>빅카메라</v>
          </cell>
          <cell r="B367" t="str">
            <v>SET</v>
          </cell>
          <cell r="C367">
            <v>3</v>
          </cell>
          <cell r="D367">
            <v>100</v>
          </cell>
          <cell r="E367">
            <v>48</v>
          </cell>
          <cell r="F367">
            <v>58</v>
          </cell>
          <cell r="G367" t="str">
            <v>B240NS</v>
          </cell>
          <cell r="H367" t="str">
            <v>TOP:20/BOT:20</v>
          </cell>
          <cell r="I367">
            <v>2</v>
          </cell>
          <cell r="J367" t="str">
            <v>오비오</v>
          </cell>
          <cell r="P367">
            <v>700</v>
          </cell>
          <cell r="Q367">
            <v>0</v>
          </cell>
          <cell r="U367" t="str">
            <v>2022.11.22</v>
          </cell>
          <cell r="V367" t="str">
            <v>금형사업부</v>
          </cell>
          <cell r="AC367" t="str">
            <v>김영석사원</v>
          </cell>
          <cell r="AD367">
            <v>0.85</v>
          </cell>
        </row>
        <row r="368">
          <cell r="A368" t="str">
            <v>빅카메라</v>
          </cell>
          <cell r="B368" t="str">
            <v>SET</v>
          </cell>
          <cell r="C368">
            <v>3</v>
          </cell>
          <cell r="D368">
            <v>100</v>
          </cell>
          <cell r="E368">
            <v>48</v>
          </cell>
          <cell r="F368">
            <v>58</v>
          </cell>
          <cell r="G368" t="str">
            <v>B240NS</v>
          </cell>
          <cell r="H368">
            <v>1</v>
          </cell>
          <cell r="I368">
            <v>2</v>
          </cell>
          <cell r="J368" t="str">
            <v>오비오</v>
          </cell>
          <cell r="P368">
            <v>700</v>
          </cell>
          <cell r="U368" t="str">
            <v>2022.11.22</v>
          </cell>
          <cell r="V368" t="str">
            <v>금형사업부</v>
          </cell>
          <cell r="AC368" t="str">
            <v>김영석사원</v>
          </cell>
          <cell r="AD368">
            <v>0.85</v>
          </cell>
        </row>
        <row r="369">
          <cell r="A369" t="str">
            <v>비데-LOWER(60배)</v>
          </cell>
          <cell r="B369" t="str">
            <v>SET</v>
          </cell>
          <cell r="C369">
            <v>4</v>
          </cell>
          <cell r="D369">
            <v>85</v>
          </cell>
          <cell r="E369">
            <v>177</v>
          </cell>
          <cell r="F369">
            <v>74</v>
          </cell>
          <cell r="G369" t="str">
            <v>B240NS</v>
          </cell>
          <cell r="H369">
            <v>10</v>
          </cell>
          <cell r="I369">
            <v>1</v>
          </cell>
          <cell r="J369" t="str">
            <v>SK매직</v>
          </cell>
          <cell r="K369">
            <v>63</v>
          </cell>
          <cell r="L369">
            <v>67</v>
          </cell>
          <cell r="O369">
            <v>1042</v>
          </cell>
          <cell r="P369">
            <v>1360</v>
          </cell>
          <cell r="Q369">
            <v>150</v>
          </cell>
          <cell r="R369" t="str">
            <v>흰색</v>
          </cell>
          <cell r="S369" t="str">
            <v>흰색</v>
          </cell>
          <cell r="T369" t="str">
            <v>BID-LOWER</v>
          </cell>
          <cell r="U369">
            <v>38692</v>
          </cell>
          <cell r="V369" t="str">
            <v>삼일금형</v>
          </cell>
          <cell r="W369" t="str">
            <v>57301-35001</v>
          </cell>
          <cell r="X369" t="str">
            <v>D-0706</v>
          </cell>
          <cell r="AC369" t="str">
            <v>2013.08.15개조, 2014.08.3배율변경(62-&gt;65)</v>
          </cell>
          <cell r="AD369">
            <v>0.85</v>
          </cell>
          <cell r="AE369">
            <v>90</v>
          </cell>
          <cell r="AF369">
            <v>4</v>
          </cell>
        </row>
        <row r="370">
          <cell r="A370" t="str">
            <v>비데-LOWER</v>
          </cell>
          <cell r="B370" t="str">
            <v>SET</v>
          </cell>
          <cell r="C370">
            <v>4</v>
          </cell>
          <cell r="D370">
            <v>85</v>
          </cell>
          <cell r="E370">
            <v>220</v>
          </cell>
          <cell r="F370">
            <v>74</v>
          </cell>
          <cell r="G370" t="str">
            <v>B240NS</v>
          </cell>
          <cell r="H370">
            <v>10</v>
          </cell>
          <cell r="I370">
            <v>1</v>
          </cell>
          <cell r="J370" t="str">
            <v>SK매직</v>
          </cell>
          <cell r="K370">
            <v>63</v>
          </cell>
          <cell r="L370">
            <v>67</v>
          </cell>
          <cell r="O370">
            <v>1042</v>
          </cell>
          <cell r="P370">
            <v>1360</v>
          </cell>
          <cell r="Q370">
            <v>150</v>
          </cell>
          <cell r="R370" t="str">
            <v>흰색</v>
          </cell>
          <cell r="S370" t="str">
            <v>흰색</v>
          </cell>
          <cell r="T370" t="str">
            <v>BID-LOWER</v>
          </cell>
          <cell r="U370">
            <v>38692</v>
          </cell>
          <cell r="V370" t="str">
            <v>삼일금형</v>
          </cell>
          <cell r="W370" t="str">
            <v>57301-35001</v>
          </cell>
          <cell r="X370" t="str">
            <v>D-0706</v>
          </cell>
          <cell r="AC370" t="str">
            <v>2013.08.15개조, 2014.08.3배율변경(62-&gt;65)</v>
          </cell>
          <cell r="AD370">
            <v>0.85</v>
          </cell>
          <cell r="AE370">
            <v>90</v>
          </cell>
          <cell r="AF370">
            <v>2</v>
          </cell>
        </row>
        <row r="371">
          <cell r="A371" t="str">
            <v>비데8000SET(60배)</v>
          </cell>
          <cell r="B371" t="str">
            <v>SET</v>
          </cell>
          <cell r="C371">
            <v>2</v>
          </cell>
          <cell r="D371">
            <v>93</v>
          </cell>
          <cell r="E371">
            <v>458</v>
          </cell>
          <cell r="F371">
            <v>74</v>
          </cell>
          <cell r="G371" t="str">
            <v>B240NS</v>
          </cell>
          <cell r="H371">
            <v>10</v>
          </cell>
          <cell r="I371">
            <v>3</v>
          </cell>
          <cell r="J371" t="str">
            <v>SK매직</v>
          </cell>
          <cell r="K371">
            <v>188</v>
          </cell>
          <cell r="L371">
            <v>192</v>
          </cell>
          <cell r="M371">
            <v>89</v>
          </cell>
          <cell r="N371">
            <v>91</v>
          </cell>
          <cell r="O371">
            <v>2492</v>
          </cell>
          <cell r="P371">
            <v>1500</v>
          </cell>
          <cell r="Q371">
            <v>300</v>
          </cell>
          <cell r="R371" t="str">
            <v>녹색</v>
          </cell>
          <cell r="S371" t="str">
            <v>녹색</v>
          </cell>
          <cell r="T371" t="str">
            <v>비데8000SET</v>
          </cell>
          <cell r="U371">
            <v>41200</v>
          </cell>
          <cell r="V371" t="str">
            <v>금형제조부</v>
          </cell>
          <cell r="W371" t="str">
            <v>직가래3개설치</v>
          </cell>
          <cell r="X371" t="str">
            <v>B-0906</v>
          </cell>
          <cell r="AC371" t="str">
            <v>최재학사원,2016.07.26배율변경65-&gt;62</v>
          </cell>
          <cell r="AD371">
            <v>0.85</v>
          </cell>
          <cell r="AE371">
            <v>90</v>
          </cell>
          <cell r="AF371">
            <v>4</v>
          </cell>
        </row>
        <row r="372">
          <cell r="A372" t="str">
            <v>비데8000SET</v>
          </cell>
          <cell r="B372" t="str">
            <v>SET</v>
          </cell>
          <cell r="C372">
            <v>2</v>
          </cell>
          <cell r="D372">
            <v>93</v>
          </cell>
          <cell r="E372">
            <v>526</v>
          </cell>
          <cell r="F372">
            <v>70</v>
          </cell>
          <cell r="G372" t="str">
            <v>B240NS</v>
          </cell>
          <cell r="H372">
            <v>10</v>
          </cell>
          <cell r="I372">
            <v>3</v>
          </cell>
          <cell r="J372" t="str">
            <v>SK매직</v>
          </cell>
          <cell r="K372">
            <v>188</v>
          </cell>
          <cell r="L372">
            <v>192</v>
          </cell>
          <cell r="M372">
            <v>89</v>
          </cell>
          <cell r="N372">
            <v>91</v>
          </cell>
          <cell r="O372">
            <v>2492</v>
          </cell>
          <cell r="P372">
            <v>1500</v>
          </cell>
          <cell r="Q372">
            <v>300</v>
          </cell>
          <cell r="R372" t="str">
            <v>녹색</v>
          </cell>
          <cell r="S372" t="str">
            <v>녹색</v>
          </cell>
          <cell r="T372" t="str">
            <v>비데8000SET</v>
          </cell>
          <cell r="U372">
            <v>41200</v>
          </cell>
          <cell r="V372" t="str">
            <v>금형제조부</v>
          </cell>
          <cell r="W372" t="str">
            <v>직가래3개설치</v>
          </cell>
          <cell r="X372" t="str">
            <v>B-0906</v>
          </cell>
          <cell r="AC372" t="str">
            <v>최재학사원,2016.07.26배율변경65-&gt;62</v>
          </cell>
          <cell r="AD372">
            <v>0.85</v>
          </cell>
          <cell r="AE372">
            <v>90</v>
          </cell>
        </row>
        <row r="373">
          <cell r="A373" t="str">
            <v>비데8000LOW</v>
          </cell>
          <cell r="B373" t="str">
            <v>SET</v>
          </cell>
          <cell r="C373">
            <v>2</v>
          </cell>
          <cell r="D373">
            <v>80</v>
          </cell>
          <cell r="E373">
            <v>250</v>
          </cell>
          <cell r="F373">
            <v>74</v>
          </cell>
          <cell r="G373" t="str">
            <v>B240NS</v>
          </cell>
          <cell r="H373">
            <v>10</v>
          </cell>
          <cell r="I373">
            <v>1</v>
          </cell>
          <cell r="J373" t="str">
            <v>SK매직</v>
          </cell>
          <cell r="K373">
            <v>88</v>
          </cell>
          <cell r="L373">
            <v>92</v>
          </cell>
          <cell r="O373">
            <v>1185</v>
          </cell>
          <cell r="P373">
            <v>1300</v>
          </cell>
          <cell r="Q373">
            <v>200</v>
          </cell>
          <cell r="R373" t="str">
            <v>빨강</v>
          </cell>
          <cell r="S373" t="str">
            <v>빨강</v>
          </cell>
          <cell r="T373" t="str">
            <v>비데8000-LOWER</v>
          </cell>
          <cell r="U373">
            <v>38953</v>
          </cell>
          <cell r="V373" t="str">
            <v>삼일금형</v>
          </cell>
          <cell r="W373" t="str">
            <v>57303-30000</v>
          </cell>
          <cell r="X373" t="str">
            <v>계양리 L-1</v>
          </cell>
          <cell r="AC373" t="str">
            <v>2012.01.15기준중량변경(270-&gt;250), 2012.08.21 수정,2012.09.25수리</v>
          </cell>
          <cell r="AD373">
            <v>0.85</v>
          </cell>
          <cell r="AE373">
            <v>80</v>
          </cell>
          <cell r="AF373">
            <v>2</v>
          </cell>
        </row>
        <row r="374">
          <cell r="A374" t="str">
            <v>비데8000</v>
          </cell>
          <cell r="B374" t="str">
            <v>SET</v>
          </cell>
          <cell r="C374">
            <v>3</v>
          </cell>
          <cell r="D374">
            <v>100</v>
          </cell>
          <cell r="E374">
            <v>276</v>
          </cell>
          <cell r="F374">
            <v>74</v>
          </cell>
          <cell r="G374" t="str">
            <v>B240NS</v>
          </cell>
          <cell r="H374">
            <v>5</v>
          </cell>
          <cell r="I374">
            <v>2</v>
          </cell>
          <cell r="J374" t="str">
            <v>SK매직</v>
          </cell>
          <cell r="K374">
            <v>188</v>
          </cell>
          <cell r="L374">
            <v>192</v>
          </cell>
          <cell r="M374">
            <v>173</v>
          </cell>
          <cell r="N374">
            <v>177</v>
          </cell>
          <cell r="O374">
            <v>1307</v>
          </cell>
          <cell r="P374">
            <v>1300</v>
          </cell>
          <cell r="Q374">
            <v>300</v>
          </cell>
          <cell r="R374" t="str">
            <v>빨강</v>
          </cell>
          <cell r="S374" t="str">
            <v>빨강</v>
          </cell>
          <cell r="T374" t="str">
            <v>비데8000-UPPER</v>
          </cell>
          <cell r="U374">
            <v>38950</v>
          </cell>
          <cell r="V374" t="str">
            <v>삼일금형</v>
          </cell>
          <cell r="W374" t="str">
            <v>57303-31000,32001</v>
          </cell>
          <cell r="X374" t="str">
            <v>계양리 J-1</v>
          </cell>
          <cell r="AC374" t="str">
            <v>2011.12.22기준중량변경(304-&gt;289), 2012.01.15기준중량변경(289-&gt;276)</v>
          </cell>
          <cell r="AD374">
            <v>0.85</v>
          </cell>
          <cell r="AE374">
            <v>90</v>
          </cell>
          <cell r="AF374">
            <v>16</v>
          </cell>
        </row>
        <row r="375">
          <cell r="A375" t="str">
            <v>비데7000</v>
          </cell>
          <cell r="B375" t="str">
            <v>SET</v>
          </cell>
          <cell r="C375">
            <v>1</v>
          </cell>
          <cell r="D375">
            <v>80</v>
          </cell>
          <cell r="E375">
            <v>455</v>
          </cell>
          <cell r="F375">
            <v>65</v>
          </cell>
          <cell r="G375" t="str">
            <v>B240NS</v>
          </cell>
          <cell r="H375">
            <v>7</v>
          </cell>
          <cell r="I375">
            <v>3</v>
          </cell>
          <cell r="J375" t="str">
            <v>SK매직</v>
          </cell>
          <cell r="K375">
            <v>148</v>
          </cell>
          <cell r="L375">
            <v>152</v>
          </cell>
          <cell r="M375">
            <v>68</v>
          </cell>
          <cell r="N375">
            <v>72</v>
          </cell>
          <cell r="O375">
            <v>2157</v>
          </cell>
          <cell r="P375">
            <v>1300</v>
          </cell>
          <cell r="Q375">
            <v>250</v>
          </cell>
          <cell r="R375" t="str">
            <v>파랑</v>
          </cell>
          <cell r="S375" t="str">
            <v>파랑</v>
          </cell>
          <cell r="T375" t="str">
            <v>비데7000-UP-LOW</v>
          </cell>
          <cell r="U375">
            <v>38916</v>
          </cell>
          <cell r="V375" t="str">
            <v>삼일금형</v>
          </cell>
          <cell r="W375" t="str">
            <v>57302-88000</v>
          </cell>
          <cell r="X375" t="str">
            <v>계양리 L-2</v>
          </cell>
          <cell r="AC375" t="str">
            <v>2012.01.15기준중량변경(458-&gt;455)</v>
          </cell>
          <cell r="AD375">
            <v>0.85</v>
          </cell>
          <cell r="AE375">
            <v>80</v>
          </cell>
          <cell r="AF375">
            <v>4</v>
          </cell>
        </row>
        <row r="376">
          <cell r="A376" t="str">
            <v>비데5500</v>
          </cell>
          <cell r="B376" t="str">
            <v>SET</v>
          </cell>
          <cell r="C376">
            <v>2</v>
          </cell>
          <cell r="D376">
            <v>85</v>
          </cell>
          <cell r="E376">
            <v>640</v>
          </cell>
          <cell r="F376">
            <v>70</v>
          </cell>
          <cell r="G376" t="str">
            <v>B240NS</v>
          </cell>
          <cell r="H376">
            <v>10</v>
          </cell>
          <cell r="I376">
            <v>2</v>
          </cell>
          <cell r="J376" t="str">
            <v>SK매직</v>
          </cell>
          <cell r="K376">
            <v>129</v>
          </cell>
          <cell r="L376">
            <v>131</v>
          </cell>
          <cell r="M376">
            <v>94</v>
          </cell>
          <cell r="N376">
            <v>96</v>
          </cell>
          <cell r="O376">
            <v>3654</v>
          </cell>
          <cell r="P376">
            <v>1500</v>
          </cell>
          <cell r="Q376">
            <v>200</v>
          </cell>
          <cell r="R376" t="str">
            <v>검정</v>
          </cell>
          <cell r="S376" t="str">
            <v>검정</v>
          </cell>
          <cell r="T376" t="str">
            <v>BID5500</v>
          </cell>
          <cell r="U376">
            <v>40948</v>
          </cell>
          <cell r="V376" t="str">
            <v>금형제조부</v>
          </cell>
          <cell r="W376" t="str">
            <v>57305-59,60</v>
          </cell>
          <cell r="X376" t="str">
            <v>E-0707</v>
          </cell>
          <cell r="AC376" t="str">
            <v>석상준계장, 2012.04.25개조, 2012.07.10기준중량변경(755g-&gt;771g), 2014.06.27개조, 2014.07.11 끈색변경(보라-&gt;검정), 190604 60배 640g 배율 변경</v>
          </cell>
          <cell r="AD376">
            <v>0.85</v>
          </cell>
          <cell r="AE376">
            <v>90</v>
          </cell>
          <cell r="AF376">
            <v>6</v>
          </cell>
        </row>
        <row r="377">
          <cell r="A377" t="str">
            <v>비데5000-UP(60배)</v>
          </cell>
          <cell r="B377" t="str">
            <v>SET</v>
          </cell>
          <cell r="C377">
            <v>4</v>
          </cell>
          <cell r="D377">
            <v>90</v>
          </cell>
          <cell r="E377">
            <v>190</v>
          </cell>
          <cell r="F377">
            <v>70</v>
          </cell>
          <cell r="G377" t="str">
            <v>B240NS</v>
          </cell>
          <cell r="H377">
            <v>10</v>
          </cell>
          <cell r="I377">
            <v>1</v>
          </cell>
          <cell r="J377" t="str">
            <v>SK매직</v>
          </cell>
          <cell r="K377">
            <v>129</v>
          </cell>
          <cell r="L377">
            <v>133</v>
          </cell>
          <cell r="O377">
            <v>920</v>
          </cell>
          <cell r="P377">
            <v>1360</v>
          </cell>
          <cell r="Q377">
            <v>250</v>
          </cell>
          <cell r="R377" t="str">
            <v>흰색</v>
          </cell>
          <cell r="S377" t="str">
            <v>흰색</v>
          </cell>
          <cell r="T377" t="str">
            <v>BID5000-UP</v>
          </cell>
          <cell r="U377">
            <v>38694</v>
          </cell>
          <cell r="V377" t="str">
            <v>삼일금형</v>
          </cell>
          <cell r="W377" t="str">
            <v>57301-37001</v>
          </cell>
          <cell r="X377" t="str">
            <v>C-0506</v>
          </cell>
          <cell r="AC377" t="str">
            <v>2012.01.15기준중량변경(201-&gt;194)</v>
          </cell>
          <cell r="AD377">
            <v>0.85</v>
          </cell>
          <cell r="AE377">
            <v>90</v>
          </cell>
          <cell r="AF377">
            <v>2</v>
          </cell>
        </row>
        <row r="378">
          <cell r="A378" t="str">
            <v>비데5000-UP</v>
          </cell>
          <cell r="B378" t="str">
            <v>SET</v>
          </cell>
          <cell r="C378">
            <v>4</v>
          </cell>
          <cell r="D378">
            <v>90</v>
          </cell>
          <cell r="E378">
            <v>194</v>
          </cell>
          <cell r="F378">
            <v>65</v>
          </cell>
          <cell r="G378" t="str">
            <v>B240NS</v>
          </cell>
          <cell r="H378">
            <v>10</v>
          </cell>
          <cell r="I378">
            <v>1</v>
          </cell>
          <cell r="J378" t="str">
            <v>SK매직</v>
          </cell>
          <cell r="K378">
            <v>129</v>
          </cell>
          <cell r="L378">
            <v>133</v>
          </cell>
          <cell r="O378">
            <v>920</v>
          </cell>
          <cell r="P378">
            <v>1360</v>
          </cell>
          <cell r="Q378">
            <v>250</v>
          </cell>
          <cell r="R378" t="str">
            <v>흰색</v>
          </cell>
          <cell r="S378" t="str">
            <v>흰색</v>
          </cell>
          <cell r="T378" t="str">
            <v>BID5000-UP</v>
          </cell>
          <cell r="U378">
            <v>38694</v>
          </cell>
          <cell r="V378" t="str">
            <v>삼일금형</v>
          </cell>
          <cell r="W378" t="str">
            <v>57301-37001</v>
          </cell>
          <cell r="X378" t="str">
            <v>C-0506</v>
          </cell>
          <cell r="AC378" t="str">
            <v>2012.01.15기준중량변경(201-&gt;194)</v>
          </cell>
          <cell r="AD378">
            <v>0.85</v>
          </cell>
          <cell r="AE378">
            <v>90</v>
          </cell>
          <cell r="AF378">
            <v>4</v>
          </cell>
        </row>
        <row r="379">
          <cell r="A379" t="str">
            <v>분무경정식판(33배)</v>
          </cell>
          <cell r="B379" t="str">
            <v>SET</v>
          </cell>
          <cell r="C379">
            <v>1</v>
          </cell>
          <cell r="D379">
            <v>106</v>
          </cell>
          <cell r="E379">
            <v>1000</v>
          </cell>
          <cell r="F379">
            <v>36</v>
          </cell>
          <cell r="G379" t="str">
            <v>B240NS</v>
          </cell>
          <cell r="H379">
            <v>4</v>
          </cell>
          <cell r="I379">
            <v>1</v>
          </cell>
          <cell r="J379" t="str">
            <v>가화텍</v>
          </cell>
          <cell r="P379">
            <v>1300</v>
          </cell>
          <cell r="Q379">
            <v>200</v>
          </cell>
          <cell r="S379">
            <v>0</v>
          </cell>
          <cell r="T379" t="str">
            <v>분무경정식판#14</v>
          </cell>
          <cell r="U379">
            <v>37572</v>
          </cell>
          <cell r="V379" t="str">
            <v>삼일금형</v>
          </cell>
          <cell r="W379" t="str">
            <v>SCTB-8, 14차</v>
          </cell>
          <cell r="X379" t="str">
            <v>D-1207</v>
          </cell>
          <cell r="AC379" t="str">
            <v>1*1,고개사 요청에 따른 배율 추가</v>
          </cell>
          <cell r="AD379">
            <v>0.9</v>
          </cell>
          <cell r="AE379">
            <v>106</v>
          </cell>
          <cell r="AF379">
            <v>2</v>
          </cell>
        </row>
        <row r="380">
          <cell r="A380" t="str">
            <v>분무경3호정식판(33배)</v>
          </cell>
          <cell r="B380" t="str">
            <v>SET</v>
          </cell>
          <cell r="C380">
            <v>1</v>
          </cell>
          <cell r="D380">
            <v>100</v>
          </cell>
          <cell r="E380">
            <v>850</v>
          </cell>
          <cell r="F380">
            <v>36</v>
          </cell>
          <cell r="G380" t="str">
            <v>B240NS</v>
          </cell>
          <cell r="H380">
            <v>10</v>
          </cell>
          <cell r="I380">
            <v>1</v>
          </cell>
          <cell r="J380" t="str">
            <v>가화텍</v>
          </cell>
          <cell r="K380">
            <v>26</v>
          </cell>
          <cell r="L380">
            <v>30</v>
          </cell>
          <cell r="O380">
            <v>5880</v>
          </cell>
          <cell r="P380">
            <v>1300</v>
          </cell>
          <cell r="Q380">
            <v>150</v>
          </cell>
          <cell r="R380" t="str">
            <v>밴딩</v>
          </cell>
          <cell r="S380" t="str">
            <v>밴딩</v>
          </cell>
          <cell r="T380" t="str">
            <v>분무경3호정식판#30</v>
          </cell>
          <cell r="U380">
            <v>39939</v>
          </cell>
          <cell r="V380" t="str">
            <v>삼일금형</v>
          </cell>
          <cell r="W380" t="str">
            <v>SCTP-96, 30차</v>
          </cell>
          <cell r="AC380" t="str">
            <v>2009.05.12승인완료.10.3.22중량550g에서660g으로변경.</v>
          </cell>
          <cell r="AD380">
            <v>0.9</v>
          </cell>
          <cell r="AE380">
            <v>90</v>
          </cell>
          <cell r="AF380">
            <v>2</v>
          </cell>
        </row>
        <row r="381">
          <cell r="A381" t="str">
            <v>분무경3호정식판</v>
          </cell>
          <cell r="B381" t="str">
            <v>SET</v>
          </cell>
          <cell r="C381">
            <v>1</v>
          </cell>
          <cell r="D381">
            <v>90</v>
          </cell>
          <cell r="E381">
            <v>550</v>
          </cell>
          <cell r="F381">
            <v>50</v>
          </cell>
          <cell r="G381" t="str">
            <v>B240NS</v>
          </cell>
          <cell r="H381">
            <v>10</v>
          </cell>
          <cell r="I381">
            <v>1</v>
          </cell>
          <cell r="J381" t="str">
            <v>가화텍</v>
          </cell>
          <cell r="K381">
            <v>26</v>
          </cell>
          <cell r="L381">
            <v>30</v>
          </cell>
          <cell r="O381">
            <v>2940</v>
          </cell>
          <cell r="P381">
            <v>1300</v>
          </cell>
          <cell r="Q381">
            <v>150</v>
          </cell>
          <cell r="R381" t="str">
            <v>밴딩</v>
          </cell>
          <cell r="S381" t="str">
            <v>밴딩</v>
          </cell>
          <cell r="T381" t="str">
            <v>분무경3호정식판#30</v>
          </cell>
          <cell r="U381">
            <v>39939</v>
          </cell>
          <cell r="V381" t="str">
            <v>삼일금형</v>
          </cell>
          <cell r="W381" t="str">
            <v>SCTP-96, 30차</v>
          </cell>
          <cell r="X381" t="str">
            <v>S-0304</v>
          </cell>
          <cell r="AC381" t="str">
            <v>2009.05.12승인완료.10.3.22중량550g에서660g으로변경, 2014.06.01긴준중량변경(660-&gt;550)</v>
          </cell>
          <cell r="AD381">
            <v>0.85</v>
          </cell>
          <cell r="AE381">
            <v>90</v>
          </cell>
          <cell r="AF381">
            <v>2</v>
          </cell>
        </row>
        <row r="382">
          <cell r="A382" t="str">
            <v>분무경2호정식판(33배)</v>
          </cell>
          <cell r="B382" t="str">
            <v>SET</v>
          </cell>
          <cell r="C382">
            <v>1</v>
          </cell>
          <cell r="D382">
            <v>100</v>
          </cell>
          <cell r="E382">
            <v>570</v>
          </cell>
          <cell r="F382">
            <v>36</v>
          </cell>
          <cell r="G382" t="str">
            <v>B240NS</v>
          </cell>
          <cell r="H382">
            <v>10</v>
          </cell>
          <cell r="I382">
            <v>1</v>
          </cell>
          <cell r="J382" t="str">
            <v>가화텍</v>
          </cell>
          <cell r="K382">
            <v>36</v>
          </cell>
          <cell r="L382">
            <v>40</v>
          </cell>
          <cell r="P382">
            <v>1300</v>
          </cell>
          <cell r="Q382">
            <v>150</v>
          </cell>
          <cell r="R382" t="str">
            <v>테이핑</v>
          </cell>
          <cell r="S382" t="str">
            <v>파랑</v>
          </cell>
          <cell r="T382" t="str">
            <v>분무경2호정식판#29</v>
          </cell>
          <cell r="U382">
            <v>39496</v>
          </cell>
          <cell r="V382" t="str">
            <v>삼일금형</v>
          </cell>
          <cell r="W382" t="str">
            <v>SCTP-16, 29차</v>
          </cell>
          <cell r="X382" t="str">
            <v>Q-0601</v>
          </cell>
          <cell r="AC382" t="str">
            <v>금형없음,분무경2호정식판 동일금형</v>
          </cell>
          <cell r="AD382">
            <v>0.85</v>
          </cell>
          <cell r="AE382">
            <v>100</v>
          </cell>
          <cell r="AF382">
            <v>1</v>
          </cell>
        </row>
        <row r="383">
          <cell r="A383" t="str">
            <v>분무경2호정식판</v>
          </cell>
          <cell r="B383" t="str">
            <v>SET</v>
          </cell>
          <cell r="C383">
            <v>1</v>
          </cell>
          <cell r="D383">
            <v>100</v>
          </cell>
          <cell r="E383">
            <v>470</v>
          </cell>
          <cell r="F383">
            <v>50</v>
          </cell>
          <cell r="G383" t="str">
            <v>B240NS</v>
          </cell>
          <cell r="H383">
            <v>10</v>
          </cell>
          <cell r="I383">
            <v>1</v>
          </cell>
          <cell r="J383" t="str">
            <v>가화텍</v>
          </cell>
          <cell r="K383">
            <v>36</v>
          </cell>
          <cell r="L383">
            <v>40</v>
          </cell>
          <cell r="O383">
            <v>2510</v>
          </cell>
          <cell r="P383">
            <v>1300</v>
          </cell>
          <cell r="Q383">
            <v>150</v>
          </cell>
          <cell r="R383" t="str">
            <v>파랑</v>
          </cell>
          <cell r="S383" t="str">
            <v>파랑</v>
          </cell>
          <cell r="T383" t="str">
            <v>분무경2호정식판#29</v>
          </cell>
          <cell r="U383">
            <v>39496</v>
          </cell>
          <cell r="V383" t="str">
            <v>삼일금형</v>
          </cell>
          <cell r="W383" t="str">
            <v>SCTP-16, 29차</v>
          </cell>
          <cell r="X383" t="str">
            <v>Q-0601</v>
          </cell>
          <cell r="AC383" t="str">
            <v>분무경2호정식판#29</v>
          </cell>
          <cell r="AD383">
            <v>0.85</v>
          </cell>
          <cell r="AE383">
            <v>100</v>
          </cell>
          <cell r="AF383">
            <v>1</v>
          </cell>
        </row>
        <row r="384">
          <cell r="A384" t="str">
            <v>분무경2호베드</v>
          </cell>
          <cell r="B384" t="str">
            <v>SET</v>
          </cell>
          <cell r="C384">
            <v>1</v>
          </cell>
          <cell r="D384">
            <v>130</v>
          </cell>
          <cell r="E384">
            <v>1055</v>
          </cell>
          <cell r="F384">
            <v>50</v>
          </cell>
          <cell r="G384" t="str">
            <v xml:space="preserve"> SG302</v>
          </cell>
          <cell r="H384">
            <v>4</v>
          </cell>
          <cell r="I384" t="str">
            <v>1</v>
          </cell>
          <cell r="J384" t="str">
            <v>가화텍</v>
          </cell>
          <cell r="K384">
            <v>308</v>
          </cell>
          <cell r="L384">
            <v>312</v>
          </cell>
          <cell r="O384">
            <v>5500</v>
          </cell>
          <cell r="P384">
            <v>1300</v>
          </cell>
          <cell r="Q384">
            <v>400</v>
          </cell>
          <cell r="R384" t="str">
            <v>테이핑</v>
          </cell>
          <cell r="S384" t="str">
            <v>테이핑</v>
          </cell>
          <cell r="T384" t="str">
            <v>분무경2호베드#27</v>
          </cell>
          <cell r="U384">
            <v>39493</v>
          </cell>
          <cell r="V384" t="str">
            <v>삼일금형</v>
          </cell>
          <cell r="W384" t="str">
            <v>SC2B</v>
          </cell>
          <cell r="X384" t="str">
            <v>A-0501</v>
          </cell>
          <cell r="AA384">
            <v>42032</v>
          </cell>
          <cell r="AC384" t="str">
            <v>분무경2호베드#27,2020-10-16아산 이동 입고</v>
          </cell>
          <cell r="AF384">
            <v>4</v>
          </cell>
        </row>
        <row r="385">
          <cell r="A385" t="str">
            <v>분무경2호마감(33배)</v>
          </cell>
          <cell r="B385" t="str">
            <v>SET</v>
          </cell>
          <cell r="C385">
            <v>1</v>
          </cell>
          <cell r="D385">
            <v>100</v>
          </cell>
          <cell r="E385">
            <v>1890</v>
          </cell>
          <cell r="F385">
            <v>36</v>
          </cell>
          <cell r="G385" t="str">
            <v>B240NS</v>
          </cell>
          <cell r="H385">
            <v>2</v>
          </cell>
          <cell r="I385">
            <v>1</v>
          </cell>
          <cell r="J385" t="str">
            <v>가화텍</v>
          </cell>
          <cell r="K385">
            <v>308</v>
          </cell>
          <cell r="L385">
            <v>312</v>
          </cell>
          <cell r="O385">
            <v>10090</v>
          </cell>
          <cell r="P385">
            <v>1300</v>
          </cell>
          <cell r="Q385">
            <v>400</v>
          </cell>
          <cell r="R385" t="str">
            <v>비닐</v>
          </cell>
          <cell r="S385" t="str">
            <v>비닐</v>
          </cell>
          <cell r="T385" t="str">
            <v>분무경2호마감베드#28</v>
          </cell>
          <cell r="U385">
            <v>39493</v>
          </cell>
          <cell r="V385" t="str">
            <v>삼일금형</v>
          </cell>
          <cell r="W385" t="str">
            <v>SC2EB, 28차</v>
          </cell>
          <cell r="AC385" t="str">
            <v>분무경2호마감동일금형</v>
          </cell>
          <cell r="AD385">
            <v>0.9</v>
          </cell>
          <cell r="AE385">
            <v>100</v>
          </cell>
        </row>
        <row r="386">
          <cell r="A386" t="str">
            <v>분무경2호마감</v>
          </cell>
          <cell r="B386" t="str">
            <v>SET</v>
          </cell>
          <cell r="C386">
            <v>1</v>
          </cell>
          <cell r="D386">
            <v>95</v>
          </cell>
          <cell r="E386">
            <v>1335</v>
          </cell>
          <cell r="F386">
            <v>50</v>
          </cell>
          <cell r="G386" t="str">
            <v>B240NS</v>
          </cell>
          <cell r="H386">
            <v>2</v>
          </cell>
          <cell r="I386">
            <v>1</v>
          </cell>
          <cell r="J386" t="str">
            <v>가화텍</v>
          </cell>
          <cell r="K386">
            <v>308</v>
          </cell>
          <cell r="L386">
            <v>312</v>
          </cell>
          <cell r="O386">
            <v>7130</v>
          </cell>
          <cell r="P386">
            <v>1300</v>
          </cell>
          <cell r="Q386">
            <v>400</v>
          </cell>
          <cell r="R386" t="str">
            <v>비닐</v>
          </cell>
          <cell r="S386" t="str">
            <v>비닐</v>
          </cell>
          <cell r="T386" t="str">
            <v>분무경2호마감베드#28</v>
          </cell>
          <cell r="U386">
            <v>39493</v>
          </cell>
          <cell r="V386" t="str">
            <v>삼일금형</v>
          </cell>
          <cell r="W386" t="str">
            <v>SC2EB, 28차</v>
          </cell>
          <cell r="X386" t="str">
            <v>A-0901</v>
          </cell>
          <cell r="AD386">
            <v>0.85</v>
          </cell>
          <cell r="AE386">
            <v>95</v>
          </cell>
          <cell r="AF386">
            <v>10</v>
          </cell>
        </row>
        <row r="387">
          <cell r="A387" t="str">
            <v>부산물박스</v>
          </cell>
          <cell r="B387" t="str">
            <v>BOX</v>
          </cell>
          <cell r="C387">
            <v>1</v>
          </cell>
          <cell r="D387">
            <v>85</v>
          </cell>
          <cell r="E387">
            <v>640</v>
          </cell>
          <cell r="F387">
            <v>36</v>
          </cell>
          <cell r="G387" t="str">
            <v>B240NS</v>
          </cell>
          <cell r="H387">
            <v>5</v>
          </cell>
          <cell r="I387">
            <v>3</v>
          </cell>
          <cell r="J387" t="str">
            <v>평창축협</v>
          </cell>
          <cell r="K387">
            <v>29</v>
          </cell>
          <cell r="L387">
            <v>33</v>
          </cell>
          <cell r="M387">
            <v>197</v>
          </cell>
          <cell r="N387">
            <v>201</v>
          </cell>
          <cell r="O387">
            <v>4540</v>
          </cell>
          <cell r="P387">
            <v>1360</v>
          </cell>
          <cell r="Q387">
            <v>300</v>
          </cell>
          <cell r="R387" t="str">
            <v>비닐</v>
          </cell>
          <cell r="S387" t="str">
            <v>비닐</v>
          </cell>
          <cell r="T387" t="str">
            <v>부산물박스</v>
          </cell>
          <cell r="U387">
            <v>40739</v>
          </cell>
          <cell r="V387" t="str">
            <v>금형제조부</v>
          </cell>
          <cell r="X387" t="str">
            <v>C-1403</v>
          </cell>
          <cell r="Y387">
            <v>30</v>
          </cell>
          <cell r="Z387">
            <v>25609</v>
          </cell>
          <cell r="AC387" t="str">
            <v>2011.08.25승인완료2014.11.22기준중량,기준배율변경(890-640,회색40배),2015.01.07 승인중량(640)</v>
          </cell>
          <cell r="AD387">
            <v>0.85</v>
          </cell>
          <cell r="AE387">
            <v>80</v>
          </cell>
          <cell r="AF387">
            <v>4</v>
          </cell>
        </row>
        <row r="388">
          <cell r="A388" t="str">
            <v>부산물BOX</v>
          </cell>
          <cell r="B388" t="str">
            <v>SET</v>
          </cell>
          <cell r="C388">
            <v>2</v>
          </cell>
          <cell r="D388">
            <v>65</v>
          </cell>
          <cell r="E388">
            <v>230</v>
          </cell>
          <cell r="F388">
            <v>74</v>
          </cell>
          <cell r="G388" t="str">
            <v>SE2500M</v>
          </cell>
          <cell r="H388">
            <v>12</v>
          </cell>
          <cell r="I388">
            <v>2</v>
          </cell>
          <cell r="J388" t="str">
            <v>한국TPS</v>
          </cell>
          <cell r="O388">
            <v>10</v>
          </cell>
          <cell r="P388">
            <v>1300</v>
          </cell>
          <cell r="Q388">
            <v>200</v>
          </cell>
          <cell r="R388" t="str">
            <v>빨강</v>
          </cell>
          <cell r="S388" t="str">
            <v>빨강</v>
          </cell>
          <cell r="U388">
            <v>42741</v>
          </cell>
          <cell r="V388" t="str">
            <v>인천EPS이동입고</v>
          </cell>
          <cell r="W388" t="str">
            <v>SD4-대CAVITY동일 CORE별도(13mm높은거)</v>
          </cell>
          <cell r="AC388" t="str">
            <v>최재학계장,2017.09.18모델명변경(SD4-부산물-&gt;부산물BOX)</v>
          </cell>
          <cell r="AD388">
            <v>0.89</v>
          </cell>
          <cell r="AE388">
            <v>70</v>
          </cell>
          <cell r="AF388">
            <v>8</v>
          </cell>
        </row>
        <row r="389">
          <cell r="A389" t="str">
            <v>병칸막이 간지</v>
          </cell>
          <cell r="J389" t="str">
            <v>NCK</v>
          </cell>
          <cell r="O389">
            <v>1000</v>
          </cell>
        </row>
        <row r="390">
          <cell r="A390" t="str">
            <v>병어박스</v>
          </cell>
          <cell r="B390" t="str">
            <v>BOX</v>
          </cell>
          <cell r="C390">
            <v>3</v>
          </cell>
          <cell r="D390">
            <v>80</v>
          </cell>
          <cell r="E390">
            <v>250</v>
          </cell>
          <cell r="F390">
            <v>70</v>
          </cell>
          <cell r="G390" t="str">
            <v>B240NS</v>
          </cell>
          <cell r="H390">
            <v>10</v>
          </cell>
          <cell r="I390">
            <v>2</v>
          </cell>
          <cell r="J390" t="str">
            <v>삼일이노팩</v>
          </cell>
          <cell r="K390">
            <v>43</v>
          </cell>
          <cell r="L390">
            <v>47</v>
          </cell>
          <cell r="M390">
            <v>130</v>
          </cell>
          <cell r="N390">
            <v>134</v>
          </cell>
          <cell r="O390">
            <v>1100</v>
          </cell>
          <cell r="P390">
            <v>1360</v>
          </cell>
          <cell r="Q390">
            <v>200</v>
          </cell>
          <cell r="R390" t="str">
            <v>빨강</v>
          </cell>
          <cell r="S390" t="str">
            <v>빨강</v>
          </cell>
          <cell r="T390" t="str">
            <v>병어박스</v>
          </cell>
          <cell r="U390">
            <v>39744</v>
          </cell>
          <cell r="V390" t="str">
            <v>삼일금형</v>
          </cell>
          <cell r="AD390">
            <v>0.85</v>
          </cell>
          <cell r="AE390">
            <v>80</v>
          </cell>
          <cell r="AF390">
            <v>2</v>
          </cell>
        </row>
        <row r="391">
          <cell r="A391" t="str">
            <v>베르나 외피 몸통 구형</v>
          </cell>
          <cell r="B391" t="str">
            <v>회색</v>
          </cell>
          <cell r="D391">
            <v>180</v>
          </cell>
          <cell r="E391">
            <v>2200</v>
          </cell>
          <cell r="F391">
            <v>40</v>
          </cell>
          <cell r="G391" t="str">
            <v>ZP2500</v>
          </cell>
          <cell r="H391">
            <v>1</v>
          </cell>
          <cell r="J391" t="str">
            <v>㈜탭스</v>
          </cell>
          <cell r="P391">
            <v>1600</v>
          </cell>
          <cell r="Q391">
            <v>550</v>
          </cell>
          <cell r="T391" t="str">
            <v>베르나 외피 몸통 구형</v>
          </cell>
          <cell r="U391">
            <v>45267</v>
          </cell>
          <cell r="V391" t="str">
            <v>대양이동입고</v>
          </cell>
          <cell r="W391" t="str">
            <v>베르나 외피 몸통 구형</v>
          </cell>
          <cell r="AD391">
            <v>0.85</v>
          </cell>
        </row>
        <row r="392">
          <cell r="A392" t="str">
            <v>베르나 외피 몸통 구형</v>
          </cell>
          <cell r="B392" t="str">
            <v>BOX</v>
          </cell>
          <cell r="D392">
            <v>180</v>
          </cell>
          <cell r="E392">
            <v>2200</v>
          </cell>
          <cell r="F392">
            <v>40</v>
          </cell>
          <cell r="G392" t="str">
            <v>ZP2500</v>
          </cell>
          <cell r="H392">
            <v>1</v>
          </cell>
          <cell r="J392" t="str">
            <v>㈜탭스</v>
          </cell>
          <cell r="P392">
            <v>1600</v>
          </cell>
          <cell r="Q392">
            <v>550</v>
          </cell>
          <cell r="T392" t="str">
            <v>베르나 외피 몸통 구형</v>
          </cell>
          <cell r="U392">
            <v>45267</v>
          </cell>
          <cell r="V392" t="str">
            <v>대양이동입고</v>
          </cell>
          <cell r="W392" t="str">
            <v>베르나 외피 몸통 구형</v>
          </cell>
          <cell r="AD392">
            <v>0.85</v>
          </cell>
        </row>
        <row r="393">
          <cell r="A393" t="str">
            <v>베르나 외피 몸통 구형</v>
          </cell>
          <cell r="B393" t="str">
            <v>BOX</v>
          </cell>
          <cell r="D393">
            <v>100</v>
          </cell>
          <cell r="E393">
            <v>2200</v>
          </cell>
          <cell r="F393">
            <v>40</v>
          </cell>
          <cell r="G393" t="str">
            <v>ZP2500</v>
          </cell>
          <cell r="J393" t="str">
            <v>㈜탭스</v>
          </cell>
          <cell r="T393" t="str">
            <v>베르나 외피 몸통 구형</v>
          </cell>
          <cell r="U393">
            <v>45267</v>
          </cell>
          <cell r="V393" t="str">
            <v>대양이동입고</v>
          </cell>
          <cell r="W393" t="str">
            <v>베르나 외피 몸통 구형</v>
          </cell>
          <cell r="AD393">
            <v>0.85</v>
          </cell>
        </row>
        <row r="394">
          <cell r="A394" t="str">
            <v>버섯2K(몸통/뚜껑)</v>
          </cell>
          <cell r="B394" t="str">
            <v>BOX</v>
          </cell>
          <cell r="C394">
            <v>3</v>
          </cell>
          <cell r="D394">
            <v>70</v>
          </cell>
          <cell r="E394">
            <v>104</v>
          </cell>
          <cell r="F394">
            <v>74</v>
          </cell>
          <cell r="G394" t="str">
            <v>B240NS</v>
          </cell>
          <cell r="H394">
            <v>20</v>
          </cell>
          <cell r="I394">
            <v>2</v>
          </cell>
          <cell r="J394" t="str">
            <v>채인버섯</v>
          </cell>
          <cell r="K394">
            <v>20</v>
          </cell>
          <cell r="L394">
            <v>24</v>
          </cell>
          <cell r="M394">
            <v>123</v>
          </cell>
          <cell r="N394">
            <v>127</v>
          </cell>
          <cell r="O394">
            <v>480</v>
          </cell>
          <cell r="P394">
            <v>1360</v>
          </cell>
          <cell r="Q394">
            <v>200</v>
          </cell>
          <cell r="R394" t="str">
            <v>보라</v>
          </cell>
          <cell r="S394" t="str">
            <v>보라</v>
          </cell>
          <cell r="T394" t="str">
            <v>버섯2K</v>
          </cell>
          <cell r="U394">
            <v>40191</v>
          </cell>
          <cell r="V394" t="str">
            <v>삼일금형</v>
          </cell>
          <cell r="W394" t="str">
            <v>이형불량 주의!</v>
          </cell>
          <cell r="Y394">
            <v>60</v>
          </cell>
          <cell r="Z394">
            <v>6268</v>
          </cell>
          <cell r="AD394">
            <v>0.85</v>
          </cell>
          <cell r="AE394">
            <v>70</v>
          </cell>
          <cell r="AF394">
            <v>2</v>
          </cell>
        </row>
        <row r="395">
          <cell r="A395" t="str">
            <v>버섯2K</v>
          </cell>
          <cell r="B395" t="str">
            <v>BOX</v>
          </cell>
          <cell r="C395">
            <v>3</v>
          </cell>
          <cell r="D395">
            <v>70</v>
          </cell>
          <cell r="E395">
            <v>104</v>
          </cell>
          <cell r="F395">
            <v>74</v>
          </cell>
          <cell r="G395" t="str">
            <v>B240NS</v>
          </cell>
          <cell r="H395" t="str">
            <v>몸통20뚜껑40</v>
          </cell>
          <cell r="I395">
            <v>2</v>
          </cell>
          <cell r="J395" t="str">
            <v>채인버섯</v>
          </cell>
          <cell r="K395">
            <v>20</v>
          </cell>
          <cell r="L395">
            <v>24</v>
          </cell>
          <cell r="M395">
            <v>123</v>
          </cell>
          <cell r="N395">
            <v>127</v>
          </cell>
          <cell r="O395">
            <v>480</v>
          </cell>
          <cell r="P395">
            <v>1360</v>
          </cell>
          <cell r="Q395">
            <v>200</v>
          </cell>
          <cell r="R395" t="str">
            <v>보라</v>
          </cell>
          <cell r="S395" t="str">
            <v>보라</v>
          </cell>
          <cell r="T395" t="str">
            <v>버섯2K</v>
          </cell>
          <cell r="U395">
            <v>40191</v>
          </cell>
          <cell r="V395" t="str">
            <v>삼일금형</v>
          </cell>
          <cell r="W395" t="str">
            <v>이형불량 주의!</v>
          </cell>
          <cell r="X395" t="str">
            <v>T-0410</v>
          </cell>
          <cell r="Y395">
            <v>60</v>
          </cell>
          <cell r="Z395">
            <v>6268</v>
          </cell>
          <cell r="AC395" t="str">
            <v>2010.01.19승인완료, 2010.03.06기준중량 변경(130g~100g), 2014.05.01 기준중량변경(100g-&gt;114g)2014.12.01기준중량,기준배율변경(114-100,55-62)2015.0106인중량변경(114g-100g),2015.0115승인중량,기준배율변경(100g-104g)(62-&gt;60배), 2020.03.27 BOT 휘다 2개소씩 추가, 2021.05.27코팅완료</v>
          </cell>
          <cell r="AD395">
            <v>0.85</v>
          </cell>
          <cell r="AE395">
            <v>65</v>
          </cell>
          <cell r="AF395">
            <v>8</v>
          </cell>
        </row>
        <row r="396">
          <cell r="A396" t="str">
            <v>버섯(신)BOX</v>
          </cell>
          <cell r="B396" t="str">
            <v>BOX</v>
          </cell>
          <cell r="D396">
            <v>75</v>
          </cell>
          <cell r="E396">
            <v>125</v>
          </cell>
          <cell r="G396" t="str">
            <v>B240NS</v>
          </cell>
          <cell r="H396">
            <v>14</v>
          </cell>
          <cell r="J396" t="str">
            <v>삼일이노팩</v>
          </cell>
          <cell r="S396">
            <v>0</v>
          </cell>
          <cell r="T396" t="str">
            <v>아산이피에스외주</v>
          </cell>
          <cell r="V396" t="str">
            <v>아산이피에스입고</v>
          </cell>
          <cell r="AC396" t="str">
            <v>아산이피에스에서 제품만받음.(금형은없음)</v>
          </cell>
          <cell r="AD396">
            <v>0.85</v>
          </cell>
          <cell r="AE396">
            <v>90</v>
          </cell>
          <cell r="AF396">
            <v>4</v>
          </cell>
        </row>
        <row r="397">
          <cell r="A397" t="str">
            <v>배지경2호배드/마감</v>
          </cell>
          <cell r="B397" t="str">
            <v>SET</v>
          </cell>
          <cell r="C397">
            <v>1</v>
          </cell>
          <cell r="D397">
            <v>100</v>
          </cell>
          <cell r="E397">
            <v>1466</v>
          </cell>
          <cell r="F397">
            <v>50</v>
          </cell>
          <cell r="G397" t="str">
            <v>B240NS</v>
          </cell>
          <cell r="H397">
            <v>4</v>
          </cell>
          <cell r="I397">
            <v>1</v>
          </cell>
          <cell r="J397" t="str">
            <v>가화텍</v>
          </cell>
          <cell r="K397">
            <v>143</v>
          </cell>
          <cell r="L397">
            <v>147</v>
          </cell>
          <cell r="M397">
            <v>198</v>
          </cell>
          <cell r="N397">
            <v>202</v>
          </cell>
          <cell r="O397">
            <v>7860</v>
          </cell>
          <cell r="P397">
            <v>1360</v>
          </cell>
          <cell r="Q397">
            <v>300</v>
          </cell>
          <cell r="R397" t="str">
            <v>비닐</v>
          </cell>
          <cell r="S397" t="str">
            <v>비닐</v>
          </cell>
          <cell r="T397" t="str">
            <v>다목적내자경정식배드#21.마감배드#22</v>
          </cell>
          <cell r="U397">
            <v>38409</v>
          </cell>
          <cell r="V397" t="str">
            <v>삼일금형</v>
          </cell>
          <cell r="W397" t="str">
            <v>다목적내자경정식배드#21.마감배드#22</v>
          </cell>
          <cell r="X397" t="str">
            <v>A-0103</v>
          </cell>
          <cell r="AD397">
            <v>0.85</v>
          </cell>
          <cell r="AE397">
            <v>130</v>
          </cell>
          <cell r="AF397">
            <v>6</v>
          </cell>
        </row>
        <row r="398">
          <cell r="A398" t="str">
            <v>배지경2호배드</v>
          </cell>
          <cell r="B398" t="str">
            <v>SET</v>
          </cell>
          <cell r="C398">
            <v>1</v>
          </cell>
          <cell r="D398">
            <v>100</v>
          </cell>
          <cell r="E398">
            <v>676</v>
          </cell>
          <cell r="F398">
            <v>50</v>
          </cell>
          <cell r="G398" t="str">
            <v>B240NS</v>
          </cell>
          <cell r="H398">
            <v>4</v>
          </cell>
          <cell r="I398">
            <v>1</v>
          </cell>
          <cell r="J398" t="str">
            <v>가화텍</v>
          </cell>
          <cell r="K398">
            <v>143</v>
          </cell>
          <cell r="L398">
            <v>147</v>
          </cell>
          <cell r="M398">
            <v>198</v>
          </cell>
          <cell r="N398">
            <v>202</v>
          </cell>
          <cell r="O398">
            <v>3610</v>
          </cell>
          <cell r="P398">
            <v>1360</v>
          </cell>
          <cell r="Q398">
            <v>300</v>
          </cell>
          <cell r="R398" t="str">
            <v>비닐</v>
          </cell>
          <cell r="S398" t="str">
            <v>비닐</v>
          </cell>
          <cell r="T398" t="str">
            <v>다목적내자경정식배드#21.마감배드#22</v>
          </cell>
          <cell r="U398">
            <v>38409</v>
          </cell>
          <cell r="V398" t="str">
            <v>삼일금형</v>
          </cell>
          <cell r="W398" t="str">
            <v>배지경2호마감배드와 동일금형,#21</v>
          </cell>
          <cell r="X398" t="str">
            <v>A-0103</v>
          </cell>
          <cell r="AC398" t="str">
            <v>배지경2호마감배드와 동일금형</v>
          </cell>
          <cell r="AD398">
            <v>0.85</v>
          </cell>
          <cell r="AE398">
            <v>100</v>
          </cell>
          <cell r="AF398">
            <v>4</v>
          </cell>
        </row>
        <row r="399">
          <cell r="A399" t="str">
            <v>배지경2호마감배드</v>
          </cell>
          <cell r="B399" t="str">
            <v>SET</v>
          </cell>
          <cell r="C399">
            <v>1</v>
          </cell>
          <cell r="D399">
            <v>100</v>
          </cell>
          <cell r="E399">
            <v>790</v>
          </cell>
          <cell r="F399">
            <v>50</v>
          </cell>
          <cell r="G399" t="str">
            <v>B240NS</v>
          </cell>
          <cell r="H399">
            <v>2</v>
          </cell>
          <cell r="I399">
            <v>1</v>
          </cell>
          <cell r="J399" t="str">
            <v>가화텍</v>
          </cell>
          <cell r="K399">
            <v>143</v>
          </cell>
          <cell r="L399">
            <v>147</v>
          </cell>
          <cell r="M399">
            <v>198</v>
          </cell>
          <cell r="N399">
            <v>202</v>
          </cell>
          <cell r="O399">
            <v>4250</v>
          </cell>
          <cell r="P399">
            <v>1360</v>
          </cell>
          <cell r="Q399">
            <v>300</v>
          </cell>
          <cell r="R399" t="str">
            <v>비닐</v>
          </cell>
          <cell r="S399" t="str">
            <v>비닐</v>
          </cell>
          <cell r="T399" t="str">
            <v>다목적내자경정식배드#21.마감배드#22</v>
          </cell>
          <cell r="U399">
            <v>38409</v>
          </cell>
          <cell r="V399" t="str">
            <v>삼일금형</v>
          </cell>
          <cell r="W399" t="str">
            <v>배지경2호배드와 동일금형</v>
          </cell>
          <cell r="X399" t="str">
            <v>A-0103</v>
          </cell>
          <cell r="AC399" t="str">
            <v>배지경2호배드와 동일금형</v>
          </cell>
          <cell r="AD399">
            <v>0.85</v>
          </cell>
          <cell r="AE399">
            <v>100</v>
          </cell>
          <cell r="AF399">
            <v>4</v>
          </cell>
        </row>
        <row r="400">
          <cell r="A400" t="str">
            <v>발포립77</v>
          </cell>
          <cell r="B400" t="str">
            <v>발포립</v>
          </cell>
          <cell r="C400">
            <v>1</v>
          </cell>
          <cell r="D400">
            <v>250</v>
          </cell>
          <cell r="E400">
            <v>1000</v>
          </cell>
          <cell r="F400">
            <v>77</v>
          </cell>
          <cell r="G400" t="str">
            <v>B160</v>
          </cell>
          <cell r="H400">
            <v>1</v>
          </cell>
          <cell r="I400">
            <v>0</v>
          </cell>
          <cell r="J400" t="str">
            <v>화인상사</v>
          </cell>
          <cell r="O400">
            <v>4600</v>
          </cell>
          <cell r="S400">
            <v>0</v>
          </cell>
          <cell r="T400" t="str">
            <v>B160 77배발포</v>
          </cell>
          <cell r="AC400" t="str">
            <v>발포립 상태 (1kg 4600원)</v>
          </cell>
          <cell r="AD400">
            <v>0.85</v>
          </cell>
          <cell r="AE400">
            <v>220</v>
          </cell>
          <cell r="AF400">
            <v>6</v>
          </cell>
        </row>
        <row r="401">
          <cell r="A401" t="str">
            <v>발포립7</v>
          </cell>
          <cell r="B401" t="str">
            <v>발포립</v>
          </cell>
          <cell r="C401">
            <v>1</v>
          </cell>
          <cell r="D401">
            <v>250</v>
          </cell>
          <cell r="E401">
            <v>1000</v>
          </cell>
          <cell r="F401">
            <v>40</v>
          </cell>
          <cell r="G401" t="str">
            <v>B400/SG501</v>
          </cell>
          <cell r="H401">
            <v>1</v>
          </cell>
          <cell r="I401">
            <v>0</v>
          </cell>
          <cell r="J401" t="str">
            <v>엑스티아이</v>
          </cell>
          <cell r="O401">
            <v>5000</v>
          </cell>
          <cell r="S401">
            <v>0</v>
          </cell>
          <cell r="T401" t="str">
            <v>발포립7</v>
          </cell>
          <cell r="U401">
            <v>43046</v>
          </cell>
          <cell r="AC401" t="str">
            <v>한영발포기</v>
          </cell>
          <cell r="AD401">
            <v>0.89</v>
          </cell>
          <cell r="AF401">
            <v>6</v>
          </cell>
        </row>
        <row r="402">
          <cell r="A402" t="str">
            <v>발포립6</v>
          </cell>
          <cell r="B402" t="str">
            <v>발포립</v>
          </cell>
          <cell r="C402">
            <v>1</v>
          </cell>
          <cell r="D402">
            <v>250</v>
          </cell>
          <cell r="E402">
            <v>1000</v>
          </cell>
          <cell r="F402">
            <v>35</v>
          </cell>
          <cell r="G402" t="str">
            <v>B400/SG501</v>
          </cell>
          <cell r="H402">
            <v>1</v>
          </cell>
          <cell r="I402">
            <v>0</v>
          </cell>
          <cell r="J402" t="str">
            <v>하늘</v>
          </cell>
          <cell r="O402">
            <v>5000</v>
          </cell>
          <cell r="S402">
            <v>0</v>
          </cell>
          <cell r="T402" t="str">
            <v>발포립6</v>
          </cell>
          <cell r="U402">
            <v>42171</v>
          </cell>
          <cell r="AC402" t="str">
            <v>한영발포기</v>
          </cell>
          <cell r="AD402">
            <v>0.9</v>
          </cell>
          <cell r="AF402">
            <v>3</v>
          </cell>
        </row>
        <row r="403">
          <cell r="A403" t="str">
            <v>발포립5</v>
          </cell>
          <cell r="B403" t="str">
            <v>발포립</v>
          </cell>
          <cell r="C403">
            <v>1</v>
          </cell>
          <cell r="D403">
            <v>250</v>
          </cell>
          <cell r="E403">
            <v>1000</v>
          </cell>
          <cell r="F403">
            <v>8</v>
          </cell>
          <cell r="G403" t="str">
            <v>B400/SG501</v>
          </cell>
          <cell r="H403">
            <v>1</v>
          </cell>
          <cell r="J403" t="str">
            <v>크레월드</v>
          </cell>
          <cell r="O403">
            <v>5200</v>
          </cell>
          <cell r="S403">
            <v>0</v>
          </cell>
          <cell r="T403" t="str">
            <v>발포립5(1MM)</v>
          </cell>
          <cell r="AD403">
            <v>0.85</v>
          </cell>
          <cell r="AE403">
            <v>180</v>
          </cell>
          <cell r="AF403">
            <v>4</v>
          </cell>
        </row>
        <row r="404">
          <cell r="A404" t="str">
            <v>발포립4</v>
          </cell>
          <cell r="B404" t="str">
            <v>발포립</v>
          </cell>
          <cell r="C404">
            <v>1</v>
          </cell>
          <cell r="D404">
            <v>250</v>
          </cell>
          <cell r="E404">
            <v>1000</v>
          </cell>
          <cell r="F404">
            <v>36</v>
          </cell>
          <cell r="G404" t="str">
            <v>B400/SG501</v>
          </cell>
          <cell r="H404">
            <v>1</v>
          </cell>
          <cell r="I404">
            <v>0</v>
          </cell>
          <cell r="J404" t="str">
            <v>다우</v>
          </cell>
          <cell r="O404">
            <v>4700</v>
          </cell>
          <cell r="S404">
            <v>0</v>
          </cell>
          <cell r="T404" t="str">
            <v>CS50 30배 발포립</v>
          </cell>
          <cell r="AC404" t="str">
            <v>발포립 상태 (1ton=25bag,실납품24bag,1ton가격받음)</v>
          </cell>
          <cell r="AD404">
            <v>0.9</v>
          </cell>
          <cell r="AE404">
            <v>250</v>
          </cell>
          <cell r="AF404">
            <v>1</v>
          </cell>
        </row>
        <row r="405">
          <cell r="A405" t="str">
            <v>발포립3</v>
          </cell>
          <cell r="B405" t="str">
            <v>발포립</v>
          </cell>
          <cell r="D405">
            <v>250</v>
          </cell>
          <cell r="E405">
            <v>1000</v>
          </cell>
          <cell r="F405">
            <v>36</v>
          </cell>
          <cell r="G405" t="str">
            <v>B240NS</v>
          </cell>
          <cell r="H405">
            <v>1</v>
          </cell>
          <cell r="J405" t="str">
            <v>제일연마</v>
          </cell>
          <cell r="O405">
            <v>3500</v>
          </cell>
          <cell r="S405">
            <v>0</v>
          </cell>
          <cell r="T405" t="str">
            <v>발포립</v>
          </cell>
          <cell r="U405">
            <v>39191</v>
          </cell>
          <cell r="AD405">
            <v>0.85</v>
          </cell>
          <cell r="AE405">
            <v>65</v>
          </cell>
          <cell r="AF405">
            <v>6</v>
          </cell>
        </row>
        <row r="406">
          <cell r="A406" t="str">
            <v>발포립2</v>
          </cell>
          <cell r="B406" t="str">
            <v>발포립</v>
          </cell>
          <cell r="C406">
            <v>1</v>
          </cell>
          <cell r="D406">
            <v>250</v>
          </cell>
          <cell r="E406">
            <v>1000</v>
          </cell>
          <cell r="F406">
            <v>11</v>
          </cell>
          <cell r="G406" t="str">
            <v>B400/SG501</v>
          </cell>
          <cell r="H406">
            <v>1</v>
          </cell>
          <cell r="I406">
            <v>0</v>
          </cell>
          <cell r="J406" t="str">
            <v>바이오엔텍</v>
          </cell>
          <cell r="O406">
            <v>4250</v>
          </cell>
          <cell r="S406">
            <v>0</v>
          </cell>
          <cell r="T406" t="str">
            <v>발포립2(1MM)</v>
          </cell>
          <cell r="AC406" t="str">
            <v xml:space="preserve">1회 \400,000    </v>
          </cell>
          <cell r="AD406">
            <v>0.95</v>
          </cell>
          <cell r="AE406">
            <v>0</v>
          </cell>
          <cell r="AF406">
            <v>2</v>
          </cell>
        </row>
        <row r="407">
          <cell r="A407" t="str">
            <v>발포립1</v>
          </cell>
          <cell r="B407" t="str">
            <v>원재료</v>
          </cell>
          <cell r="C407">
            <v>1</v>
          </cell>
          <cell r="D407">
            <v>250</v>
          </cell>
          <cell r="E407">
            <v>1000</v>
          </cell>
          <cell r="F407">
            <v>36</v>
          </cell>
          <cell r="G407" t="str">
            <v>SG-302</v>
          </cell>
          <cell r="H407">
            <v>1</v>
          </cell>
          <cell r="I407">
            <v>0</v>
          </cell>
          <cell r="J407" t="str">
            <v>하늘</v>
          </cell>
          <cell r="O407">
            <v>4000</v>
          </cell>
          <cell r="S407">
            <v>0</v>
          </cell>
          <cell r="T407" t="str">
            <v>CS50 30배 발포립</v>
          </cell>
          <cell r="AC407" t="str">
            <v>발포립 상태 (1ton=25bag,실납품24bag,1ton가격받음)</v>
          </cell>
          <cell r="AD407">
            <v>0.9</v>
          </cell>
          <cell r="AF407">
            <v>3</v>
          </cell>
        </row>
        <row r="408">
          <cell r="A408" t="str">
            <v>발포립</v>
          </cell>
          <cell r="B408" t="str">
            <v>발포립</v>
          </cell>
          <cell r="C408">
            <v>1</v>
          </cell>
          <cell r="D408">
            <v>250</v>
          </cell>
          <cell r="E408">
            <v>1000</v>
          </cell>
          <cell r="G408" t="str">
            <v>B400/SG501</v>
          </cell>
          <cell r="H408">
            <v>1</v>
          </cell>
          <cell r="I408">
            <v>0</v>
          </cell>
          <cell r="J408" t="str">
            <v>엔티피케이</v>
          </cell>
          <cell r="O408">
            <v>5000</v>
          </cell>
          <cell r="S408">
            <v>0</v>
          </cell>
          <cell r="T408" t="str">
            <v>발포립</v>
          </cell>
          <cell r="U408">
            <v>38782</v>
          </cell>
          <cell r="AD408">
            <v>0.85</v>
          </cell>
          <cell r="AE408">
            <v>90</v>
          </cell>
          <cell r="AF408">
            <v>6</v>
          </cell>
        </row>
        <row r="409">
          <cell r="A409" t="str">
            <v>발마사지기</v>
          </cell>
          <cell r="B409" t="str">
            <v>저발</v>
          </cell>
          <cell r="C409">
            <v>1</v>
          </cell>
          <cell r="D409">
            <v>120</v>
          </cell>
          <cell r="E409">
            <v>240</v>
          </cell>
          <cell r="F409">
            <v>48</v>
          </cell>
          <cell r="G409" t="str">
            <v>B240NS</v>
          </cell>
          <cell r="H409" t="str">
            <v>생산5조,포장10조</v>
          </cell>
          <cell r="I409">
            <v>2</v>
          </cell>
          <cell r="J409" t="str">
            <v>지앤지</v>
          </cell>
          <cell r="P409">
            <v>500</v>
          </cell>
          <cell r="R409" t="str">
            <v>파랑</v>
          </cell>
          <cell r="U409" t="str">
            <v>2024-00</v>
          </cell>
          <cell r="V409" t="str">
            <v>이관금형</v>
          </cell>
          <cell r="Y409">
            <v>40</v>
          </cell>
          <cell r="AD409">
            <v>0.83</v>
          </cell>
          <cell r="AE409">
            <v>80</v>
          </cell>
        </row>
        <row r="410">
          <cell r="A410" t="str">
            <v>발마사지기</v>
          </cell>
          <cell r="B410" t="str">
            <v>저발</v>
          </cell>
          <cell r="C410">
            <v>1</v>
          </cell>
          <cell r="D410">
            <v>120</v>
          </cell>
          <cell r="E410">
            <v>240</v>
          </cell>
          <cell r="F410">
            <v>48</v>
          </cell>
          <cell r="G410" t="str">
            <v>B240NS</v>
          </cell>
          <cell r="H410" t="str">
            <v>생산5조,포장10조</v>
          </cell>
          <cell r="I410">
            <v>2</v>
          </cell>
          <cell r="J410" t="str">
            <v>지앤지</v>
          </cell>
          <cell r="P410">
            <v>500</v>
          </cell>
          <cell r="R410" t="str">
            <v>파랑</v>
          </cell>
          <cell r="U410" t="str">
            <v>2024-00</v>
          </cell>
          <cell r="V410" t="str">
            <v>이관금형</v>
          </cell>
          <cell r="Y410">
            <v>40</v>
          </cell>
          <cell r="AD410">
            <v>0.83</v>
          </cell>
          <cell r="AE410">
            <v>80</v>
          </cell>
        </row>
        <row r="411">
          <cell r="A411" t="str">
            <v>발마사지</v>
          </cell>
          <cell r="B411" t="str">
            <v>SET</v>
          </cell>
          <cell r="C411">
            <v>2</v>
          </cell>
          <cell r="D411">
            <v>100</v>
          </cell>
          <cell r="E411">
            <v>240</v>
          </cell>
          <cell r="F411">
            <v>70</v>
          </cell>
          <cell r="G411" t="str">
            <v>B240NS</v>
          </cell>
          <cell r="I411">
            <v>1</v>
          </cell>
          <cell r="J411" t="str">
            <v>지앤지</v>
          </cell>
          <cell r="P411">
            <v>500</v>
          </cell>
          <cell r="U411" t="str">
            <v>2024-00</v>
          </cell>
          <cell r="V411" t="str">
            <v>이관금형</v>
          </cell>
        </row>
        <row r="412">
          <cell r="A412" t="str">
            <v>반도체HAND</v>
          </cell>
          <cell r="B412" t="str">
            <v>PAD</v>
          </cell>
          <cell r="E412">
            <v>0</v>
          </cell>
          <cell r="J412" t="str">
            <v>삼성반도체</v>
          </cell>
        </row>
        <row r="413">
          <cell r="A413" t="str">
            <v>박막수경정식판12공(33배)</v>
          </cell>
          <cell r="B413" t="str">
            <v>SET</v>
          </cell>
          <cell r="C413">
            <v>2</v>
          </cell>
          <cell r="D413">
            <v>90</v>
          </cell>
          <cell r="E413">
            <v>290</v>
          </cell>
          <cell r="F413">
            <v>36</v>
          </cell>
          <cell r="G413" t="str">
            <v>B240NS</v>
          </cell>
          <cell r="H413">
            <v>10</v>
          </cell>
          <cell r="I413">
            <v>1</v>
          </cell>
          <cell r="J413" t="str">
            <v>가화텍</v>
          </cell>
          <cell r="K413">
            <v>26</v>
          </cell>
          <cell r="L413">
            <v>28</v>
          </cell>
          <cell r="P413">
            <v>1500</v>
          </cell>
          <cell r="Q413">
            <v>150</v>
          </cell>
          <cell r="R413" t="str">
            <v>PAD</v>
          </cell>
          <cell r="S413" t="str">
            <v>노란밴딩</v>
          </cell>
          <cell r="U413">
            <v>44616</v>
          </cell>
          <cell r="V413" t="str">
            <v>이피엠테크</v>
          </cell>
          <cell r="W413" t="str">
            <v>치수 필히측정할 것!!</v>
          </cell>
          <cell r="Y413">
            <v>33</v>
          </cell>
          <cell r="Z413">
            <v>9560</v>
          </cell>
          <cell r="AC413" t="str">
            <v>석상준차장</v>
          </cell>
          <cell r="AD413">
            <v>0.85</v>
          </cell>
        </row>
        <row r="414">
          <cell r="A414" t="str">
            <v>박막수경정식판12공(33배)</v>
          </cell>
          <cell r="B414" t="str">
            <v>SET</v>
          </cell>
          <cell r="C414">
            <v>2</v>
          </cell>
          <cell r="D414">
            <v>90</v>
          </cell>
          <cell r="E414">
            <v>290</v>
          </cell>
          <cell r="F414">
            <v>36</v>
          </cell>
          <cell r="G414" t="str">
            <v>B240NS</v>
          </cell>
          <cell r="H414">
            <v>10</v>
          </cell>
          <cell r="I414">
            <v>1</v>
          </cell>
          <cell r="J414" t="str">
            <v>가화텍</v>
          </cell>
          <cell r="K414">
            <v>26</v>
          </cell>
          <cell r="L414">
            <v>28</v>
          </cell>
          <cell r="P414">
            <v>1500</v>
          </cell>
          <cell r="Q414">
            <v>150</v>
          </cell>
          <cell r="R414" t="str">
            <v>PAD</v>
          </cell>
          <cell r="S414" t="str">
            <v>노란밴딩</v>
          </cell>
          <cell r="U414">
            <v>44616</v>
          </cell>
          <cell r="V414" t="str">
            <v>이피엠테크</v>
          </cell>
          <cell r="W414" t="str">
            <v>치수 필히측정할 것!!</v>
          </cell>
          <cell r="Y414">
            <v>33</v>
          </cell>
          <cell r="Z414">
            <v>9560</v>
          </cell>
          <cell r="AC414" t="str">
            <v>석상준차장</v>
          </cell>
          <cell r="AD414">
            <v>0.85</v>
          </cell>
        </row>
        <row r="415">
          <cell r="A415" t="str">
            <v>박막수경정식판12공</v>
          </cell>
          <cell r="B415" t="str">
            <v>SET</v>
          </cell>
          <cell r="C415">
            <v>2</v>
          </cell>
          <cell r="D415">
            <v>80</v>
          </cell>
          <cell r="E415">
            <v>239</v>
          </cell>
          <cell r="F415">
            <v>48</v>
          </cell>
          <cell r="G415" t="str">
            <v>B240NS</v>
          </cell>
          <cell r="H415">
            <v>10</v>
          </cell>
          <cell r="I415">
            <v>1</v>
          </cell>
          <cell r="J415" t="str">
            <v>가화텍</v>
          </cell>
          <cell r="K415">
            <v>26</v>
          </cell>
          <cell r="L415">
            <v>28</v>
          </cell>
          <cell r="P415">
            <v>1500</v>
          </cell>
          <cell r="Q415">
            <v>150</v>
          </cell>
          <cell r="U415">
            <v>44616</v>
          </cell>
          <cell r="V415" t="str">
            <v>이피엠테크</v>
          </cell>
          <cell r="Y415">
            <v>40</v>
          </cell>
          <cell r="Z415">
            <v>9560</v>
          </cell>
          <cell r="AC415" t="str">
            <v>석상준차장</v>
          </cell>
          <cell r="AD415">
            <v>0.85</v>
          </cell>
        </row>
        <row r="416">
          <cell r="A416" t="str">
            <v>박막수경정식판12공</v>
          </cell>
          <cell r="B416" t="str">
            <v>SET</v>
          </cell>
          <cell r="C416">
            <v>2</v>
          </cell>
          <cell r="D416">
            <v>80</v>
          </cell>
          <cell r="E416">
            <v>239</v>
          </cell>
          <cell r="F416">
            <v>48</v>
          </cell>
          <cell r="G416" t="str">
            <v>B240NS</v>
          </cell>
          <cell r="H416">
            <v>10</v>
          </cell>
          <cell r="I416">
            <v>1</v>
          </cell>
          <cell r="J416" t="str">
            <v>가화텍</v>
          </cell>
          <cell r="K416">
            <v>26</v>
          </cell>
          <cell r="L416">
            <v>28</v>
          </cell>
          <cell r="P416">
            <v>1500</v>
          </cell>
          <cell r="Q416">
            <v>150</v>
          </cell>
          <cell r="U416">
            <v>44616</v>
          </cell>
          <cell r="V416" t="str">
            <v>이피엠테크</v>
          </cell>
          <cell r="Y416">
            <v>40</v>
          </cell>
          <cell r="Z416">
            <v>9560</v>
          </cell>
          <cell r="AC416" t="str">
            <v>석상준차장</v>
          </cell>
          <cell r="AD416">
            <v>0.85</v>
          </cell>
        </row>
        <row r="417">
          <cell r="A417" t="str">
            <v>박막수경베드(40배)</v>
          </cell>
          <cell r="B417" t="str">
            <v>SET</v>
          </cell>
          <cell r="C417">
            <v>1</v>
          </cell>
          <cell r="D417">
            <v>110</v>
          </cell>
          <cell r="E417">
            <v>750</v>
          </cell>
          <cell r="F417">
            <v>40</v>
          </cell>
          <cell r="G417" t="str">
            <v>B240NS</v>
          </cell>
          <cell r="H417">
            <v>4</v>
          </cell>
          <cell r="I417">
            <v>1</v>
          </cell>
          <cell r="J417" t="str">
            <v>가화텍</v>
          </cell>
          <cell r="K417">
            <v>102</v>
          </cell>
          <cell r="L417">
            <v>106</v>
          </cell>
          <cell r="O417">
            <v>4880</v>
          </cell>
          <cell r="P417">
            <v>1360</v>
          </cell>
          <cell r="Q417">
            <v>200</v>
          </cell>
          <cell r="R417" t="str">
            <v>비닐</v>
          </cell>
          <cell r="S417" t="str">
            <v>비닐</v>
          </cell>
          <cell r="T417" t="str">
            <v>#33</v>
          </cell>
          <cell r="U417">
            <v>43031</v>
          </cell>
          <cell r="V417" t="str">
            <v>금형제조부</v>
          </cell>
          <cell r="W417" t="str">
            <v>#33차</v>
          </cell>
          <cell r="AC417" t="str">
            <v>최재학계장,2020-10-16 아산 이동 입고</v>
          </cell>
          <cell r="AD417">
            <v>0.9</v>
          </cell>
          <cell r="AE417">
            <v>100</v>
          </cell>
          <cell r="AF417">
            <v>1</v>
          </cell>
        </row>
        <row r="418">
          <cell r="A418" t="str">
            <v>박막수경베드(40배)</v>
          </cell>
          <cell r="B418" t="str">
            <v>SET</v>
          </cell>
          <cell r="C418">
            <v>1</v>
          </cell>
          <cell r="D418">
            <v>110</v>
          </cell>
          <cell r="E418">
            <v>750</v>
          </cell>
          <cell r="F418">
            <v>40</v>
          </cell>
          <cell r="G418" t="str">
            <v>B240NS</v>
          </cell>
          <cell r="H418">
            <v>4</v>
          </cell>
          <cell r="I418">
            <v>1</v>
          </cell>
          <cell r="J418" t="str">
            <v>가화텍</v>
          </cell>
          <cell r="K418">
            <v>102</v>
          </cell>
          <cell r="L418">
            <v>106</v>
          </cell>
          <cell r="O418">
            <v>4880</v>
          </cell>
          <cell r="P418">
            <v>1360</v>
          </cell>
          <cell r="Q418">
            <v>200</v>
          </cell>
          <cell r="R418" t="str">
            <v>비닐</v>
          </cell>
          <cell r="S418" t="str">
            <v>비닐</v>
          </cell>
          <cell r="T418" t="str">
            <v>#33</v>
          </cell>
          <cell r="U418">
            <v>43031</v>
          </cell>
          <cell r="V418" t="str">
            <v>금형제조부</v>
          </cell>
          <cell r="W418" t="str">
            <v>#33차</v>
          </cell>
          <cell r="AC418" t="str">
            <v>최재학계장,2020-10-16 아산 이동 입고</v>
          </cell>
          <cell r="AD418">
            <v>0.9</v>
          </cell>
          <cell r="AE418">
            <v>100</v>
          </cell>
          <cell r="AF418">
            <v>4</v>
          </cell>
        </row>
        <row r="419">
          <cell r="A419" t="str">
            <v>박막수경베드</v>
          </cell>
          <cell r="B419" t="str">
            <v>SET</v>
          </cell>
          <cell r="C419">
            <v>1</v>
          </cell>
          <cell r="D419">
            <v>110</v>
          </cell>
          <cell r="E419">
            <v>900</v>
          </cell>
          <cell r="F419">
            <v>36</v>
          </cell>
          <cell r="G419" t="str">
            <v>B240NS</v>
          </cell>
          <cell r="H419">
            <v>4</v>
          </cell>
          <cell r="I419">
            <v>1</v>
          </cell>
          <cell r="J419" t="str">
            <v>가화텍</v>
          </cell>
          <cell r="K419">
            <v>102</v>
          </cell>
          <cell r="L419">
            <v>106</v>
          </cell>
          <cell r="O419">
            <v>5830</v>
          </cell>
          <cell r="P419">
            <v>1360</v>
          </cell>
          <cell r="Q419">
            <v>200</v>
          </cell>
          <cell r="R419" t="str">
            <v>비닐</v>
          </cell>
          <cell r="S419" t="str">
            <v>비닐</v>
          </cell>
          <cell r="T419" t="str">
            <v>#33</v>
          </cell>
          <cell r="U419">
            <v>43031</v>
          </cell>
          <cell r="V419" t="str">
            <v>금형제조부</v>
          </cell>
          <cell r="W419" t="str">
            <v>#33차</v>
          </cell>
          <cell r="AC419" t="str">
            <v>최재학계장,2020-10-16 아산 이동 입고</v>
          </cell>
          <cell r="AD419">
            <v>0.9</v>
          </cell>
          <cell r="AE419">
            <v>100</v>
          </cell>
          <cell r="AF419">
            <v>1</v>
          </cell>
        </row>
        <row r="420">
          <cell r="A420" t="str">
            <v>박막수경마감베드(40배)</v>
          </cell>
          <cell r="B420" t="str">
            <v>SET</v>
          </cell>
          <cell r="C420">
            <v>1</v>
          </cell>
          <cell r="D420">
            <v>100</v>
          </cell>
          <cell r="E420">
            <v>800</v>
          </cell>
          <cell r="F420">
            <v>40</v>
          </cell>
          <cell r="G420" t="str">
            <v>B240NS</v>
          </cell>
          <cell r="H420">
            <v>2</v>
          </cell>
          <cell r="I420">
            <v>2</v>
          </cell>
          <cell r="J420" t="str">
            <v>가화텍</v>
          </cell>
          <cell r="K420">
            <v>102</v>
          </cell>
          <cell r="L420">
            <v>106</v>
          </cell>
          <cell r="M420">
            <v>102</v>
          </cell>
          <cell r="N420">
            <v>106</v>
          </cell>
          <cell r="O420">
            <v>5200</v>
          </cell>
          <cell r="P420">
            <v>1360</v>
          </cell>
          <cell r="Q420">
            <v>200</v>
          </cell>
          <cell r="R420" t="str">
            <v>비닐</v>
          </cell>
          <cell r="S420" t="str">
            <v>비닐</v>
          </cell>
          <cell r="T420" t="str">
            <v>#34</v>
          </cell>
          <cell r="U420">
            <v>43031</v>
          </cell>
          <cell r="V420" t="str">
            <v>금형제조부</v>
          </cell>
          <cell r="W420" t="str">
            <v>#34차</v>
          </cell>
          <cell r="AC420" t="str">
            <v>최재학계장</v>
          </cell>
          <cell r="AD420">
            <v>0.9</v>
          </cell>
          <cell r="AE420">
            <v>100</v>
          </cell>
          <cell r="AF420">
            <v>4</v>
          </cell>
        </row>
        <row r="421">
          <cell r="A421" t="str">
            <v>박막수경마감베드</v>
          </cell>
          <cell r="B421" t="str">
            <v>SET</v>
          </cell>
          <cell r="C421">
            <v>1</v>
          </cell>
          <cell r="D421">
            <v>100</v>
          </cell>
          <cell r="E421">
            <v>960</v>
          </cell>
          <cell r="F421">
            <v>36</v>
          </cell>
          <cell r="G421" t="str">
            <v>B240NS</v>
          </cell>
          <cell r="H421">
            <v>2</v>
          </cell>
          <cell r="I421">
            <v>2</v>
          </cell>
          <cell r="J421" t="str">
            <v>가화텍</v>
          </cell>
          <cell r="K421">
            <v>102</v>
          </cell>
          <cell r="L421">
            <v>106</v>
          </cell>
          <cell r="M421">
            <v>102</v>
          </cell>
          <cell r="N421">
            <v>106</v>
          </cell>
          <cell r="O421">
            <v>6210</v>
          </cell>
          <cell r="P421">
            <v>1360</v>
          </cell>
          <cell r="Q421">
            <v>200</v>
          </cell>
          <cell r="R421" t="str">
            <v>비닐</v>
          </cell>
          <cell r="S421" t="str">
            <v>비닐</v>
          </cell>
          <cell r="T421" t="str">
            <v>#34</v>
          </cell>
          <cell r="U421">
            <v>43031</v>
          </cell>
          <cell r="V421" t="str">
            <v>금형제조부</v>
          </cell>
          <cell r="W421" t="str">
            <v>#34차</v>
          </cell>
          <cell r="AC421" t="str">
            <v>최재학계장</v>
          </cell>
          <cell r="AD421">
            <v>0.9</v>
          </cell>
          <cell r="AE421">
            <v>100</v>
          </cell>
          <cell r="AF421">
            <v>1</v>
          </cell>
        </row>
        <row r="422">
          <cell r="A422" t="str">
            <v>바크글라스</v>
          </cell>
          <cell r="B422" t="str">
            <v>SET</v>
          </cell>
          <cell r="C422">
            <v>2</v>
          </cell>
          <cell r="D422">
            <v>100</v>
          </cell>
          <cell r="E422">
            <v>574</v>
          </cell>
          <cell r="F422">
            <v>68</v>
          </cell>
          <cell r="G422" t="str">
            <v>SG302AN</v>
          </cell>
          <cell r="I422">
            <v>2</v>
          </cell>
          <cell r="J422" t="str">
            <v>NCK</v>
          </cell>
          <cell r="P422">
            <v>1360</v>
          </cell>
          <cell r="Q422">
            <v>350</v>
          </cell>
          <cell r="U422">
            <v>43766</v>
          </cell>
          <cell r="V422" t="str">
            <v>금형사업부</v>
          </cell>
          <cell r="Y422">
            <v>60</v>
          </cell>
          <cell r="Z422">
            <v>34394</v>
          </cell>
        </row>
        <row r="423">
          <cell r="A423" t="str">
            <v>믹시(회색40배)</v>
          </cell>
          <cell r="B423" t="str">
            <v>저발</v>
          </cell>
          <cell r="C423">
            <v>4</v>
          </cell>
          <cell r="D423">
            <v>110</v>
          </cell>
          <cell r="E423">
            <v>39</v>
          </cell>
          <cell r="F423">
            <v>48</v>
          </cell>
          <cell r="G423" t="str">
            <v>ZP2500</v>
          </cell>
          <cell r="H423">
            <v>10</v>
          </cell>
          <cell r="I423">
            <v>2</v>
          </cell>
          <cell r="J423" t="str">
            <v>제이월드텍</v>
          </cell>
          <cell r="P423">
            <v>500</v>
          </cell>
          <cell r="R423" t="str">
            <v>파란</v>
          </cell>
          <cell r="U423" t="str">
            <v>2022.09.29</v>
          </cell>
          <cell r="V423" t="str">
            <v>정양(이관금형)</v>
          </cell>
          <cell r="AE423">
            <v>110</v>
          </cell>
        </row>
        <row r="424">
          <cell r="A424" t="str">
            <v>믹시(회색40배)</v>
          </cell>
          <cell r="B424" t="str">
            <v>SET</v>
          </cell>
          <cell r="C424">
            <v>4</v>
          </cell>
          <cell r="D424">
            <v>90</v>
          </cell>
          <cell r="E424">
            <v>39</v>
          </cell>
          <cell r="F424">
            <v>48</v>
          </cell>
          <cell r="G424" t="str">
            <v>ZP2500</v>
          </cell>
          <cell r="H424">
            <v>10</v>
          </cell>
          <cell r="I424">
            <v>2</v>
          </cell>
          <cell r="J424" t="str">
            <v>제이월드텍</v>
          </cell>
          <cell r="P424">
            <v>500</v>
          </cell>
          <cell r="R424" t="str">
            <v>파란</v>
          </cell>
          <cell r="U424" t="str">
            <v>2022.09.29</v>
          </cell>
          <cell r="V424" t="str">
            <v>정양(이관금형)</v>
          </cell>
          <cell r="AC424" t="str">
            <v>김영석사원</v>
          </cell>
          <cell r="AD424">
            <v>0.85</v>
          </cell>
        </row>
        <row r="425">
          <cell r="A425" t="str">
            <v>믹시</v>
          </cell>
          <cell r="B425" t="str">
            <v>저발</v>
          </cell>
          <cell r="C425">
            <v>4</v>
          </cell>
          <cell r="D425">
            <v>100</v>
          </cell>
          <cell r="E425">
            <v>26</v>
          </cell>
          <cell r="F425">
            <v>74</v>
          </cell>
          <cell r="G425" t="str">
            <v>B240NS</v>
          </cell>
          <cell r="H425">
            <v>10</v>
          </cell>
          <cell r="I425">
            <v>2</v>
          </cell>
          <cell r="J425" t="str">
            <v>제이월드텍</v>
          </cell>
          <cell r="P425">
            <v>500</v>
          </cell>
          <cell r="Q425">
            <v>0</v>
          </cell>
          <cell r="R425" t="str">
            <v>파란</v>
          </cell>
          <cell r="U425" t="str">
            <v>2022.09.29</v>
          </cell>
          <cell r="V425" t="str">
            <v>이관금형</v>
          </cell>
          <cell r="AC425" t="str">
            <v>김영석사원</v>
          </cell>
          <cell r="AD425">
            <v>0.85</v>
          </cell>
        </row>
        <row r="426">
          <cell r="A426" t="str">
            <v>믹시</v>
          </cell>
          <cell r="B426" t="str">
            <v>SET</v>
          </cell>
          <cell r="C426">
            <v>4</v>
          </cell>
          <cell r="D426">
            <v>100</v>
          </cell>
          <cell r="E426">
            <v>26</v>
          </cell>
          <cell r="F426">
            <v>74</v>
          </cell>
          <cell r="G426" t="str">
            <v>B240NS</v>
          </cell>
          <cell r="H426">
            <v>10</v>
          </cell>
          <cell r="I426">
            <v>2</v>
          </cell>
          <cell r="J426" t="str">
            <v>진선테크</v>
          </cell>
          <cell r="P426">
            <v>500</v>
          </cell>
          <cell r="Q426">
            <v>0</v>
          </cell>
          <cell r="R426" t="str">
            <v>파란</v>
          </cell>
          <cell r="U426" t="str">
            <v>2022.09.29</v>
          </cell>
          <cell r="V426" t="str">
            <v>이관금형</v>
          </cell>
          <cell r="AC426" t="str">
            <v>김영석사원</v>
          </cell>
          <cell r="AD426">
            <v>0.85</v>
          </cell>
        </row>
        <row r="427">
          <cell r="A427" t="str">
            <v>믹시</v>
          </cell>
          <cell r="B427" t="str">
            <v>SET</v>
          </cell>
          <cell r="C427">
            <v>4</v>
          </cell>
          <cell r="D427">
            <v>100</v>
          </cell>
          <cell r="E427">
            <v>26</v>
          </cell>
          <cell r="F427">
            <v>74</v>
          </cell>
          <cell r="G427" t="str">
            <v>B240NS</v>
          </cell>
          <cell r="H427">
            <v>10</v>
          </cell>
          <cell r="I427">
            <v>2</v>
          </cell>
          <cell r="J427" t="str">
            <v>진선테크</v>
          </cell>
          <cell r="P427">
            <v>500</v>
          </cell>
          <cell r="R427" t="str">
            <v>파란</v>
          </cell>
          <cell r="U427" t="str">
            <v>2022.09.29</v>
          </cell>
          <cell r="V427" t="str">
            <v>이관금형</v>
          </cell>
          <cell r="AC427" t="str">
            <v>김영석사원</v>
          </cell>
          <cell r="AD427">
            <v>0.85</v>
          </cell>
        </row>
        <row r="428">
          <cell r="A428" t="str">
            <v>미니헬멧</v>
          </cell>
          <cell r="B428" t="str">
            <v>저발</v>
          </cell>
          <cell r="C428">
            <v>6</v>
          </cell>
          <cell r="D428">
            <v>155</v>
          </cell>
          <cell r="E428">
            <v>8</v>
          </cell>
          <cell r="F428">
            <v>36</v>
          </cell>
          <cell r="G428" t="str">
            <v>B240NS</v>
          </cell>
          <cell r="H428">
            <v>1</v>
          </cell>
          <cell r="I428">
            <v>1</v>
          </cell>
          <cell r="J428" t="str">
            <v>케이몰드</v>
          </cell>
          <cell r="O428">
            <v>700</v>
          </cell>
          <cell r="P428">
            <v>700</v>
          </cell>
          <cell r="S428">
            <v>0</v>
          </cell>
          <cell r="T428" t="str">
            <v>미니헬멧</v>
          </cell>
          <cell r="U428">
            <v>42142</v>
          </cell>
          <cell r="V428" t="str">
            <v>V-TEC</v>
          </cell>
          <cell r="AC428" t="str">
            <v>김창준입고</v>
          </cell>
          <cell r="AD428">
            <v>0.85</v>
          </cell>
          <cell r="AE428">
            <v>65</v>
          </cell>
          <cell r="AF428">
            <v>4</v>
          </cell>
        </row>
        <row r="429">
          <cell r="A429" t="str">
            <v>로트벡쉔-TRAY</v>
          </cell>
          <cell r="B429" t="str">
            <v>SET</v>
          </cell>
          <cell r="C429">
            <v>12</v>
          </cell>
          <cell r="D429">
            <v>100</v>
          </cell>
          <cell r="E429">
            <v>34</v>
          </cell>
          <cell r="F429">
            <v>50</v>
          </cell>
          <cell r="G429" t="str">
            <v>B240NS</v>
          </cell>
          <cell r="H429">
            <v>24</v>
          </cell>
          <cell r="I429">
            <v>1</v>
          </cell>
          <cell r="J429" t="str">
            <v>젠코디벨롭</v>
          </cell>
          <cell r="K429">
            <v>43</v>
          </cell>
          <cell r="L429">
            <v>47</v>
          </cell>
          <cell r="P429">
            <v>1360</v>
          </cell>
          <cell r="Q429">
            <v>150</v>
          </cell>
          <cell r="R429" t="str">
            <v>흰색</v>
          </cell>
          <cell r="U429">
            <v>44795</v>
          </cell>
          <cell r="V429" t="str">
            <v>금형사업부</v>
          </cell>
          <cell r="Y429">
            <v>40</v>
          </cell>
          <cell r="AC429" t="str">
            <v>김영석사원</v>
          </cell>
          <cell r="AD429">
            <v>0.85</v>
          </cell>
        </row>
        <row r="430">
          <cell r="A430" t="str">
            <v>로트백쉔-TRAY</v>
          </cell>
          <cell r="B430" t="str">
            <v>SET</v>
          </cell>
          <cell r="C430">
            <v>12</v>
          </cell>
          <cell r="D430">
            <v>90</v>
          </cell>
          <cell r="E430">
            <v>34</v>
          </cell>
          <cell r="F430">
            <v>50</v>
          </cell>
          <cell r="G430" t="str">
            <v>B240NS</v>
          </cell>
          <cell r="H430">
            <v>24</v>
          </cell>
          <cell r="I430">
            <v>1</v>
          </cell>
          <cell r="J430" t="str">
            <v>젠코디벨롭</v>
          </cell>
          <cell r="K430">
            <v>43</v>
          </cell>
          <cell r="L430">
            <v>47</v>
          </cell>
          <cell r="P430">
            <v>1360</v>
          </cell>
          <cell r="Q430">
            <v>150</v>
          </cell>
          <cell r="R430" t="str">
            <v>흰색</v>
          </cell>
          <cell r="U430">
            <v>44795</v>
          </cell>
          <cell r="V430" t="str">
            <v>금형사업부</v>
          </cell>
          <cell r="Y430">
            <v>40</v>
          </cell>
          <cell r="AC430" t="str">
            <v>김영석사원</v>
          </cell>
          <cell r="AD430">
            <v>0.85</v>
          </cell>
        </row>
        <row r="431">
          <cell r="A431" t="str">
            <v>로트백쉔-TRAY</v>
          </cell>
          <cell r="B431" t="str">
            <v>SET</v>
          </cell>
          <cell r="C431">
            <v>12</v>
          </cell>
          <cell r="D431">
            <v>100</v>
          </cell>
          <cell r="E431">
            <v>34</v>
          </cell>
          <cell r="F431">
            <v>50</v>
          </cell>
          <cell r="G431" t="str">
            <v>B240NS</v>
          </cell>
          <cell r="H431">
            <v>24</v>
          </cell>
          <cell r="I431">
            <v>1</v>
          </cell>
          <cell r="J431" t="str">
            <v>젠코디벨롭</v>
          </cell>
          <cell r="K431">
            <v>43</v>
          </cell>
          <cell r="L431">
            <v>47</v>
          </cell>
          <cell r="P431">
            <v>1360</v>
          </cell>
          <cell r="Q431">
            <v>150</v>
          </cell>
          <cell r="R431" t="str">
            <v>흰색</v>
          </cell>
          <cell r="U431">
            <v>44795</v>
          </cell>
          <cell r="V431" t="str">
            <v>금형사업부</v>
          </cell>
          <cell r="Y431">
            <v>40</v>
          </cell>
          <cell r="AC431" t="str">
            <v>김영석사원</v>
          </cell>
          <cell r="AD431">
            <v>0.85</v>
          </cell>
        </row>
        <row r="432">
          <cell r="A432" t="str">
            <v>로트백쉔-2</v>
          </cell>
          <cell r="B432" t="str">
            <v>SET</v>
          </cell>
          <cell r="C432">
            <v>12</v>
          </cell>
          <cell r="D432">
            <v>90</v>
          </cell>
          <cell r="E432">
            <v>62</v>
          </cell>
          <cell r="F432">
            <v>50</v>
          </cell>
          <cell r="G432" t="str">
            <v>B240NS</v>
          </cell>
          <cell r="H432" t="str">
            <v>생산20조,포장40조</v>
          </cell>
          <cell r="I432">
            <v>1</v>
          </cell>
          <cell r="J432" t="str">
            <v>젠코디벨롭</v>
          </cell>
          <cell r="K432">
            <v>58</v>
          </cell>
          <cell r="L432">
            <v>62</v>
          </cell>
          <cell r="P432">
            <v>1600</v>
          </cell>
          <cell r="Q432">
            <v>250</v>
          </cell>
          <cell r="R432" t="str">
            <v>주황</v>
          </cell>
          <cell r="U432">
            <v>45713</v>
          </cell>
          <cell r="V432" t="str">
            <v>금형사업부</v>
          </cell>
          <cell r="Y432">
            <v>40</v>
          </cell>
          <cell r="AC432" t="str">
            <v>김영석사원</v>
          </cell>
          <cell r="AD432">
            <v>0.85</v>
          </cell>
          <cell r="AE432">
            <v>80</v>
          </cell>
        </row>
        <row r="433">
          <cell r="A433" t="str">
            <v>로트백쉔-2</v>
          </cell>
          <cell r="B433" t="str">
            <v>SET</v>
          </cell>
          <cell r="C433">
            <v>12</v>
          </cell>
          <cell r="D433">
            <v>90</v>
          </cell>
          <cell r="E433">
            <v>62</v>
          </cell>
          <cell r="F433">
            <v>50</v>
          </cell>
          <cell r="G433" t="str">
            <v>B240NS</v>
          </cell>
          <cell r="H433" t="str">
            <v>생산20조,포장40조</v>
          </cell>
          <cell r="I433">
            <v>1</v>
          </cell>
          <cell r="J433" t="str">
            <v>젠코디벨롭</v>
          </cell>
          <cell r="K433">
            <v>58</v>
          </cell>
          <cell r="L433">
            <v>62</v>
          </cell>
          <cell r="P433">
            <v>1600</v>
          </cell>
          <cell r="Q433">
            <v>250</v>
          </cell>
          <cell r="R433" t="str">
            <v>주황</v>
          </cell>
          <cell r="U433">
            <v>45713</v>
          </cell>
          <cell r="V433" t="str">
            <v>금형사업부</v>
          </cell>
          <cell r="Y433">
            <v>40</v>
          </cell>
          <cell r="AC433" t="str">
            <v>김영석사원</v>
          </cell>
          <cell r="AD433">
            <v>0.85</v>
          </cell>
          <cell r="AE433">
            <v>80</v>
          </cell>
        </row>
        <row r="434">
          <cell r="A434" t="str">
            <v>로스터블럭</v>
          </cell>
          <cell r="B434" t="str">
            <v>SET</v>
          </cell>
          <cell r="C434">
            <v>12</v>
          </cell>
          <cell r="D434">
            <v>100</v>
          </cell>
          <cell r="E434">
            <v>49</v>
          </cell>
          <cell r="F434">
            <v>50</v>
          </cell>
          <cell r="G434" t="str">
            <v>B240NS</v>
          </cell>
          <cell r="H434" t="str">
            <v>L100,R100 따로</v>
          </cell>
          <cell r="I434">
            <v>2</v>
          </cell>
          <cell r="J434" t="str">
            <v>신명전기</v>
          </cell>
          <cell r="K434">
            <v>62.5</v>
          </cell>
          <cell r="L434">
            <v>64.5</v>
          </cell>
          <cell r="M434">
            <v>79.8</v>
          </cell>
          <cell r="N434">
            <v>81.8</v>
          </cell>
          <cell r="O434">
            <v>350</v>
          </cell>
          <cell r="P434">
            <v>1360</v>
          </cell>
          <cell r="Q434">
            <v>200</v>
          </cell>
          <cell r="R434" t="str">
            <v>박스</v>
          </cell>
          <cell r="S434" t="str">
            <v>박스</v>
          </cell>
          <cell r="U434">
            <v>44126</v>
          </cell>
          <cell r="V434" t="str">
            <v>금형사업부</v>
          </cell>
          <cell r="W434" t="str">
            <v>L,R 따로  포장</v>
          </cell>
          <cell r="Y434">
            <v>40</v>
          </cell>
          <cell r="Z434">
            <v>1961</v>
          </cell>
          <cell r="AC434" t="str">
            <v>석상준과장</v>
          </cell>
          <cell r="AD434">
            <v>0.85</v>
          </cell>
          <cell r="AF434">
            <v>6</v>
          </cell>
        </row>
        <row r="435">
          <cell r="A435" t="str">
            <v>러기지보드</v>
          </cell>
          <cell r="B435" t="str">
            <v>SET</v>
          </cell>
          <cell r="C435">
            <v>1</v>
          </cell>
          <cell r="D435">
            <v>100</v>
          </cell>
          <cell r="E435">
            <v>250</v>
          </cell>
          <cell r="F435">
            <v>30</v>
          </cell>
          <cell r="G435" t="str">
            <v>B240NS</v>
          </cell>
          <cell r="H435">
            <v>1</v>
          </cell>
          <cell r="I435">
            <v>2</v>
          </cell>
          <cell r="J435" t="str">
            <v>세키스이</v>
          </cell>
          <cell r="K435">
            <v>11.8</v>
          </cell>
          <cell r="L435">
            <v>13.8</v>
          </cell>
          <cell r="M435">
            <v>11.8</v>
          </cell>
          <cell r="N435">
            <v>13.8</v>
          </cell>
          <cell r="O435">
            <v>10</v>
          </cell>
          <cell r="P435">
            <v>1360</v>
          </cell>
          <cell r="Q435">
            <v>150</v>
          </cell>
          <cell r="S435">
            <v>0</v>
          </cell>
          <cell r="T435" t="str">
            <v>러기지보드</v>
          </cell>
          <cell r="U435">
            <v>42912</v>
          </cell>
          <cell r="V435" t="str">
            <v>금형제조부</v>
          </cell>
          <cell r="W435" t="str">
            <v>하나세란 SPL원료 생산</v>
          </cell>
          <cell r="AC435" t="str">
            <v>김길영대리,후레임일체형(핀X, 휘더20EA)</v>
          </cell>
          <cell r="AD435">
            <v>0.9</v>
          </cell>
          <cell r="AE435">
            <v>75</v>
          </cell>
          <cell r="AF435">
            <v>2</v>
          </cell>
        </row>
        <row r="436">
          <cell r="A436" t="str">
            <v>딸기박스1K(57배)</v>
          </cell>
          <cell r="B436" t="str">
            <v>BOX</v>
          </cell>
          <cell r="C436">
            <v>16</v>
          </cell>
          <cell r="D436">
            <v>90</v>
          </cell>
          <cell r="E436">
            <v>40</v>
          </cell>
          <cell r="F436">
            <v>65</v>
          </cell>
          <cell r="G436" t="str">
            <v>B240NS</v>
          </cell>
          <cell r="H436">
            <v>90</v>
          </cell>
          <cell r="I436">
            <v>1</v>
          </cell>
          <cell r="J436" t="str">
            <v>삼일이노팩</v>
          </cell>
          <cell r="K436">
            <v>103</v>
          </cell>
          <cell r="L436">
            <v>105</v>
          </cell>
          <cell r="O436">
            <v>170</v>
          </cell>
          <cell r="P436">
            <v>1500</v>
          </cell>
          <cell r="Q436">
            <v>200</v>
          </cell>
          <cell r="R436" t="str">
            <v>녹색</v>
          </cell>
          <cell r="S436" t="str">
            <v>녹색</v>
          </cell>
          <cell r="T436" t="str">
            <v>딸기박스1K</v>
          </cell>
          <cell r="AD436">
            <v>0.89</v>
          </cell>
          <cell r="AE436">
            <v>65</v>
          </cell>
          <cell r="AF436">
            <v>10</v>
          </cell>
        </row>
        <row r="437">
          <cell r="A437" t="str">
            <v>딸기박스1K</v>
          </cell>
          <cell r="B437" t="str">
            <v>BOX</v>
          </cell>
          <cell r="C437">
            <v>16</v>
          </cell>
          <cell r="D437">
            <v>78</v>
          </cell>
          <cell r="E437">
            <v>22</v>
          </cell>
          <cell r="F437">
            <v>74</v>
          </cell>
          <cell r="G437" t="str">
            <v>SE2500M</v>
          </cell>
          <cell r="H437">
            <v>60</v>
          </cell>
          <cell r="I437">
            <v>1</v>
          </cell>
          <cell r="J437" t="str">
            <v>삼일이노팩</v>
          </cell>
          <cell r="K437">
            <v>98</v>
          </cell>
          <cell r="L437">
            <v>102</v>
          </cell>
          <cell r="O437">
            <v>165</v>
          </cell>
          <cell r="P437">
            <v>1500</v>
          </cell>
          <cell r="Q437">
            <v>200</v>
          </cell>
          <cell r="R437" t="str">
            <v>주황</v>
          </cell>
          <cell r="S437" t="str">
            <v>주황</v>
          </cell>
          <cell r="T437" t="str">
            <v>딸기박스1K</v>
          </cell>
          <cell r="U437">
            <v>39769</v>
          </cell>
          <cell r="V437" t="str">
            <v>삼일금형</v>
          </cell>
          <cell r="W437" t="str">
            <v>후레임교체</v>
          </cell>
          <cell r="X437" t="str">
            <v>E-1107</v>
          </cell>
          <cell r="Y437">
            <v>60</v>
          </cell>
          <cell r="Z437">
            <v>1327</v>
          </cell>
          <cell r="AC437" t="str">
            <v>2014.06.19배율변경(65-&gt;70),2014.08.27포장단위변경(90EA-&gt;80EA)2014.12.01기준중량,기준배율변경(30-22,60배)2015.0106인중량변경(30g-22g)2015.01.30묶음단위변경(80-&gt;60)</v>
          </cell>
          <cell r="AD437">
            <v>0.85</v>
          </cell>
          <cell r="AE437">
            <v>65</v>
          </cell>
          <cell r="AF437">
            <v>2</v>
          </cell>
        </row>
        <row r="438">
          <cell r="A438" t="str">
            <v>디알텍소PAD</v>
          </cell>
          <cell r="B438" t="str">
            <v>MDRT-002</v>
          </cell>
          <cell r="G438" t="str">
            <v>SG302</v>
          </cell>
          <cell r="J438" t="str">
            <v>DRTECH</v>
          </cell>
          <cell r="O438">
            <v>120</v>
          </cell>
          <cell r="T438" t="str">
            <v>DR-PAD(490*418*10T)</v>
          </cell>
        </row>
        <row r="439">
          <cell r="A439" t="str">
            <v>디바이스포장재</v>
          </cell>
          <cell r="B439" t="str">
            <v>SET</v>
          </cell>
          <cell r="C439">
            <v>6</v>
          </cell>
          <cell r="D439">
            <v>125</v>
          </cell>
          <cell r="E439">
            <v>120</v>
          </cell>
          <cell r="F439">
            <v>48</v>
          </cell>
          <cell r="G439" t="str">
            <v>B240NS</v>
          </cell>
          <cell r="H439">
            <v>20</v>
          </cell>
          <cell r="I439">
            <v>1</v>
          </cell>
          <cell r="J439" t="str">
            <v>우리하이테크</v>
          </cell>
          <cell r="P439">
            <v>1360</v>
          </cell>
          <cell r="U439">
            <v>45695</v>
          </cell>
          <cell r="V439" t="str">
            <v>서천 이관</v>
          </cell>
          <cell r="AD439">
            <v>0.83</v>
          </cell>
          <cell r="AE439">
            <v>80</v>
          </cell>
        </row>
        <row r="440">
          <cell r="A440" t="str">
            <v>디바이스포장재</v>
          </cell>
          <cell r="B440" t="str">
            <v>SET</v>
          </cell>
          <cell r="C440">
            <v>6</v>
          </cell>
          <cell r="D440">
            <v>125</v>
          </cell>
          <cell r="E440">
            <v>120</v>
          </cell>
          <cell r="F440">
            <v>48</v>
          </cell>
          <cell r="G440" t="str">
            <v>B240NS</v>
          </cell>
          <cell r="H440">
            <v>20</v>
          </cell>
          <cell r="I440">
            <v>1</v>
          </cell>
          <cell r="J440" t="str">
            <v>우리하이테크</v>
          </cell>
          <cell r="P440">
            <v>1360</v>
          </cell>
          <cell r="U440">
            <v>45695</v>
          </cell>
          <cell r="V440" t="str">
            <v>서천 이관</v>
          </cell>
          <cell r="AD440">
            <v>0.83</v>
          </cell>
          <cell r="AE440">
            <v>80</v>
          </cell>
        </row>
        <row r="441">
          <cell r="A441" t="str">
            <v>디바이스포장재</v>
          </cell>
          <cell r="B441" t="str">
            <v>SET</v>
          </cell>
          <cell r="C441">
            <v>6</v>
          </cell>
          <cell r="D441">
            <v>90</v>
          </cell>
          <cell r="E441">
            <v>120</v>
          </cell>
          <cell r="F441">
            <v>48</v>
          </cell>
          <cell r="G441" t="str">
            <v>B240NS</v>
          </cell>
          <cell r="H441">
            <v>20</v>
          </cell>
          <cell r="I441">
            <v>1</v>
          </cell>
          <cell r="J441" t="str">
            <v>우리하이테크</v>
          </cell>
          <cell r="P441">
            <v>1360</v>
          </cell>
          <cell r="U441">
            <v>45695</v>
          </cell>
          <cell r="V441" t="str">
            <v>서천 이관</v>
          </cell>
        </row>
        <row r="442">
          <cell r="A442" t="str">
            <v>디럭스플러스</v>
          </cell>
          <cell r="B442" t="str">
            <v>SET</v>
          </cell>
          <cell r="C442">
            <v>5</v>
          </cell>
          <cell r="D442">
            <v>100</v>
          </cell>
          <cell r="E442">
            <v>220</v>
          </cell>
          <cell r="F442">
            <v>60</v>
          </cell>
          <cell r="G442" t="str">
            <v>B240NS</v>
          </cell>
          <cell r="H442">
            <v>10</v>
          </cell>
          <cell r="I442">
            <v>2</v>
          </cell>
          <cell r="J442" t="str">
            <v>알비코리아</v>
          </cell>
          <cell r="P442">
            <v>1360</v>
          </cell>
          <cell r="Q442">
            <v>200</v>
          </cell>
          <cell r="R442" t="str">
            <v>빨강</v>
          </cell>
          <cell r="U442" t="str">
            <v>2022.11.14</v>
          </cell>
          <cell r="V442" t="str">
            <v>이관금형</v>
          </cell>
          <cell r="AC442" t="str">
            <v>김영석사원</v>
          </cell>
          <cell r="AD442">
            <v>0.85</v>
          </cell>
        </row>
        <row r="443">
          <cell r="A443" t="str">
            <v>디럭스플러스</v>
          </cell>
          <cell r="B443" t="str">
            <v>SET</v>
          </cell>
          <cell r="C443">
            <v>5</v>
          </cell>
          <cell r="D443">
            <v>100</v>
          </cell>
          <cell r="E443">
            <v>220</v>
          </cell>
          <cell r="F443">
            <v>60</v>
          </cell>
          <cell r="G443" t="str">
            <v>B240NS</v>
          </cell>
          <cell r="H443">
            <v>10</v>
          </cell>
          <cell r="I443">
            <v>2</v>
          </cell>
          <cell r="J443" t="str">
            <v>알비코리아</v>
          </cell>
          <cell r="P443">
            <v>1360</v>
          </cell>
          <cell r="Q443">
            <v>200</v>
          </cell>
          <cell r="R443" t="str">
            <v>빨강</v>
          </cell>
          <cell r="U443" t="str">
            <v>2022.11.14</v>
          </cell>
          <cell r="V443" t="str">
            <v>이관금형</v>
          </cell>
          <cell r="AC443" t="str">
            <v>김영석사원</v>
          </cell>
          <cell r="AD443">
            <v>0.85</v>
          </cell>
        </row>
        <row r="444">
          <cell r="A444" t="str">
            <v>등5호(회색40배)</v>
          </cell>
          <cell r="B444" t="str">
            <v>회색</v>
          </cell>
          <cell r="C444">
            <v>2</v>
          </cell>
          <cell r="D444">
            <v>70</v>
          </cell>
          <cell r="E444">
            <v>415</v>
          </cell>
          <cell r="F444">
            <v>48</v>
          </cell>
          <cell r="G444" t="str">
            <v>ZP2500</v>
          </cell>
          <cell r="H444">
            <v>6</v>
          </cell>
          <cell r="I444">
            <v>2</v>
          </cell>
          <cell r="J444" t="str">
            <v>중부스치로폼</v>
          </cell>
          <cell r="K444">
            <v>63</v>
          </cell>
          <cell r="L444">
            <v>67</v>
          </cell>
          <cell r="M444">
            <v>118</v>
          </cell>
          <cell r="N444">
            <v>122</v>
          </cell>
          <cell r="O444">
            <v>2150</v>
          </cell>
          <cell r="P444">
            <v>1360</v>
          </cell>
          <cell r="Q444">
            <v>200</v>
          </cell>
          <cell r="R444" t="str">
            <v>보라</v>
          </cell>
          <cell r="S444" t="str">
            <v>보라</v>
          </cell>
          <cell r="T444" t="str">
            <v>등5호</v>
          </cell>
          <cell r="U444">
            <v>41836</v>
          </cell>
          <cell r="V444" t="str">
            <v>금형제조부</v>
          </cell>
          <cell r="W444" t="str">
            <v>적색무타공비닐포장</v>
          </cell>
          <cell r="Y444">
            <v>40</v>
          </cell>
          <cell r="Z444">
            <v>16598</v>
          </cell>
          <cell r="AC444" t="str">
            <v>둥5호 금형동일2014.12.16묶음단위변경(5-&gt;6)</v>
          </cell>
          <cell r="AD444">
            <v>0.85</v>
          </cell>
          <cell r="AE444">
            <v>70</v>
          </cell>
          <cell r="AF444">
            <v>8</v>
          </cell>
        </row>
        <row r="445">
          <cell r="A445" t="str">
            <v>등5호(아산)</v>
          </cell>
          <cell r="B445" t="str">
            <v>BOX</v>
          </cell>
          <cell r="E445">
            <v>290</v>
          </cell>
          <cell r="J445" t="str">
            <v>아산이피에스</v>
          </cell>
        </row>
        <row r="446">
          <cell r="A446" t="str">
            <v>등5호</v>
          </cell>
          <cell r="B446" t="str">
            <v>BOX</v>
          </cell>
          <cell r="C446">
            <v>2</v>
          </cell>
          <cell r="D446">
            <v>78</v>
          </cell>
          <cell r="E446">
            <v>280</v>
          </cell>
          <cell r="F446">
            <v>74</v>
          </cell>
          <cell r="G446" t="str">
            <v>SE2500M</v>
          </cell>
          <cell r="H446">
            <v>6</v>
          </cell>
          <cell r="I446">
            <v>2</v>
          </cell>
          <cell r="J446" t="str">
            <v>중부스치로폼</v>
          </cell>
          <cell r="K446">
            <v>63</v>
          </cell>
          <cell r="L446">
            <v>67</v>
          </cell>
          <cell r="M446">
            <v>118</v>
          </cell>
          <cell r="N446">
            <v>122</v>
          </cell>
          <cell r="O446">
            <v>1400</v>
          </cell>
          <cell r="P446">
            <v>1360</v>
          </cell>
          <cell r="Q446">
            <v>200</v>
          </cell>
          <cell r="R446" t="str">
            <v>보라</v>
          </cell>
          <cell r="S446" t="str">
            <v>보라</v>
          </cell>
          <cell r="T446" t="str">
            <v>등5호</v>
          </cell>
          <cell r="U446">
            <v>41836</v>
          </cell>
          <cell r="V446" t="str">
            <v>금형제조부</v>
          </cell>
          <cell r="W446" t="str">
            <v>적색무타공비닐포장</v>
          </cell>
          <cell r="X446" t="str">
            <v>E-0207</v>
          </cell>
          <cell r="Y446">
            <v>62</v>
          </cell>
          <cell r="Z446">
            <v>16598</v>
          </cell>
          <cell r="AC446" t="str">
            <v>석상준대리, 2014.09.15기준중량변경(277-&gt;270),엠코리아외주2014.12.01기준중량,기준배율변경(270-267,62배)2014.12.04수정,코팅완료2014.12.11묶음단위변경(5-&gt;6),2015.01.07 승인중량(267),2015.03.10승인중량변경(267-&gt;280)</v>
          </cell>
          <cell r="AD446">
            <v>0.85</v>
          </cell>
          <cell r="AE446">
            <v>80</v>
          </cell>
          <cell r="AF446">
            <v>8</v>
          </cell>
        </row>
        <row r="447">
          <cell r="A447" t="str">
            <v>등4호(회색40배)</v>
          </cell>
          <cell r="B447" t="str">
            <v>회색</v>
          </cell>
          <cell r="C447">
            <v>2</v>
          </cell>
          <cell r="D447">
            <v>110</v>
          </cell>
          <cell r="E447">
            <v>383</v>
          </cell>
          <cell r="F447">
            <v>48</v>
          </cell>
          <cell r="G447" t="str">
            <v>ZP2500</v>
          </cell>
          <cell r="H447">
            <v>6</v>
          </cell>
          <cell r="I447">
            <v>2</v>
          </cell>
          <cell r="J447" t="str">
            <v>중부스치로폼</v>
          </cell>
          <cell r="K447">
            <v>67</v>
          </cell>
          <cell r="L447">
            <v>72</v>
          </cell>
          <cell r="M447">
            <v>118</v>
          </cell>
          <cell r="N447">
            <v>122</v>
          </cell>
          <cell r="O447">
            <v>1980</v>
          </cell>
          <cell r="P447">
            <v>1360</v>
          </cell>
          <cell r="Q447">
            <v>200</v>
          </cell>
          <cell r="R447" t="str">
            <v>흰색</v>
          </cell>
          <cell r="S447" t="str">
            <v>흰색</v>
          </cell>
          <cell r="T447" t="str">
            <v>등4호</v>
          </cell>
          <cell r="U447">
            <v>41843</v>
          </cell>
          <cell r="V447" t="str">
            <v>대영기계</v>
          </cell>
          <cell r="W447" t="str">
            <v>적색무타공비닐포장</v>
          </cell>
          <cell r="Y447">
            <v>40</v>
          </cell>
          <cell r="Z447">
            <v>15619</v>
          </cell>
          <cell r="AC447" t="str">
            <v>둥4호 금형동일2014.12.15묶음단위변경(5-&gt;6)</v>
          </cell>
          <cell r="AD447">
            <v>0.85</v>
          </cell>
          <cell r="AE447">
            <v>80</v>
          </cell>
          <cell r="AF447">
            <v>6</v>
          </cell>
        </row>
        <row r="448">
          <cell r="A448" t="str">
            <v>등4호</v>
          </cell>
          <cell r="B448" t="str">
            <v>BOX</v>
          </cell>
          <cell r="C448">
            <v>2</v>
          </cell>
          <cell r="D448">
            <v>79</v>
          </cell>
          <cell r="E448">
            <v>275</v>
          </cell>
          <cell r="F448">
            <v>70</v>
          </cell>
          <cell r="G448" t="str">
            <v>SE2500M</v>
          </cell>
          <cell r="H448">
            <v>6</v>
          </cell>
          <cell r="I448">
            <v>2</v>
          </cell>
          <cell r="J448" t="str">
            <v>중부스치로폼</v>
          </cell>
          <cell r="K448">
            <v>67</v>
          </cell>
          <cell r="L448">
            <v>72</v>
          </cell>
          <cell r="M448">
            <v>118</v>
          </cell>
          <cell r="N448">
            <v>122</v>
          </cell>
          <cell r="O448">
            <v>1480</v>
          </cell>
          <cell r="P448">
            <v>1360</v>
          </cell>
          <cell r="Q448">
            <v>200</v>
          </cell>
          <cell r="R448" t="str">
            <v>검정</v>
          </cell>
          <cell r="S448" t="str">
            <v>검정</v>
          </cell>
          <cell r="T448" t="str">
            <v>등4호</v>
          </cell>
          <cell r="U448">
            <v>41843</v>
          </cell>
          <cell r="V448" t="str">
            <v>대영기계</v>
          </cell>
          <cell r="W448" t="str">
            <v>적색무타공비닐포장</v>
          </cell>
          <cell r="X448" t="str">
            <v>D-0904</v>
          </cell>
          <cell r="Y448">
            <v>60</v>
          </cell>
          <cell r="Z448">
            <v>15619</v>
          </cell>
          <cell r="AC448" t="str">
            <v>조우리사원2014.12.01코팅완료2014.12.15묶음단위변경(5-&gt;6),2015.01.07 승인중량변경(250-&gt;247),2015.03.10승인중량변경(247-&gt;297), 2022.01.11사용배율변경(74-&gt;70)24년1월 코아 몸통5mm고임중량297→275</v>
          </cell>
          <cell r="AD448">
            <v>0.85</v>
          </cell>
          <cell r="AE448">
            <v>75</v>
          </cell>
        </row>
        <row r="449">
          <cell r="A449" t="str">
            <v>등3호</v>
          </cell>
          <cell r="B449" t="str">
            <v>BOX</v>
          </cell>
          <cell r="C449">
            <v>4</v>
          </cell>
          <cell r="D449">
            <v>80</v>
          </cell>
          <cell r="E449">
            <v>176</v>
          </cell>
          <cell r="F449">
            <v>70</v>
          </cell>
          <cell r="G449" t="str">
            <v>B240NS</v>
          </cell>
          <cell r="H449">
            <v>14</v>
          </cell>
          <cell r="I449">
            <v>2</v>
          </cell>
          <cell r="J449" t="str">
            <v>중부스치로폼</v>
          </cell>
          <cell r="K449">
            <v>38</v>
          </cell>
          <cell r="L449">
            <v>42</v>
          </cell>
          <cell r="M449">
            <v>98</v>
          </cell>
          <cell r="N449">
            <v>102</v>
          </cell>
          <cell r="O449">
            <v>880</v>
          </cell>
          <cell r="P449">
            <v>1500</v>
          </cell>
          <cell r="Q449">
            <v>200</v>
          </cell>
          <cell r="R449" t="str">
            <v>녹색</v>
          </cell>
          <cell r="S449" t="str">
            <v>녹색</v>
          </cell>
          <cell r="T449" t="str">
            <v>등3호</v>
          </cell>
          <cell r="U449">
            <v>41835</v>
          </cell>
          <cell r="V449" t="str">
            <v>금형제조부</v>
          </cell>
          <cell r="W449" t="str">
            <v>적색무타공비닐포장,직가래3개설치</v>
          </cell>
          <cell r="X449" t="str">
            <v>A-0702</v>
          </cell>
          <cell r="Y449">
            <v>62</v>
          </cell>
          <cell r="Z449">
            <v>9418</v>
          </cell>
          <cell r="AC449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449">
            <v>0.85</v>
          </cell>
          <cell r="AE449">
            <v>75</v>
          </cell>
          <cell r="AF449">
            <v>6</v>
          </cell>
        </row>
        <row r="450">
          <cell r="A450" t="str">
            <v>등2호(회색40배)</v>
          </cell>
          <cell r="B450" t="str">
            <v>회색</v>
          </cell>
          <cell r="C450">
            <v>4</v>
          </cell>
          <cell r="D450">
            <v>80</v>
          </cell>
          <cell r="E450">
            <v>210</v>
          </cell>
          <cell r="F450">
            <v>48</v>
          </cell>
          <cell r="G450" t="str">
            <v>ZP2500</v>
          </cell>
          <cell r="H450">
            <v>14</v>
          </cell>
          <cell r="I450">
            <v>2</v>
          </cell>
          <cell r="J450" t="str">
            <v>중부스치로폼</v>
          </cell>
          <cell r="K450">
            <v>63</v>
          </cell>
          <cell r="L450">
            <v>67</v>
          </cell>
          <cell r="M450">
            <v>83</v>
          </cell>
          <cell r="N450">
            <v>87</v>
          </cell>
          <cell r="O450">
            <v>1030</v>
          </cell>
          <cell r="P450">
            <v>1500</v>
          </cell>
          <cell r="Q450">
            <v>200</v>
          </cell>
          <cell r="R450" t="str">
            <v>흰색</v>
          </cell>
          <cell r="S450" t="str">
            <v>흰색</v>
          </cell>
          <cell r="T450" t="str">
            <v>등2호</v>
          </cell>
          <cell r="U450">
            <v>41837</v>
          </cell>
          <cell r="V450" t="str">
            <v>금형제조부</v>
          </cell>
          <cell r="W450" t="str">
            <v>적색무타공비닐포장,직가래3개설치</v>
          </cell>
          <cell r="Y450">
            <v>40</v>
          </cell>
          <cell r="Z450">
            <v>7944</v>
          </cell>
          <cell r="AC450" t="str">
            <v>둥2호 금형동일2014.12.12묶음단위변경(10-&gt;14)</v>
          </cell>
          <cell r="AD450">
            <v>0.85</v>
          </cell>
          <cell r="AE450">
            <v>80</v>
          </cell>
        </row>
        <row r="451">
          <cell r="A451" t="str">
            <v>등2호(회색30배)</v>
          </cell>
          <cell r="B451" t="str">
            <v>회색</v>
          </cell>
          <cell r="C451">
            <v>4</v>
          </cell>
          <cell r="D451">
            <v>80</v>
          </cell>
          <cell r="E451">
            <v>265</v>
          </cell>
          <cell r="F451">
            <v>40</v>
          </cell>
          <cell r="G451" t="str">
            <v>ZP2500</v>
          </cell>
          <cell r="H451">
            <v>14</v>
          </cell>
          <cell r="I451">
            <v>2</v>
          </cell>
          <cell r="J451" t="str">
            <v>중부스치로폼</v>
          </cell>
          <cell r="K451">
            <v>63</v>
          </cell>
          <cell r="L451">
            <v>67</v>
          </cell>
          <cell r="M451">
            <v>83</v>
          </cell>
          <cell r="N451">
            <v>87</v>
          </cell>
          <cell r="O451">
            <v>1380</v>
          </cell>
          <cell r="P451">
            <v>1500</v>
          </cell>
          <cell r="Q451">
            <v>200</v>
          </cell>
          <cell r="R451" t="str">
            <v>파랑</v>
          </cell>
          <cell r="S451" t="str">
            <v>파랑</v>
          </cell>
          <cell r="T451" t="str">
            <v>등2호</v>
          </cell>
          <cell r="U451">
            <v>41837</v>
          </cell>
          <cell r="V451" t="str">
            <v>금형제조부</v>
          </cell>
          <cell r="W451" t="str">
            <v>적색무타공비닐포장,직가래3개설치</v>
          </cell>
          <cell r="Y451">
            <v>30</v>
          </cell>
          <cell r="Z451">
            <v>7944</v>
          </cell>
          <cell r="AC451" t="str">
            <v>둥2호 금형동일2014.12.12묶음단위변경(10-&gt;14)</v>
          </cell>
          <cell r="AD451">
            <v>0.85</v>
          </cell>
          <cell r="AE451">
            <v>80</v>
          </cell>
          <cell r="AF451">
            <v>8</v>
          </cell>
        </row>
        <row r="452">
          <cell r="A452" t="str">
            <v>등2호</v>
          </cell>
          <cell r="B452" t="str">
            <v>BOX</v>
          </cell>
          <cell r="C452">
            <v>4</v>
          </cell>
          <cell r="D452">
            <v>75</v>
          </cell>
          <cell r="E452">
            <v>142</v>
          </cell>
          <cell r="F452">
            <v>70</v>
          </cell>
          <cell r="G452" t="str">
            <v>SE2500M</v>
          </cell>
          <cell r="H452">
            <v>14</v>
          </cell>
          <cell r="I452">
            <v>2</v>
          </cell>
          <cell r="J452" t="str">
            <v>중부스치로폼</v>
          </cell>
          <cell r="K452">
            <v>63</v>
          </cell>
          <cell r="L452">
            <v>67</v>
          </cell>
          <cell r="M452">
            <v>83</v>
          </cell>
          <cell r="N452">
            <v>87</v>
          </cell>
          <cell r="O452">
            <v>720</v>
          </cell>
          <cell r="P452">
            <v>1500</v>
          </cell>
          <cell r="Q452">
            <v>200</v>
          </cell>
          <cell r="R452" t="str">
            <v>흰색</v>
          </cell>
          <cell r="S452" t="str">
            <v>흰색</v>
          </cell>
          <cell r="T452" t="str">
            <v>등2호</v>
          </cell>
          <cell r="U452">
            <v>41837</v>
          </cell>
          <cell r="V452" t="str">
            <v>금형제조부</v>
          </cell>
          <cell r="W452" t="str">
            <v>적색무타공비닐포장,직가래3개,융착,강도확인!</v>
          </cell>
          <cell r="X452" t="str">
            <v>D-0805</v>
          </cell>
          <cell r="Y452">
            <v>62</v>
          </cell>
          <cell r="Z452">
            <v>7944</v>
          </cell>
          <cell r="AC452" t="str">
            <v>석상준대리, 코팅완료, 2014.09.15기준중량변경(132-&gt;130)2014.12.01기준중량,기준배율변경(132-128,60-62)2014.12.12묶음단위변경(10-&gt;14),2015.01.07 승인중량(128),2015.03.10승인중량변경(128-&gt;142), 2022.01.11사용배율변경(74-&gt;70)</v>
          </cell>
          <cell r="AD452">
            <v>0.85</v>
          </cell>
          <cell r="AE452">
            <v>70</v>
          </cell>
          <cell r="AF452">
            <v>8</v>
          </cell>
        </row>
        <row r="453">
          <cell r="A453" t="str">
            <v>동진박스T/B</v>
          </cell>
          <cell r="B453" t="str">
            <v>BOX</v>
          </cell>
          <cell r="C453">
            <v>2</v>
          </cell>
          <cell r="D453">
            <v>100</v>
          </cell>
          <cell r="E453">
            <v>759</v>
          </cell>
          <cell r="F453">
            <v>36</v>
          </cell>
          <cell r="G453" t="str">
            <v>B240NS</v>
          </cell>
          <cell r="H453">
            <v>3</v>
          </cell>
          <cell r="I453">
            <v>2</v>
          </cell>
          <cell r="J453" t="str">
            <v>동진화성</v>
          </cell>
          <cell r="K453">
            <v>123.5</v>
          </cell>
          <cell r="L453">
            <v>125.5</v>
          </cell>
          <cell r="M453">
            <v>133.5</v>
          </cell>
          <cell r="N453">
            <v>135.5</v>
          </cell>
          <cell r="O453">
            <v>5900</v>
          </cell>
          <cell r="P453">
            <v>1360</v>
          </cell>
          <cell r="Q453">
            <v>200</v>
          </cell>
          <cell r="R453" t="str">
            <v>비닐</v>
          </cell>
          <cell r="S453" t="str">
            <v>비닐</v>
          </cell>
          <cell r="T453" t="str">
            <v>동진박스T/B</v>
          </cell>
          <cell r="U453">
            <v>40330</v>
          </cell>
          <cell r="V453" t="str">
            <v>삼일금형</v>
          </cell>
          <cell r="W453" t="str">
            <v>융축불량확인</v>
          </cell>
          <cell r="X453" t="str">
            <v>계양리 A-2</v>
          </cell>
          <cell r="AC453" t="str">
            <v>2014.03.14 금형재입고, 2014.04.01기준중량변경(759-&gt;844)</v>
          </cell>
          <cell r="AD453">
            <v>0.9</v>
          </cell>
          <cell r="AE453">
            <v>90</v>
          </cell>
          <cell r="AF453">
            <v>16</v>
          </cell>
        </row>
        <row r="454">
          <cell r="A454" t="str">
            <v>동진박스#2(켐트로닉스)</v>
          </cell>
          <cell r="B454" t="str">
            <v>BOX</v>
          </cell>
          <cell r="C454">
            <v>2</v>
          </cell>
          <cell r="D454" t="str">
            <v>120</v>
          </cell>
          <cell r="E454">
            <v>914</v>
          </cell>
          <cell r="F454">
            <v>50</v>
          </cell>
          <cell r="G454" t="str">
            <v>B240NS</v>
          </cell>
          <cell r="H454" t="str">
            <v>2</v>
          </cell>
          <cell r="I454">
            <v>2</v>
          </cell>
          <cell r="J454" t="str">
            <v>컴트로닉스</v>
          </cell>
          <cell r="K454">
            <v>188</v>
          </cell>
          <cell r="L454">
            <v>192</v>
          </cell>
          <cell r="M454">
            <v>198</v>
          </cell>
          <cell r="N454">
            <v>202</v>
          </cell>
          <cell r="O454" t="str">
            <v>5500</v>
          </cell>
          <cell r="P454">
            <v>1360</v>
          </cell>
          <cell r="Q454">
            <v>300</v>
          </cell>
          <cell r="R454" t="str">
            <v>검정</v>
          </cell>
          <cell r="U454">
            <v>44350</v>
          </cell>
          <cell r="V454" t="str">
            <v>세일하이테크</v>
          </cell>
          <cell r="W454" t="str">
            <v>캠트로닉스 각인부착</v>
          </cell>
          <cell r="Y454">
            <v>40</v>
          </cell>
          <cell r="Z454">
            <v>36568.300000000003</v>
          </cell>
          <cell r="AC454" t="str">
            <v>석상준과장, 코팅완료</v>
          </cell>
          <cell r="AD454">
            <v>0.85</v>
          </cell>
          <cell r="AF454">
            <v>4</v>
          </cell>
        </row>
        <row r="455">
          <cell r="A455" t="str">
            <v>동진박스#2(40배)</v>
          </cell>
          <cell r="B455" t="str">
            <v>BOX</v>
          </cell>
          <cell r="C455">
            <v>2</v>
          </cell>
          <cell r="D455" t="str">
            <v>120</v>
          </cell>
          <cell r="E455">
            <v>914</v>
          </cell>
          <cell r="F455">
            <v>50</v>
          </cell>
          <cell r="G455" t="str">
            <v>B240NS</v>
          </cell>
          <cell r="H455" t="str">
            <v>2</v>
          </cell>
          <cell r="I455">
            <v>2</v>
          </cell>
          <cell r="J455" t="str">
            <v>동진화성</v>
          </cell>
          <cell r="K455">
            <v>188</v>
          </cell>
          <cell r="L455">
            <v>192</v>
          </cell>
          <cell r="M455">
            <v>198</v>
          </cell>
          <cell r="N455">
            <v>202</v>
          </cell>
          <cell r="P455">
            <v>1360</v>
          </cell>
          <cell r="Q455">
            <v>300</v>
          </cell>
          <cell r="R455" t="str">
            <v>빨강</v>
          </cell>
          <cell r="S455" t="str">
            <v>빨강</v>
          </cell>
          <cell r="U455">
            <v>44350</v>
          </cell>
          <cell r="V455" t="str">
            <v>세일하이테크</v>
          </cell>
          <cell r="W455" t="str">
            <v>동진새미켐4구 소 각인있음</v>
          </cell>
          <cell r="Y455">
            <v>40</v>
          </cell>
          <cell r="Z455">
            <v>36568.300000000003</v>
          </cell>
          <cell r="AC455" t="str">
            <v>석상준과장, 코팅완료</v>
          </cell>
          <cell r="AD455">
            <v>0.85</v>
          </cell>
          <cell r="AF455">
            <v>4</v>
          </cell>
        </row>
        <row r="456">
          <cell r="A456" t="str">
            <v>동진박스#2</v>
          </cell>
          <cell r="B456" t="str">
            <v>BOX</v>
          </cell>
          <cell r="C456">
            <v>2</v>
          </cell>
          <cell r="D456">
            <v>150</v>
          </cell>
          <cell r="E456">
            <v>550</v>
          </cell>
          <cell r="F456" t="str">
            <v>70</v>
          </cell>
          <cell r="G456" t="str">
            <v>B240NS</v>
          </cell>
          <cell r="H456" t="str">
            <v>2</v>
          </cell>
          <cell r="I456">
            <v>2</v>
          </cell>
          <cell r="J456" t="str">
            <v>동진화성</v>
          </cell>
          <cell r="K456">
            <v>188</v>
          </cell>
          <cell r="L456">
            <v>192</v>
          </cell>
          <cell r="M456">
            <v>198</v>
          </cell>
          <cell r="N456">
            <v>202</v>
          </cell>
          <cell r="P456">
            <v>1360</v>
          </cell>
          <cell r="Q456">
            <v>300</v>
          </cell>
          <cell r="R456" t="str">
            <v>파랑</v>
          </cell>
          <cell r="S456" t="str">
            <v>파랑</v>
          </cell>
          <cell r="U456">
            <v>44350</v>
          </cell>
          <cell r="V456" t="str">
            <v>세일하이테크</v>
          </cell>
          <cell r="W456" t="str">
            <v>동진새미켐4구 소 각인없음</v>
          </cell>
          <cell r="Y456" t="str">
            <v>60</v>
          </cell>
          <cell r="Z456">
            <v>36568.300000000003</v>
          </cell>
          <cell r="AC456" t="str">
            <v>석상준과장, 코팅완료</v>
          </cell>
          <cell r="AD456">
            <v>0.85</v>
          </cell>
          <cell r="AF456">
            <v>8</v>
          </cell>
        </row>
        <row r="457">
          <cell r="A457" t="str">
            <v>동진박스</v>
          </cell>
          <cell r="B457" t="str">
            <v>BOX</v>
          </cell>
          <cell r="C457">
            <v>2</v>
          </cell>
          <cell r="D457">
            <v>90</v>
          </cell>
          <cell r="E457">
            <v>550</v>
          </cell>
          <cell r="F457">
            <v>70</v>
          </cell>
          <cell r="G457" t="str">
            <v>B240NS</v>
          </cell>
          <cell r="H457">
            <v>2</v>
          </cell>
          <cell r="I457">
            <v>2</v>
          </cell>
          <cell r="J457" t="str">
            <v>동진화성</v>
          </cell>
          <cell r="K457">
            <v>186</v>
          </cell>
          <cell r="L457">
            <v>190</v>
          </cell>
          <cell r="M457">
            <v>199</v>
          </cell>
          <cell r="N457">
            <v>203</v>
          </cell>
          <cell r="O457">
            <v>3000</v>
          </cell>
          <cell r="P457">
            <v>1300</v>
          </cell>
          <cell r="Q457">
            <v>300</v>
          </cell>
          <cell r="R457" t="str">
            <v>파랑</v>
          </cell>
          <cell r="S457" t="str">
            <v>파랑</v>
          </cell>
          <cell r="T457" t="str">
            <v>동진화성BOX</v>
          </cell>
          <cell r="V457" t="str">
            <v>삼일금형</v>
          </cell>
          <cell r="W457" t="str">
            <v>수축,융착확인,크라킹최소화</v>
          </cell>
          <cell r="X457" t="str">
            <v>D-0605</v>
          </cell>
          <cell r="AC457" t="str">
            <v>동진쎄미캠(2*2)조로계산, 2011.12.22기준중량변경(600-&gt;550 2012.01.01적용),2014.05.26배율변경(62-&gt;65)    2015.01.16수정,2018.04.02캐비티높이보강(250mm-&gt;300mm), 2020.04.01수리 휘다추가, 2020.05.08 BURR수리, 2021.03.02 배율변경(74-&gt;70)</v>
          </cell>
          <cell r="AD457">
            <v>0.85</v>
          </cell>
          <cell r="AE457">
            <v>90</v>
          </cell>
          <cell r="AF457">
            <v>6</v>
          </cell>
        </row>
        <row r="458">
          <cell r="A458" t="str">
            <v>동신박스</v>
          </cell>
          <cell r="B458" t="str">
            <v>저발</v>
          </cell>
          <cell r="C458">
            <v>8</v>
          </cell>
          <cell r="D458">
            <v>90</v>
          </cell>
          <cell r="E458">
            <v>30</v>
          </cell>
          <cell r="F458">
            <v>58</v>
          </cell>
          <cell r="G458" t="str">
            <v>B240NS</v>
          </cell>
          <cell r="H458">
            <v>120</v>
          </cell>
          <cell r="I458">
            <v>1</v>
          </cell>
          <cell r="J458" t="str">
            <v>동신전열</v>
          </cell>
          <cell r="K458">
            <v>57</v>
          </cell>
          <cell r="L458">
            <v>61</v>
          </cell>
          <cell r="O458">
            <v>350</v>
          </cell>
          <cell r="P458">
            <v>500</v>
          </cell>
          <cell r="R458" t="str">
            <v>흰색</v>
          </cell>
          <cell r="S458" t="str">
            <v>흰색</v>
          </cell>
          <cell r="T458" t="str">
            <v>동신박스</v>
          </cell>
          <cell r="U458">
            <v>40746</v>
          </cell>
          <cell r="V458" t="str">
            <v>동신전열이동</v>
          </cell>
          <cell r="X458" t="str">
            <v>Q-0101</v>
          </cell>
          <cell r="AD458">
            <v>0.85</v>
          </cell>
          <cell r="AE458">
            <v>90</v>
          </cell>
          <cell r="AF458">
            <v>3</v>
          </cell>
        </row>
        <row r="459">
          <cell r="A459" t="str">
            <v>동서바베큐</v>
          </cell>
          <cell r="B459" t="str">
            <v>BOX</v>
          </cell>
          <cell r="C459">
            <v>1</v>
          </cell>
          <cell r="D459">
            <v>150</v>
          </cell>
          <cell r="E459">
            <v>1800</v>
          </cell>
          <cell r="F459">
            <v>70</v>
          </cell>
          <cell r="G459" t="str">
            <v>B240NS</v>
          </cell>
          <cell r="H459">
            <v>1</v>
          </cell>
          <cell r="I459">
            <v>2</v>
          </cell>
          <cell r="J459" t="str">
            <v>동서바베큐</v>
          </cell>
          <cell r="K459">
            <v>183</v>
          </cell>
          <cell r="L459">
            <v>187</v>
          </cell>
          <cell r="M459">
            <v>183</v>
          </cell>
          <cell r="N459">
            <v>187</v>
          </cell>
          <cell r="O459">
            <v>9000</v>
          </cell>
          <cell r="P459">
            <v>1500</v>
          </cell>
          <cell r="Q459">
            <v>250</v>
          </cell>
          <cell r="R459" t="str">
            <v>비닐</v>
          </cell>
          <cell r="S459" t="str">
            <v>비닐</v>
          </cell>
          <cell r="T459" t="str">
            <v>동서바베큐</v>
          </cell>
          <cell r="X459" t="str">
            <v>Q-0801</v>
          </cell>
          <cell r="AC459" t="str">
            <v>8.9.10.14호기만착형, 2013.03.28 배율변경(57-&gt;62)</v>
          </cell>
          <cell r="AD459">
            <v>0.85</v>
          </cell>
          <cell r="AE459">
            <v>150</v>
          </cell>
          <cell r="AF459">
            <v>3</v>
          </cell>
        </row>
        <row r="460">
          <cell r="A460" t="str">
            <v>도고-등2호(백색)</v>
          </cell>
          <cell r="B460" t="str">
            <v>저발</v>
          </cell>
          <cell r="C460">
            <v>1</v>
          </cell>
          <cell r="D460">
            <v>85</v>
          </cell>
          <cell r="E460">
            <v>210</v>
          </cell>
          <cell r="F460">
            <v>65</v>
          </cell>
          <cell r="G460" t="str">
            <v>B240NS</v>
          </cell>
          <cell r="H460">
            <v>10</v>
          </cell>
          <cell r="I460">
            <v>2</v>
          </cell>
          <cell r="J460" t="str">
            <v>도고산업</v>
          </cell>
          <cell r="P460">
            <v>500</v>
          </cell>
          <cell r="R460" t="str">
            <v>흰색</v>
          </cell>
          <cell r="S460" t="str">
            <v>흰색</v>
          </cell>
          <cell r="U460">
            <v>43102</v>
          </cell>
          <cell r="V460" t="str">
            <v>이관금형</v>
          </cell>
          <cell r="W460" t="str">
            <v>휘더,핀 돌출확인 필.</v>
          </cell>
          <cell r="AC460" t="str">
            <v>최재학사원 ,2018.01.02 재입고</v>
          </cell>
          <cell r="AD460">
            <v>0.74</v>
          </cell>
          <cell r="AE460">
            <v>90</v>
          </cell>
        </row>
        <row r="461">
          <cell r="A461" t="str">
            <v>도고-등2호</v>
          </cell>
          <cell r="B461" t="str">
            <v>저발</v>
          </cell>
          <cell r="C461">
            <v>1</v>
          </cell>
          <cell r="D461">
            <v>110</v>
          </cell>
          <cell r="E461">
            <v>260</v>
          </cell>
          <cell r="F461">
            <v>48</v>
          </cell>
          <cell r="G461" t="str">
            <v>ZP2500</v>
          </cell>
          <cell r="H461">
            <v>10</v>
          </cell>
          <cell r="I461">
            <v>2</v>
          </cell>
          <cell r="J461" t="str">
            <v>도고산업</v>
          </cell>
          <cell r="O461">
            <v>1600</v>
          </cell>
          <cell r="P461">
            <v>500</v>
          </cell>
          <cell r="R461" t="str">
            <v>흰색</v>
          </cell>
          <cell r="S461" t="str">
            <v>흰색</v>
          </cell>
          <cell r="T461" t="str">
            <v>중량관리 철저!</v>
          </cell>
          <cell r="U461">
            <v>43102</v>
          </cell>
          <cell r="V461" t="str">
            <v>이관금형</v>
          </cell>
          <cell r="AC461" t="str">
            <v>최재학사원 ,2018.01.02 재입고</v>
          </cell>
          <cell r="AD461">
            <v>0.74</v>
          </cell>
          <cell r="AE461">
            <v>100</v>
          </cell>
        </row>
        <row r="462">
          <cell r="A462" t="str">
            <v>도고-4구(백색)</v>
          </cell>
          <cell r="B462" t="str">
            <v>BOX</v>
          </cell>
          <cell r="C462">
            <v>3</v>
          </cell>
          <cell r="D462">
            <v>77</v>
          </cell>
          <cell r="E462">
            <v>210</v>
          </cell>
          <cell r="F462">
            <v>53</v>
          </cell>
          <cell r="G462" t="str">
            <v>B240NS</v>
          </cell>
          <cell r="H462">
            <v>10</v>
          </cell>
          <cell r="I462">
            <v>2</v>
          </cell>
          <cell r="J462" t="str">
            <v>도고산업</v>
          </cell>
          <cell r="O462">
            <v>1200</v>
          </cell>
          <cell r="P462">
            <v>1360</v>
          </cell>
          <cell r="Q462">
            <v>200</v>
          </cell>
          <cell r="R462" t="str">
            <v>빨강</v>
          </cell>
          <cell r="S462" t="str">
            <v>빨강</v>
          </cell>
          <cell r="U462">
            <v>43102</v>
          </cell>
          <cell r="V462" t="str">
            <v>이관금형</v>
          </cell>
          <cell r="W462" t="str">
            <v>휘더,핀 돌출확인 필.</v>
          </cell>
          <cell r="AC462" t="str">
            <v>최재학사원 ,2018.01.02 재입고</v>
          </cell>
          <cell r="AD462">
            <v>0.85</v>
          </cell>
          <cell r="AE462">
            <v>100</v>
          </cell>
        </row>
        <row r="463">
          <cell r="A463" t="str">
            <v>대형라이트</v>
          </cell>
          <cell r="B463" t="str">
            <v>SET</v>
          </cell>
          <cell r="C463">
            <v>2</v>
          </cell>
          <cell r="D463">
            <v>300</v>
          </cell>
          <cell r="E463">
            <v>2380</v>
          </cell>
          <cell r="F463">
            <v>36</v>
          </cell>
          <cell r="G463" t="str">
            <v>B240NS</v>
          </cell>
          <cell r="H463">
            <v>2</v>
          </cell>
          <cell r="I463">
            <v>2</v>
          </cell>
          <cell r="J463" t="str">
            <v>릴테크</v>
          </cell>
          <cell r="K463">
            <v>206</v>
          </cell>
          <cell r="L463">
            <v>208</v>
          </cell>
          <cell r="M463">
            <v>461</v>
          </cell>
          <cell r="N463">
            <v>465</v>
          </cell>
          <cell r="O463">
            <v>14800</v>
          </cell>
          <cell r="P463">
            <v>1360</v>
          </cell>
          <cell r="Q463">
            <v>550</v>
          </cell>
          <cell r="R463" t="str">
            <v>밴딩</v>
          </cell>
          <cell r="S463" t="str">
            <v>밴딩</v>
          </cell>
          <cell r="U463">
            <v>41424</v>
          </cell>
          <cell r="V463" t="str">
            <v>금형제조부</v>
          </cell>
          <cell r="X463" t="str">
            <v>계양리 A-3</v>
          </cell>
          <cell r="AC463" t="str">
            <v>조우리사원,2013.10.02 개조,2013.10.10수정,2013.10.30수정,2014.01.15 묶음단위변경(1-&gt;2)</v>
          </cell>
          <cell r="AD463">
            <v>0.9</v>
          </cell>
          <cell r="AE463">
            <v>300</v>
          </cell>
          <cell r="AF463">
            <v>4</v>
          </cell>
        </row>
        <row r="464">
          <cell r="A464" t="str">
            <v>대파정식판(33배)</v>
          </cell>
          <cell r="B464" t="str">
            <v>SET</v>
          </cell>
          <cell r="C464">
            <v>1</v>
          </cell>
          <cell r="D464">
            <v>100</v>
          </cell>
          <cell r="E464">
            <v>930</v>
          </cell>
          <cell r="F464">
            <v>36</v>
          </cell>
          <cell r="G464" t="str">
            <v>B240NS</v>
          </cell>
          <cell r="H464">
            <v>5</v>
          </cell>
          <cell r="I464">
            <v>1</v>
          </cell>
          <cell r="J464" t="str">
            <v>가화텍</v>
          </cell>
          <cell r="K464">
            <v>28</v>
          </cell>
          <cell r="L464">
            <v>32</v>
          </cell>
          <cell r="O464">
            <v>4970</v>
          </cell>
          <cell r="P464">
            <v>1300</v>
          </cell>
          <cell r="Q464">
            <v>150</v>
          </cell>
          <cell r="S464">
            <v>0</v>
          </cell>
          <cell r="T464" t="str">
            <v>대파정식판-120#19</v>
          </cell>
          <cell r="W464" t="str">
            <v>MPTP-120, 19차</v>
          </cell>
          <cell r="AC464" t="str">
            <v>대파정식판동일금형, 2012.12.09기준중량변경(900-&gt;930)</v>
          </cell>
          <cell r="AD464">
            <v>0.9</v>
          </cell>
          <cell r="AE464">
            <v>100</v>
          </cell>
          <cell r="AF464">
            <v>2</v>
          </cell>
        </row>
        <row r="465">
          <cell r="A465" t="str">
            <v>대파정식판</v>
          </cell>
          <cell r="B465" t="str">
            <v>SET</v>
          </cell>
          <cell r="C465">
            <v>1</v>
          </cell>
          <cell r="D465">
            <v>90</v>
          </cell>
          <cell r="E465">
            <v>750</v>
          </cell>
          <cell r="F465">
            <v>53</v>
          </cell>
          <cell r="G465" t="str">
            <v>B240NS</v>
          </cell>
          <cell r="H465">
            <v>5</v>
          </cell>
          <cell r="I465">
            <v>1</v>
          </cell>
          <cell r="J465" t="str">
            <v>가화텍</v>
          </cell>
          <cell r="K465">
            <v>28</v>
          </cell>
          <cell r="L465">
            <v>32</v>
          </cell>
          <cell r="O465">
            <v>4010</v>
          </cell>
          <cell r="P465">
            <v>1300</v>
          </cell>
          <cell r="Q465">
            <v>150</v>
          </cell>
          <cell r="S465">
            <v>0</v>
          </cell>
          <cell r="T465" t="str">
            <v>대파정식판-120#19</v>
          </cell>
          <cell r="U465">
            <v>38303</v>
          </cell>
          <cell r="V465" t="str">
            <v>삼일금형</v>
          </cell>
          <cell r="W465" t="str">
            <v>MPTP-120, 19차</v>
          </cell>
          <cell r="X465" t="str">
            <v>R-0201</v>
          </cell>
          <cell r="AC465" t="str">
            <v xml:space="preserve">04-11-15코팅완료관리중량(750~800G)-장석운이사님통보    </v>
          </cell>
          <cell r="AD465">
            <v>0.85</v>
          </cell>
          <cell r="AE465">
            <v>110</v>
          </cell>
        </row>
        <row r="466">
          <cell r="A466" t="str">
            <v>단열재TYPE#3</v>
          </cell>
          <cell r="B466" t="str">
            <v>SET</v>
          </cell>
          <cell r="C466">
            <v>1</v>
          </cell>
          <cell r="D466">
            <v>220</v>
          </cell>
          <cell r="E466">
            <v>1950</v>
          </cell>
          <cell r="F466" t="str">
            <v>N36</v>
          </cell>
          <cell r="G466" t="str">
            <v>SF400/FS351</v>
          </cell>
          <cell r="H466">
            <v>4</v>
          </cell>
          <cell r="I466">
            <v>1</v>
          </cell>
          <cell r="J466" t="str">
            <v>니혼세라믹스</v>
          </cell>
          <cell r="K466">
            <v>59</v>
          </cell>
          <cell r="L466">
            <v>61</v>
          </cell>
          <cell r="O466">
            <v>10725</v>
          </cell>
          <cell r="P466">
            <v>1360</v>
          </cell>
          <cell r="Q466">
            <v>150</v>
          </cell>
          <cell r="R466" t="str">
            <v>패드</v>
          </cell>
          <cell r="S466" t="str">
            <v>패드</v>
          </cell>
          <cell r="T466" t="str">
            <v>단열재TYPE#3</v>
          </cell>
          <cell r="U466">
            <v>40418</v>
          </cell>
          <cell r="V466" t="str">
            <v>금형제조부</v>
          </cell>
          <cell r="W466" t="str">
            <v>단열재 TYPE3</v>
          </cell>
          <cell r="X466" t="str">
            <v>계양리 B-1</v>
          </cell>
          <cell r="AC466" t="str">
            <v>박스내측폭60mm, 2012.06.21 수정</v>
          </cell>
          <cell r="AD466">
            <v>0.9</v>
          </cell>
          <cell r="AE466">
            <v>220</v>
          </cell>
          <cell r="AF466">
            <v>1</v>
          </cell>
        </row>
        <row r="467">
          <cell r="A467" t="str">
            <v>단열재2</v>
          </cell>
          <cell r="B467" t="str">
            <v>SET</v>
          </cell>
          <cell r="C467">
            <v>1</v>
          </cell>
          <cell r="D467">
            <v>380</v>
          </cell>
          <cell r="E467">
            <v>1710</v>
          </cell>
          <cell r="F467" t="str">
            <v>N36</v>
          </cell>
          <cell r="G467" t="str">
            <v>SF400/FS351</v>
          </cell>
          <cell r="H467">
            <v>4</v>
          </cell>
          <cell r="I467">
            <v>1</v>
          </cell>
          <cell r="J467" t="str">
            <v>니혼세라믹스</v>
          </cell>
          <cell r="K467">
            <v>59</v>
          </cell>
          <cell r="L467">
            <v>61</v>
          </cell>
          <cell r="O467">
            <v>9405</v>
          </cell>
          <cell r="P467">
            <v>1360</v>
          </cell>
          <cell r="Q467">
            <v>150</v>
          </cell>
          <cell r="R467" t="str">
            <v>패드</v>
          </cell>
          <cell r="S467" t="str">
            <v>패드</v>
          </cell>
          <cell r="T467" t="str">
            <v>뉴매트</v>
          </cell>
          <cell r="U467">
            <v>39854</v>
          </cell>
          <cell r="V467" t="str">
            <v>삼일금형</v>
          </cell>
          <cell r="X467" t="str">
            <v>계양리 D-3</v>
          </cell>
          <cell r="AC467" t="str">
            <v>2009.02.12 승인완료,(난연R240,SF302)  박스내측폭60mm</v>
          </cell>
          <cell r="AD467">
            <v>0.9</v>
          </cell>
          <cell r="AE467">
            <v>380</v>
          </cell>
          <cell r="AF467">
            <v>1</v>
          </cell>
        </row>
        <row r="468">
          <cell r="A468" t="str">
            <v>다쿠아즈(40배)</v>
          </cell>
          <cell r="B468" t="str">
            <v>BOX</v>
          </cell>
          <cell r="C468">
            <v>8</v>
          </cell>
          <cell r="D468">
            <v>135</v>
          </cell>
          <cell r="E468">
            <v>86</v>
          </cell>
          <cell r="F468">
            <v>50</v>
          </cell>
          <cell r="G468" t="str">
            <v>B240NS</v>
          </cell>
          <cell r="H468">
            <v>20</v>
          </cell>
          <cell r="I468">
            <v>2</v>
          </cell>
          <cell r="J468" t="str">
            <v>신라호텔</v>
          </cell>
          <cell r="K468">
            <v>38</v>
          </cell>
          <cell r="L468">
            <v>42</v>
          </cell>
          <cell r="M468">
            <v>103</v>
          </cell>
          <cell r="N468">
            <v>107</v>
          </cell>
          <cell r="O468">
            <v>10</v>
          </cell>
          <cell r="P468">
            <v>1360</v>
          </cell>
          <cell r="Q468">
            <v>200</v>
          </cell>
          <cell r="R468" t="str">
            <v>보라</v>
          </cell>
          <cell r="U468">
            <v>42542</v>
          </cell>
          <cell r="V468" t="str">
            <v>금형제조부</v>
          </cell>
          <cell r="Y468">
            <v>40</v>
          </cell>
          <cell r="Z468">
            <v>2458</v>
          </cell>
          <cell r="AC468" t="str">
            <v>최재학사원</v>
          </cell>
          <cell r="AD468">
            <v>0.85</v>
          </cell>
          <cell r="AE468">
            <v>100</v>
          </cell>
          <cell r="AF468">
            <v>6</v>
          </cell>
        </row>
        <row r="469">
          <cell r="A469" t="str">
            <v>다쿠아즈</v>
          </cell>
          <cell r="B469" t="str">
            <v>회색</v>
          </cell>
          <cell r="C469">
            <v>8</v>
          </cell>
          <cell r="D469">
            <v>135</v>
          </cell>
          <cell r="E469">
            <v>86</v>
          </cell>
          <cell r="F469">
            <v>40</v>
          </cell>
          <cell r="G469" t="str">
            <v>ZP2500</v>
          </cell>
          <cell r="H469">
            <v>20</v>
          </cell>
          <cell r="I469">
            <v>2</v>
          </cell>
          <cell r="J469" t="str">
            <v>신라호텔</v>
          </cell>
          <cell r="K469">
            <v>38</v>
          </cell>
          <cell r="L469">
            <v>42</v>
          </cell>
          <cell r="M469">
            <v>104</v>
          </cell>
          <cell r="N469">
            <v>106</v>
          </cell>
          <cell r="O469">
            <v>10</v>
          </cell>
          <cell r="P469">
            <v>1360</v>
          </cell>
          <cell r="Q469">
            <v>200</v>
          </cell>
          <cell r="R469" t="str">
            <v>빨강</v>
          </cell>
          <cell r="S469" t="str">
            <v>빨강</v>
          </cell>
          <cell r="U469">
            <v>42542</v>
          </cell>
          <cell r="V469" t="str">
            <v>금형제조부</v>
          </cell>
          <cell r="Z469">
            <v>2458</v>
          </cell>
          <cell r="AC469" t="str">
            <v>최재학사원</v>
          </cell>
          <cell r="AD469">
            <v>0.85</v>
          </cell>
          <cell r="AE469">
            <v>100</v>
          </cell>
          <cell r="AF469">
            <v>2</v>
          </cell>
        </row>
        <row r="470">
          <cell r="A470" t="str">
            <v>다용도-중</v>
          </cell>
          <cell r="B470" t="str">
            <v>BOX</v>
          </cell>
          <cell r="D470">
            <v>75</v>
          </cell>
          <cell r="E470">
            <v>180</v>
          </cell>
          <cell r="G470" t="str">
            <v>B240NS</v>
          </cell>
          <cell r="H470">
            <v>20</v>
          </cell>
          <cell r="J470" t="str">
            <v>삼일이노팩</v>
          </cell>
          <cell r="O470">
            <v>1500</v>
          </cell>
          <cell r="S470">
            <v>0</v>
          </cell>
          <cell r="V470" t="str">
            <v>삼일팩입고</v>
          </cell>
          <cell r="AC470" t="str">
            <v>삼일팩에서 제품만받음.(금형은없음)</v>
          </cell>
          <cell r="AD470">
            <v>0.85</v>
          </cell>
          <cell r="AE470">
            <v>80</v>
          </cell>
          <cell r="AF470">
            <v>1</v>
          </cell>
        </row>
        <row r="471">
          <cell r="A471" t="str">
            <v>다용도SG-7K</v>
          </cell>
          <cell r="B471" t="str">
            <v>BOX</v>
          </cell>
          <cell r="C471">
            <v>2</v>
          </cell>
          <cell r="D471">
            <v>90</v>
          </cell>
          <cell r="E471">
            <v>158</v>
          </cell>
          <cell r="F471">
            <v>310</v>
          </cell>
          <cell r="G471" t="str">
            <v>B240NS</v>
          </cell>
          <cell r="H471">
            <v>4</v>
          </cell>
          <cell r="J471" t="str">
            <v>용인공장</v>
          </cell>
          <cell r="P471">
            <v>1700</v>
          </cell>
          <cell r="Q471">
            <v>300</v>
          </cell>
          <cell r="AD471">
            <v>0.85</v>
          </cell>
          <cell r="AE471">
            <v>75</v>
          </cell>
        </row>
        <row r="472">
          <cell r="A472" t="str">
            <v>다용도SG-7K</v>
          </cell>
          <cell r="B472" t="str">
            <v>BOX</v>
          </cell>
          <cell r="C472">
            <v>2</v>
          </cell>
          <cell r="D472">
            <v>90</v>
          </cell>
          <cell r="E472">
            <v>158</v>
          </cell>
          <cell r="F472">
            <v>310</v>
          </cell>
          <cell r="G472" t="str">
            <v>B240NS</v>
          </cell>
          <cell r="H472">
            <v>4</v>
          </cell>
          <cell r="J472" t="str">
            <v>용인공장</v>
          </cell>
          <cell r="P472">
            <v>1700</v>
          </cell>
          <cell r="Q472">
            <v>300</v>
          </cell>
          <cell r="AD472">
            <v>0.85</v>
          </cell>
          <cell r="AE472">
            <v>75</v>
          </cell>
        </row>
        <row r="473">
          <cell r="A473" t="str">
            <v>다용도SG-7K</v>
          </cell>
          <cell r="B473" t="str">
            <v>BOX</v>
          </cell>
          <cell r="C473">
            <v>4</v>
          </cell>
          <cell r="D473">
            <v>90</v>
          </cell>
          <cell r="E473">
            <v>310</v>
          </cell>
          <cell r="F473">
            <v>74</v>
          </cell>
          <cell r="G473" t="str">
            <v>B240NS</v>
          </cell>
          <cell r="H473" t="str">
            <v>TOP:24/BOT:12</v>
          </cell>
          <cell r="I473">
            <v>2</v>
          </cell>
          <cell r="J473" t="str">
            <v>용인공장</v>
          </cell>
          <cell r="K473">
            <v>29</v>
          </cell>
          <cell r="L473">
            <v>33</v>
          </cell>
          <cell r="M473">
            <v>211</v>
          </cell>
          <cell r="N473">
            <v>215</v>
          </cell>
          <cell r="P473">
            <v>1700</v>
          </cell>
          <cell r="Q473">
            <v>300</v>
          </cell>
          <cell r="R473" t="str">
            <v>블랙</v>
          </cell>
          <cell r="U473">
            <v>45097</v>
          </cell>
          <cell r="V473" t="str">
            <v>삼일 용인(이관)</v>
          </cell>
        </row>
        <row r="474">
          <cell r="A474" t="str">
            <v>다용도SG-5K-2</v>
          </cell>
          <cell r="B474" t="str">
            <v>BOX</v>
          </cell>
          <cell r="C474">
            <v>4</v>
          </cell>
          <cell r="D474">
            <v>90</v>
          </cell>
          <cell r="E474">
            <v>158</v>
          </cell>
          <cell r="F474">
            <v>83</v>
          </cell>
          <cell r="G474" t="str">
            <v>B240NS</v>
          </cell>
          <cell r="H474" t="str">
            <v>TOP:24/BOT:12</v>
          </cell>
          <cell r="I474">
            <v>2</v>
          </cell>
          <cell r="J474" t="str">
            <v>삼일이노팩</v>
          </cell>
          <cell r="K474">
            <v>29</v>
          </cell>
          <cell r="L474">
            <v>33</v>
          </cell>
          <cell r="M474">
            <v>211</v>
          </cell>
          <cell r="N474">
            <v>215</v>
          </cell>
          <cell r="P474">
            <v>1700</v>
          </cell>
          <cell r="Q474">
            <v>300</v>
          </cell>
          <cell r="R474" t="str">
            <v>검정</v>
          </cell>
          <cell r="U474">
            <v>45404</v>
          </cell>
          <cell r="V474" t="str">
            <v>삼일 용인(이관)</v>
          </cell>
          <cell r="AD474">
            <v>0.85</v>
          </cell>
          <cell r="AE474">
            <v>75</v>
          </cell>
        </row>
        <row r="475">
          <cell r="A475" t="str">
            <v>다용도SG-5K-2</v>
          </cell>
          <cell r="B475" t="str">
            <v>BOX</v>
          </cell>
          <cell r="C475">
            <v>2</v>
          </cell>
          <cell r="D475">
            <v>90</v>
          </cell>
          <cell r="E475">
            <v>158</v>
          </cell>
          <cell r="F475">
            <v>83</v>
          </cell>
          <cell r="G475" t="str">
            <v>B240NS</v>
          </cell>
          <cell r="H475" t="str">
            <v>TOP:24/BOT:12</v>
          </cell>
          <cell r="I475">
            <v>4</v>
          </cell>
          <cell r="J475" t="str">
            <v>삼일이노팩</v>
          </cell>
          <cell r="K475">
            <v>29</v>
          </cell>
          <cell r="L475">
            <v>33</v>
          </cell>
          <cell r="M475">
            <v>211</v>
          </cell>
          <cell r="N475">
            <v>215</v>
          </cell>
          <cell r="P475">
            <v>1700</v>
          </cell>
          <cell r="Q475">
            <v>300</v>
          </cell>
          <cell r="R475" t="str">
            <v>블랙</v>
          </cell>
          <cell r="U475">
            <v>45404</v>
          </cell>
          <cell r="V475" t="str">
            <v>삼일 용인(이관)</v>
          </cell>
          <cell r="AD475">
            <v>0.85</v>
          </cell>
          <cell r="AE475">
            <v>75</v>
          </cell>
        </row>
        <row r="476">
          <cell r="A476" t="str">
            <v>다용도SG-5K-2</v>
          </cell>
          <cell r="B476" t="str">
            <v>BOX</v>
          </cell>
          <cell r="C476">
            <v>2</v>
          </cell>
          <cell r="D476">
            <v>90</v>
          </cell>
          <cell r="E476">
            <v>158</v>
          </cell>
          <cell r="F476">
            <v>83</v>
          </cell>
          <cell r="G476" t="str">
            <v>B240NS</v>
          </cell>
          <cell r="H476" t="str">
            <v>TOP:24/BOT:12</v>
          </cell>
          <cell r="I476">
            <v>4</v>
          </cell>
          <cell r="J476" t="str">
            <v>삼일이노팩</v>
          </cell>
          <cell r="K476">
            <v>29</v>
          </cell>
          <cell r="L476">
            <v>33</v>
          </cell>
          <cell r="M476">
            <v>211</v>
          </cell>
          <cell r="N476">
            <v>215</v>
          </cell>
          <cell r="P476">
            <v>1700</v>
          </cell>
          <cell r="Q476">
            <v>300</v>
          </cell>
          <cell r="R476" t="str">
            <v>블랙</v>
          </cell>
          <cell r="U476">
            <v>45404</v>
          </cell>
          <cell r="V476" t="str">
            <v>삼일 용인(이관)</v>
          </cell>
          <cell r="AD476">
            <v>0.85</v>
          </cell>
          <cell r="AE476">
            <v>75</v>
          </cell>
        </row>
        <row r="477">
          <cell r="A477" t="str">
            <v>다용도SG-3K-2(형합)</v>
          </cell>
          <cell r="B477" t="str">
            <v>BOX</v>
          </cell>
          <cell r="C477">
            <v>4</v>
          </cell>
          <cell r="D477">
            <v>90</v>
          </cell>
          <cell r="E477">
            <v>140</v>
          </cell>
          <cell r="F477">
            <v>65</v>
          </cell>
          <cell r="G477" t="str">
            <v>B240NS</v>
          </cell>
          <cell r="H477">
            <v>10</v>
          </cell>
          <cell r="I477">
            <v>2</v>
          </cell>
          <cell r="J477" t="str">
            <v>삼일이노팩</v>
          </cell>
          <cell r="K477">
            <v>29</v>
          </cell>
          <cell r="L477">
            <v>33</v>
          </cell>
          <cell r="M477">
            <v>211</v>
          </cell>
          <cell r="N477">
            <v>215</v>
          </cell>
          <cell r="P477">
            <v>1700</v>
          </cell>
          <cell r="Q477">
            <v>300</v>
          </cell>
          <cell r="R477" t="str">
            <v>블랙</v>
          </cell>
          <cell r="U477">
            <v>45097</v>
          </cell>
          <cell r="V477" t="str">
            <v>삼일 용인(이관)</v>
          </cell>
          <cell r="W477" t="str">
            <v>융착,버(BURR)불량 확인할것!!</v>
          </cell>
          <cell r="AC477" t="str">
            <v>중량132g→140g 변경2024-09-4</v>
          </cell>
          <cell r="AD477">
            <v>0.85</v>
          </cell>
          <cell r="AE477">
            <v>75</v>
          </cell>
        </row>
        <row r="478">
          <cell r="A478" t="str">
            <v>다용도SG-3K-2(형합)</v>
          </cell>
          <cell r="B478" t="str">
            <v>BOX</v>
          </cell>
          <cell r="C478">
            <v>4</v>
          </cell>
          <cell r="D478">
            <v>90</v>
          </cell>
          <cell r="E478">
            <v>140</v>
          </cell>
          <cell r="F478">
            <v>65</v>
          </cell>
          <cell r="G478" t="str">
            <v>B240NS</v>
          </cell>
          <cell r="H478">
            <v>10</v>
          </cell>
          <cell r="I478">
            <v>2</v>
          </cell>
          <cell r="J478" t="str">
            <v>삼일이노팩</v>
          </cell>
          <cell r="K478">
            <v>29</v>
          </cell>
          <cell r="L478">
            <v>33</v>
          </cell>
          <cell r="M478">
            <v>211</v>
          </cell>
          <cell r="N478">
            <v>215</v>
          </cell>
          <cell r="P478">
            <v>1700</v>
          </cell>
          <cell r="Q478">
            <v>300</v>
          </cell>
          <cell r="R478" t="str">
            <v>블랙</v>
          </cell>
          <cell r="U478">
            <v>45097</v>
          </cell>
          <cell r="V478" t="str">
            <v>삼일 용인(이관)</v>
          </cell>
          <cell r="W478" t="str">
            <v>융착,버(BURR)불량 확인할것!!</v>
          </cell>
          <cell r="AD478">
            <v>0.85</v>
          </cell>
          <cell r="AE478">
            <v>75</v>
          </cell>
        </row>
        <row r="479">
          <cell r="A479" t="str">
            <v>다용도SG-3K-2(60배)</v>
          </cell>
          <cell r="B479" t="str">
            <v>BOX</v>
          </cell>
          <cell r="C479">
            <v>4</v>
          </cell>
          <cell r="D479">
            <v>90</v>
          </cell>
          <cell r="E479">
            <v>149</v>
          </cell>
          <cell r="F479">
            <v>70</v>
          </cell>
          <cell r="G479" t="str">
            <v>B240NS</v>
          </cell>
          <cell r="H479" t="str">
            <v>TOP:24/BOT:12</v>
          </cell>
          <cell r="I479">
            <v>2</v>
          </cell>
          <cell r="J479" t="str">
            <v>삼일이노팩</v>
          </cell>
          <cell r="K479">
            <v>29</v>
          </cell>
          <cell r="L479">
            <v>33</v>
          </cell>
          <cell r="M479">
            <v>211</v>
          </cell>
          <cell r="N479">
            <v>215</v>
          </cell>
          <cell r="P479">
            <v>1700</v>
          </cell>
          <cell r="Q479">
            <v>300</v>
          </cell>
          <cell r="R479" t="str">
            <v>노랑</v>
          </cell>
          <cell r="U479">
            <v>45097</v>
          </cell>
          <cell r="V479" t="str">
            <v>삼일 용인(이관)</v>
          </cell>
          <cell r="W479" t="str">
            <v>융착,버(BURR)불량 확인할것!!</v>
          </cell>
          <cell r="AC479" t="str">
            <v>중량132g→140g 변경2024-09-4</v>
          </cell>
          <cell r="AD479">
            <v>0.85</v>
          </cell>
          <cell r="AE479">
            <v>75</v>
          </cell>
        </row>
        <row r="480">
          <cell r="A480" t="str">
            <v>다용도SG-3K-2(60배)</v>
          </cell>
          <cell r="B480" t="str">
            <v>BOX</v>
          </cell>
          <cell r="C480">
            <v>4</v>
          </cell>
          <cell r="D480">
            <v>90</v>
          </cell>
          <cell r="E480">
            <v>149</v>
          </cell>
          <cell r="F480">
            <v>50</v>
          </cell>
          <cell r="G480" t="str">
            <v>B240NS</v>
          </cell>
          <cell r="H480" t="str">
            <v>TOP:24/BOT:12</v>
          </cell>
          <cell r="I480">
            <v>2</v>
          </cell>
          <cell r="J480" t="str">
            <v>삼일이노팩</v>
          </cell>
          <cell r="K480">
            <v>29</v>
          </cell>
          <cell r="L480">
            <v>33</v>
          </cell>
          <cell r="M480">
            <v>211</v>
          </cell>
          <cell r="N480">
            <v>215</v>
          </cell>
          <cell r="P480">
            <v>1700</v>
          </cell>
          <cell r="Q480">
            <v>300</v>
          </cell>
          <cell r="R480" t="str">
            <v>노랑</v>
          </cell>
          <cell r="U480">
            <v>45097</v>
          </cell>
          <cell r="V480" t="str">
            <v>삼일 용인(이관)</v>
          </cell>
          <cell r="W480" t="str">
            <v>융착,버(BURR)불량 확인할것!!</v>
          </cell>
          <cell r="AD480">
            <v>0.85</v>
          </cell>
          <cell r="AE480">
            <v>75</v>
          </cell>
        </row>
        <row r="481">
          <cell r="A481" t="str">
            <v>다용도SG-3K-2(58배)</v>
          </cell>
          <cell r="B481" t="str">
            <v>BOX</v>
          </cell>
          <cell r="C481">
            <v>4</v>
          </cell>
          <cell r="D481">
            <v>90</v>
          </cell>
          <cell r="E481">
            <v>157</v>
          </cell>
          <cell r="F481">
            <v>65</v>
          </cell>
          <cell r="G481" t="str">
            <v>B240NS</v>
          </cell>
          <cell r="H481" t="str">
            <v>TOP:24/BOT:12</v>
          </cell>
          <cell r="I481">
            <v>2</v>
          </cell>
          <cell r="J481" t="str">
            <v>삼일이노팩</v>
          </cell>
          <cell r="K481">
            <v>29</v>
          </cell>
          <cell r="L481">
            <v>33</v>
          </cell>
          <cell r="M481">
            <v>211</v>
          </cell>
          <cell r="N481">
            <v>215</v>
          </cell>
          <cell r="P481">
            <v>1700</v>
          </cell>
          <cell r="Q481">
            <v>300</v>
          </cell>
          <cell r="R481" t="str">
            <v>빨강</v>
          </cell>
          <cell r="U481">
            <v>45097</v>
          </cell>
          <cell r="V481" t="str">
            <v>삼일 용인(이관)</v>
          </cell>
          <cell r="W481" t="str">
            <v>융착,버(BURR)불량 확인할것!!</v>
          </cell>
          <cell r="AC481" t="str">
            <v>중량132g→140g 변경2024-09-4</v>
          </cell>
          <cell r="AD481">
            <v>0.85</v>
          </cell>
          <cell r="AE481">
            <v>75</v>
          </cell>
          <cell r="AF481">
            <v>8</v>
          </cell>
        </row>
        <row r="482">
          <cell r="A482" t="str">
            <v>다용도SG-3K-2(58배)</v>
          </cell>
          <cell r="B482" t="str">
            <v>BOX</v>
          </cell>
          <cell r="C482">
            <v>4</v>
          </cell>
          <cell r="D482">
            <v>90</v>
          </cell>
          <cell r="E482">
            <v>157</v>
          </cell>
          <cell r="F482">
            <v>65</v>
          </cell>
          <cell r="G482" t="str">
            <v>B240NS</v>
          </cell>
          <cell r="H482" t="str">
            <v>TOP:24/BOT:12</v>
          </cell>
          <cell r="I482">
            <v>2</v>
          </cell>
          <cell r="J482" t="str">
            <v>삼일이노팩</v>
          </cell>
          <cell r="K482">
            <v>29</v>
          </cell>
          <cell r="L482">
            <v>33</v>
          </cell>
          <cell r="M482">
            <v>211</v>
          </cell>
          <cell r="N482">
            <v>215</v>
          </cell>
          <cell r="P482">
            <v>1700</v>
          </cell>
          <cell r="Q482">
            <v>300</v>
          </cell>
          <cell r="R482" t="str">
            <v>빨강</v>
          </cell>
          <cell r="U482">
            <v>45097</v>
          </cell>
          <cell r="V482" t="str">
            <v>삼일 용인(이관)</v>
          </cell>
          <cell r="W482" t="str">
            <v>융착,버(BURR)불량 확인할것!!</v>
          </cell>
          <cell r="AD482">
            <v>0.85</v>
          </cell>
          <cell r="AE482">
            <v>75</v>
          </cell>
        </row>
        <row r="483">
          <cell r="A483" t="str">
            <v>다용도SG-3K-2</v>
          </cell>
          <cell r="B483" t="str">
            <v>BOX</v>
          </cell>
          <cell r="C483">
            <v>4</v>
          </cell>
          <cell r="D483">
            <v>90</v>
          </cell>
          <cell r="E483">
            <v>140</v>
          </cell>
          <cell r="F483">
            <v>65</v>
          </cell>
          <cell r="G483" t="str">
            <v>B240NS</v>
          </cell>
          <cell r="H483" t="str">
            <v>TOP:24/BOT:12</v>
          </cell>
          <cell r="I483">
            <v>2</v>
          </cell>
          <cell r="J483" t="str">
            <v>삼일이노팩</v>
          </cell>
          <cell r="K483">
            <v>29</v>
          </cell>
          <cell r="L483">
            <v>33</v>
          </cell>
          <cell r="M483">
            <v>211</v>
          </cell>
          <cell r="N483">
            <v>215</v>
          </cell>
          <cell r="P483">
            <v>1700</v>
          </cell>
          <cell r="Q483">
            <v>300</v>
          </cell>
          <cell r="R483" t="str">
            <v>블랙</v>
          </cell>
          <cell r="U483">
            <v>45097</v>
          </cell>
          <cell r="V483" t="str">
            <v>삼일 용인(이관)</v>
          </cell>
          <cell r="W483" t="str">
            <v>융착,버(BURR)불량 확인할것!!</v>
          </cell>
          <cell r="AC483" t="str">
            <v>중량132g→140g 변경2024-09-4</v>
          </cell>
          <cell r="AD483">
            <v>0.85</v>
          </cell>
          <cell r="AE483">
            <v>75</v>
          </cell>
          <cell r="AF483">
            <v>8</v>
          </cell>
        </row>
        <row r="484">
          <cell r="A484" t="str">
            <v>다용도SG-3K-2</v>
          </cell>
          <cell r="B484" t="str">
            <v>BOX</v>
          </cell>
          <cell r="C484">
            <v>4</v>
          </cell>
          <cell r="D484">
            <v>90</v>
          </cell>
          <cell r="E484">
            <v>140</v>
          </cell>
          <cell r="F484">
            <v>74</v>
          </cell>
          <cell r="G484" t="str">
            <v>B240NS</v>
          </cell>
          <cell r="H484" t="str">
            <v>TOP:24/BOT:12</v>
          </cell>
          <cell r="I484">
            <v>2</v>
          </cell>
          <cell r="J484" t="str">
            <v>삼일이노팩</v>
          </cell>
          <cell r="K484">
            <v>29</v>
          </cell>
          <cell r="L484">
            <v>33</v>
          </cell>
          <cell r="M484">
            <v>211</v>
          </cell>
          <cell r="N484">
            <v>215</v>
          </cell>
          <cell r="P484">
            <v>1700</v>
          </cell>
          <cell r="Q484">
            <v>300</v>
          </cell>
          <cell r="R484" t="str">
            <v>블랙</v>
          </cell>
          <cell r="U484">
            <v>45097</v>
          </cell>
          <cell r="V484" t="str">
            <v>삼일 용인(이관)</v>
          </cell>
          <cell r="AD484">
            <v>0.85</v>
          </cell>
          <cell r="AE484">
            <v>75</v>
          </cell>
        </row>
        <row r="485">
          <cell r="A485" t="str">
            <v>다용도SG-3K-2</v>
          </cell>
          <cell r="B485" t="str">
            <v>BOX</v>
          </cell>
          <cell r="C485">
            <v>4</v>
          </cell>
          <cell r="D485">
            <v>90</v>
          </cell>
          <cell r="E485">
            <v>134</v>
          </cell>
          <cell r="F485">
            <v>74</v>
          </cell>
          <cell r="G485" t="str">
            <v>B240NS</v>
          </cell>
          <cell r="H485" t="str">
            <v>TOP:24/BOT:12</v>
          </cell>
          <cell r="I485">
            <v>2</v>
          </cell>
          <cell r="J485" t="str">
            <v>삼일이노팩</v>
          </cell>
          <cell r="K485">
            <v>29</v>
          </cell>
          <cell r="L485">
            <v>33</v>
          </cell>
          <cell r="M485">
            <v>211</v>
          </cell>
          <cell r="N485">
            <v>215</v>
          </cell>
          <cell r="P485">
            <v>1700</v>
          </cell>
          <cell r="Q485">
            <v>300</v>
          </cell>
          <cell r="R485" t="str">
            <v>블랙</v>
          </cell>
          <cell r="U485">
            <v>45097</v>
          </cell>
          <cell r="V485" t="str">
            <v>삼일 용인(이관)</v>
          </cell>
          <cell r="AD485">
            <v>0.85</v>
          </cell>
          <cell r="AE485">
            <v>75</v>
          </cell>
        </row>
        <row r="486">
          <cell r="A486" t="str">
            <v>다용도SG-3K(60배)</v>
          </cell>
          <cell r="B486" t="str">
            <v>BOX</v>
          </cell>
          <cell r="C486">
            <v>4</v>
          </cell>
          <cell r="D486">
            <v>90</v>
          </cell>
          <cell r="E486">
            <v>134</v>
          </cell>
          <cell r="F486">
            <v>74</v>
          </cell>
          <cell r="G486" t="str">
            <v>B240NS</v>
          </cell>
          <cell r="H486" t="str">
            <v>TOP:24/BOT:12</v>
          </cell>
          <cell r="I486">
            <v>2</v>
          </cell>
          <cell r="J486" t="str">
            <v>용인공장</v>
          </cell>
          <cell r="K486">
            <v>29</v>
          </cell>
          <cell r="L486">
            <v>33</v>
          </cell>
          <cell r="M486">
            <v>211</v>
          </cell>
          <cell r="N486">
            <v>215</v>
          </cell>
          <cell r="P486">
            <v>1700</v>
          </cell>
          <cell r="Q486">
            <v>300</v>
          </cell>
          <cell r="R486" t="str">
            <v>블랙</v>
          </cell>
          <cell r="U486">
            <v>45097</v>
          </cell>
          <cell r="V486" t="str">
            <v>삼일 용인(이관)</v>
          </cell>
        </row>
        <row r="487">
          <cell r="A487" t="str">
            <v>다용도SG-3K</v>
          </cell>
          <cell r="B487" t="str">
            <v>BOX</v>
          </cell>
          <cell r="C487">
            <v>4</v>
          </cell>
          <cell r="D487">
            <v>90</v>
          </cell>
          <cell r="E487">
            <v>134</v>
          </cell>
          <cell r="F487">
            <v>74</v>
          </cell>
          <cell r="G487" t="str">
            <v>B240NS</v>
          </cell>
          <cell r="H487" t="str">
            <v>TOP:24/BOT:12</v>
          </cell>
          <cell r="I487">
            <v>2</v>
          </cell>
          <cell r="J487" t="str">
            <v>용인공장</v>
          </cell>
          <cell r="K487">
            <v>29</v>
          </cell>
          <cell r="L487">
            <v>33</v>
          </cell>
          <cell r="M487">
            <v>211</v>
          </cell>
          <cell r="N487">
            <v>215</v>
          </cell>
          <cell r="P487">
            <v>1700</v>
          </cell>
          <cell r="Q487">
            <v>300</v>
          </cell>
          <cell r="R487" t="str">
            <v>블랙</v>
          </cell>
          <cell r="U487">
            <v>45097</v>
          </cell>
          <cell r="V487" t="str">
            <v>삼일 용인(이관)</v>
          </cell>
        </row>
        <row r="488">
          <cell r="A488" t="str">
            <v>다용도SG-10K</v>
          </cell>
          <cell r="B488" t="str">
            <v>BOX</v>
          </cell>
          <cell r="C488">
            <v>3</v>
          </cell>
          <cell r="D488">
            <v>100</v>
          </cell>
          <cell r="E488">
            <v>310</v>
          </cell>
          <cell r="F488">
            <v>74</v>
          </cell>
          <cell r="G488" t="str">
            <v>SE2500M</v>
          </cell>
          <cell r="H488" t="str">
            <v>T:48 :12</v>
          </cell>
          <cell r="I488">
            <v>2</v>
          </cell>
          <cell r="J488" t="str">
            <v>용인공장</v>
          </cell>
          <cell r="P488">
            <v>1360</v>
          </cell>
          <cell r="Q488">
            <v>300</v>
          </cell>
          <cell r="R488" t="str">
            <v>보라</v>
          </cell>
          <cell r="S488" t="str">
            <v>보라</v>
          </cell>
          <cell r="U488">
            <v>44707</v>
          </cell>
          <cell r="V488" t="str">
            <v>이관금형</v>
          </cell>
          <cell r="AD488">
            <v>0.85</v>
          </cell>
        </row>
        <row r="489">
          <cell r="A489" t="str">
            <v>다용도SG=1K(60배)</v>
          </cell>
          <cell r="B489" t="str">
            <v>BOX</v>
          </cell>
          <cell r="C489">
            <v>6</v>
          </cell>
          <cell r="D489">
            <v>78</v>
          </cell>
          <cell r="E489">
            <v>98</v>
          </cell>
          <cell r="F489">
            <v>72</v>
          </cell>
          <cell r="G489" t="str">
            <v>B240NS</v>
          </cell>
          <cell r="H489" t="str">
            <v>TOP:36/BOT:18</v>
          </cell>
          <cell r="I489">
            <v>2</v>
          </cell>
          <cell r="J489" t="str">
            <v>삼일이노팩</v>
          </cell>
          <cell r="P489">
            <v>1500</v>
          </cell>
          <cell r="Q489">
            <v>250</v>
          </cell>
          <cell r="R489" t="str">
            <v>주황</v>
          </cell>
          <cell r="U489">
            <v>45706</v>
          </cell>
          <cell r="V489" t="str">
            <v>삼일 용인(이관)</v>
          </cell>
          <cell r="AD489">
            <v>0.83</v>
          </cell>
          <cell r="AE489">
            <v>80</v>
          </cell>
          <cell r="AF489">
            <v>4</v>
          </cell>
        </row>
        <row r="490">
          <cell r="A490" t="str">
            <v>다용도SG=1K(60배)</v>
          </cell>
          <cell r="B490" t="str">
            <v>BOX</v>
          </cell>
          <cell r="C490">
            <v>6</v>
          </cell>
          <cell r="D490">
            <v>78</v>
          </cell>
          <cell r="E490">
            <v>98</v>
          </cell>
          <cell r="F490">
            <v>72</v>
          </cell>
          <cell r="G490" t="str">
            <v>B240NS</v>
          </cell>
          <cell r="H490" t="str">
            <v>TOP:36/BOT:18</v>
          </cell>
          <cell r="I490">
            <v>2</v>
          </cell>
          <cell r="J490" t="str">
            <v>삼일이노팩</v>
          </cell>
          <cell r="P490">
            <v>1500</v>
          </cell>
          <cell r="Q490">
            <v>250</v>
          </cell>
          <cell r="R490" t="str">
            <v>주황</v>
          </cell>
          <cell r="U490">
            <v>45706</v>
          </cell>
          <cell r="V490" t="str">
            <v>삼일 용인(이관)</v>
          </cell>
          <cell r="AD490">
            <v>0.83</v>
          </cell>
          <cell r="AE490">
            <v>80</v>
          </cell>
        </row>
        <row r="491">
          <cell r="A491" t="str">
            <v>다용도SG=1K(60배)</v>
          </cell>
          <cell r="B491" t="str">
            <v>BOX</v>
          </cell>
          <cell r="C491">
            <v>6</v>
          </cell>
          <cell r="D491">
            <v>78</v>
          </cell>
          <cell r="E491">
            <v>98</v>
          </cell>
          <cell r="F491">
            <v>72</v>
          </cell>
          <cell r="G491" t="str">
            <v>B240NS</v>
          </cell>
          <cell r="H491" t="str">
            <v>TOP:18/BOT:36</v>
          </cell>
          <cell r="I491">
            <v>2</v>
          </cell>
          <cell r="J491" t="str">
            <v>삼일이노팩</v>
          </cell>
          <cell r="K491">
            <v>29</v>
          </cell>
          <cell r="L491">
            <v>33</v>
          </cell>
          <cell r="M491">
            <v>211</v>
          </cell>
          <cell r="N491">
            <v>215</v>
          </cell>
          <cell r="P491">
            <v>1500</v>
          </cell>
          <cell r="Q491">
            <v>250</v>
          </cell>
          <cell r="R491" t="str">
            <v>주황</v>
          </cell>
          <cell r="U491">
            <v>45706</v>
          </cell>
          <cell r="V491" t="str">
            <v>삼일 용인(이관)</v>
          </cell>
          <cell r="AD491">
            <v>0.85</v>
          </cell>
          <cell r="AE491">
            <v>75</v>
          </cell>
        </row>
        <row r="492">
          <cell r="A492" t="str">
            <v>다용도SG=1K</v>
          </cell>
          <cell r="B492" t="str">
            <v>BOX</v>
          </cell>
          <cell r="C492">
            <v>6</v>
          </cell>
          <cell r="D492">
            <v>80</v>
          </cell>
          <cell r="E492">
            <v>90</v>
          </cell>
          <cell r="F492">
            <v>78</v>
          </cell>
          <cell r="G492" t="str">
            <v>B240NS</v>
          </cell>
          <cell r="H492" t="str">
            <v>TOP:36/BOT:18</v>
          </cell>
          <cell r="I492">
            <v>2</v>
          </cell>
          <cell r="J492" t="str">
            <v>삼일이노팩</v>
          </cell>
          <cell r="P492">
            <v>1500</v>
          </cell>
          <cell r="Q492">
            <v>250</v>
          </cell>
          <cell r="R492" t="str">
            <v>노랑</v>
          </cell>
          <cell r="U492">
            <v>45706</v>
          </cell>
          <cell r="V492" t="str">
            <v>삼일 용인(이관)</v>
          </cell>
          <cell r="AD492">
            <v>0.83</v>
          </cell>
          <cell r="AE492">
            <v>80</v>
          </cell>
        </row>
        <row r="493">
          <cell r="A493" t="str">
            <v>다용도SG=1K</v>
          </cell>
          <cell r="B493" t="str">
            <v>BOX</v>
          </cell>
          <cell r="C493">
            <v>6</v>
          </cell>
          <cell r="D493">
            <v>80</v>
          </cell>
          <cell r="E493">
            <v>90</v>
          </cell>
          <cell r="F493">
            <v>78</v>
          </cell>
          <cell r="G493" t="str">
            <v>B240NS</v>
          </cell>
          <cell r="H493" t="str">
            <v>TOP:36/BOT:18</v>
          </cell>
          <cell r="I493">
            <v>2</v>
          </cell>
          <cell r="J493" t="str">
            <v>삼일이노팩</v>
          </cell>
          <cell r="P493">
            <v>1500</v>
          </cell>
          <cell r="Q493">
            <v>250</v>
          </cell>
          <cell r="R493" t="str">
            <v>노랑</v>
          </cell>
          <cell r="U493">
            <v>45706</v>
          </cell>
          <cell r="V493" t="str">
            <v>삼일 용인(이관)</v>
          </cell>
          <cell r="AD493">
            <v>0.83</v>
          </cell>
          <cell r="AE493">
            <v>80</v>
          </cell>
        </row>
        <row r="494">
          <cell r="A494" t="str">
            <v>다용도SG=1K</v>
          </cell>
          <cell r="B494" t="str">
            <v>BOX</v>
          </cell>
          <cell r="E494">
            <v>90</v>
          </cell>
          <cell r="H494" t="str">
            <v>TOP:36/BOT:18</v>
          </cell>
          <cell r="J494" t="str">
            <v>삼일이노팩</v>
          </cell>
          <cell r="K494">
            <v>29</v>
          </cell>
          <cell r="L494">
            <v>33</v>
          </cell>
          <cell r="M494">
            <v>211</v>
          </cell>
          <cell r="N494">
            <v>215</v>
          </cell>
          <cell r="P494">
            <v>1700</v>
          </cell>
          <cell r="Q494">
            <v>300</v>
          </cell>
          <cell r="R494" t="str">
            <v>노랑</v>
          </cell>
          <cell r="U494">
            <v>45404</v>
          </cell>
          <cell r="V494" t="str">
            <v>삼일 용인(이관)</v>
          </cell>
          <cell r="AD494">
            <v>0.85</v>
          </cell>
          <cell r="AE494">
            <v>75</v>
          </cell>
        </row>
        <row r="495">
          <cell r="A495" t="str">
            <v>다용도SG=1K</v>
          </cell>
          <cell r="B495" t="str">
            <v>BOX</v>
          </cell>
          <cell r="C495">
            <v>6</v>
          </cell>
          <cell r="D495">
            <v>80</v>
          </cell>
          <cell r="E495">
            <v>90</v>
          </cell>
          <cell r="F495">
            <v>78</v>
          </cell>
          <cell r="G495" t="str">
            <v>B240NS</v>
          </cell>
          <cell r="H495" t="str">
            <v>TOP:18/BOT:36</v>
          </cell>
          <cell r="I495">
            <v>2</v>
          </cell>
          <cell r="J495" t="str">
            <v>삼일이노팩</v>
          </cell>
          <cell r="P495">
            <v>1500</v>
          </cell>
          <cell r="Q495">
            <v>250</v>
          </cell>
          <cell r="R495" t="str">
            <v>노랑</v>
          </cell>
          <cell r="U495">
            <v>45706</v>
          </cell>
          <cell r="V495" t="str">
            <v>삼일 용인(이관)</v>
          </cell>
        </row>
        <row r="496">
          <cell r="A496" t="str">
            <v>다용도RK-3K(60배)</v>
          </cell>
          <cell r="B496" t="str">
            <v>BOX</v>
          </cell>
          <cell r="C496">
            <v>4</v>
          </cell>
          <cell r="D496">
            <v>90</v>
          </cell>
          <cell r="E496">
            <v>143</v>
          </cell>
          <cell r="F496">
            <v>72</v>
          </cell>
          <cell r="G496" t="str">
            <v>B240NS</v>
          </cell>
          <cell r="H496" t="str">
            <v>TOP:24포장48/BOT:12</v>
          </cell>
          <cell r="I496">
            <v>2</v>
          </cell>
          <cell r="J496" t="str">
            <v>삼일이노팩</v>
          </cell>
          <cell r="K496">
            <v>29</v>
          </cell>
          <cell r="L496">
            <v>33</v>
          </cell>
          <cell r="M496">
            <v>211</v>
          </cell>
          <cell r="N496">
            <v>215</v>
          </cell>
          <cell r="P496">
            <v>1500</v>
          </cell>
          <cell r="Q496">
            <v>300</v>
          </cell>
          <cell r="R496" t="str">
            <v>검정</v>
          </cell>
          <cell r="T496" t="str">
            <v>TOP:포장반에서48개</v>
          </cell>
          <cell r="U496">
            <v>45666</v>
          </cell>
          <cell r="V496" t="str">
            <v>삼일 용인(이관)</v>
          </cell>
          <cell r="W496" t="str">
            <v>융착,버(BURR)불량 확인할것!!</v>
          </cell>
          <cell r="AA496" t="str">
            <v>2025-01-22반납</v>
          </cell>
          <cell r="AD496">
            <v>0.83</v>
          </cell>
          <cell r="AE496">
            <v>80</v>
          </cell>
        </row>
        <row r="497">
          <cell r="A497" t="str">
            <v>다용도RK-3K(60배)</v>
          </cell>
          <cell r="B497" t="str">
            <v>BOX</v>
          </cell>
          <cell r="C497">
            <v>4</v>
          </cell>
          <cell r="D497">
            <v>90</v>
          </cell>
          <cell r="E497">
            <v>143</v>
          </cell>
          <cell r="F497">
            <v>72</v>
          </cell>
          <cell r="G497" t="str">
            <v>B240NS</v>
          </cell>
          <cell r="H497" t="str">
            <v>TOP:24포장48/BOT:12</v>
          </cell>
          <cell r="I497">
            <v>2</v>
          </cell>
          <cell r="J497" t="str">
            <v>삼일이노팩</v>
          </cell>
          <cell r="K497">
            <v>29</v>
          </cell>
          <cell r="L497">
            <v>33</v>
          </cell>
          <cell r="M497">
            <v>211</v>
          </cell>
          <cell r="N497">
            <v>215</v>
          </cell>
          <cell r="P497">
            <v>1500</v>
          </cell>
          <cell r="Q497">
            <v>300</v>
          </cell>
          <cell r="R497" t="str">
            <v>검정</v>
          </cell>
          <cell r="T497" t="str">
            <v>TOP:포장반에서48개</v>
          </cell>
          <cell r="U497">
            <v>45666</v>
          </cell>
          <cell r="V497" t="str">
            <v>삼일 용인(이관)</v>
          </cell>
          <cell r="W497" t="str">
            <v>융착,버(BURR)불량 확인할것!!</v>
          </cell>
          <cell r="AA497" t="str">
            <v>2025-01-22반납</v>
          </cell>
          <cell r="AD497">
            <v>0.83</v>
          </cell>
          <cell r="AE497">
            <v>80</v>
          </cell>
        </row>
        <row r="498">
          <cell r="A498" t="str">
            <v>다용도RK-3K(60배)</v>
          </cell>
          <cell r="B498" t="str">
            <v>BOX</v>
          </cell>
          <cell r="C498">
            <v>4</v>
          </cell>
          <cell r="D498">
            <v>90</v>
          </cell>
          <cell r="E498">
            <v>143</v>
          </cell>
          <cell r="F498">
            <v>72</v>
          </cell>
          <cell r="G498" t="str">
            <v>B240NS</v>
          </cell>
          <cell r="H498" t="str">
            <v>TOP:24포장48/BOT:12</v>
          </cell>
          <cell r="I498">
            <v>2</v>
          </cell>
          <cell r="J498" t="str">
            <v>삼일이노팩</v>
          </cell>
          <cell r="P498">
            <v>1360</v>
          </cell>
          <cell r="Q498">
            <v>350</v>
          </cell>
          <cell r="R498" t="str">
            <v>보라</v>
          </cell>
          <cell r="U498">
            <v>45239</v>
          </cell>
          <cell r="V498" t="str">
            <v>금형사업부</v>
          </cell>
          <cell r="AD498">
            <v>0.85</v>
          </cell>
          <cell r="AE498">
            <v>75</v>
          </cell>
        </row>
        <row r="499">
          <cell r="A499" t="str">
            <v>다용도RK-3K</v>
          </cell>
          <cell r="B499" t="str">
            <v>BOX</v>
          </cell>
          <cell r="C499">
            <v>4</v>
          </cell>
          <cell r="D499">
            <v>104</v>
          </cell>
          <cell r="E499">
            <v>136</v>
          </cell>
          <cell r="F499">
            <v>74</v>
          </cell>
          <cell r="G499" t="str">
            <v>SE2500M</v>
          </cell>
          <cell r="H499" t="str">
            <v>T:42 B:14</v>
          </cell>
          <cell r="I499">
            <v>2</v>
          </cell>
          <cell r="J499" t="str">
            <v>용인공장</v>
          </cell>
          <cell r="P499">
            <v>1360</v>
          </cell>
          <cell r="Q499">
            <v>300</v>
          </cell>
          <cell r="R499" t="str">
            <v>검정</v>
          </cell>
          <cell r="U499">
            <v>44707</v>
          </cell>
          <cell r="V499" t="str">
            <v>이관금형</v>
          </cell>
          <cell r="Y499">
            <v>65</v>
          </cell>
          <cell r="Z499">
            <v>11422</v>
          </cell>
          <cell r="AD499">
            <v>0.85</v>
          </cell>
        </row>
        <row r="500">
          <cell r="A500" t="str">
            <v>다용도5K(몸통/뚜껑)</v>
          </cell>
          <cell r="B500" t="str">
            <v>BOX</v>
          </cell>
          <cell r="C500">
            <v>6</v>
          </cell>
          <cell r="D500">
            <v>80</v>
          </cell>
          <cell r="E500">
            <v>125</v>
          </cell>
          <cell r="F500">
            <v>65</v>
          </cell>
          <cell r="G500" t="str">
            <v>B240NS</v>
          </cell>
          <cell r="H500" t="str">
            <v>몸통20뚜껑80</v>
          </cell>
          <cell r="I500">
            <v>2</v>
          </cell>
          <cell r="J500" t="str">
            <v>용인공장</v>
          </cell>
          <cell r="P500">
            <v>1360</v>
          </cell>
          <cell r="Q500">
            <v>350</v>
          </cell>
          <cell r="R500" t="str">
            <v>보라</v>
          </cell>
          <cell r="U500">
            <v>45239</v>
          </cell>
          <cell r="V500" t="str">
            <v>금형사업부</v>
          </cell>
          <cell r="AD500">
            <v>0.85</v>
          </cell>
          <cell r="AE500">
            <v>75</v>
          </cell>
        </row>
        <row r="501">
          <cell r="A501" t="str">
            <v>다용도5K</v>
          </cell>
          <cell r="B501" t="str">
            <v>BOX</v>
          </cell>
          <cell r="C501">
            <v>6</v>
          </cell>
          <cell r="D501">
            <v>80</v>
          </cell>
          <cell r="E501">
            <v>100</v>
          </cell>
          <cell r="F501">
            <v>65</v>
          </cell>
          <cell r="G501" t="str">
            <v>B240NS</v>
          </cell>
          <cell r="H501" t="str">
            <v>몸통20뚜껑80</v>
          </cell>
          <cell r="I501">
            <v>2</v>
          </cell>
          <cell r="J501" t="str">
            <v>삼일이노팩</v>
          </cell>
          <cell r="P501">
            <v>1360</v>
          </cell>
          <cell r="Q501">
            <v>350</v>
          </cell>
          <cell r="R501" t="str">
            <v>보라</v>
          </cell>
          <cell r="U501">
            <v>45239</v>
          </cell>
          <cell r="V501" t="str">
            <v>금형사업부</v>
          </cell>
          <cell r="AD501">
            <v>0.85</v>
          </cell>
          <cell r="AE501">
            <v>75</v>
          </cell>
        </row>
        <row r="502">
          <cell r="A502" t="str">
            <v>다용도5K</v>
          </cell>
          <cell r="B502" t="str">
            <v>BOX</v>
          </cell>
          <cell r="C502">
            <v>6</v>
          </cell>
          <cell r="D502">
            <v>80</v>
          </cell>
          <cell r="E502">
            <v>100</v>
          </cell>
          <cell r="F502">
            <v>65</v>
          </cell>
          <cell r="G502" t="str">
            <v>B240NS</v>
          </cell>
          <cell r="H502" t="str">
            <v>몸통20뚜껑80</v>
          </cell>
          <cell r="I502">
            <v>2</v>
          </cell>
          <cell r="J502" t="str">
            <v>삼일이노팩</v>
          </cell>
          <cell r="P502">
            <v>1360</v>
          </cell>
          <cell r="Q502">
            <v>350</v>
          </cell>
          <cell r="R502" t="str">
            <v>보라</v>
          </cell>
          <cell r="U502">
            <v>45239</v>
          </cell>
          <cell r="V502" t="str">
            <v>금형사업부</v>
          </cell>
          <cell r="AD502">
            <v>0.85</v>
          </cell>
          <cell r="AE502">
            <v>75</v>
          </cell>
        </row>
        <row r="503">
          <cell r="A503" t="str">
            <v>다용도10K</v>
          </cell>
          <cell r="B503" t="str">
            <v>BOX</v>
          </cell>
          <cell r="C503">
            <v>3</v>
          </cell>
          <cell r="D503">
            <v>100</v>
          </cell>
          <cell r="E503">
            <v>250</v>
          </cell>
          <cell r="F503">
            <v>74</v>
          </cell>
          <cell r="G503" t="str">
            <v>SE2500M</v>
          </cell>
          <cell r="H503" t="str">
            <v>T:48 :12</v>
          </cell>
          <cell r="I503">
            <v>2</v>
          </cell>
          <cell r="J503" t="str">
            <v>용인공장</v>
          </cell>
          <cell r="P503">
            <v>1360</v>
          </cell>
          <cell r="Q503">
            <v>300</v>
          </cell>
          <cell r="R503" t="str">
            <v>보라</v>
          </cell>
          <cell r="S503" t="str">
            <v>보라</v>
          </cell>
          <cell r="U503">
            <v>44707</v>
          </cell>
          <cell r="V503" t="str">
            <v>이관금형</v>
          </cell>
          <cell r="AD503">
            <v>0.85</v>
          </cell>
          <cell r="AF503">
            <v>4</v>
          </cell>
        </row>
        <row r="504">
          <cell r="A504" t="str">
            <v>다용도10K</v>
          </cell>
          <cell r="B504" t="str">
            <v>BOX</v>
          </cell>
          <cell r="C504">
            <v>3</v>
          </cell>
          <cell r="D504">
            <v>100</v>
          </cell>
          <cell r="E504">
            <v>250</v>
          </cell>
          <cell r="F504">
            <v>74</v>
          </cell>
          <cell r="G504" t="str">
            <v>SE2500M</v>
          </cell>
          <cell r="H504" t="str">
            <v>T:48 :12</v>
          </cell>
          <cell r="I504">
            <v>2</v>
          </cell>
          <cell r="J504" t="str">
            <v>용인공장</v>
          </cell>
          <cell r="P504">
            <v>1360</v>
          </cell>
          <cell r="Q504">
            <v>300</v>
          </cell>
          <cell r="R504" t="str">
            <v>보라</v>
          </cell>
          <cell r="S504" t="str">
            <v>보라</v>
          </cell>
          <cell r="U504">
            <v>44707</v>
          </cell>
          <cell r="V504" t="str">
            <v>이관금형</v>
          </cell>
          <cell r="AD504">
            <v>0.85</v>
          </cell>
        </row>
        <row r="505">
          <cell r="A505" t="str">
            <v>다목적정식판9공(33배)</v>
          </cell>
          <cell r="B505" t="str">
            <v>저발</v>
          </cell>
          <cell r="C505">
            <v>1</v>
          </cell>
          <cell r="D505">
            <v>140</v>
          </cell>
          <cell r="E505">
            <v>265</v>
          </cell>
          <cell r="F505">
            <v>33</v>
          </cell>
          <cell r="G505" t="str">
            <v>B240NS</v>
          </cell>
          <cell r="H505">
            <v>10</v>
          </cell>
          <cell r="I505">
            <v>1</v>
          </cell>
          <cell r="J505" t="str">
            <v>가화텍</v>
          </cell>
          <cell r="P505">
            <v>700</v>
          </cell>
          <cell r="Q505">
            <v>0</v>
          </cell>
          <cell r="R505" t="str">
            <v>밴딩</v>
          </cell>
          <cell r="S505" t="str">
            <v>파랑</v>
          </cell>
          <cell r="U505">
            <v>44774</v>
          </cell>
          <cell r="V505" t="str">
            <v>금형사업부</v>
          </cell>
          <cell r="W505" t="str">
            <v>22.08.26 코팅완료</v>
          </cell>
          <cell r="AD505">
            <v>0.85</v>
          </cell>
        </row>
        <row r="506">
          <cell r="A506" t="str">
            <v>다목적정식판9공(33배)</v>
          </cell>
          <cell r="B506" t="str">
            <v>SET</v>
          </cell>
          <cell r="C506">
            <v>1</v>
          </cell>
          <cell r="D506">
            <v>150</v>
          </cell>
          <cell r="E506">
            <v>265</v>
          </cell>
          <cell r="F506">
            <v>33</v>
          </cell>
          <cell r="G506" t="str">
            <v>B240NS</v>
          </cell>
          <cell r="H506">
            <v>10</v>
          </cell>
          <cell r="I506">
            <v>1</v>
          </cell>
          <cell r="J506" t="str">
            <v>가화텍</v>
          </cell>
          <cell r="P506">
            <v>700</v>
          </cell>
          <cell r="U506">
            <v>44774</v>
          </cell>
          <cell r="V506" t="str">
            <v>금형사업부</v>
          </cell>
          <cell r="W506" t="str">
            <v>22.08.26 코팅완료</v>
          </cell>
          <cell r="AD506">
            <v>0.85</v>
          </cell>
        </row>
        <row r="507">
          <cell r="A507" t="str">
            <v>다목적정식판9공(33배)</v>
          </cell>
          <cell r="B507" t="str">
            <v>SET</v>
          </cell>
          <cell r="C507">
            <v>1</v>
          </cell>
          <cell r="D507">
            <v>150</v>
          </cell>
          <cell r="E507">
            <v>265</v>
          </cell>
          <cell r="F507">
            <v>33</v>
          </cell>
          <cell r="G507" t="str">
            <v>B240NS</v>
          </cell>
          <cell r="H507">
            <v>10</v>
          </cell>
          <cell r="I507">
            <v>1</v>
          </cell>
          <cell r="J507" t="str">
            <v>가화텍</v>
          </cell>
          <cell r="P507">
            <v>700</v>
          </cell>
          <cell r="U507">
            <v>44774</v>
          </cell>
          <cell r="V507" t="str">
            <v>금형사업부</v>
          </cell>
          <cell r="W507" t="str">
            <v>22.08.26 코팅완료</v>
          </cell>
          <cell r="AD507">
            <v>0.85</v>
          </cell>
        </row>
        <row r="508">
          <cell r="A508" t="str">
            <v>다목적정식판18공(33배)</v>
          </cell>
          <cell r="B508" t="str">
            <v>SET</v>
          </cell>
          <cell r="C508">
            <v>2</v>
          </cell>
          <cell r="D508">
            <v>100</v>
          </cell>
          <cell r="E508">
            <v>518</v>
          </cell>
          <cell r="F508">
            <v>33</v>
          </cell>
          <cell r="G508" t="str">
            <v>B240NS</v>
          </cell>
          <cell r="H508">
            <v>10</v>
          </cell>
          <cell r="I508">
            <v>1</v>
          </cell>
          <cell r="J508" t="str">
            <v>가화텍</v>
          </cell>
          <cell r="P508">
            <v>1500</v>
          </cell>
          <cell r="Q508">
            <v>150</v>
          </cell>
          <cell r="R508" t="str">
            <v>주황</v>
          </cell>
          <cell r="S508" t="str">
            <v>패드</v>
          </cell>
          <cell r="T508" t="str">
            <v>다목적정식판18공</v>
          </cell>
          <cell r="V508" t="str">
            <v>금형사업부</v>
          </cell>
          <cell r="W508" t="str">
            <v>분무경정식판24공(33배)→다목적정식판18공(33배)</v>
          </cell>
          <cell r="AD508">
            <v>0.85</v>
          </cell>
        </row>
        <row r="509">
          <cell r="A509" t="str">
            <v>다목적정식판18공(33배)</v>
          </cell>
          <cell r="B509" t="str">
            <v>SET</v>
          </cell>
          <cell r="C509">
            <v>2</v>
          </cell>
          <cell r="D509">
            <v>100</v>
          </cell>
          <cell r="E509">
            <v>518</v>
          </cell>
          <cell r="F509">
            <v>33</v>
          </cell>
          <cell r="G509" t="str">
            <v>B240NS</v>
          </cell>
          <cell r="H509">
            <v>10</v>
          </cell>
          <cell r="I509">
            <v>1</v>
          </cell>
          <cell r="J509" t="str">
            <v>가화텍</v>
          </cell>
          <cell r="P509">
            <v>1500</v>
          </cell>
          <cell r="Q509">
            <v>150</v>
          </cell>
          <cell r="R509" t="str">
            <v>주황</v>
          </cell>
          <cell r="S509" t="str">
            <v>패드</v>
          </cell>
          <cell r="T509" t="str">
            <v>다목적정식판18공</v>
          </cell>
          <cell r="V509" t="str">
            <v>금형사업부</v>
          </cell>
          <cell r="W509" t="str">
            <v>분무경정식판24공(33배)→다목적정식판18공(33배)</v>
          </cell>
          <cell r="AD509">
            <v>0.85</v>
          </cell>
        </row>
        <row r="510">
          <cell r="A510" t="str">
            <v>다목적정식판18공</v>
          </cell>
          <cell r="B510" t="str">
            <v>SET</v>
          </cell>
          <cell r="C510">
            <v>2</v>
          </cell>
          <cell r="D510">
            <v>100</v>
          </cell>
          <cell r="E510">
            <v>375</v>
          </cell>
          <cell r="F510">
            <v>50</v>
          </cell>
          <cell r="G510" t="str">
            <v>B240NS</v>
          </cell>
          <cell r="H510">
            <v>10</v>
          </cell>
          <cell r="I510">
            <v>1</v>
          </cell>
          <cell r="J510" t="str">
            <v>가화텍</v>
          </cell>
          <cell r="P510">
            <v>1500</v>
          </cell>
          <cell r="Q510">
            <v>150</v>
          </cell>
          <cell r="R510" t="str">
            <v>파랑</v>
          </cell>
          <cell r="S510" t="str">
            <v>패드</v>
          </cell>
          <cell r="T510" t="str">
            <v>다목적정식판18공</v>
          </cell>
          <cell r="U510">
            <v>45215</v>
          </cell>
          <cell r="V510" t="str">
            <v>금형사업부</v>
          </cell>
          <cell r="W510" t="str">
            <v>분무경정식판24공→다목적정식판18공(2024-04-26변경)</v>
          </cell>
          <cell r="AD510">
            <v>0.85</v>
          </cell>
        </row>
        <row r="511">
          <cell r="A511" t="str">
            <v>다목적정식판18공</v>
          </cell>
          <cell r="B511" t="str">
            <v>SET</v>
          </cell>
          <cell r="C511">
            <v>2</v>
          </cell>
          <cell r="D511">
            <v>100</v>
          </cell>
          <cell r="E511">
            <v>375</v>
          </cell>
          <cell r="F511">
            <v>50</v>
          </cell>
          <cell r="G511" t="str">
            <v>B240NS</v>
          </cell>
          <cell r="H511">
            <v>10</v>
          </cell>
          <cell r="I511">
            <v>1</v>
          </cell>
          <cell r="J511" t="str">
            <v>가화텍</v>
          </cell>
          <cell r="P511">
            <v>1500</v>
          </cell>
          <cell r="Q511">
            <v>150</v>
          </cell>
          <cell r="R511" t="str">
            <v>파랑</v>
          </cell>
          <cell r="S511" t="str">
            <v>패드</v>
          </cell>
          <cell r="T511" t="str">
            <v>다목적정식판18공</v>
          </cell>
          <cell r="U511">
            <v>45215</v>
          </cell>
          <cell r="V511" t="str">
            <v>금형사업부</v>
          </cell>
          <cell r="W511" t="str">
            <v>분무경정식판24공→다목적정식판18공(2024-04-26변경)</v>
          </cell>
          <cell r="AD511">
            <v>0.85</v>
          </cell>
        </row>
        <row r="512">
          <cell r="A512" t="str">
            <v>다목적정식판14공(40배)</v>
          </cell>
          <cell r="B512" t="str">
            <v>저발</v>
          </cell>
          <cell r="C512">
            <v>1</v>
          </cell>
          <cell r="D512">
            <v>100</v>
          </cell>
          <cell r="E512">
            <v>237</v>
          </cell>
          <cell r="F512">
            <v>50</v>
          </cell>
          <cell r="G512" t="str">
            <v>B240NS</v>
          </cell>
          <cell r="H512">
            <v>10</v>
          </cell>
          <cell r="I512">
            <v>1</v>
          </cell>
          <cell r="J512" t="str">
            <v>가화텍</v>
          </cell>
          <cell r="K512">
            <v>26</v>
          </cell>
          <cell r="L512">
            <v>28</v>
          </cell>
          <cell r="P512">
            <v>900</v>
          </cell>
          <cell r="R512" t="str">
            <v>PAD</v>
          </cell>
          <cell r="S512" t="str">
            <v>파란밴딩</v>
          </cell>
          <cell r="W512" t="str">
            <v>주황밴딩 사용금지</v>
          </cell>
          <cell r="Y512">
            <v>40</v>
          </cell>
          <cell r="Z512">
            <v>9491</v>
          </cell>
          <cell r="AC512" t="str">
            <v>금형없음 다목적정식판14공 동일 금형</v>
          </cell>
          <cell r="AD512">
            <v>0.85</v>
          </cell>
          <cell r="AE512">
            <v>100</v>
          </cell>
          <cell r="AF512">
            <v>1</v>
          </cell>
        </row>
        <row r="513">
          <cell r="A513" t="str">
            <v>다목적정식판14공(33배)</v>
          </cell>
          <cell r="B513" t="str">
            <v>저발</v>
          </cell>
          <cell r="C513">
            <v>1</v>
          </cell>
          <cell r="D513">
            <v>100</v>
          </cell>
          <cell r="E513">
            <v>320</v>
          </cell>
          <cell r="F513">
            <v>36</v>
          </cell>
          <cell r="G513" t="str">
            <v>B240NS</v>
          </cell>
          <cell r="H513">
            <v>10</v>
          </cell>
          <cell r="I513">
            <v>1</v>
          </cell>
          <cell r="J513" t="str">
            <v>가화텍</v>
          </cell>
          <cell r="K513">
            <v>26</v>
          </cell>
          <cell r="L513">
            <v>28</v>
          </cell>
          <cell r="P513">
            <v>900</v>
          </cell>
          <cell r="R513" t="str">
            <v>PAD</v>
          </cell>
          <cell r="S513" t="str">
            <v>파란밴딩</v>
          </cell>
          <cell r="W513" t="str">
            <v>주황밴딩 사용금지</v>
          </cell>
          <cell r="Y513">
            <v>30</v>
          </cell>
          <cell r="Z513">
            <v>9491</v>
          </cell>
          <cell r="AC513" t="str">
            <v>금형없음 다목적정식판14공 동일 금형</v>
          </cell>
          <cell r="AD513">
            <v>0.85</v>
          </cell>
          <cell r="AE513">
            <v>100</v>
          </cell>
          <cell r="AF513">
            <v>2</v>
          </cell>
        </row>
        <row r="514">
          <cell r="A514" t="str">
            <v>다목적정식판14공</v>
          </cell>
          <cell r="B514" t="str">
            <v>저발</v>
          </cell>
          <cell r="C514">
            <v>1</v>
          </cell>
          <cell r="D514">
            <v>100</v>
          </cell>
          <cell r="E514">
            <v>237</v>
          </cell>
          <cell r="F514">
            <v>50</v>
          </cell>
          <cell r="G514" t="str">
            <v>B240NS</v>
          </cell>
          <cell r="H514">
            <v>10</v>
          </cell>
          <cell r="I514">
            <v>1</v>
          </cell>
          <cell r="J514" t="str">
            <v>가화텍</v>
          </cell>
          <cell r="K514">
            <v>26</v>
          </cell>
          <cell r="L514">
            <v>28</v>
          </cell>
          <cell r="P514">
            <v>900</v>
          </cell>
          <cell r="R514" t="str">
            <v>PAD</v>
          </cell>
          <cell r="S514" t="str">
            <v>파란밴딩</v>
          </cell>
          <cell r="U514">
            <v>43782</v>
          </cell>
          <cell r="W514" t="str">
            <v>주황밴딩 사용금지</v>
          </cell>
          <cell r="Y514">
            <v>40</v>
          </cell>
          <cell r="Z514">
            <v>9491</v>
          </cell>
          <cell r="AD514">
            <v>0.85</v>
          </cell>
          <cell r="AE514">
            <v>100</v>
          </cell>
          <cell r="AF514">
            <v>1</v>
          </cell>
        </row>
        <row r="515">
          <cell r="A515" t="str">
            <v>다목적정식판(33배)</v>
          </cell>
          <cell r="B515" t="str">
            <v>SET</v>
          </cell>
          <cell r="C515">
            <v>2</v>
          </cell>
          <cell r="D515">
            <v>120</v>
          </cell>
          <cell r="E515">
            <v>316</v>
          </cell>
          <cell r="F515">
            <v>50</v>
          </cell>
          <cell r="G515" t="str">
            <v>B240NS</v>
          </cell>
          <cell r="H515">
            <v>10</v>
          </cell>
          <cell r="I515">
            <v>1</v>
          </cell>
          <cell r="J515" t="str">
            <v>가화텍</v>
          </cell>
          <cell r="K515">
            <v>23</v>
          </cell>
          <cell r="L515">
            <v>27</v>
          </cell>
          <cell r="O515">
            <v>1020</v>
          </cell>
          <cell r="P515">
            <v>1360</v>
          </cell>
          <cell r="Q515">
            <v>150</v>
          </cell>
          <cell r="S515">
            <v>0</v>
          </cell>
          <cell r="T515" t="str">
            <v>다목적 정식판#12</v>
          </cell>
          <cell r="U515">
            <v>36977</v>
          </cell>
          <cell r="V515" t="str">
            <v>신아</v>
          </cell>
          <cell r="W515" t="str">
            <v>MPTP-9, 12차</v>
          </cell>
          <cell r="AC515" t="str">
            <v>1*2, 2022.02.15 묶음단위변경(20-&gt;10)</v>
          </cell>
          <cell r="AD515">
            <v>0.9</v>
          </cell>
          <cell r="AE515">
            <v>110</v>
          </cell>
          <cell r="AF515">
            <v>4</v>
          </cell>
        </row>
        <row r="516">
          <cell r="A516" t="str">
            <v>다목적정식판</v>
          </cell>
          <cell r="B516" t="str">
            <v>SET</v>
          </cell>
          <cell r="C516">
            <v>2</v>
          </cell>
          <cell r="D516">
            <v>90</v>
          </cell>
          <cell r="E516">
            <v>190</v>
          </cell>
          <cell r="F516">
            <v>53</v>
          </cell>
          <cell r="G516" t="str">
            <v>B240NS</v>
          </cell>
          <cell r="H516">
            <v>10</v>
          </cell>
          <cell r="I516">
            <v>1</v>
          </cell>
          <cell r="J516" t="str">
            <v>가화텍</v>
          </cell>
          <cell r="K516">
            <v>23</v>
          </cell>
          <cell r="L516">
            <v>27</v>
          </cell>
          <cell r="O516">
            <v>1020</v>
          </cell>
          <cell r="P516">
            <v>1360</v>
          </cell>
          <cell r="Q516">
            <v>150</v>
          </cell>
          <cell r="S516">
            <v>0</v>
          </cell>
          <cell r="T516" t="str">
            <v>다목적 정식판#12</v>
          </cell>
          <cell r="U516">
            <v>36977</v>
          </cell>
          <cell r="V516" t="str">
            <v>신아</v>
          </cell>
          <cell r="W516" t="str">
            <v>MPTP-9, 12차</v>
          </cell>
          <cell r="X516" t="str">
            <v>C-1208</v>
          </cell>
          <cell r="AC516" t="str">
            <v xml:space="preserve">1*2    </v>
          </cell>
          <cell r="AD516">
            <v>0.85</v>
          </cell>
          <cell r="AE516">
            <v>90</v>
          </cell>
        </row>
        <row r="517">
          <cell r="A517" t="str">
            <v>다목적4호마감(33배)</v>
          </cell>
          <cell r="B517" t="str">
            <v>SET</v>
          </cell>
          <cell r="C517">
            <v>2</v>
          </cell>
          <cell r="D517">
            <v>120</v>
          </cell>
          <cell r="E517">
            <v>1250</v>
          </cell>
          <cell r="F517">
            <v>36</v>
          </cell>
          <cell r="G517" t="str">
            <v>B240NS</v>
          </cell>
          <cell r="H517">
            <v>4</v>
          </cell>
          <cell r="I517">
            <v>1</v>
          </cell>
          <cell r="J517" t="str">
            <v>가화텍</v>
          </cell>
          <cell r="K517">
            <v>148</v>
          </cell>
          <cell r="L517">
            <v>152</v>
          </cell>
          <cell r="O517">
            <v>6680</v>
          </cell>
          <cell r="P517">
            <v>1500</v>
          </cell>
          <cell r="Q517">
            <v>300</v>
          </cell>
          <cell r="S517">
            <v>0</v>
          </cell>
          <cell r="T517" t="str">
            <v>다목적4호마감#17</v>
          </cell>
          <cell r="W517" t="str">
            <v>MP4DEB, 17차</v>
          </cell>
          <cell r="AC517" t="str">
            <v>다목적4호마감동일금형</v>
          </cell>
          <cell r="AD517">
            <v>0.9</v>
          </cell>
          <cell r="AE517">
            <v>100</v>
          </cell>
          <cell r="AF517">
            <v>1</v>
          </cell>
        </row>
        <row r="518">
          <cell r="A518" t="str">
            <v>다목적4호마감</v>
          </cell>
          <cell r="B518" t="str">
            <v>SET</v>
          </cell>
          <cell r="C518">
            <v>2</v>
          </cell>
          <cell r="D518">
            <v>120</v>
          </cell>
          <cell r="E518">
            <v>860</v>
          </cell>
          <cell r="F518">
            <v>53</v>
          </cell>
          <cell r="G518" t="str">
            <v>B240NS</v>
          </cell>
          <cell r="H518">
            <v>4</v>
          </cell>
          <cell r="I518">
            <v>1</v>
          </cell>
          <cell r="J518" t="str">
            <v>가화텍</v>
          </cell>
          <cell r="K518">
            <v>148</v>
          </cell>
          <cell r="L518">
            <v>152</v>
          </cell>
          <cell r="O518">
            <v>4590</v>
          </cell>
          <cell r="P518">
            <v>1500</v>
          </cell>
          <cell r="Q518">
            <v>300</v>
          </cell>
          <cell r="S518">
            <v>0</v>
          </cell>
          <cell r="T518" t="str">
            <v>다목적4호마감#17</v>
          </cell>
          <cell r="U518">
            <v>37313</v>
          </cell>
          <cell r="V518" t="str">
            <v>삼일금형</v>
          </cell>
          <cell r="W518" t="str">
            <v>MP4DEB, 17차, 파랑끈 묶음</v>
          </cell>
          <cell r="X518" t="str">
            <v>R-0301</v>
          </cell>
          <cell r="AC518" t="str">
            <v xml:space="preserve">06.03.04일 아산입고(4개한묶음)1*2    </v>
          </cell>
          <cell r="AD518">
            <v>0.85</v>
          </cell>
          <cell r="AE518">
            <v>120</v>
          </cell>
          <cell r="AF518">
            <v>2</v>
          </cell>
        </row>
        <row r="519">
          <cell r="A519" t="str">
            <v>다목적4호(33배)</v>
          </cell>
          <cell r="B519" t="str">
            <v>SET</v>
          </cell>
          <cell r="C519">
            <v>1</v>
          </cell>
          <cell r="D519">
            <v>100</v>
          </cell>
          <cell r="E519">
            <v>2260</v>
          </cell>
          <cell r="F519">
            <v>36</v>
          </cell>
          <cell r="G519" t="str">
            <v>B240NS</v>
          </cell>
          <cell r="H519">
            <v>4</v>
          </cell>
          <cell r="I519">
            <v>1</v>
          </cell>
          <cell r="J519" t="str">
            <v>가화텍</v>
          </cell>
          <cell r="K519">
            <v>148</v>
          </cell>
          <cell r="L519">
            <v>152</v>
          </cell>
          <cell r="O519">
            <v>12070</v>
          </cell>
          <cell r="P519">
            <v>1500</v>
          </cell>
          <cell r="Q519">
            <v>250</v>
          </cell>
          <cell r="R519" t="str">
            <v>녹색</v>
          </cell>
          <cell r="S519" t="str">
            <v>패드</v>
          </cell>
          <cell r="T519" t="str">
            <v>다목적4호#16</v>
          </cell>
          <cell r="W519" t="str">
            <v>MP4DB , 16차</v>
          </cell>
          <cell r="AC519" t="str">
            <v>다목적4호동일금형,2011.10.10중량변경(2095g~2260g)</v>
          </cell>
          <cell r="AD519">
            <v>0.9</v>
          </cell>
          <cell r="AE519">
            <v>100</v>
          </cell>
          <cell r="AF519">
            <v>2</v>
          </cell>
        </row>
        <row r="520">
          <cell r="A520" t="str">
            <v>다목적4호</v>
          </cell>
          <cell r="B520" t="str">
            <v>SET</v>
          </cell>
          <cell r="C520">
            <v>1</v>
          </cell>
          <cell r="D520">
            <v>100</v>
          </cell>
          <cell r="E520">
            <v>1440</v>
          </cell>
          <cell r="F520">
            <v>53</v>
          </cell>
          <cell r="G520" t="str">
            <v>B240NS</v>
          </cell>
          <cell r="H520">
            <v>4</v>
          </cell>
          <cell r="I520">
            <v>1</v>
          </cell>
          <cell r="J520" t="str">
            <v>가화텍</v>
          </cell>
          <cell r="K520">
            <v>148</v>
          </cell>
          <cell r="L520">
            <v>152</v>
          </cell>
          <cell r="O520">
            <v>7690</v>
          </cell>
          <cell r="P520">
            <v>1500</v>
          </cell>
          <cell r="Q520">
            <v>250</v>
          </cell>
          <cell r="S520">
            <v>0</v>
          </cell>
          <cell r="T520" t="str">
            <v>다목적4호#16</v>
          </cell>
          <cell r="U520">
            <v>37313</v>
          </cell>
          <cell r="V520" t="str">
            <v>삼일금형</v>
          </cell>
          <cell r="W520" t="str">
            <v>MP4DB , 16차 , 중량관리철저</v>
          </cell>
          <cell r="AC520" t="str">
            <v xml:space="preserve">06.03.06일 아산입고(4개지그재그)1*1    </v>
          </cell>
          <cell r="AD520">
            <v>0.85</v>
          </cell>
          <cell r="AE520">
            <v>110</v>
          </cell>
          <cell r="AF520">
            <v>6</v>
          </cell>
        </row>
        <row r="521">
          <cell r="A521" t="str">
            <v>다목적3호고#2(33배)</v>
          </cell>
          <cell r="B521" t="str">
            <v>SET</v>
          </cell>
          <cell r="C521">
            <v>2</v>
          </cell>
          <cell r="D521">
            <v>250</v>
          </cell>
          <cell r="E521">
            <v>1840</v>
          </cell>
          <cell r="F521">
            <v>36</v>
          </cell>
          <cell r="G521" t="str">
            <v>B240NS</v>
          </cell>
          <cell r="H521">
            <v>2</v>
          </cell>
          <cell r="I521">
            <v>1</v>
          </cell>
          <cell r="J521" t="str">
            <v>가화텍</v>
          </cell>
          <cell r="K521">
            <v>298</v>
          </cell>
          <cell r="L521">
            <v>302</v>
          </cell>
          <cell r="O521">
            <v>9830</v>
          </cell>
          <cell r="P521">
            <v>1700</v>
          </cell>
          <cell r="Q521">
            <v>350</v>
          </cell>
          <cell r="R521" t="str">
            <v>테이핑</v>
          </cell>
          <cell r="S521">
            <v>0</v>
          </cell>
          <cell r="T521" t="str">
            <v>다목적3호#2(고)/다목적분무형베드#10</v>
          </cell>
          <cell r="U521">
            <v>45483</v>
          </cell>
          <cell r="V521" t="str">
            <v>금형제조부</v>
          </cell>
          <cell r="W521" t="str">
            <v>MP3HB, 10차</v>
          </cell>
          <cell r="AC521" t="str">
            <v>1,270+-80g, 다목적3호고동일금형</v>
          </cell>
          <cell r="AD521">
            <v>0.9</v>
          </cell>
          <cell r="AE521">
            <v>130</v>
          </cell>
          <cell r="AF521">
            <v>4</v>
          </cell>
        </row>
        <row r="522">
          <cell r="A522" t="str">
            <v>다목적3호고#2</v>
          </cell>
          <cell r="B522" t="str">
            <v>SET</v>
          </cell>
          <cell r="C522">
            <v>2</v>
          </cell>
          <cell r="D522">
            <v>144</v>
          </cell>
          <cell r="E522">
            <v>1270</v>
          </cell>
          <cell r="F522">
            <v>53</v>
          </cell>
          <cell r="G522" t="str">
            <v>B240NS</v>
          </cell>
          <cell r="H522">
            <v>2</v>
          </cell>
          <cell r="I522">
            <v>1</v>
          </cell>
          <cell r="J522" t="str">
            <v>가화텍</v>
          </cell>
          <cell r="K522">
            <v>298</v>
          </cell>
          <cell r="L522">
            <v>302</v>
          </cell>
          <cell r="O522">
            <v>6780</v>
          </cell>
          <cell r="P522">
            <v>1700</v>
          </cell>
          <cell r="Q522">
            <v>350</v>
          </cell>
          <cell r="S522">
            <v>0</v>
          </cell>
          <cell r="T522" t="str">
            <v>다목적3호#2(고)/다목적분무형베드#10</v>
          </cell>
          <cell r="U522">
            <v>45483</v>
          </cell>
          <cell r="V522" t="str">
            <v>금형제조부</v>
          </cell>
          <cell r="W522" t="str">
            <v>MP3HB, 10차 , 중량관리철저(57배 중량미달, 50배 중량초과)</v>
          </cell>
          <cell r="X522" t="str">
            <v>A-0501</v>
          </cell>
          <cell r="AC522" t="str">
            <v>1,270+-80g, 2016.09.20배율변경(57배-&gt;50배), 2021.08.02 burr 수리</v>
          </cell>
          <cell r="AD522">
            <v>0.85</v>
          </cell>
          <cell r="AE522">
            <v>110</v>
          </cell>
          <cell r="AF522">
            <v>2</v>
          </cell>
        </row>
        <row r="523">
          <cell r="A523" t="str">
            <v>다목적3호고</v>
          </cell>
          <cell r="B523" t="str">
            <v>SET</v>
          </cell>
          <cell r="C523">
            <v>1</v>
          </cell>
          <cell r="D523">
            <v>144</v>
          </cell>
          <cell r="E523">
            <v>1270</v>
          </cell>
          <cell r="F523">
            <v>53</v>
          </cell>
          <cell r="G523" t="str">
            <v>B240NS</v>
          </cell>
          <cell r="H523">
            <v>2</v>
          </cell>
          <cell r="I523">
            <v>1</v>
          </cell>
          <cell r="J523" t="str">
            <v>가화텍</v>
          </cell>
          <cell r="K523">
            <v>298</v>
          </cell>
          <cell r="L523">
            <v>302</v>
          </cell>
          <cell r="O523">
            <v>6780</v>
          </cell>
          <cell r="P523">
            <v>1300</v>
          </cell>
          <cell r="Q523">
            <v>350</v>
          </cell>
          <cell r="S523">
            <v>0</v>
          </cell>
          <cell r="T523" t="str">
            <v>다목적3호(고)/다목적분무형베드#10</v>
          </cell>
          <cell r="U523">
            <v>36981</v>
          </cell>
          <cell r="V523" t="str">
            <v>신아</v>
          </cell>
          <cell r="W523" t="str">
            <v>MP3HB, 10차 , 중량관리철저(57배 중량미달, 50배 중량초과)</v>
          </cell>
          <cell r="X523" t="str">
            <v>A-0501</v>
          </cell>
          <cell r="AC523" t="str">
            <v>1,270+-80g, 2016.09.20배율변경(57배-&gt;50배), 2021.08.02 burr 수리</v>
          </cell>
          <cell r="AD523">
            <v>0.85</v>
          </cell>
          <cell r="AE523">
            <v>110</v>
          </cell>
          <cell r="AF523">
            <v>4</v>
          </cell>
        </row>
        <row r="524">
          <cell r="A524" t="str">
            <v>다목적1호배드</v>
          </cell>
          <cell r="B524" t="str">
            <v>SET</v>
          </cell>
          <cell r="C524">
            <v>2</v>
          </cell>
          <cell r="D524">
            <v>100</v>
          </cell>
          <cell r="E524">
            <v>440</v>
          </cell>
          <cell r="F524">
            <v>53</v>
          </cell>
          <cell r="G524" t="str">
            <v>B240NS</v>
          </cell>
          <cell r="H524">
            <v>4</v>
          </cell>
          <cell r="I524">
            <v>1</v>
          </cell>
          <cell r="J524" t="str">
            <v>가화텍</v>
          </cell>
          <cell r="K524">
            <v>213</v>
          </cell>
          <cell r="L524">
            <v>217</v>
          </cell>
          <cell r="O524">
            <v>2350</v>
          </cell>
          <cell r="P524">
            <v>1300</v>
          </cell>
          <cell r="Q524">
            <v>300</v>
          </cell>
          <cell r="S524">
            <v>0</v>
          </cell>
          <cell r="T524" t="str">
            <v>양액재배1호(다목적1호)#1</v>
          </cell>
          <cell r="U524">
            <v>36981</v>
          </cell>
          <cell r="V524" t="str">
            <v>신아</v>
          </cell>
          <cell r="W524" t="str">
            <v>MP1B, 1차</v>
          </cell>
          <cell r="X524" t="str">
            <v>계양리 C-1</v>
          </cell>
          <cell r="AC524" t="str">
            <v>8.9.10.14호기만착형.</v>
          </cell>
          <cell r="AD524">
            <v>0.85</v>
          </cell>
          <cell r="AE524">
            <v>100</v>
          </cell>
          <cell r="AF524">
            <v>6</v>
          </cell>
        </row>
        <row r="525">
          <cell r="A525" t="str">
            <v>니혼세라믹스</v>
          </cell>
          <cell r="B525" t="str">
            <v>SET</v>
          </cell>
          <cell r="C525">
            <v>1</v>
          </cell>
          <cell r="D525">
            <v>220</v>
          </cell>
          <cell r="E525">
            <v>911</v>
          </cell>
          <cell r="F525" t="str">
            <v>N55</v>
          </cell>
          <cell r="G525" t="str">
            <v>SF400/FS351</v>
          </cell>
          <cell r="H525">
            <v>4</v>
          </cell>
          <cell r="I525">
            <v>1</v>
          </cell>
          <cell r="J525" t="str">
            <v>니혼세라믹스</v>
          </cell>
          <cell r="K525">
            <v>59</v>
          </cell>
          <cell r="L525">
            <v>61</v>
          </cell>
          <cell r="O525">
            <v>5011</v>
          </cell>
          <cell r="P525">
            <v>1300</v>
          </cell>
          <cell r="Q525">
            <v>150</v>
          </cell>
          <cell r="R525" t="str">
            <v>패드</v>
          </cell>
          <cell r="S525" t="str">
            <v>패드</v>
          </cell>
          <cell r="T525" t="str">
            <v>니혼세라믹스</v>
          </cell>
          <cell r="U525">
            <v>39343</v>
          </cell>
          <cell r="V525" t="str">
            <v>삼일금형</v>
          </cell>
          <cell r="W525" t="str">
            <v>단열재 TYPE-1, 냉각불량주의</v>
          </cell>
          <cell r="AC525" t="str">
            <v>동일금형(난연R240,SF302)2008/03/06   박스내측폭60mm, 2012.06.21 수정</v>
          </cell>
          <cell r="AD525">
            <v>0.9</v>
          </cell>
          <cell r="AE525">
            <v>240</v>
          </cell>
          <cell r="AF525">
            <v>1</v>
          </cell>
        </row>
        <row r="526">
          <cell r="A526" t="str">
            <v>느타리-TOP</v>
          </cell>
          <cell r="B526" t="str">
            <v>BOX</v>
          </cell>
          <cell r="C526">
            <v>6</v>
          </cell>
          <cell r="D526">
            <v>100</v>
          </cell>
          <cell r="E526">
            <v>45</v>
          </cell>
          <cell r="F526">
            <v>74</v>
          </cell>
          <cell r="G526" t="str">
            <v>SE2500M</v>
          </cell>
          <cell r="H526">
            <v>64</v>
          </cell>
          <cell r="I526">
            <v>1</v>
          </cell>
          <cell r="J526" t="str">
            <v>용인공장</v>
          </cell>
          <cell r="P526">
            <v>1300</v>
          </cell>
          <cell r="Q526">
            <v>150</v>
          </cell>
          <cell r="R526" t="str">
            <v>노랑</v>
          </cell>
          <cell r="U526">
            <v>44740</v>
          </cell>
          <cell r="V526" t="str">
            <v>이관금형</v>
          </cell>
          <cell r="AC526" t="str">
            <v>김영석사원</v>
          </cell>
          <cell r="AD526">
            <v>0.85</v>
          </cell>
        </row>
        <row r="527">
          <cell r="A527" t="str">
            <v>느타리-TOP</v>
          </cell>
          <cell r="B527" t="str">
            <v>BOX</v>
          </cell>
          <cell r="C527">
            <v>6</v>
          </cell>
          <cell r="D527">
            <v>100</v>
          </cell>
          <cell r="E527">
            <v>45</v>
          </cell>
          <cell r="F527">
            <v>74</v>
          </cell>
          <cell r="G527" t="str">
            <v>SE2500M</v>
          </cell>
          <cell r="H527">
            <v>64</v>
          </cell>
          <cell r="I527">
            <v>1</v>
          </cell>
          <cell r="J527" t="str">
            <v>용인공장</v>
          </cell>
          <cell r="P527">
            <v>1300</v>
          </cell>
          <cell r="Q527">
            <v>150</v>
          </cell>
          <cell r="R527" t="str">
            <v>노랑</v>
          </cell>
          <cell r="U527">
            <v>44740</v>
          </cell>
          <cell r="V527" t="str">
            <v>이관금형</v>
          </cell>
          <cell r="AC527" t="str">
            <v>김영석사원</v>
          </cell>
          <cell r="AD527">
            <v>0.85</v>
          </cell>
        </row>
        <row r="528">
          <cell r="A528" t="str">
            <v>느타리BOX-2</v>
          </cell>
          <cell r="B528" t="str">
            <v>BOX</v>
          </cell>
          <cell r="C528">
            <v>4</v>
          </cell>
          <cell r="D528">
            <v>68</v>
          </cell>
          <cell r="E528">
            <v>150</v>
          </cell>
          <cell r="F528">
            <v>68</v>
          </cell>
          <cell r="G528" t="str">
            <v>B240NS</v>
          </cell>
          <cell r="H528">
            <v>12</v>
          </cell>
          <cell r="I528">
            <v>2</v>
          </cell>
          <cell r="J528" t="str">
            <v>삼일이노팩</v>
          </cell>
          <cell r="P528">
            <v>1360</v>
          </cell>
          <cell r="Q528">
            <v>250</v>
          </cell>
          <cell r="U528">
            <v>45387</v>
          </cell>
          <cell r="V528" t="str">
            <v>용인이동입고</v>
          </cell>
          <cell r="AD528">
            <v>0.85</v>
          </cell>
        </row>
        <row r="529">
          <cell r="A529" t="str">
            <v>느타리BOX-2</v>
          </cell>
          <cell r="B529" t="str">
            <v>BOX</v>
          </cell>
          <cell r="C529">
            <v>4</v>
          </cell>
          <cell r="D529">
            <v>68</v>
          </cell>
          <cell r="E529">
            <v>150</v>
          </cell>
          <cell r="F529">
            <v>68</v>
          </cell>
          <cell r="G529" t="str">
            <v>B240NS</v>
          </cell>
          <cell r="H529">
            <v>12</v>
          </cell>
          <cell r="I529">
            <v>2</v>
          </cell>
          <cell r="J529" t="str">
            <v>삼일이노팩</v>
          </cell>
          <cell r="P529">
            <v>1360</v>
          </cell>
          <cell r="Q529">
            <v>250</v>
          </cell>
          <cell r="U529">
            <v>45387</v>
          </cell>
          <cell r="V529" t="str">
            <v>용인이동입고</v>
          </cell>
          <cell r="AD529">
            <v>0.85</v>
          </cell>
        </row>
        <row r="530">
          <cell r="A530" t="str">
            <v>느타리BOX-2</v>
          </cell>
          <cell r="B530" t="str">
            <v>BOX</v>
          </cell>
          <cell r="C530">
            <v>4</v>
          </cell>
          <cell r="D530">
            <v>68</v>
          </cell>
          <cell r="E530">
            <v>150</v>
          </cell>
          <cell r="F530">
            <v>68</v>
          </cell>
          <cell r="G530" t="str">
            <v>B240NS</v>
          </cell>
          <cell r="H530">
            <v>12</v>
          </cell>
          <cell r="I530">
            <v>2</v>
          </cell>
          <cell r="J530" t="str">
            <v>삼일이노팩</v>
          </cell>
          <cell r="P530">
            <v>1360</v>
          </cell>
          <cell r="Q530">
            <v>250</v>
          </cell>
          <cell r="U530">
            <v>45387</v>
          </cell>
          <cell r="V530" t="str">
            <v>용인이동입고</v>
          </cell>
          <cell r="AD530">
            <v>0.85</v>
          </cell>
        </row>
        <row r="531">
          <cell r="A531" t="str">
            <v>느타리BOX-2</v>
          </cell>
          <cell r="B531" t="str">
            <v>BOX</v>
          </cell>
          <cell r="C531">
            <v>4</v>
          </cell>
          <cell r="D531">
            <v>68</v>
          </cell>
          <cell r="E531">
            <v>150</v>
          </cell>
          <cell r="F531">
            <v>68</v>
          </cell>
          <cell r="G531" t="str">
            <v>B240NS</v>
          </cell>
          <cell r="H531">
            <v>12</v>
          </cell>
          <cell r="I531">
            <v>2</v>
          </cell>
          <cell r="J531" t="str">
            <v>삼일이노팩</v>
          </cell>
          <cell r="P531">
            <v>1360</v>
          </cell>
          <cell r="Q531">
            <v>250</v>
          </cell>
          <cell r="U531">
            <v>45387</v>
          </cell>
          <cell r="V531" t="str">
            <v>용인이동입고</v>
          </cell>
        </row>
        <row r="532">
          <cell r="A532" t="str">
            <v>느타리BOX</v>
          </cell>
          <cell r="B532" t="str">
            <v>BOX</v>
          </cell>
          <cell r="C532">
            <v>4</v>
          </cell>
          <cell r="D532">
            <v>103</v>
          </cell>
          <cell r="E532">
            <v>132</v>
          </cell>
          <cell r="F532">
            <v>74</v>
          </cell>
          <cell r="G532" t="str">
            <v>SE2500M</v>
          </cell>
          <cell r="H532" t="str">
            <v>T:32 B:16</v>
          </cell>
          <cell r="I532">
            <v>2</v>
          </cell>
          <cell r="J532" t="str">
            <v>용인공장</v>
          </cell>
          <cell r="P532">
            <v>1360</v>
          </cell>
          <cell r="Q532">
            <v>250</v>
          </cell>
          <cell r="R532" t="str">
            <v>검정</v>
          </cell>
          <cell r="U532">
            <v>44707</v>
          </cell>
          <cell r="V532" t="str">
            <v>이관금형</v>
          </cell>
          <cell r="Y532">
            <v>58</v>
          </cell>
          <cell r="Z532">
            <v>8671</v>
          </cell>
          <cell r="AD532">
            <v>0.85</v>
          </cell>
        </row>
        <row r="533">
          <cell r="A533" t="str">
            <v>느타리-BOT</v>
          </cell>
          <cell r="B533" t="str">
            <v>BOX</v>
          </cell>
          <cell r="C533">
            <v>9</v>
          </cell>
          <cell r="D533">
            <v>100</v>
          </cell>
          <cell r="E533">
            <v>87</v>
          </cell>
          <cell r="F533">
            <v>74</v>
          </cell>
          <cell r="G533" t="str">
            <v>SE2500M</v>
          </cell>
          <cell r="H533">
            <v>16</v>
          </cell>
          <cell r="I533">
            <v>1</v>
          </cell>
          <cell r="J533" t="str">
            <v>용인공장</v>
          </cell>
          <cell r="P533">
            <v>1500</v>
          </cell>
          <cell r="Q533">
            <v>200</v>
          </cell>
          <cell r="R533" t="str">
            <v>노랑</v>
          </cell>
          <cell r="U533">
            <v>44740</v>
          </cell>
          <cell r="V533" t="str">
            <v>이관금형</v>
          </cell>
          <cell r="AC533" t="str">
            <v>김영석사원</v>
          </cell>
          <cell r="AD533">
            <v>0.85</v>
          </cell>
        </row>
        <row r="534">
          <cell r="A534" t="str">
            <v>느타리-BOT</v>
          </cell>
          <cell r="B534" t="str">
            <v>BOX</v>
          </cell>
          <cell r="C534">
            <v>9</v>
          </cell>
          <cell r="D534">
            <v>100</v>
          </cell>
          <cell r="E534">
            <v>87</v>
          </cell>
          <cell r="F534">
            <v>74</v>
          </cell>
          <cell r="G534" t="str">
            <v>SE2500M</v>
          </cell>
          <cell r="H534">
            <v>16</v>
          </cell>
          <cell r="I534">
            <v>1</v>
          </cell>
          <cell r="J534" t="str">
            <v>용인공장</v>
          </cell>
          <cell r="P534">
            <v>1500</v>
          </cell>
          <cell r="Q534">
            <v>200</v>
          </cell>
          <cell r="R534" t="str">
            <v>노랑</v>
          </cell>
          <cell r="U534">
            <v>44740</v>
          </cell>
          <cell r="V534" t="str">
            <v>이관금형</v>
          </cell>
          <cell r="AC534" t="str">
            <v>김영석사원</v>
          </cell>
          <cell r="AD534">
            <v>0.85</v>
          </cell>
        </row>
        <row r="535">
          <cell r="A535" t="str">
            <v>느타리-2</v>
          </cell>
          <cell r="B535" t="str">
            <v>BOX</v>
          </cell>
          <cell r="C535">
            <v>4</v>
          </cell>
          <cell r="D535">
            <v>103</v>
          </cell>
          <cell r="E535">
            <v>150</v>
          </cell>
          <cell r="F535">
            <v>74</v>
          </cell>
          <cell r="G535" t="str">
            <v>SE2500M</v>
          </cell>
          <cell r="H535" t="str">
            <v>T:32 B:16</v>
          </cell>
          <cell r="I535">
            <v>2</v>
          </cell>
          <cell r="J535" t="str">
            <v>용인공장</v>
          </cell>
          <cell r="P535">
            <v>1360</v>
          </cell>
          <cell r="Q535">
            <v>250</v>
          </cell>
          <cell r="R535" t="str">
            <v>검정</v>
          </cell>
          <cell r="U535">
            <v>44707</v>
          </cell>
          <cell r="V535" t="str">
            <v>이관금형</v>
          </cell>
          <cell r="Y535">
            <v>58</v>
          </cell>
          <cell r="Z535">
            <v>8671</v>
          </cell>
          <cell r="AD535">
            <v>0.85</v>
          </cell>
        </row>
        <row r="536">
          <cell r="A536" t="str">
            <v>느타리-2</v>
          </cell>
          <cell r="B536" t="str">
            <v>BOX</v>
          </cell>
          <cell r="C536">
            <v>4</v>
          </cell>
          <cell r="D536">
            <v>103</v>
          </cell>
          <cell r="E536">
            <v>150</v>
          </cell>
          <cell r="F536">
            <v>74</v>
          </cell>
          <cell r="G536" t="str">
            <v>SE2500M</v>
          </cell>
          <cell r="H536" t="str">
            <v>T:32 B:16</v>
          </cell>
          <cell r="I536">
            <v>2</v>
          </cell>
          <cell r="J536" t="str">
            <v>용인공장</v>
          </cell>
          <cell r="P536">
            <v>1360</v>
          </cell>
          <cell r="Q536">
            <v>250</v>
          </cell>
          <cell r="R536" t="str">
            <v>검정</v>
          </cell>
          <cell r="U536">
            <v>44707</v>
          </cell>
          <cell r="V536" t="str">
            <v>이관금형</v>
          </cell>
          <cell r="Y536">
            <v>58</v>
          </cell>
          <cell r="Z536">
            <v>8671</v>
          </cell>
          <cell r="AD536">
            <v>0.85</v>
          </cell>
        </row>
        <row r="537">
          <cell r="A537" t="str">
            <v>뉴플랫폼-CUSHION(60배)</v>
          </cell>
          <cell r="B537" t="str">
            <v>SET</v>
          </cell>
          <cell r="C537">
            <v>2</v>
          </cell>
          <cell r="D537">
            <v>100</v>
          </cell>
          <cell r="E537">
            <v>475</v>
          </cell>
          <cell r="F537">
            <v>60</v>
          </cell>
          <cell r="G537" t="str">
            <v>B240NS</v>
          </cell>
          <cell r="H537" t="str">
            <v>UP:5 LOW:5</v>
          </cell>
          <cell r="I537">
            <v>2</v>
          </cell>
          <cell r="J537" t="str">
            <v>세스코</v>
          </cell>
          <cell r="K537">
            <v>59.2</v>
          </cell>
          <cell r="L537">
            <v>60.8</v>
          </cell>
          <cell r="M537">
            <v>148.80000000000001</v>
          </cell>
          <cell r="N537">
            <v>151.19999999999999</v>
          </cell>
          <cell r="P537">
            <v>1360</v>
          </cell>
          <cell r="Q537">
            <v>250</v>
          </cell>
          <cell r="V537" t="str">
            <v>금형사업부</v>
          </cell>
          <cell r="AD537">
            <v>0.85</v>
          </cell>
        </row>
        <row r="538">
          <cell r="A538" t="str">
            <v>뉴플랫폼-CUSHION</v>
          </cell>
          <cell r="B538" t="str">
            <v>SET</v>
          </cell>
          <cell r="C538">
            <v>2</v>
          </cell>
          <cell r="D538">
            <v>100</v>
          </cell>
          <cell r="E538">
            <v>475</v>
          </cell>
          <cell r="F538">
            <v>50</v>
          </cell>
          <cell r="G538" t="str">
            <v>B240NS</v>
          </cell>
          <cell r="H538" t="str">
            <v>UP:5 LOW:5</v>
          </cell>
          <cell r="I538">
            <v>1</v>
          </cell>
          <cell r="J538" t="str">
            <v>세스코</v>
          </cell>
          <cell r="P538">
            <v>1360</v>
          </cell>
          <cell r="Q538">
            <v>250</v>
          </cell>
          <cell r="V538" t="str">
            <v>금형사업부</v>
          </cell>
          <cell r="AD538">
            <v>0.85</v>
          </cell>
        </row>
        <row r="539">
          <cell r="A539" t="str">
            <v>뉴플랫폼-CUSHION</v>
          </cell>
          <cell r="B539" t="str">
            <v>SET</v>
          </cell>
          <cell r="C539">
            <v>2</v>
          </cell>
          <cell r="D539">
            <v>100</v>
          </cell>
          <cell r="E539">
            <v>407</v>
          </cell>
          <cell r="F539">
            <v>50</v>
          </cell>
          <cell r="G539" t="str">
            <v>B240NS</v>
          </cell>
          <cell r="H539">
            <v>1</v>
          </cell>
          <cell r="I539">
            <v>1</v>
          </cell>
          <cell r="J539" t="str">
            <v>세스코</v>
          </cell>
          <cell r="P539">
            <v>1360</v>
          </cell>
          <cell r="Q539">
            <v>250</v>
          </cell>
          <cell r="V539" t="str">
            <v>금형사업부</v>
          </cell>
          <cell r="AD539">
            <v>0.85</v>
          </cell>
        </row>
        <row r="540">
          <cell r="A540" t="str">
            <v>뉴플랫폼-25PY</v>
          </cell>
          <cell r="B540" t="str">
            <v>SET</v>
          </cell>
          <cell r="C540">
            <v>3</v>
          </cell>
          <cell r="D540">
            <v>100</v>
          </cell>
          <cell r="E540">
            <v>1425</v>
          </cell>
          <cell r="F540">
            <v>50</v>
          </cell>
          <cell r="G540" t="str">
            <v>B240NS</v>
          </cell>
          <cell r="H540">
            <v>1</v>
          </cell>
          <cell r="I540">
            <v>1</v>
          </cell>
          <cell r="J540" t="str">
            <v>세스코</v>
          </cell>
          <cell r="P540">
            <v>1800</v>
          </cell>
          <cell r="Q540">
            <v>350</v>
          </cell>
          <cell r="U540">
            <v>45383</v>
          </cell>
          <cell r="V540" t="str">
            <v>금형사업부</v>
          </cell>
          <cell r="AD540">
            <v>0.85</v>
          </cell>
        </row>
        <row r="541">
          <cell r="A541" t="str">
            <v>뉴플랫폼-25PY</v>
          </cell>
          <cell r="B541" t="str">
            <v>SET</v>
          </cell>
          <cell r="C541">
            <v>3</v>
          </cell>
          <cell r="D541">
            <v>100</v>
          </cell>
          <cell r="E541">
            <v>1425</v>
          </cell>
          <cell r="F541" t="str">
            <v>40/50</v>
          </cell>
          <cell r="G541" t="str">
            <v>B240NS</v>
          </cell>
          <cell r="H541">
            <v>1</v>
          </cell>
          <cell r="I541">
            <v>1</v>
          </cell>
          <cell r="J541" t="str">
            <v>세스코</v>
          </cell>
          <cell r="P541">
            <v>1800</v>
          </cell>
          <cell r="Q541">
            <v>350</v>
          </cell>
          <cell r="V541" t="str">
            <v>금형사업부</v>
          </cell>
          <cell r="AD541">
            <v>0.85</v>
          </cell>
        </row>
        <row r="542">
          <cell r="A542" t="str">
            <v>뉴플랫폼-20PY</v>
          </cell>
          <cell r="B542" t="str">
            <v>SET</v>
          </cell>
          <cell r="C542">
            <v>3</v>
          </cell>
          <cell r="D542">
            <v>100</v>
          </cell>
          <cell r="E542">
            <v>1261</v>
          </cell>
          <cell r="F542">
            <v>50</v>
          </cell>
          <cell r="G542" t="str">
            <v>B240NS</v>
          </cell>
          <cell r="H542">
            <v>1</v>
          </cell>
          <cell r="I542">
            <v>1</v>
          </cell>
          <cell r="J542" t="str">
            <v>세스코</v>
          </cell>
          <cell r="P542">
            <v>1800</v>
          </cell>
          <cell r="Q542">
            <v>350</v>
          </cell>
          <cell r="U542">
            <v>45383</v>
          </cell>
          <cell r="V542" t="str">
            <v>금형사업부</v>
          </cell>
          <cell r="AD542">
            <v>0.85</v>
          </cell>
        </row>
        <row r="543">
          <cell r="A543" t="str">
            <v>뉴플랫폼-20PY</v>
          </cell>
          <cell r="B543" t="str">
            <v>SET</v>
          </cell>
          <cell r="C543">
            <v>3</v>
          </cell>
          <cell r="D543">
            <v>100</v>
          </cell>
          <cell r="E543">
            <v>1261</v>
          </cell>
          <cell r="F543" t="str">
            <v>40/50</v>
          </cell>
          <cell r="G543" t="str">
            <v>B240NS</v>
          </cell>
          <cell r="H543">
            <v>1</v>
          </cell>
          <cell r="I543">
            <v>1</v>
          </cell>
          <cell r="J543" t="str">
            <v>세스코</v>
          </cell>
          <cell r="P543">
            <v>1800</v>
          </cell>
          <cell r="Q543">
            <v>350</v>
          </cell>
          <cell r="V543" t="str">
            <v>금형사업부</v>
          </cell>
          <cell r="AD543">
            <v>0.85</v>
          </cell>
        </row>
        <row r="544">
          <cell r="A544" t="str">
            <v>뉴백신(OUT)</v>
          </cell>
          <cell r="B544" t="str">
            <v>PAD</v>
          </cell>
          <cell r="J544" t="str">
            <v>바이오코아</v>
          </cell>
          <cell r="O544">
            <v>82509</v>
          </cell>
        </row>
        <row r="545">
          <cell r="A545" t="str">
            <v>노블프로-UP</v>
          </cell>
          <cell r="B545" t="str">
            <v>SET</v>
          </cell>
          <cell r="C545">
            <v>3</v>
          </cell>
          <cell r="D545">
            <v>100</v>
          </cell>
          <cell r="E545">
            <v>90</v>
          </cell>
          <cell r="F545">
            <v>70</v>
          </cell>
          <cell r="G545" t="str">
            <v>B240NS</v>
          </cell>
          <cell r="H545">
            <v>10</v>
          </cell>
          <cell r="I545">
            <v>2</v>
          </cell>
          <cell r="J545" t="str">
            <v>코웨이</v>
          </cell>
          <cell r="R545" t="str">
            <v>검정</v>
          </cell>
          <cell r="AD545">
            <v>0.85</v>
          </cell>
          <cell r="AF545">
            <v>6</v>
          </cell>
        </row>
        <row r="546">
          <cell r="A546" t="str">
            <v>노블프로-LOW</v>
          </cell>
          <cell r="B546" t="str">
            <v>SET</v>
          </cell>
          <cell r="C546">
            <v>3</v>
          </cell>
          <cell r="D546">
            <v>100</v>
          </cell>
          <cell r="E546">
            <v>106</v>
          </cell>
          <cell r="F546">
            <v>70</v>
          </cell>
          <cell r="G546" t="str">
            <v>B240NS</v>
          </cell>
          <cell r="H546">
            <v>10</v>
          </cell>
          <cell r="I546">
            <v>2</v>
          </cell>
          <cell r="J546" t="str">
            <v>코웨이</v>
          </cell>
          <cell r="R546" t="str">
            <v>검정</v>
          </cell>
          <cell r="S546" t="str">
            <v>PAD</v>
          </cell>
          <cell r="AD546">
            <v>0.85</v>
          </cell>
          <cell r="AF546">
            <v>4</v>
          </cell>
        </row>
        <row r="547">
          <cell r="A547" t="str">
            <v>노블프로</v>
          </cell>
          <cell r="B547" t="str">
            <v>SET</v>
          </cell>
          <cell r="C547">
            <v>3</v>
          </cell>
          <cell r="D547">
            <v>90</v>
          </cell>
          <cell r="E547">
            <v>196</v>
          </cell>
          <cell r="F547">
            <v>70</v>
          </cell>
          <cell r="G547" t="str">
            <v>B240NS</v>
          </cell>
          <cell r="H547" t="str">
            <v>UP:10 LOW:10</v>
          </cell>
          <cell r="I547">
            <v>2</v>
          </cell>
          <cell r="J547" t="str">
            <v>코웨이</v>
          </cell>
          <cell r="K547">
            <v>83</v>
          </cell>
          <cell r="L547">
            <v>87</v>
          </cell>
          <cell r="M547">
            <v>83</v>
          </cell>
          <cell r="N547">
            <v>87</v>
          </cell>
          <cell r="P547">
            <v>1360</v>
          </cell>
          <cell r="Q547">
            <v>200</v>
          </cell>
          <cell r="R547" t="str">
            <v>검정</v>
          </cell>
          <cell r="S547" t="str">
            <v>검정</v>
          </cell>
          <cell r="U547">
            <v>44399</v>
          </cell>
          <cell r="V547" t="str">
            <v>경원 ENG</v>
          </cell>
          <cell r="W547" t="str">
            <v>LOWER A'SSY 제품 (비닐포장 X)</v>
          </cell>
          <cell r="Y547">
            <v>60</v>
          </cell>
          <cell r="Z547">
            <v>13368</v>
          </cell>
          <cell r="AC547" t="str">
            <v>석상준과장, 2021.08.20 수정, 2021.08.24 CAVITY변경(2*3-&gt;1*6) 및 기중중량변경(224-&gt;106), 2021.10.08 수정 , 2021.10.15 CAVITY(1*6-&gt;2*3)  및 중량(106→196) 변경, 2021.12.01모델명변경(HIDDEN-프로-&gt;노블프로)</v>
          </cell>
          <cell r="AD547">
            <v>0.85</v>
          </cell>
          <cell r="AF547">
            <v>6</v>
          </cell>
        </row>
        <row r="548">
          <cell r="A548" t="str">
            <v>노블청정기-UPPER</v>
          </cell>
          <cell r="B548" t="str">
            <v>SET</v>
          </cell>
          <cell r="E548">
            <v>142</v>
          </cell>
          <cell r="F548">
            <v>58</v>
          </cell>
          <cell r="G548" t="str">
            <v>B240NS</v>
          </cell>
          <cell r="H548">
            <v>10</v>
          </cell>
          <cell r="J548" t="str">
            <v>코웨이</v>
          </cell>
          <cell r="P548">
            <v>1300</v>
          </cell>
          <cell r="Q548">
            <v>200</v>
          </cell>
          <cell r="R548" t="str">
            <v>녹색</v>
          </cell>
          <cell r="U548">
            <v>44286</v>
          </cell>
          <cell r="V548" t="str">
            <v>세일하이테크 이관금형</v>
          </cell>
          <cell r="AD548">
            <v>0.85</v>
          </cell>
          <cell r="AF548">
            <v>6</v>
          </cell>
        </row>
        <row r="549">
          <cell r="A549" t="str">
            <v>노블청정기-LOWER</v>
          </cell>
          <cell r="B549" t="str">
            <v>SET</v>
          </cell>
          <cell r="E549">
            <v>186</v>
          </cell>
          <cell r="F549">
            <v>58</v>
          </cell>
          <cell r="G549" t="str">
            <v>B240NS</v>
          </cell>
          <cell r="H549">
            <v>8</v>
          </cell>
          <cell r="J549" t="str">
            <v>코웨이</v>
          </cell>
          <cell r="P549">
            <v>1300</v>
          </cell>
          <cell r="Q549">
            <v>200</v>
          </cell>
          <cell r="R549" t="str">
            <v>녹색</v>
          </cell>
          <cell r="S549" t="str">
            <v>PAD</v>
          </cell>
          <cell r="U549">
            <v>44286</v>
          </cell>
          <cell r="V549" t="str">
            <v>세일하이테크 이관금형</v>
          </cell>
          <cell r="W549" t="str">
            <v xml:space="preserve">AP-2021A/1521B LOWER A'SSY 제품 비닐포장 할 것 </v>
          </cell>
          <cell r="AD549">
            <v>0.85</v>
          </cell>
          <cell r="AF549">
            <v>8</v>
          </cell>
        </row>
        <row r="550">
          <cell r="A550" t="str">
            <v>노블청정기#2-UPPER</v>
          </cell>
          <cell r="B550" t="str">
            <v>SET</v>
          </cell>
          <cell r="E550">
            <v>142</v>
          </cell>
          <cell r="F550">
            <v>58</v>
          </cell>
          <cell r="G550" t="str">
            <v>B240NS</v>
          </cell>
          <cell r="H550">
            <v>10</v>
          </cell>
          <cell r="J550" t="str">
            <v>코웨이</v>
          </cell>
          <cell r="P550">
            <v>1300</v>
          </cell>
          <cell r="Q550">
            <v>200</v>
          </cell>
          <cell r="R550" t="str">
            <v>주황</v>
          </cell>
          <cell r="U550">
            <v>44286</v>
          </cell>
          <cell r="V550" t="str">
            <v>세일하이테크 이관금형</v>
          </cell>
          <cell r="AC550" t="str">
            <v>석상준과장</v>
          </cell>
          <cell r="AD550">
            <v>0.85</v>
          </cell>
          <cell r="AF550">
            <v>2</v>
          </cell>
        </row>
        <row r="551">
          <cell r="A551" t="str">
            <v>노블청정기#2-LOWER</v>
          </cell>
          <cell r="B551" t="str">
            <v>SET</v>
          </cell>
          <cell r="E551">
            <v>186</v>
          </cell>
          <cell r="F551">
            <v>58</v>
          </cell>
          <cell r="G551" t="str">
            <v>B240NS</v>
          </cell>
          <cell r="H551">
            <v>8</v>
          </cell>
          <cell r="J551" t="str">
            <v>코웨이</v>
          </cell>
          <cell r="P551">
            <v>1300</v>
          </cell>
          <cell r="Q551">
            <v>200</v>
          </cell>
          <cell r="R551" t="str">
            <v>주황</v>
          </cell>
          <cell r="S551" t="str">
            <v>PAD</v>
          </cell>
          <cell r="U551">
            <v>44286</v>
          </cell>
          <cell r="V551" t="str">
            <v>세일하이테크 이관금형</v>
          </cell>
          <cell r="W551" t="str">
            <v>AP-2021A/1521B LOWER A'SSY 제품 (비닐포장 X)</v>
          </cell>
          <cell r="AC551" t="str">
            <v>석상준과장</v>
          </cell>
          <cell r="AD551">
            <v>0.85</v>
          </cell>
          <cell r="AF551">
            <v>2</v>
          </cell>
        </row>
        <row r="552">
          <cell r="A552" t="str">
            <v>노블청정기#2</v>
          </cell>
          <cell r="B552" t="str">
            <v>SET</v>
          </cell>
          <cell r="C552">
            <v>2</v>
          </cell>
          <cell r="D552">
            <v>70</v>
          </cell>
          <cell r="E552">
            <v>328</v>
          </cell>
          <cell r="F552">
            <v>58</v>
          </cell>
          <cell r="G552" t="str">
            <v>B240NS</v>
          </cell>
          <cell r="H552" t="str">
            <v>UP10LOW8</v>
          </cell>
          <cell r="I552">
            <v>2</v>
          </cell>
          <cell r="J552" t="str">
            <v>코웨이</v>
          </cell>
          <cell r="K552">
            <v>97</v>
          </cell>
          <cell r="L552">
            <v>103</v>
          </cell>
          <cell r="M552">
            <v>122</v>
          </cell>
          <cell r="N552">
            <v>128</v>
          </cell>
          <cell r="P552">
            <v>1360</v>
          </cell>
          <cell r="Q552">
            <v>200</v>
          </cell>
          <cell r="R552" t="str">
            <v>주황</v>
          </cell>
          <cell r="S552" t="str">
            <v>PAD</v>
          </cell>
          <cell r="U552">
            <v>44295</v>
          </cell>
          <cell r="V552" t="str">
            <v>세일하이테크</v>
          </cell>
          <cell r="W552" t="str">
            <v>LOWER 비닐포장 X</v>
          </cell>
          <cell r="Y552">
            <v>50</v>
          </cell>
          <cell r="AC552" t="str">
            <v>석상준과장, 2021.04.26 고치수수정 및 코팅완료, 2021.05.06사용배율 변경(70-&gt;74), 2021.12.01모델명변경(AP-2021A/1521B#2-&gt;노블청정기#2)</v>
          </cell>
          <cell r="AD552">
            <v>0.85</v>
          </cell>
          <cell r="AF552">
            <v>2</v>
          </cell>
        </row>
        <row r="553">
          <cell r="A553" t="str">
            <v>노블청정기</v>
          </cell>
          <cell r="B553" t="str">
            <v>SET</v>
          </cell>
          <cell r="C553">
            <v>2</v>
          </cell>
          <cell r="D553">
            <v>70</v>
          </cell>
          <cell r="E553">
            <v>328</v>
          </cell>
          <cell r="F553">
            <v>58</v>
          </cell>
          <cell r="G553" t="str">
            <v>B240NS</v>
          </cell>
          <cell r="H553" t="str">
            <v>UP10LOW8</v>
          </cell>
          <cell r="I553">
            <v>2</v>
          </cell>
          <cell r="J553" t="str">
            <v>코웨이</v>
          </cell>
          <cell r="K553">
            <v>97</v>
          </cell>
          <cell r="L553">
            <v>103</v>
          </cell>
          <cell r="M553">
            <v>122</v>
          </cell>
          <cell r="N553">
            <v>128</v>
          </cell>
          <cell r="P553">
            <v>1300</v>
          </cell>
          <cell r="Q553">
            <v>200</v>
          </cell>
          <cell r="R553" t="str">
            <v>녹색</v>
          </cell>
          <cell r="S553" t="str">
            <v>PAD</v>
          </cell>
          <cell r="U553">
            <v>44286</v>
          </cell>
          <cell r="V553" t="str">
            <v>세일하이테크 이관금형</v>
          </cell>
          <cell r="Y553">
            <v>50</v>
          </cell>
          <cell r="AC553" t="str">
            <v>석상준과장, 2021.05.06사용배율 변경(70-&gt;74), 2021.12.01모델명변경(AP-2021A/1521B-&gt;노블청정기)</v>
          </cell>
          <cell r="AD553">
            <v>0.85</v>
          </cell>
          <cell r="AF553">
            <v>6</v>
          </cell>
        </row>
        <row r="554">
          <cell r="A554" t="str">
            <v>노블세로-UP</v>
          </cell>
          <cell r="B554" t="str">
            <v>SET</v>
          </cell>
          <cell r="C554">
            <v>3</v>
          </cell>
          <cell r="D554">
            <v>100</v>
          </cell>
          <cell r="E554">
            <v>110</v>
          </cell>
          <cell r="F554">
            <v>70</v>
          </cell>
          <cell r="G554" t="str">
            <v>SG303AN</v>
          </cell>
          <cell r="H554">
            <v>10</v>
          </cell>
          <cell r="I554">
            <v>2</v>
          </cell>
          <cell r="J554" t="str">
            <v>코웨이</v>
          </cell>
          <cell r="P554">
            <v>1360</v>
          </cell>
          <cell r="Q554">
            <v>250</v>
          </cell>
          <cell r="R554" t="str">
            <v>빨강</v>
          </cell>
          <cell r="V554" t="str">
            <v>세일하이테크</v>
          </cell>
          <cell r="AD554">
            <v>0.85</v>
          </cell>
          <cell r="AF554">
            <v>8</v>
          </cell>
        </row>
        <row r="555">
          <cell r="A555" t="str">
            <v>노블세로-REAR#2</v>
          </cell>
          <cell r="B555" t="str">
            <v>저발</v>
          </cell>
          <cell r="C555">
            <v>6</v>
          </cell>
          <cell r="D555">
            <v>125</v>
          </cell>
          <cell r="E555">
            <v>20</v>
          </cell>
          <cell r="F555">
            <v>48</v>
          </cell>
          <cell r="G555" t="str">
            <v>ZP2500</v>
          </cell>
          <cell r="H555">
            <v>140</v>
          </cell>
          <cell r="I555">
            <v>1</v>
          </cell>
          <cell r="J555" t="str">
            <v>코웨이</v>
          </cell>
          <cell r="K555">
            <v>28.8</v>
          </cell>
          <cell r="L555">
            <v>29.8</v>
          </cell>
          <cell r="P555">
            <v>500</v>
          </cell>
          <cell r="R555" t="str">
            <v>박스</v>
          </cell>
          <cell r="U555">
            <v>44326</v>
          </cell>
          <cell r="V555" t="str">
            <v>세일하이테크</v>
          </cell>
          <cell r="W555" t="str">
            <v>히든 SIDE-REAR,24년1월 중량 변경11→→20g</v>
          </cell>
          <cell r="Y555">
            <v>40</v>
          </cell>
          <cell r="Z555">
            <v>460</v>
          </cell>
          <cell r="AC555" t="str">
            <v>석상준과장, 핀,휘다 고정FRAME 포함, 2021.08.02 수정, 2021.09.23 수정, 2021.11.15 수정, 2021.12.01모델명변경(HIDDEN-REAR-&gt;노블세로-REAR)</v>
          </cell>
          <cell r="AD555">
            <v>0.85</v>
          </cell>
          <cell r="AF555">
            <v>3</v>
          </cell>
        </row>
        <row r="556">
          <cell r="A556" t="str">
            <v>노블세로-REAR</v>
          </cell>
          <cell r="B556" t="str">
            <v>저발</v>
          </cell>
          <cell r="C556">
            <v>6</v>
          </cell>
          <cell r="D556">
            <v>125</v>
          </cell>
          <cell r="E556">
            <v>20</v>
          </cell>
          <cell r="F556">
            <v>48</v>
          </cell>
          <cell r="G556" t="str">
            <v>ZP2500</v>
          </cell>
          <cell r="H556">
            <v>140</v>
          </cell>
          <cell r="I556">
            <v>1</v>
          </cell>
          <cell r="J556" t="str">
            <v>코웨이</v>
          </cell>
          <cell r="K556">
            <v>28.8</v>
          </cell>
          <cell r="L556">
            <v>29.8</v>
          </cell>
          <cell r="P556">
            <v>700</v>
          </cell>
          <cell r="R556" t="str">
            <v>박스</v>
          </cell>
          <cell r="U556">
            <v>44326</v>
          </cell>
          <cell r="V556" t="str">
            <v>세일하이테크</v>
          </cell>
          <cell r="W556" t="str">
            <v>히든 SIDE-REAR,24년1월 중량 변경11→→20g</v>
          </cell>
          <cell r="Y556">
            <v>40</v>
          </cell>
          <cell r="Z556">
            <v>460</v>
          </cell>
          <cell r="AC556" t="str">
            <v>석상준과장, 핀,휘다 고정FRAME 포함, 2021.08.02 수정, 2021.09.23 수정, 2021.11.15 수정, 2021.12.01모델명변경(HIDDEN-REAR-&gt;노블세로-REAR)</v>
          </cell>
          <cell r="AD556">
            <v>0.85</v>
          </cell>
          <cell r="AF556">
            <v>3</v>
          </cell>
        </row>
        <row r="557">
          <cell r="A557" t="str">
            <v>노블세로-R</v>
          </cell>
          <cell r="B557" t="str">
            <v>저발</v>
          </cell>
          <cell r="C557">
            <v>8</v>
          </cell>
          <cell r="D557">
            <v>120</v>
          </cell>
          <cell r="E557">
            <v>15</v>
          </cell>
          <cell r="F557">
            <v>48</v>
          </cell>
          <cell r="G557" t="str">
            <v>ZP2500</v>
          </cell>
          <cell r="H557">
            <v>140</v>
          </cell>
          <cell r="I557">
            <v>1</v>
          </cell>
          <cell r="J557" t="str">
            <v>코웨이</v>
          </cell>
          <cell r="K557">
            <v>72</v>
          </cell>
          <cell r="L557">
            <v>73.599999999999994</v>
          </cell>
          <cell r="P557">
            <v>500</v>
          </cell>
          <cell r="R557" t="str">
            <v>박스</v>
          </cell>
          <cell r="U557">
            <v>44326</v>
          </cell>
          <cell r="V557" t="str">
            <v>세일하이테크</v>
          </cell>
          <cell r="Y557">
            <v>40</v>
          </cell>
          <cell r="Z557">
            <v>617</v>
          </cell>
          <cell r="AC557" t="str">
            <v>석상준과장, 핀,휘다 고정FRAME 포함, 2021.08.02 수정, 2021.12.01모델명변경(HIDDEN-R-&gt;노블세로-R), 히든 SIDE-R 2022.03.30 코팅완료</v>
          </cell>
          <cell r="AD557">
            <v>0.85</v>
          </cell>
          <cell r="AF557">
            <v>6</v>
          </cell>
        </row>
        <row r="558">
          <cell r="A558" t="str">
            <v>노블세로-LOW</v>
          </cell>
          <cell r="B558" t="str">
            <v>SET</v>
          </cell>
          <cell r="C558">
            <v>3</v>
          </cell>
          <cell r="D558">
            <v>100</v>
          </cell>
          <cell r="E558">
            <v>122</v>
          </cell>
          <cell r="F558">
            <v>70</v>
          </cell>
          <cell r="G558" t="str">
            <v>SG304AN</v>
          </cell>
          <cell r="H558">
            <v>10</v>
          </cell>
          <cell r="I558">
            <v>2</v>
          </cell>
          <cell r="J558" t="str">
            <v>코웨이</v>
          </cell>
          <cell r="P558">
            <v>1360</v>
          </cell>
          <cell r="Q558">
            <v>250</v>
          </cell>
          <cell r="R558" t="str">
            <v>빨강</v>
          </cell>
          <cell r="S558" t="str">
            <v>PAD</v>
          </cell>
          <cell r="V558" t="str">
            <v>세일하이테크</v>
          </cell>
          <cell r="W558" t="str">
            <v>HIDDEN-CUSHION  LOWER A'SSY 제품 (비닐포장 X)</v>
          </cell>
          <cell r="AD558">
            <v>0.85</v>
          </cell>
          <cell r="AF558">
            <v>8</v>
          </cell>
        </row>
        <row r="559">
          <cell r="A559" t="str">
            <v>노블세로-L</v>
          </cell>
          <cell r="B559" t="str">
            <v>저발</v>
          </cell>
          <cell r="C559">
            <v>8</v>
          </cell>
          <cell r="D559">
            <v>120</v>
          </cell>
          <cell r="E559">
            <v>15</v>
          </cell>
          <cell r="F559">
            <v>48</v>
          </cell>
          <cell r="G559" t="str">
            <v>ZP2500</v>
          </cell>
          <cell r="H559">
            <v>140</v>
          </cell>
          <cell r="I559">
            <v>1</v>
          </cell>
          <cell r="J559" t="str">
            <v>코웨이</v>
          </cell>
          <cell r="K559">
            <v>67</v>
          </cell>
          <cell r="L559">
            <v>68.599999999999994</v>
          </cell>
          <cell r="P559">
            <v>500</v>
          </cell>
          <cell r="R559" t="str">
            <v>박스</v>
          </cell>
          <cell r="U559">
            <v>44326</v>
          </cell>
          <cell r="V559" t="str">
            <v>세일하이테크</v>
          </cell>
          <cell r="Y559">
            <v>40</v>
          </cell>
          <cell r="Z559">
            <v>586</v>
          </cell>
          <cell r="AC559" t="str">
            <v>석상준과장, 핀,휘다 고정FRAME 포함, 2021.08.02 수정, 2021.12.01모델명변경(HIDDEN-L-&gt;노블세로-L), 히든 SIDE-L 2022.03.30 코팅완료</v>
          </cell>
          <cell r="AD559">
            <v>0.85</v>
          </cell>
          <cell r="AF559">
            <v>6</v>
          </cell>
        </row>
        <row r="560">
          <cell r="A560" t="str">
            <v>노블세로</v>
          </cell>
          <cell r="B560" t="str">
            <v>SET</v>
          </cell>
          <cell r="C560">
            <v>3</v>
          </cell>
          <cell r="D560">
            <v>100</v>
          </cell>
          <cell r="E560">
            <v>232</v>
          </cell>
          <cell r="F560">
            <v>70</v>
          </cell>
          <cell r="G560" t="str">
            <v>B240NS</v>
          </cell>
          <cell r="H560" t="str">
            <v>UP:10 LOW:10</v>
          </cell>
          <cell r="I560">
            <v>2</v>
          </cell>
          <cell r="J560" t="str">
            <v>코웨이</v>
          </cell>
          <cell r="K560">
            <v>98</v>
          </cell>
          <cell r="L560">
            <v>102</v>
          </cell>
          <cell r="M560">
            <v>98</v>
          </cell>
          <cell r="N560">
            <v>102</v>
          </cell>
          <cell r="P560">
            <v>1360</v>
          </cell>
          <cell r="Q560">
            <v>250</v>
          </cell>
          <cell r="R560" t="str">
            <v>빨강</v>
          </cell>
          <cell r="S560" t="str">
            <v>PAD</v>
          </cell>
          <cell r="U560">
            <v>44334</v>
          </cell>
          <cell r="V560" t="str">
            <v>세일하이테크</v>
          </cell>
          <cell r="W560" t="str">
            <v>HIDDEN-CUSHION  LOWER A'SSY 제품 (비닐포장 X)</v>
          </cell>
          <cell r="Y560">
            <v>60</v>
          </cell>
          <cell r="Z560">
            <v>13881</v>
          </cell>
          <cell r="AC560" t="str">
            <v>김영석사원, 2021.07.13 수정, 2021.12.01모델명변경(HIDDEN-CUSHION-&gt;노블세로)</v>
          </cell>
          <cell r="AD560">
            <v>0.85</v>
          </cell>
          <cell r="AF560">
            <v>8</v>
          </cell>
        </row>
        <row r="561">
          <cell r="A561" t="str">
            <v>노블가습기-UP</v>
          </cell>
          <cell r="B561" t="str">
            <v>SET</v>
          </cell>
          <cell r="C561">
            <v>3</v>
          </cell>
          <cell r="D561">
            <v>100</v>
          </cell>
          <cell r="E561">
            <v>84</v>
          </cell>
          <cell r="F561">
            <v>70</v>
          </cell>
          <cell r="G561" t="str">
            <v>B240NS</v>
          </cell>
          <cell r="H561">
            <v>10</v>
          </cell>
          <cell r="I561">
            <v>2</v>
          </cell>
          <cell r="J561" t="str">
            <v>코웨이</v>
          </cell>
          <cell r="R561" t="str">
            <v>파랑</v>
          </cell>
          <cell r="AD561">
            <v>0.85</v>
          </cell>
          <cell r="AF561">
            <v>4</v>
          </cell>
        </row>
        <row r="562">
          <cell r="A562" t="str">
            <v>노블가습기-LOW</v>
          </cell>
          <cell r="B562" t="str">
            <v>SET</v>
          </cell>
          <cell r="C562">
            <v>3</v>
          </cell>
          <cell r="D562">
            <v>100</v>
          </cell>
          <cell r="E562">
            <v>99</v>
          </cell>
          <cell r="F562">
            <v>70</v>
          </cell>
          <cell r="G562" t="str">
            <v>B240NS</v>
          </cell>
          <cell r="H562">
            <v>10</v>
          </cell>
          <cell r="I562">
            <v>2</v>
          </cell>
          <cell r="J562" t="str">
            <v>코웨이</v>
          </cell>
          <cell r="R562" t="str">
            <v>파랑</v>
          </cell>
          <cell r="S562" t="str">
            <v>PAD</v>
          </cell>
          <cell r="AD562">
            <v>0.85</v>
          </cell>
          <cell r="AF562">
            <v>6</v>
          </cell>
        </row>
        <row r="563">
          <cell r="A563" t="str">
            <v>노블가습기</v>
          </cell>
          <cell r="B563" t="str">
            <v>SET</v>
          </cell>
          <cell r="C563">
            <v>3</v>
          </cell>
          <cell r="D563">
            <v>95</v>
          </cell>
          <cell r="E563">
            <v>183</v>
          </cell>
          <cell r="F563">
            <v>48</v>
          </cell>
          <cell r="G563" t="str">
            <v>B240NS</v>
          </cell>
          <cell r="H563" t="str">
            <v>UP:10 LOW:10</v>
          </cell>
          <cell r="I563">
            <v>2</v>
          </cell>
          <cell r="J563" t="str">
            <v>코웨이</v>
          </cell>
          <cell r="K563">
            <v>98</v>
          </cell>
          <cell r="L563">
            <v>102</v>
          </cell>
          <cell r="M563">
            <v>105</v>
          </cell>
          <cell r="N563">
            <v>109</v>
          </cell>
          <cell r="P563">
            <v>1360</v>
          </cell>
          <cell r="Q563">
            <v>200</v>
          </cell>
          <cell r="R563" t="str">
            <v>파랑</v>
          </cell>
          <cell r="S563" t="str">
            <v>파랑</v>
          </cell>
          <cell r="U563">
            <v>44404</v>
          </cell>
          <cell r="V563" t="str">
            <v>세일하이테크</v>
          </cell>
          <cell r="W563" t="str">
            <v>노블가습기 LOWER A'SSY 제품 (비닐포장 X)</v>
          </cell>
          <cell r="Y563">
            <v>40</v>
          </cell>
          <cell r="Z563">
            <v>10746</v>
          </cell>
          <cell r="AC563" t="str">
            <v>석상준과장, 경원 E N G2021.09.27 수정 및 코팅완료, 2021.01.07 BURR수리,2022.09.08 기준배율변경(60-&gt;40)</v>
          </cell>
          <cell r="AD563">
            <v>0.85</v>
          </cell>
          <cell r="AF563">
            <v>4</v>
          </cell>
        </row>
        <row r="564">
          <cell r="A564" t="str">
            <v>노블가로-UP</v>
          </cell>
          <cell r="B564" t="str">
            <v>SET</v>
          </cell>
          <cell r="C564">
            <v>3</v>
          </cell>
          <cell r="D564">
            <v>150</v>
          </cell>
          <cell r="E564">
            <v>82</v>
          </cell>
          <cell r="F564">
            <v>70</v>
          </cell>
          <cell r="G564" t="str">
            <v>B240NS</v>
          </cell>
          <cell r="H564">
            <v>10</v>
          </cell>
          <cell r="I564">
            <v>2</v>
          </cell>
          <cell r="J564" t="str">
            <v>코웨이</v>
          </cell>
          <cell r="K564">
            <v>98</v>
          </cell>
          <cell r="L564">
            <v>102</v>
          </cell>
          <cell r="P564">
            <v>1360</v>
          </cell>
          <cell r="Q564">
            <v>200</v>
          </cell>
          <cell r="R564" t="str">
            <v>흰색</v>
          </cell>
          <cell r="U564">
            <v>44438</v>
          </cell>
          <cell r="V564" t="str">
            <v>이피엠테크</v>
          </cell>
          <cell r="Y564">
            <v>60</v>
          </cell>
          <cell r="Z564">
            <v>5940</v>
          </cell>
          <cell r="AC564" t="str">
            <v>김영석사원</v>
          </cell>
          <cell r="AD564">
            <v>0.85</v>
          </cell>
          <cell r="AF564">
            <v>4</v>
          </cell>
        </row>
        <row r="565">
          <cell r="A565" t="str">
            <v>노블가로-REAR</v>
          </cell>
          <cell r="B565" t="str">
            <v>저발</v>
          </cell>
          <cell r="C565">
            <v>6</v>
          </cell>
          <cell r="D565">
            <v>100</v>
          </cell>
          <cell r="E565">
            <v>20</v>
          </cell>
          <cell r="F565">
            <v>48</v>
          </cell>
          <cell r="G565" t="str">
            <v>ZP2500</v>
          </cell>
          <cell r="H565">
            <v>200</v>
          </cell>
          <cell r="I565">
            <v>1</v>
          </cell>
          <cell r="J565" t="str">
            <v>코웨이</v>
          </cell>
          <cell r="K565" t="str">
            <v>28.8</v>
          </cell>
          <cell r="L565" t="str">
            <v>29.8</v>
          </cell>
          <cell r="P565">
            <v>500</v>
          </cell>
          <cell r="R565" t="str">
            <v>박스</v>
          </cell>
          <cell r="U565">
            <v>44390</v>
          </cell>
          <cell r="V565" t="str">
            <v>세일하이테크</v>
          </cell>
          <cell r="W565" t="str">
            <v>빨간매직으로 BOX에 작성,24년 1월 중량 변경11→20g</v>
          </cell>
          <cell r="Y565">
            <v>40</v>
          </cell>
          <cell r="AC565" t="str">
            <v>석상준과장, 핀,휘다 고정FRAME 포함, 2021.09.06 수정, 2021.11.15 수정, 2021.12.01모델명변경(HIDDEN-가로형-REAR-&gt;노블가로-REAR)</v>
          </cell>
          <cell r="AD565">
            <v>0.85</v>
          </cell>
          <cell r="AF565">
            <v>6</v>
          </cell>
        </row>
        <row r="566">
          <cell r="A566" t="str">
            <v>노블가로-R</v>
          </cell>
          <cell r="B566" t="str">
            <v>저발</v>
          </cell>
          <cell r="C566">
            <v>8</v>
          </cell>
          <cell r="D566">
            <v>100</v>
          </cell>
          <cell r="E566">
            <v>15</v>
          </cell>
          <cell r="F566">
            <v>48</v>
          </cell>
          <cell r="G566" t="str">
            <v>ZP2500</v>
          </cell>
          <cell r="H566">
            <v>140</v>
          </cell>
          <cell r="I566">
            <v>1</v>
          </cell>
          <cell r="J566" t="str">
            <v>코웨이</v>
          </cell>
          <cell r="K566">
            <v>72</v>
          </cell>
          <cell r="L566">
            <v>73.599999999999994</v>
          </cell>
          <cell r="P566">
            <v>500</v>
          </cell>
          <cell r="R566" t="str">
            <v>박스</v>
          </cell>
          <cell r="U566">
            <v>44390</v>
          </cell>
          <cell r="V566" t="str">
            <v>세일하이테크</v>
          </cell>
          <cell r="W566" t="str">
            <v>빨간매직으로 BOX에 작성</v>
          </cell>
          <cell r="Y566">
            <v>40</v>
          </cell>
          <cell r="AC566" t="str">
            <v>석상준과장, 핀,휘다 고정FRAME 포함, 2021.09.07 수정, 2021.12.01모델명변경(HIDDEN-가로형-R-&gt;노블가로-R) 2022.03.30 코팅완료</v>
          </cell>
          <cell r="AD566">
            <v>0.85</v>
          </cell>
          <cell r="AF566">
            <v>6</v>
          </cell>
        </row>
        <row r="567">
          <cell r="A567" t="str">
            <v>노블가로-LOW</v>
          </cell>
          <cell r="B567" t="str">
            <v>SET</v>
          </cell>
          <cell r="C567">
            <v>3</v>
          </cell>
          <cell r="D567">
            <v>150</v>
          </cell>
          <cell r="E567">
            <v>107</v>
          </cell>
          <cell r="F567">
            <v>70</v>
          </cell>
          <cell r="G567" t="str">
            <v>B240NS</v>
          </cell>
          <cell r="H567">
            <v>10</v>
          </cell>
          <cell r="I567">
            <v>2</v>
          </cell>
          <cell r="J567" t="str">
            <v>코웨이</v>
          </cell>
          <cell r="K567">
            <v>98</v>
          </cell>
          <cell r="L567">
            <v>102</v>
          </cell>
          <cell r="P567">
            <v>1360</v>
          </cell>
          <cell r="Q567">
            <v>200</v>
          </cell>
          <cell r="R567" t="str">
            <v>흰색</v>
          </cell>
          <cell r="S567" t="str">
            <v>PAD</v>
          </cell>
          <cell r="U567">
            <v>44438</v>
          </cell>
          <cell r="V567" t="str">
            <v>이피엠테크</v>
          </cell>
          <cell r="Y567">
            <v>60</v>
          </cell>
          <cell r="Z567">
            <v>7740</v>
          </cell>
          <cell r="AC567" t="str">
            <v>김영석사원</v>
          </cell>
          <cell r="AD567">
            <v>0.85</v>
          </cell>
          <cell r="AF567">
            <v>4</v>
          </cell>
        </row>
        <row r="568">
          <cell r="A568" t="str">
            <v>노블가로-L</v>
          </cell>
          <cell r="B568" t="str">
            <v>저발</v>
          </cell>
          <cell r="C568">
            <v>8</v>
          </cell>
          <cell r="D568">
            <v>100</v>
          </cell>
          <cell r="E568">
            <v>15</v>
          </cell>
          <cell r="F568">
            <v>48</v>
          </cell>
          <cell r="G568" t="str">
            <v>ZP2500</v>
          </cell>
          <cell r="H568">
            <v>140</v>
          </cell>
          <cell r="I568">
            <v>1</v>
          </cell>
          <cell r="J568" t="str">
            <v>코웨이</v>
          </cell>
          <cell r="K568" t="str">
            <v>67</v>
          </cell>
          <cell r="L568" t="str">
            <v>68.6</v>
          </cell>
          <cell r="P568">
            <v>500</v>
          </cell>
          <cell r="R568" t="str">
            <v>박스</v>
          </cell>
          <cell r="U568">
            <v>44390</v>
          </cell>
          <cell r="V568" t="str">
            <v>세일하이테크</v>
          </cell>
          <cell r="W568" t="str">
            <v>빨간매직으로 BOX에 작성</v>
          </cell>
          <cell r="Y568">
            <v>40</v>
          </cell>
          <cell r="AC568" t="str">
            <v>석상준과장, 핀,휘다 고정FRAME 포함, 2021.09.08 수정, 2021.12.01모델명변경(HIDDEN-가로형-L-&gt;노블가로-L) 2022.03.30 코팅완료</v>
          </cell>
          <cell r="AD568">
            <v>0.85</v>
          </cell>
          <cell r="AF568">
            <v>6</v>
          </cell>
        </row>
        <row r="569">
          <cell r="A569" t="str">
            <v>노블가로</v>
          </cell>
          <cell r="B569" t="str">
            <v>SET</v>
          </cell>
          <cell r="C569">
            <v>3</v>
          </cell>
          <cell r="D569">
            <v>120</v>
          </cell>
          <cell r="E569">
            <v>189</v>
          </cell>
          <cell r="F569">
            <v>70</v>
          </cell>
          <cell r="G569" t="str">
            <v>B240NS</v>
          </cell>
          <cell r="H569" t="str">
            <v>UP:10 LOW:10</v>
          </cell>
          <cell r="I569">
            <v>2</v>
          </cell>
          <cell r="J569" t="str">
            <v>코웨이</v>
          </cell>
          <cell r="K569">
            <v>98</v>
          </cell>
          <cell r="L569">
            <v>102</v>
          </cell>
          <cell r="M569">
            <v>98</v>
          </cell>
          <cell r="N569">
            <v>102</v>
          </cell>
          <cell r="P569">
            <v>1360</v>
          </cell>
          <cell r="Q569">
            <v>200</v>
          </cell>
          <cell r="R569" t="str">
            <v>흰색</v>
          </cell>
          <cell r="S569" t="str">
            <v>PAD</v>
          </cell>
          <cell r="U569">
            <v>44438</v>
          </cell>
          <cell r="V569" t="str">
            <v>이피엠테크</v>
          </cell>
          <cell r="W569" t="str">
            <v>HIDDEN-가로형2 LOWER A'SSY 제품 (비닐포장 X)</v>
          </cell>
          <cell r="Y569">
            <v>60</v>
          </cell>
          <cell r="Z569">
            <v>13680</v>
          </cell>
          <cell r="AC569" t="str">
            <v>김영석사원, 2021.10.21 수정 및 기준중량변경(228-&gt;189), 2021.12.01모델명변경(HIDDEN-가로형2-&gt;노블가로), 2021.01.20코팅</v>
          </cell>
          <cell r="AD569">
            <v>0.85</v>
          </cell>
          <cell r="AF569">
            <v>6</v>
          </cell>
        </row>
        <row r="570">
          <cell r="A570" t="str">
            <v>노블30평-UP/LOW</v>
          </cell>
          <cell r="B570" t="str">
            <v>SET</v>
          </cell>
          <cell r="C570">
            <v>1</v>
          </cell>
          <cell r="D570">
            <v>155</v>
          </cell>
          <cell r="E570">
            <v>353</v>
          </cell>
          <cell r="F570">
            <v>70</v>
          </cell>
          <cell r="G570" t="str">
            <v>B240NS</v>
          </cell>
          <cell r="H570" t="str">
            <v>UP:5 LOW:5</v>
          </cell>
          <cell r="I570">
            <v>2</v>
          </cell>
          <cell r="J570" t="str">
            <v>코웨이</v>
          </cell>
          <cell r="K570">
            <v>88</v>
          </cell>
          <cell r="L570">
            <v>92</v>
          </cell>
          <cell r="M570">
            <v>118</v>
          </cell>
          <cell r="N570">
            <v>122</v>
          </cell>
          <cell r="P570">
            <v>1360</v>
          </cell>
          <cell r="Q570">
            <v>200</v>
          </cell>
          <cell r="R570" t="str">
            <v>녹색</v>
          </cell>
          <cell r="S570" t="str">
            <v>보라</v>
          </cell>
          <cell r="T570" t="str">
            <v>패드 작업</v>
          </cell>
          <cell r="U570">
            <v>45498</v>
          </cell>
          <cell r="V570" t="str">
            <v>대부</v>
          </cell>
          <cell r="Y570">
            <v>60</v>
          </cell>
          <cell r="AD570">
            <v>0.85</v>
          </cell>
        </row>
        <row r="571">
          <cell r="A571" t="str">
            <v>노블30평-UP/LOW</v>
          </cell>
          <cell r="B571" t="str">
            <v>SET</v>
          </cell>
          <cell r="C571">
            <v>1</v>
          </cell>
          <cell r="D571">
            <v>100</v>
          </cell>
          <cell r="E571">
            <v>353</v>
          </cell>
          <cell r="F571">
            <v>70</v>
          </cell>
          <cell r="G571" t="str">
            <v>B240NS</v>
          </cell>
          <cell r="H571">
            <v>1</v>
          </cell>
          <cell r="I571">
            <v>2</v>
          </cell>
          <cell r="J571" t="str">
            <v>코웨이</v>
          </cell>
          <cell r="P571">
            <v>1360</v>
          </cell>
          <cell r="Q571">
            <v>200</v>
          </cell>
          <cell r="T571" t="str">
            <v>패드 작업</v>
          </cell>
          <cell r="U571">
            <v>45498</v>
          </cell>
          <cell r="V571" t="str">
            <v>대부</v>
          </cell>
          <cell r="Y571">
            <v>60</v>
          </cell>
        </row>
        <row r="572">
          <cell r="A572" t="str">
            <v>노블30평-UP</v>
          </cell>
          <cell r="B572" t="str">
            <v>SET</v>
          </cell>
          <cell r="C572">
            <v>1</v>
          </cell>
          <cell r="D572">
            <v>155</v>
          </cell>
          <cell r="E572">
            <v>140</v>
          </cell>
          <cell r="F572">
            <v>70</v>
          </cell>
          <cell r="G572" t="str">
            <v>B240NS</v>
          </cell>
          <cell r="H572" t="str">
            <v xml:space="preserve">UP:5 </v>
          </cell>
          <cell r="I572">
            <v>2</v>
          </cell>
          <cell r="J572" t="str">
            <v>코웨이</v>
          </cell>
          <cell r="K572">
            <v>88</v>
          </cell>
          <cell r="L572">
            <v>92</v>
          </cell>
          <cell r="M572">
            <v>118</v>
          </cell>
          <cell r="N572">
            <v>122</v>
          </cell>
          <cell r="P572">
            <v>1360</v>
          </cell>
          <cell r="Q572">
            <v>200</v>
          </cell>
          <cell r="R572" t="str">
            <v>녹색</v>
          </cell>
          <cell r="U572">
            <v>45498</v>
          </cell>
          <cell r="V572" t="str">
            <v>대부</v>
          </cell>
          <cell r="Y572">
            <v>60</v>
          </cell>
          <cell r="AD572">
            <v>0.85</v>
          </cell>
        </row>
        <row r="573">
          <cell r="A573" t="str">
            <v>노블30평-UP</v>
          </cell>
          <cell r="B573" t="str">
            <v>SET</v>
          </cell>
          <cell r="C573">
            <v>1</v>
          </cell>
          <cell r="D573">
            <v>100</v>
          </cell>
          <cell r="E573">
            <v>140</v>
          </cell>
          <cell r="F573">
            <v>70</v>
          </cell>
          <cell r="G573" t="str">
            <v>B240NS</v>
          </cell>
          <cell r="H573" t="str">
            <v xml:space="preserve">UP:5 </v>
          </cell>
          <cell r="I573">
            <v>2</v>
          </cell>
          <cell r="J573" t="str">
            <v>코웨이</v>
          </cell>
          <cell r="K573">
            <v>88</v>
          </cell>
          <cell r="L573">
            <v>92</v>
          </cell>
          <cell r="M573">
            <v>118</v>
          </cell>
          <cell r="N573">
            <v>122</v>
          </cell>
          <cell r="P573">
            <v>1360</v>
          </cell>
          <cell r="Q573">
            <v>200</v>
          </cell>
          <cell r="R573" t="str">
            <v>빨강</v>
          </cell>
          <cell r="V573" t="str">
            <v>대부</v>
          </cell>
          <cell r="Y573">
            <v>60</v>
          </cell>
        </row>
        <row r="574">
          <cell r="A574" t="str">
            <v>노블30평-MIDDLE</v>
          </cell>
          <cell r="B574" t="str">
            <v>SET</v>
          </cell>
          <cell r="C574">
            <v>2</v>
          </cell>
          <cell r="D574">
            <v>150</v>
          </cell>
          <cell r="E574">
            <v>130</v>
          </cell>
          <cell r="F574">
            <v>70</v>
          </cell>
          <cell r="G574" t="str">
            <v>B240NS</v>
          </cell>
          <cell r="H574">
            <v>1</v>
          </cell>
          <cell r="I574">
            <v>2</v>
          </cell>
          <cell r="J574" t="str">
            <v>코웨이</v>
          </cell>
          <cell r="K574">
            <v>98</v>
          </cell>
          <cell r="L574">
            <v>102</v>
          </cell>
          <cell r="P574">
            <v>1360</v>
          </cell>
          <cell r="Q574">
            <v>300</v>
          </cell>
          <cell r="R574" t="str">
            <v>노랑</v>
          </cell>
          <cell r="V574" t="str">
            <v>대부</v>
          </cell>
          <cell r="Y574">
            <v>60</v>
          </cell>
          <cell r="AD574">
            <v>0.85</v>
          </cell>
        </row>
        <row r="575">
          <cell r="A575" t="str">
            <v>노블30평-MIDDLE</v>
          </cell>
          <cell r="B575" t="str">
            <v>SET</v>
          </cell>
          <cell r="C575">
            <v>1</v>
          </cell>
          <cell r="D575">
            <v>100</v>
          </cell>
          <cell r="E575">
            <v>130</v>
          </cell>
          <cell r="F575">
            <v>70</v>
          </cell>
          <cell r="G575" t="str">
            <v>B240NS</v>
          </cell>
          <cell r="H575">
            <v>1</v>
          </cell>
          <cell r="I575">
            <v>3</v>
          </cell>
          <cell r="J575" t="str">
            <v>코웨이</v>
          </cell>
          <cell r="V575" t="str">
            <v>대부</v>
          </cell>
          <cell r="Y575">
            <v>60</v>
          </cell>
        </row>
        <row r="576">
          <cell r="A576" t="str">
            <v>노블30평-MID/FIL</v>
          </cell>
          <cell r="B576" t="str">
            <v>SET</v>
          </cell>
          <cell r="C576">
            <v>1</v>
          </cell>
          <cell r="D576">
            <v>150</v>
          </cell>
          <cell r="E576">
            <v>178</v>
          </cell>
          <cell r="F576">
            <v>70</v>
          </cell>
          <cell r="G576" t="str">
            <v>B240NS</v>
          </cell>
          <cell r="H576">
            <v>45575</v>
          </cell>
          <cell r="I576">
            <v>2</v>
          </cell>
          <cell r="J576" t="str">
            <v>코웨이</v>
          </cell>
          <cell r="K576">
            <v>98</v>
          </cell>
          <cell r="L576">
            <v>102</v>
          </cell>
          <cell r="M576">
            <v>218</v>
          </cell>
          <cell r="N576">
            <v>222</v>
          </cell>
          <cell r="P576">
            <v>1360</v>
          </cell>
          <cell r="Q576">
            <v>300</v>
          </cell>
          <cell r="R576" t="str">
            <v>노랑</v>
          </cell>
          <cell r="U576">
            <v>45498</v>
          </cell>
          <cell r="V576" t="str">
            <v>대부</v>
          </cell>
          <cell r="Y576">
            <v>60</v>
          </cell>
          <cell r="AD576">
            <v>0.85</v>
          </cell>
        </row>
        <row r="577">
          <cell r="A577" t="str">
            <v>노블30평-MID/FIL</v>
          </cell>
          <cell r="B577" t="str">
            <v>SET</v>
          </cell>
          <cell r="C577">
            <v>1</v>
          </cell>
          <cell r="D577">
            <v>100</v>
          </cell>
          <cell r="E577">
            <v>178</v>
          </cell>
          <cell r="F577">
            <v>70</v>
          </cell>
          <cell r="G577" t="str">
            <v>B240NS</v>
          </cell>
          <cell r="H577">
            <v>1</v>
          </cell>
          <cell r="I577">
            <v>3</v>
          </cell>
          <cell r="J577" t="str">
            <v>코웨이</v>
          </cell>
          <cell r="P577">
            <v>1360</v>
          </cell>
          <cell r="Q577">
            <v>300</v>
          </cell>
          <cell r="U577">
            <v>45498</v>
          </cell>
          <cell r="V577" t="str">
            <v>대부</v>
          </cell>
          <cell r="Y577">
            <v>60</v>
          </cell>
        </row>
        <row r="578">
          <cell r="A578" t="str">
            <v>노블30평-LOW</v>
          </cell>
          <cell r="B578" t="str">
            <v>SET</v>
          </cell>
          <cell r="C578">
            <v>1</v>
          </cell>
          <cell r="D578">
            <v>155</v>
          </cell>
          <cell r="E578">
            <v>213</v>
          </cell>
          <cell r="F578">
            <v>70</v>
          </cell>
          <cell r="G578" t="str">
            <v>B240NS</v>
          </cell>
          <cell r="H578" t="str">
            <v xml:space="preserve"> LOW:5</v>
          </cell>
          <cell r="I578">
            <v>2</v>
          </cell>
          <cell r="J578" t="str">
            <v>코웨이</v>
          </cell>
          <cell r="K578">
            <v>88</v>
          </cell>
          <cell r="L578">
            <v>92</v>
          </cell>
          <cell r="M578">
            <v>118</v>
          </cell>
          <cell r="N578">
            <v>122</v>
          </cell>
          <cell r="P578">
            <v>1360</v>
          </cell>
          <cell r="Q578">
            <v>200</v>
          </cell>
          <cell r="R578" t="str">
            <v>보라</v>
          </cell>
          <cell r="T578" t="str">
            <v>패드 작업</v>
          </cell>
          <cell r="U578">
            <v>45498</v>
          </cell>
          <cell r="V578" t="str">
            <v>대부</v>
          </cell>
          <cell r="Y578">
            <v>60</v>
          </cell>
          <cell r="AD578">
            <v>0.85</v>
          </cell>
        </row>
        <row r="579">
          <cell r="A579" t="str">
            <v>노블30평-LOW</v>
          </cell>
          <cell r="B579" t="str">
            <v>SET</v>
          </cell>
          <cell r="C579">
            <v>1</v>
          </cell>
          <cell r="D579">
            <v>100</v>
          </cell>
          <cell r="E579">
            <v>213</v>
          </cell>
          <cell r="F579">
            <v>70</v>
          </cell>
          <cell r="G579" t="str">
            <v>B240NS</v>
          </cell>
          <cell r="H579" t="str">
            <v xml:space="preserve"> LOW:5</v>
          </cell>
          <cell r="I579">
            <v>2</v>
          </cell>
          <cell r="J579" t="str">
            <v>코웨이</v>
          </cell>
          <cell r="K579">
            <v>88</v>
          </cell>
          <cell r="L579">
            <v>92</v>
          </cell>
          <cell r="M579">
            <v>118</v>
          </cell>
          <cell r="N579">
            <v>122</v>
          </cell>
          <cell r="P579">
            <v>1360</v>
          </cell>
          <cell r="Q579">
            <v>200</v>
          </cell>
          <cell r="R579" t="str">
            <v>노랑</v>
          </cell>
          <cell r="T579" t="str">
            <v>패드 작업</v>
          </cell>
          <cell r="U579">
            <v>45498</v>
          </cell>
          <cell r="V579" t="str">
            <v>대부</v>
          </cell>
          <cell r="Y579">
            <v>60</v>
          </cell>
        </row>
        <row r="580">
          <cell r="A580" t="str">
            <v>노블30평-FILTER</v>
          </cell>
          <cell r="B580" t="str">
            <v>SET</v>
          </cell>
          <cell r="C580">
            <v>1</v>
          </cell>
          <cell r="D580">
            <v>150</v>
          </cell>
          <cell r="E580">
            <v>48</v>
          </cell>
          <cell r="F580">
            <v>70</v>
          </cell>
          <cell r="G580" t="str">
            <v>B240NS</v>
          </cell>
          <cell r="H580">
            <v>1</v>
          </cell>
          <cell r="I580">
            <v>2</v>
          </cell>
          <cell r="J580" t="str">
            <v>코웨이</v>
          </cell>
          <cell r="V580" t="str">
            <v>대부</v>
          </cell>
          <cell r="Y580">
            <v>60</v>
          </cell>
          <cell r="AD580">
            <v>0.85</v>
          </cell>
          <cell r="AF580">
            <v>4</v>
          </cell>
        </row>
        <row r="581">
          <cell r="A581" t="str">
            <v>노블30평-FILTER</v>
          </cell>
          <cell r="B581" t="str">
            <v>SET</v>
          </cell>
          <cell r="C581">
            <v>1</v>
          </cell>
          <cell r="D581">
            <v>100</v>
          </cell>
          <cell r="E581">
            <v>48</v>
          </cell>
          <cell r="F581">
            <v>70</v>
          </cell>
          <cell r="G581" t="str">
            <v>B240NS</v>
          </cell>
          <cell r="H581">
            <v>1</v>
          </cell>
          <cell r="I581">
            <v>3</v>
          </cell>
          <cell r="J581" t="str">
            <v>코웨이</v>
          </cell>
          <cell r="V581" t="str">
            <v>대부</v>
          </cell>
          <cell r="Y581">
            <v>60</v>
          </cell>
        </row>
        <row r="582">
          <cell r="A582" t="str">
            <v>넥스트스톰</v>
          </cell>
          <cell r="B582" t="str">
            <v>SET</v>
          </cell>
          <cell r="C582">
            <v>3</v>
          </cell>
          <cell r="D582">
            <v>100</v>
          </cell>
          <cell r="E582">
            <v>258</v>
          </cell>
          <cell r="F582">
            <v>70</v>
          </cell>
          <cell r="G582" t="str">
            <v>B240NS</v>
          </cell>
          <cell r="H582">
            <v>10</v>
          </cell>
          <cell r="I582">
            <v>2</v>
          </cell>
          <cell r="J582" t="str">
            <v>코웨이</v>
          </cell>
          <cell r="K582">
            <v>98</v>
          </cell>
          <cell r="L582">
            <v>102</v>
          </cell>
          <cell r="M582">
            <v>98</v>
          </cell>
          <cell r="N582">
            <v>102</v>
          </cell>
          <cell r="P582">
            <v>1360</v>
          </cell>
          <cell r="Q582">
            <v>200</v>
          </cell>
          <cell r="R582" t="str">
            <v>노랑</v>
          </cell>
          <cell r="S582" t="str">
            <v>파랑</v>
          </cell>
          <cell r="U582" t="str">
            <v>2022.11.23</v>
          </cell>
          <cell r="V582" t="str">
            <v>금형사업부</v>
          </cell>
          <cell r="AC582" t="str">
            <v>김영석사원</v>
          </cell>
          <cell r="AD582">
            <v>0.85</v>
          </cell>
        </row>
        <row r="583">
          <cell r="A583" t="str">
            <v>넥스트스톰</v>
          </cell>
          <cell r="B583" t="str">
            <v>SET</v>
          </cell>
          <cell r="C583">
            <v>3</v>
          </cell>
          <cell r="D583">
            <v>100</v>
          </cell>
          <cell r="E583">
            <v>258</v>
          </cell>
          <cell r="F583">
            <v>70</v>
          </cell>
          <cell r="G583" t="str">
            <v>B240NS</v>
          </cell>
          <cell r="H583">
            <v>10</v>
          </cell>
          <cell r="I583">
            <v>2</v>
          </cell>
          <cell r="J583" t="str">
            <v>코웨이</v>
          </cell>
          <cell r="K583">
            <v>98</v>
          </cell>
          <cell r="L583">
            <v>102</v>
          </cell>
          <cell r="M583">
            <v>98</v>
          </cell>
          <cell r="N583">
            <v>102</v>
          </cell>
          <cell r="P583">
            <v>1360</v>
          </cell>
          <cell r="Q583">
            <v>200</v>
          </cell>
          <cell r="R583" t="str">
            <v>노랑</v>
          </cell>
          <cell r="S583" t="str">
            <v>파랑</v>
          </cell>
          <cell r="U583" t="str">
            <v>2022.11.23</v>
          </cell>
          <cell r="V583" t="str">
            <v>금형사업부</v>
          </cell>
          <cell r="AC583" t="str">
            <v>김영석사원</v>
          </cell>
          <cell r="AD583">
            <v>0.85</v>
          </cell>
        </row>
        <row r="584">
          <cell r="A584" t="str">
            <v>넥스트스톰</v>
          </cell>
          <cell r="B584" t="str">
            <v>SET</v>
          </cell>
          <cell r="C584">
            <v>3</v>
          </cell>
          <cell r="D584">
            <v>100</v>
          </cell>
          <cell r="E584">
            <v>258</v>
          </cell>
          <cell r="F584">
            <v>60</v>
          </cell>
          <cell r="G584" t="str">
            <v>B240NS</v>
          </cell>
          <cell r="H584">
            <v>1</v>
          </cell>
          <cell r="I584">
            <v>2</v>
          </cell>
          <cell r="J584" t="str">
            <v>코웨이</v>
          </cell>
          <cell r="P584">
            <v>1360</v>
          </cell>
          <cell r="U584" t="str">
            <v>2022.11.23</v>
          </cell>
          <cell r="V584" t="str">
            <v>금형사업부</v>
          </cell>
          <cell r="AD584">
            <v>0.85</v>
          </cell>
        </row>
        <row r="585">
          <cell r="A585" t="str">
            <v>냉장4구(분리)</v>
          </cell>
          <cell r="B585" t="str">
            <v>SET</v>
          </cell>
          <cell r="C585">
            <v>2</v>
          </cell>
          <cell r="D585">
            <v>70</v>
          </cell>
          <cell r="E585">
            <v>228</v>
          </cell>
          <cell r="F585">
            <v>74</v>
          </cell>
          <cell r="G585" t="str">
            <v>B240NS/B240NS</v>
          </cell>
          <cell r="H585" t="str">
            <v>몸통10뚜껑20</v>
          </cell>
          <cell r="I585">
            <v>2</v>
          </cell>
          <cell r="J585" t="str">
            <v>한국TPS</v>
          </cell>
          <cell r="O585">
            <v>10</v>
          </cell>
          <cell r="P585">
            <v>1300</v>
          </cell>
          <cell r="Q585">
            <v>200</v>
          </cell>
          <cell r="R585" t="str">
            <v>파란</v>
          </cell>
          <cell r="S585" t="str">
            <v>파란</v>
          </cell>
          <cell r="U585">
            <v>42741</v>
          </cell>
          <cell r="V585" t="str">
            <v>인천EPS이동입고</v>
          </cell>
          <cell r="W585" t="str">
            <v>SD4-대CAVITY동일 CORE 별도(M4)</v>
          </cell>
          <cell r="AD585">
            <v>0.85</v>
          </cell>
          <cell r="AE585">
            <v>80</v>
          </cell>
          <cell r="AF585">
            <v>12</v>
          </cell>
        </row>
        <row r="586">
          <cell r="A586" t="str">
            <v>냉장4구</v>
          </cell>
          <cell r="B586" t="str">
            <v>SET</v>
          </cell>
          <cell r="C586">
            <v>2</v>
          </cell>
          <cell r="D586">
            <v>70</v>
          </cell>
          <cell r="E586">
            <v>228</v>
          </cell>
          <cell r="F586">
            <v>74</v>
          </cell>
          <cell r="G586" t="str">
            <v>B240NS/B240NS</v>
          </cell>
          <cell r="H586">
            <v>10</v>
          </cell>
          <cell r="I586">
            <v>2</v>
          </cell>
          <cell r="J586" t="str">
            <v>한국TPS</v>
          </cell>
          <cell r="O586">
            <v>10</v>
          </cell>
          <cell r="P586">
            <v>1300</v>
          </cell>
          <cell r="Q586">
            <v>200</v>
          </cell>
          <cell r="R586" t="str">
            <v>파란</v>
          </cell>
          <cell r="S586" t="str">
            <v>파란</v>
          </cell>
          <cell r="U586">
            <v>42741</v>
          </cell>
          <cell r="V586" t="str">
            <v>인천EPS이동입고</v>
          </cell>
          <cell r="W586" t="str">
            <v>SD4-대CAVITY동일 CORE 별도(M4)</v>
          </cell>
          <cell r="AD586">
            <v>0.85</v>
          </cell>
          <cell r="AE586">
            <v>80</v>
          </cell>
          <cell r="AF586">
            <v>12</v>
          </cell>
        </row>
        <row r="587">
          <cell r="A587" t="str">
            <v>냉장3구</v>
          </cell>
          <cell r="B587" t="str">
            <v>BOX</v>
          </cell>
          <cell r="C587">
            <v>2</v>
          </cell>
          <cell r="D587">
            <v>100</v>
          </cell>
          <cell r="E587">
            <v>250</v>
          </cell>
          <cell r="F587">
            <v>60</v>
          </cell>
          <cell r="G587" t="str">
            <v>B240NS</v>
          </cell>
          <cell r="H587">
            <v>10</v>
          </cell>
          <cell r="I587">
            <v>2</v>
          </cell>
          <cell r="J587" t="str">
            <v>한국TPS</v>
          </cell>
          <cell r="P587">
            <v>1300</v>
          </cell>
          <cell r="Q587">
            <v>250</v>
          </cell>
          <cell r="R587" t="str">
            <v>빨강</v>
          </cell>
          <cell r="U587">
            <v>45048</v>
          </cell>
          <cell r="V587" t="str">
            <v>인천티피에스(이관)</v>
          </cell>
          <cell r="AD587">
            <v>0.85</v>
          </cell>
        </row>
        <row r="588">
          <cell r="A588" t="str">
            <v>냉장3구</v>
          </cell>
          <cell r="B588" t="str">
            <v>BOX</v>
          </cell>
          <cell r="C588">
            <v>2</v>
          </cell>
          <cell r="D588">
            <v>100</v>
          </cell>
          <cell r="E588">
            <v>250</v>
          </cell>
          <cell r="F588">
            <v>60</v>
          </cell>
          <cell r="G588" t="str">
            <v>B240NS</v>
          </cell>
          <cell r="H588">
            <v>10</v>
          </cell>
          <cell r="I588">
            <v>2</v>
          </cell>
          <cell r="J588" t="str">
            <v>한국 TPS</v>
          </cell>
          <cell r="P588">
            <v>1300</v>
          </cell>
          <cell r="Q588">
            <v>250</v>
          </cell>
          <cell r="R588" t="str">
            <v>빨강</v>
          </cell>
          <cell r="U588">
            <v>45048</v>
          </cell>
          <cell r="V588" t="str">
            <v>인천티피에스(이관)</v>
          </cell>
          <cell r="AD588">
            <v>0.85</v>
          </cell>
        </row>
        <row r="589">
          <cell r="A589" t="str">
            <v>나노박스(분리)</v>
          </cell>
          <cell r="B589" t="str">
            <v>BOX</v>
          </cell>
          <cell r="C589">
            <v>2</v>
          </cell>
          <cell r="D589">
            <v>80</v>
          </cell>
          <cell r="E589">
            <v>450</v>
          </cell>
          <cell r="F589">
            <v>74</v>
          </cell>
          <cell r="G589" t="str">
            <v>B240NS</v>
          </cell>
          <cell r="H589" t="str">
            <v>몸통:3 뚜껑12</v>
          </cell>
          <cell r="I589">
            <v>2</v>
          </cell>
          <cell r="J589" t="str">
            <v>나노엔텍</v>
          </cell>
          <cell r="K589">
            <v>48</v>
          </cell>
          <cell r="L589">
            <v>52</v>
          </cell>
          <cell r="M589">
            <v>283</v>
          </cell>
          <cell r="N589">
            <v>287</v>
          </cell>
          <cell r="O589">
            <v>2600</v>
          </cell>
          <cell r="P589">
            <v>1360</v>
          </cell>
          <cell r="Q589">
            <v>400</v>
          </cell>
          <cell r="R589" t="str">
            <v>빨강</v>
          </cell>
          <cell r="S589" t="str">
            <v>빨강</v>
          </cell>
          <cell r="T589" t="str">
            <v>나노박스</v>
          </cell>
          <cell r="U589">
            <v>41347</v>
          </cell>
          <cell r="V589" t="str">
            <v>금형제조부</v>
          </cell>
          <cell r="W589" t="str">
            <v>융착철저, 빨간색 끈,top 위로 조립!</v>
          </cell>
          <cell r="Y589">
            <v>64</v>
          </cell>
          <cell r="Z589">
            <v>28525</v>
          </cell>
          <cell r="AC589" t="str">
            <v>김일환계장나노박스금형동일, 190626 빨간끈으로 변경</v>
          </cell>
          <cell r="AD589">
            <v>0.85</v>
          </cell>
          <cell r="AE589">
            <v>90</v>
          </cell>
          <cell r="AF589">
            <v>1</v>
          </cell>
        </row>
        <row r="590">
          <cell r="A590" t="str">
            <v>나노박스(N)</v>
          </cell>
          <cell r="B590" t="str">
            <v>BOX</v>
          </cell>
          <cell r="C590">
            <v>2</v>
          </cell>
          <cell r="D590">
            <v>155</v>
          </cell>
          <cell r="E590">
            <v>1145</v>
          </cell>
          <cell r="F590">
            <v>36</v>
          </cell>
          <cell r="G590" t="str">
            <v>B240NS</v>
          </cell>
          <cell r="H590">
            <v>3</v>
          </cell>
          <cell r="I590">
            <v>2</v>
          </cell>
          <cell r="J590" t="str">
            <v>나노엔텍</v>
          </cell>
          <cell r="P590">
            <v>1600</v>
          </cell>
          <cell r="Q590">
            <v>450</v>
          </cell>
          <cell r="R590" t="str">
            <v>녹색</v>
          </cell>
          <cell r="T590" t="str">
            <v>나노박스</v>
          </cell>
          <cell r="U590">
            <v>45835</v>
          </cell>
          <cell r="V590" t="str">
            <v>금형제조부</v>
          </cell>
          <cell r="W590" t="str">
            <v>융착,중량 확인할것!!</v>
          </cell>
          <cell r="AD590">
            <v>0.9</v>
          </cell>
          <cell r="AE590">
            <v>90</v>
          </cell>
        </row>
        <row r="591">
          <cell r="A591" t="str">
            <v>나노박스(N)</v>
          </cell>
          <cell r="B591" t="str">
            <v>BOX</v>
          </cell>
          <cell r="C591">
            <v>2</v>
          </cell>
          <cell r="D591">
            <v>155</v>
          </cell>
          <cell r="E591">
            <v>1145</v>
          </cell>
          <cell r="F591">
            <v>36</v>
          </cell>
          <cell r="G591" t="str">
            <v>B240NS</v>
          </cell>
          <cell r="H591">
            <v>3</v>
          </cell>
          <cell r="I591">
            <v>2</v>
          </cell>
          <cell r="J591" t="str">
            <v>나노엔텍</v>
          </cell>
          <cell r="P591">
            <v>1600</v>
          </cell>
          <cell r="Q591">
            <v>450</v>
          </cell>
          <cell r="R591" t="str">
            <v>녹색</v>
          </cell>
          <cell r="T591" t="str">
            <v>나노박스</v>
          </cell>
          <cell r="U591">
            <v>45835</v>
          </cell>
          <cell r="V591" t="str">
            <v>금형제조부</v>
          </cell>
          <cell r="W591" t="str">
            <v>융착,중량 확인할것!!</v>
          </cell>
          <cell r="AD591">
            <v>0.9</v>
          </cell>
          <cell r="AE591">
            <v>90</v>
          </cell>
        </row>
        <row r="592">
          <cell r="A592" t="str">
            <v>나노박스(64배)</v>
          </cell>
          <cell r="B592" t="str">
            <v>BOX</v>
          </cell>
          <cell r="C592">
            <v>2</v>
          </cell>
          <cell r="D592">
            <v>80</v>
          </cell>
          <cell r="E592">
            <v>450</v>
          </cell>
          <cell r="F592">
            <v>74</v>
          </cell>
          <cell r="G592" t="str">
            <v>B240NS</v>
          </cell>
          <cell r="H592">
            <v>3</v>
          </cell>
          <cell r="I592">
            <v>2</v>
          </cell>
          <cell r="J592" t="str">
            <v>나노엔텍</v>
          </cell>
          <cell r="K592">
            <v>48</v>
          </cell>
          <cell r="L592">
            <v>52</v>
          </cell>
          <cell r="M592">
            <v>283</v>
          </cell>
          <cell r="N592">
            <v>287</v>
          </cell>
          <cell r="O592">
            <v>2600</v>
          </cell>
          <cell r="P592">
            <v>1360</v>
          </cell>
          <cell r="Q592">
            <v>400</v>
          </cell>
          <cell r="R592" t="str">
            <v>빨강</v>
          </cell>
          <cell r="S592" t="str">
            <v>빨강</v>
          </cell>
          <cell r="T592" t="str">
            <v>나노박스</v>
          </cell>
          <cell r="U592">
            <v>41347</v>
          </cell>
          <cell r="V592" t="str">
            <v>금형제조부</v>
          </cell>
          <cell r="W592" t="str">
            <v>융착,버(BURR)불량 확인할것!!</v>
          </cell>
          <cell r="Y592">
            <v>64</v>
          </cell>
          <cell r="Z592">
            <v>28525</v>
          </cell>
          <cell r="AC592" t="str">
            <v>김일환계장나노박스금형동일, 190626 빨간끈으로 변경</v>
          </cell>
          <cell r="AD592">
            <v>0.85</v>
          </cell>
          <cell r="AE592">
            <v>90</v>
          </cell>
          <cell r="AF592">
            <v>1</v>
          </cell>
        </row>
        <row r="593">
          <cell r="A593" t="str">
            <v>나노박스(55배)</v>
          </cell>
          <cell r="B593" t="str">
            <v>BOX</v>
          </cell>
          <cell r="C593">
            <v>2</v>
          </cell>
          <cell r="D593">
            <v>100</v>
          </cell>
          <cell r="E593">
            <v>468</v>
          </cell>
          <cell r="F593">
            <v>65</v>
          </cell>
          <cell r="G593" t="str">
            <v>B240NS</v>
          </cell>
          <cell r="H593" t="str">
            <v>몸통:3 뚜껑12</v>
          </cell>
          <cell r="I593">
            <v>2</v>
          </cell>
          <cell r="J593" t="str">
            <v>나노엔텍</v>
          </cell>
          <cell r="K593">
            <v>48</v>
          </cell>
          <cell r="L593">
            <v>52</v>
          </cell>
          <cell r="M593">
            <v>283</v>
          </cell>
          <cell r="N593">
            <v>287</v>
          </cell>
          <cell r="P593">
            <v>1360</v>
          </cell>
          <cell r="Q593">
            <v>400</v>
          </cell>
          <cell r="R593" t="str">
            <v>녹색</v>
          </cell>
          <cell r="W593" t="str">
            <v>파랑비닐 사용</v>
          </cell>
          <cell r="Y593">
            <v>55</v>
          </cell>
          <cell r="AC593" t="str">
            <v>김영석사원</v>
          </cell>
          <cell r="AD593">
            <v>0.9</v>
          </cell>
          <cell r="AF593">
            <v>1</v>
          </cell>
        </row>
        <row r="594">
          <cell r="A594" t="str">
            <v>나노박스(48배)</v>
          </cell>
          <cell r="B594" t="str">
            <v>BOX</v>
          </cell>
          <cell r="C594">
            <v>2</v>
          </cell>
          <cell r="D594">
            <v>95</v>
          </cell>
          <cell r="E594">
            <v>600</v>
          </cell>
          <cell r="F594">
            <v>50</v>
          </cell>
          <cell r="G594" t="str">
            <v>B240NS</v>
          </cell>
          <cell r="H594">
            <v>3</v>
          </cell>
          <cell r="I594">
            <v>2</v>
          </cell>
          <cell r="J594" t="str">
            <v>미강산업</v>
          </cell>
          <cell r="K594">
            <v>49</v>
          </cell>
          <cell r="L594">
            <v>51</v>
          </cell>
          <cell r="M594">
            <v>283</v>
          </cell>
          <cell r="N594">
            <v>287</v>
          </cell>
          <cell r="O594">
            <v>2600</v>
          </cell>
          <cell r="P594">
            <v>1360</v>
          </cell>
          <cell r="Q594">
            <v>400</v>
          </cell>
          <cell r="R594" t="str">
            <v>노랑</v>
          </cell>
          <cell r="S594" t="str">
            <v>노랑</v>
          </cell>
          <cell r="T594" t="str">
            <v>나노박스</v>
          </cell>
          <cell r="U594">
            <v>41347</v>
          </cell>
          <cell r="V594" t="str">
            <v>금형제조부</v>
          </cell>
          <cell r="W594" t="str">
            <v>융착철저</v>
          </cell>
          <cell r="Y594">
            <v>64</v>
          </cell>
          <cell r="Z594">
            <v>28525</v>
          </cell>
          <cell r="AC594" t="str">
            <v>김일환계장나노박스금형동일</v>
          </cell>
          <cell r="AD594">
            <v>0.85</v>
          </cell>
          <cell r="AE594">
            <v>100</v>
          </cell>
          <cell r="AF594">
            <v>6</v>
          </cell>
        </row>
        <row r="595">
          <cell r="A595" t="str">
            <v>나노박스(48QT-NEXT스티커)</v>
          </cell>
          <cell r="B595" t="str">
            <v>BOX</v>
          </cell>
          <cell r="C595">
            <v>2</v>
          </cell>
          <cell r="D595">
            <v>80</v>
          </cell>
          <cell r="E595">
            <v>450</v>
          </cell>
          <cell r="F595">
            <v>74</v>
          </cell>
          <cell r="G595" t="str">
            <v>B240NS</v>
          </cell>
          <cell r="H595">
            <v>3</v>
          </cell>
          <cell r="I595">
            <v>2</v>
          </cell>
          <cell r="J595" t="str">
            <v>나노엔텍</v>
          </cell>
          <cell r="K595">
            <v>48</v>
          </cell>
          <cell r="L595">
            <v>52</v>
          </cell>
          <cell r="M595">
            <v>283</v>
          </cell>
          <cell r="N595">
            <v>287</v>
          </cell>
          <cell r="O595">
            <v>2600</v>
          </cell>
          <cell r="P595">
            <v>1360</v>
          </cell>
          <cell r="Q595">
            <v>400</v>
          </cell>
          <cell r="R595" t="str">
            <v>빨강</v>
          </cell>
          <cell r="S595" t="str">
            <v>빨강</v>
          </cell>
          <cell r="T595" t="str">
            <v>나노박스</v>
          </cell>
          <cell r="U595">
            <v>41347</v>
          </cell>
          <cell r="V595" t="str">
            <v>금형제조부</v>
          </cell>
          <cell r="W595" t="str">
            <v>융착철저, 빨간색 끈,top 위로 조립!</v>
          </cell>
          <cell r="Y595">
            <v>64</v>
          </cell>
          <cell r="Z595">
            <v>28525</v>
          </cell>
          <cell r="AC595" t="str">
            <v>김일환계장나노박스금형동일, 190626 빨간끈으로 변경</v>
          </cell>
          <cell r="AD595">
            <v>0.85</v>
          </cell>
          <cell r="AE595">
            <v>90</v>
          </cell>
          <cell r="AF595">
            <v>1</v>
          </cell>
        </row>
        <row r="596">
          <cell r="A596" t="str">
            <v>나노박스</v>
          </cell>
          <cell r="B596" t="str">
            <v>BOX</v>
          </cell>
          <cell r="C596">
            <v>2</v>
          </cell>
          <cell r="D596">
            <v>110</v>
          </cell>
          <cell r="E596">
            <v>870</v>
          </cell>
          <cell r="F596">
            <v>36</v>
          </cell>
          <cell r="G596" t="str">
            <v>B240NS</v>
          </cell>
          <cell r="H596">
            <v>3</v>
          </cell>
          <cell r="I596">
            <v>2</v>
          </cell>
          <cell r="J596" t="str">
            <v>나노엔텍</v>
          </cell>
          <cell r="K596">
            <v>48</v>
          </cell>
          <cell r="L596">
            <v>52</v>
          </cell>
          <cell r="M596">
            <v>283</v>
          </cell>
          <cell r="N596">
            <v>287</v>
          </cell>
          <cell r="O596">
            <v>5400</v>
          </cell>
          <cell r="P596">
            <v>1360</v>
          </cell>
          <cell r="Q596">
            <v>400</v>
          </cell>
          <cell r="R596" t="str">
            <v>보라</v>
          </cell>
          <cell r="S596" t="str">
            <v>보라</v>
          </cell>
          <cell r="T596" t="str">
            <v>나노박스</v>
          </cell>
          <cell r="U596">
            <v>41347</v>
          </cell>
          <cell r="V596" t="str">
            <v>금형제조부</v>
          </cell>
          <cell r="W596" t="str">
            <v xml:space="preserve"> +열십자로 끈묶을 것!!, top 위로 조립!</v>
          </cell>
          <cell r="X596" t="str">
            <v>A-0204</v>
          </cell>
          <cell r="Y596">
            <v>30</v>
          </cell>
          <cell r="Z596">
            <v>28525</v>
          </cell>
          <cell r="AC596" t="str">
            <v>김길영계장,2013.03.21승인완료,  2013.04.11승인중량변경(841-&gt;970),2015.01.29 승인중량변경(870-&gt;950)2015.02.03기준중량변경(950-&gt;970),2015.07.01 휘다위치 변경 수정 입고, 2020.09.10 재코팅완료, 2021.07.28 수리</v>
          </cell>
          <cell r="AD596">
            <v>0.9</v>
          </cell>
          <cell r="AE596">
            <v>90</v>
          </cell>
          <cell r="AF596">
            <v>1</v>
          </cell>
        </row>
        <row r="597">
          <cell r="A597" t="str">
            <v>꽃게장</v>
          </cell>
          <cell r="B597" t="str">
            <v>저발</v>
          </cell>
          <cell r="C597">
            <v>1</v>
          </cell>
          <cell r="D597">
            <v>100</v>
          </cell>
          <cell r="E597">
            <v>247</v>
          </cell>
          <cell r="F597">
            <v>58</v>
          </cell>
          <cell r="G597" t="str">
            <v>SE2500M</v>
          </cell>
          <cell r="H597">
            <v>6</v>
          </cell>
          <cell r="I597">
            <v>3</v>
          </cell>
          <cell r="J597" t="str">
            <v>한국이노팩</v>
          </cell>
          <cell r="P597">
            <v>500</v>
          </cell>
          <cell r="R597" t="str">
            <v>녹색</v>
          </cell>
          <cell r="U597">
            <v>44635</v>
          </cell>
          <cell r="V597" t="str">
            <v>이관금형</v>
          </cell>
          <cell r="Y597">
            <v>50</v>
          </cell>
          <cell r="AC597" t="str">
            <v>김영석사원</v>
          </cell>
          <cell r="AD597">
            <v>0.85</v>
          </cell>
        </row>
        <row r="598">
          <cell r="A598" t="str">
            <v>꽃게장</v>
          </cell>
          <cell r="B598" t="str">
            <v>BOX</v>
          </cell>
          <cell r="C598">
            <v>1</v>
          </cell>
          <cell r="D598">
            <v>100</v>
          </cell>
          <cell r="E598">
            <v>247</v>
          </cell>
          <cell r="F598">
            <v>58</v>
          </cell>
          <cell r="G598" t="str">
            <v>SE2500M</v>
          </cell>
          <cell r="H598">
            <v>1</v>
          </cell>
          <cell r="I598">
            <v>3</v>
          </cell>
          <cell r="J598" t="str">
            <v>한국이노팩</v>
          </cell>
          <cell r="P598">
            <v>500</v>
          </cell>
          <cell r="U598">
            <v>44635</v>
          </cell>
          <cell r="V598" t="str">
            <v>이관금형</v>
          </cell>
          <cell r="Y598">
            <v>50</v>
          </cell>
          <cell r="AC598" t="str">
            <v>김영석사원</v>
          </cell>
          <cell r="AD598">
            <v>0.85</v>
          </cell>
        </row>
        <row r="599">
          <cell r="A599" t="str">
            <v>김치7K-BOT#2</v>
          </cell>
          <cell r="B599" t="str">
            <v>BOX</v>
          </cell>
          <cell r="E599">
            <v>110</v>
          </cell>
          <cell r="J599" t="str">
            <v>용인공장</v>
          </cell>
          <cell r="P599">
            <v>1700</v>
          </cell>
          <cell r="Q599">
            <v>300</v>
          </cell>
          <cell r="AD599">
            <v>0.85</v>
          </cell>
          <cell r="AE599">
            <v>75</v>
          </cell>
        </row>
        <row r="600">
          <cell r="A600" t="str">
            <v>김치7K-BOT</v>
          </cell>
          <cell r="B600" t="str">
            <v>BOX</v>
          </cell>
          <cell r="C600">
            <v>10</v>
          </cell>
          <cell r="D600">
            <v>100</v>
          </cell>
          <cell r="E600">
            <v>110</v>
          </cell>
          <cell r="F600">
            <v>74</v>
          </cell>
          <cell r="G600" t="str">
            <v>SE2500M</v>
          </cell>
          <cell r="H600">
            <v>14</v>
          </cell>
          <cell r="I600">
            <v>1</v>
          </cell>
          <cell r="J600" t="str">
            <v>용인공장</v>
          </cell>
          <cell r="P600">
            <v>1500</v>
          </cell>
          <cell r="Q600">
            <v>300</v>
          </cell>
          <cell r="R600" t="str">
            <v>녹색</v>
          </cell>
          <cell r="U600">
            <v>44707</v>
          </cell>
          <cell r="V600" t="str">
            <v>이관금형</v>
          </cell>
          <cell r="Y600">
            <v>68</v>
          </cell>
          <cell r="Z600">
            <v>7446</v>
          </cell>
          <cell r="AD600">
            <v>0.85</v>
          </cell>
        </row>
        <row r="601">
          <cell r="A601" t="str">
            <v>김치7K-BOT</v>
          </cell>
          <cell r="B601" t="str">
            <v>BOX</v>
          </cell>
          <cell r="C601">
            <v>10</v>
          </cell>
          <cell r="D601">
            <v>100</v>
          </cell>
          <cell r="E601">
            <v>110</v>
          </cell>
          <cell r="F601">
            <v>74</v>
          </cell>
          <cell r="G601" t="str">
            <v>SE2500M</v>
          </cell>
          <cell r="H601">
            <v>14</v>
          </cell>
          <cell r="I601">
            <v>1</v>
          </cell>
          <cell r="J601" t="str">
            <v>용인공장</v>
          </cell>
          <cell r="P601">
            <v>1500</v>
          </cell>
          <cell r="Q601">
            <v>300</v>
          </cell>
          <cell r="R601" t="str">
            <v>녹색</v>
          </cell>
          <cell r="U601">
            <v>44707</v>
          </cell>
          <cell r="V601" t="str">
            <v>이관금형</v>
          </cell>
          <cell r="Y601">
            <v>68</v>
          </cell>
          <cell r="Z601">
            <v>7446</v>
          </cell>
          <cell r="AD601">
            <v>0.85</v>
          </cell>
        </row>
        <row r="602">
          <cell r="A602" t="str">
            <v>김치5K</v>
          </cell>
          <cell r="B602" t="str">
            <v>BOX</v>
          </cell>
          <cell r="C602">
            <v>8</v>
          </cell>
          <cell r="D602">
            <v>100</v>
          </cell>
          <cell r="E602">
            <v>100</v>
          </cell>
          <cell r="F602">
            <v>74</v>
          </cell>
          <cell r="G602" t="str">
            <v>SE2500M</v>
          </cell>
          <cell r="H602" t="str">
            <v>T:80 B:20</v>
          </cell>
          <cell r="I602">
            <v>2</v>
          </cell>
          <cell r="J602" t="str">
            <v>용인공장</v>
          </cell>
          <cell r="P602">
            <v>1360</v>
          </cell>
          <cell r="Q602">
            <v>300</v>
          </cell>
          <cell r="R602" t="str">
            <v>파랑</v>
          </cell>
          <cell r="S602" t="str">
            <v>파랑</v>
          </cell>
          <cell r="U602">
            <v>44707</v>
          </cell>
          <cell r="V602" t="str">
            <v>이관금형</v>
          </cell>
          <cell r="Y602">
            <v>64</v>
          </cell>
          <cell r="Z602">
            <v>6409</v>
          </cell>
          <cell r="AD602">
            <v>0.85</v>
          </cell>
        </row>
        <row r="603">
          <cell r="A603" t="str">
            <v>김치5K</v>
          </cell>
          <cell r="B603" t="str">
            <v>BOX</v>
          </cell>
          <cell r="C603">
            <v>8</v>
          </cell>
          <cell r="D603">
            <v>100</v>
          </cell>
          <cell r="E603">
            <v>100</v>
          </cell>
          <cell r="F603">
            <v>74</v>
          </cell>
          <cell r="G603" t="str">
            <v>SE2500M</v>
          </cell>
          <cell r="H603" t="str">
            <v>T:80 B:20</v>
          </cell>
          <cell r="I603">
            <v>2</v>
          </cell>
          <cell r="J603" t="str">
            <v>용인공장</v>
          </cell>
          <cell r="P603">
            <v>1360</v>
          </cell>
          <cell r="Q603">
            <v>300</v>
          </cell>
          <cell r="R603" t="str">
            <v>파랑</v>
          </cell>
          <cell r="S603" t="str">
            <v>파랑</v>
          </cell>
          <cell r="U603">
            <v>44707</v>
          </cell>
          <cell r="V603" t="str">
            <v>이관금형</v>
          </cell>
          <cell r="Y603">
            <v>64</v>
          </cell>
          <cell r="Z603">
            <v>6409</v>
          </cell>
          <cell r="AD603">
            <v>0.85</v>
          </cell>
        </row>
        <row r="604">
          <cell r="A604" t="str">
            <v>김치5K</v>
          </cell>
          <cell r="B604" t="str">
            <v>BOX</v>
          </cell>
          <cell r="C604">
            <v>10</v>
          </cell>
          <cell r="D604">
            <v>100</v>
          </cell>
          <cell r="E604">
            <v>130</v>
          </cell>
          <cell r="F604">
            <v>74</v>
          </cell>
          <cell r="G604" t="str">
            <v>SE2500M</v>
          </cell>
          <cell r="H604">
            <v>14</v>
          </cell>
          <cell r="I604">
            <v>1</v>
          </cell>
          <cell r="J604" t="str">
            <v>용인공장</v>
          </cell>
          <cell r="P604">
            <v>1500</v>
          </cell>
          <cell r="Q604">
            <v>300</v>
          </cell>
          <cell r="R604" t="str">
            <v>노랑</v>
          </cell>
          <cell r="U604">
            <v>44707</v>
          </cell>
          <cell r="V604" t="str">
            <v>이관금형</v>
          </cell>
          <cell r="Y604">
            <v>66</v>
          </cell>
          <cell r="Z604">
            <v>8529</v>
          </cell>
          <cell r="AD604">
            <v>0.85</v>
          </cell>
        </row>
        <row r="605">
          <cell r="A605" t="str">
            <v>김치3K</v>
          </cell>
          <cell r="B605" t="str">
            <v>BOX</v>
          </cell>
          <cell r="C605">
            <v>6</v>
          </cell>
          <cell r="D605">
            <v>100</v>
          </cell>
          <cell r="E605">
            <v>80</v>
          </cell>
          <cell r="F605">
            <v>74</v>
          </cell>
          <cell r="G605" t="str">
            <v>SE2500M</v>
          </cell>
          <cell r="H605" t="str">
            <v>T:80 B:40</v>
          </cell>
          <cell r="I605">
            <v>2</v>
          </cell>
          <cell r="J605" t="str">
            <v>용인공장</v>
          </cell>
          <cell r="P605">
            <v>1360</v>
          </cell>
          <cell r="Q605">
            <v>250</v>
          </cell>
          <cell r="R605" t="str">
            <v>녹색</v>
          </cell>
          <cell r="S605" t="str">
            <v>녹색</v>
          </cell>
          <cell r="U605">
            <v>44707</v>
          </cell>
          <cell r="V605" t="str">
            <v>이관금형</v>
          </cell>
          <cell r="Y605">
            <v>68</v>
          </cell>
          <cell r="Z605">
            <v>5441</v>
          </cell>
          <cell r="AD605">
            <v>0.85</v>
          </cell>
        </row>
        <row r="606">
          <cell r="A606" t="str">
            <v>김치3K</v>
          </cell>
          <cell r="B606" t="str">
            <v>BOX</v>
          </cell>
          <cell r="C606">
            <v>6</v>
          </cell>
          <cell r="D606">
            <v>100</v>
          </cell>
          <cell r="E606">
            <v>80</v>
          </cell>
          <cell r="F606">
            <v>74</v>
          </cell>
          <cell r="G606" t="str">
            <v>SE2500M</v>
          </cell>
          <cell r="H606" t="str">
            <v>T:80 B:40</v>
          </cell>
          <cell r="I606">
            <v>2</v>
          </cell>
          <cell r="J606" t="str">
            <v>용인공장</v>
          </cell>
          <cell r="P606">
            <v>1360</v>
          </cell>
          <cell r="Q606">
            <v>250</v>
          </cell>
          <cell r="R606" t="str">
            <v>녹색</v>
          </cell>
          <cell r="S606" t="str">
            <v>녹색</v>
          </cell>
          <cell r="U606">
            <v>44707</v>
          </cell>
          <cell r="V606" t="str">
            <v>이관금형</v>
          </cell>
          <cell r="Y606">
            <v>68</v>
          </cell>
          <cell r="Z606">
            <v>5441</v>
          </cell>
          <cell r="AD606">
            <v>0.85</v>
          </cell>
        </row>
        <row r="607">
          <cell r="A607" t="str">
            <v>김치20K-1-TOP</v>
          </cell>
          <cell r="B607" t="str">
            <v>BOX</v>
          </cell>
          <cell r="C607">
            <v>6</v>
          </cell>
          <cell r="D607">
            <v>100</v>
          </cell>
          <cell r="E607" t="str">
            <v>80</v>
          </cell>
          <cell r="F607">
            <v>74</v>
          </cell>
          <cell r="G607" t="str">
            <v>SE2500M</v>
          </cell>
          <cell r="H607">
            <v>24</v>
          </cell>
          <cell r="I607">
            <v>1</v>
          </cell>
          <cell r="J607" t="str">
            <v>용인공장</v>
          </cell>
          <cell r="P607">
            <v>1360</v>
          </cell>
          <cell r="Q607">
            <v>350</v>
          </cell>
          <cell r="R607" t="str">
            <v>빨강</v>
          </cell>
          <cell r="U607">
            <v>44722</v>
          </cell>
          <cell r="V607" t="str">
            <v>이관금형</v>
          </cell>
          <cell r="AC607" t="str">
            <v>김영석사원</v>
          </cell>
          <cell r="AD607">
            <v>0.85</v>
          </cell>
        </row>
        <row r="608">
          <cell r="A608" t="str">
            <v>김치20K-1-TOP</v>
          </cell>
          <cell r="B608" t="str">
            <v>BOX</v>
          </cell>
          <cell r="C608">
            <v>6</v>
          </cell>
          <cell r="D608">
            <v>100</v>
          </cell>
          <cell r="E608" t="str">
            <v>80</v>
          </cell>
          <cell r="F608">
            <v>74</v>
          </cell>
          <cell r="G608" t="str">
            <v>SE2500M</v>
          </cell>
          <cell r="H608">
            <v>24</v>
          </cell>
          <cell r="I608">
            <v>1</v>
          </cell>
          <cell r="J608" t="str">
            <v>용인공장</v>
          </cell>
          <cell r="P608">
            <v>1360</v>
          </cell>
          <cell r="Q608">
            <v>350</v>
          </cell>
          <cell r="R608" t="str">
            <v>빨강</v>
          </cell>
          <cell r="U608">
            <v>44722</v>
          </cell>
          <cell r="V608" t="str">
            <v>이관금형</v>
          </cell>
          <cell r="AC608" t="str">
            <v>김영석사원</v>
          </cell>
          <cell r="AD608">
            <v>0.85</v>
          </cell>
        </row>
        <row r="609">
          <cell r="A609" t="str">
            <v>김치20K-1-BOT</v>
          </cell>
          <cell r="B609" t="str">
            <v>BOX</v>
          </cell>
          <cell r="C609">
            <v>6</v>
          </cell>
          <cell r="D609">
            <v>100</v>
          </cell>
          <cell r="E609" t="str">
            <v>220</v>
          </cell>
          <cell r="F609">
            <v>74</v>
          </cell>
          <cell r="G609" t="str">
            <v>SE2500M</v>
          </cell>
          <cell r="H609">
            <v>12</v>
          </cell>
          <cell r="I609">
            <v>1</v>
          </cell>
          <cell r="J609" t="str">
            <v>용인공장</v>
          </cell>
          <cell r="P609">
            <v>1360</v>
          </cell>
          <cell r="Q609">
            <v>350</v>
          </cell>
          <cell r="R609" t="str">
            <v>빨강</v>
          </cell>
          <cell r="U609">
            <v>44720</v>
          </cell>
          <cell r="V609" t="str">
            <v>이관금형</v>
          </cell>
          <cell r="AC609" t="str">
            <v>김영석사원</v>
          </cell>
          <cell r="AD609">
            <v>0.85</v>
          </cell>
        </row>
        <row r="610">
          <cell r="A610" t="str">
            <v>김치20K-1-BOT</v>
          </cell>
          <cell r="B610" t="str">
            <v>BOX</v>
          </cell>
          <cell r="C610">
            <v>6</v>
          </cell>
          <cell r="D610">
            <v>100</v>
          </cell>
          <cell r="E610" t="str">
            <v>220</v>
          </cell>
          <cell r="F610">
            <v>74</v>
          </cell>
          <cell r="G610" t="str">
            <v>SE2500M</v>
          </cell>
          <cell r="H610">
            <v>12</v>
          </cell>
          <cell r="I610">
            <v>1</v>
          </cell>
          <cell r="J610" t="str">
            <v>용인공장</v>
          </cell>
          <cell r="P610">
            <v>1360</v>
          </cell>
          <cell r="Q610">
            <v>350</v>
          </cell>
          <cell r="R610" t="str">
            <v>빨강</v>
          </cell>
          <cell r="U610">
            <v>44720</v>
          </cell>
          <cell r="V610" t="str">
            <v>이관금형</v>
          </cell>
          <cell r="AC610" t="str">
            <v>김영석사원</v>
          </cell>
          <cell r="AD610">
            <v>0.85</v>
          </cell>
        </row>
        <row r="611">
          <cell r="A611" t="str">
            <v>김치20K</v>
          </cell>
          <cell r="B611" t="str">
            <v>BOX</v>
          </cell>
          <cell r="C611">
            <v>3</v>
          </cell>
          <cell r="D611">
            <v>100</v>
          </cell>
          <cell r="E611">
            <v>300</v>
          </cell>
          <cell r="F611">
            <v>74</v>
          </cell>
          <cell r="G611" t="str">
            <v>SE2500M</v>
          </cell>
          <cell r="H611" t="str">
            <v>T:24 B:12</v>
          </cell>
          <cell r="I611">
            <v>2</v>
          </cell>
          <cell r="J611" t="str">
            <v>용인공장</v>
          </cell>
          <cell r="P611">
            <v>1500</v>
          </cell>
          <cell r="Q611" t="str">
            <v>350</v>
          </cell>
          <cell r="R611" t="str">
            <v>흰색</v>
          </cell>
          <cell r="S611" t="str">
            <v>흰색</v>
          </cell>
          <cell r="U611">
            <v>44707</v>
          </cell>
          <cell r="V611" t="str">
            <v>이관금형</v>
          </cell>
          <cell r="AD611">
            <v>0.85</v>
          </cell>
          <cell r="AF611">
            <v>12</v>
          </cell>
        </row>
        <row r="612">
          <cell r="A612" t="str">
            <v>김치20K</v>
          </cell>
          <cell r="B612" t="str">
            <v>BOX</v>
          </cell>
          <cell r="C612">
            <v>3</v>
          </cell>
          <cell r="D612">
            <v>100</v>
          </cell>
          <cell r="E612">
            <v>300</v>
          </cell>
          <cell r="F612">
            <v>74</v>
          </cell>
          <cell r="G612" t="str">
            <v>SE2500M</v>
          </cell>
          <cell r="H612" t="str">
            <v>T:24 B:12</v>
          </cell>
          <cell r="I612">
            <v>2</v>
          </cell>
          <cell r="J612" t="str">
            <v>용인공장</v>
          </cell>
          <cell r="P612">
            <v>1500</v>
          </cell>
          <cell r="Q612" t="str">
            <v>350</v>
          </cell>
          <cell r="R612" t="str">
            <v>흰색</v>
          </cell>
          <cell r="S612" t="str">
            <v>흰색</v>
          </cell>
          <cell r="U612">
            <v>44707</v>
          </cell>
          <cell r="V612" t="str">
            <v>이관금형</v>
          </cell>
          <cell r="AD612">
            <v>0.85</v>
          </cell>
        </row>
        <row r="613">
          <cell r="A613" t="str">
            <v>김치13K-TOP</v>
          </cell>
          <cell r="B613" t="str">
            <v>BOX</v>
          </cell>
          <cell r="C613">
            <v>6</v>
          </cell>
          <cell r="D613">
            <v>108</v>
          </cell>
          <cell r="E613">
            <v>57</v>
          </cell>
          <cell r="F613">
            <v>74</v>
          </cell>
          <cell r="G613" t="str">
            <v>SE2500M</v>
          </cell>
          <cell r="H613">
            <v>28</v>
          </cell>
          <cell r="I613">
            <v>1</v>
          </cell>
          <cell r="J613" t="str">
            <v>용인공장</v>
          </cell>
          <cell r="P613">
            <v>1360</v>
          </cell>
          <cell r="Q613">
            <v>150</v>
          </cell>
          <cell r="R613" t="str">
            <v>파랑</v>
          </cell>
          <cell r="U613">
            <v>44707</v>
          </cell>
          <cell r="V613" t="str">
            <v>이관금형</v>
          </cell>
          <cell r="Y613">
            <v>99</v>
          </cell>
          <cell r="Z613">
            <v>5658</v>
          </cell>
          <cell r="AD613">
            <v>0.85</v>
          </cell>
        </row>
        <row r="614">
          <cell r="A614" t="str">
            <v>김치13K-TOP</v>
          </cell>
          <cell r="B614" t="str">
            <v>BOX</v>
          </cell>
          <cell r="C614">
            <v>6</v>
          </cell>
          <cell r="D614">
            <v>108</v>
          </cell>
          <cell r="E614">
            <v>57</v>
          </cell>
          <cell r="F614">
            <v>74</v>
          </cell>
          <cell r="G614" t="str">
            <v>SE2500M</v>
          </cell>
          <cell r="H614">
            <v>28</v>
          </cell>
          <cell r="I614">
            <v>1</v>
          </cell>
          <cell r="J614" t="str">
            <v>용인공장</v>
          </cell>
          <cell r="P614">
            <v>1360</v>
          </cell>
          <cell r="Q614">
            <v>150</v>
          </cell>
          <cell r="R614" t="str">
            <v>파랑</v>
          </cell>
          <cell r="U614">
            <v>44707</v>
          </cell>
          <cell r="V614" t="str">
            <v>이관금형</v>
          </cell>
          <cell r="Y614">
            <v>99</v>
          </cell>
          <cell r="Z614">
            <v>5658</v>
          </cell>
          <cell r="AD614">
            <v>0.85</v>
          </cell>
        </row>
        <row r="615">
          <cell r="A615" t="str">
            <v>김치13K-BOT</v>
          </cell>
          <cell r="B615" t="str">
            <v>BOX</v>
          </cell>
          <cell r="C615">
            <v>9</v>
          </cell>
          <cell r="D615">
            <v>107</v>
          </cell>
          <cell r="E615">
            <v>173</v>
          </cell>
          <cell r="F615">
            <v>74</v>
          </cell>
          <cell r="G615" t="str">
            <v>SE2500M</v>
          </cell>
          <cell r="H615">
            <v>14</v>
          </cell>
          <cell r="I615">
            <v>1</v>
          </cell>
          <cell r="J615" t="str">
            <v>용인공장</v>
          </cell>
          <cell r="P615">
            <v>1500</v>
          </cell>
          <cell r="Q615">
            <v>350</v>
          </cell>
          <cell r="R615" t="str">
            <v>파랑</v>
          </cell>
          <cell r="U615">
            <v>44707</v>
          </cell>
          <cell r="V615" t="str">
            <v>이관금형</v>
          </cell>
          <cell r="Y615">
            <v>67</v>
          </cell>
          <cell r="Z615">
            <v>11625</v>
          </cell>
          <cell r="AD615">
            <v>0.85</v>
          </cell>
        </row>
        <row r="616">
          <cell r="A616" t="str">
            <v>김치13K-BOT</v>
          </cell>
          <cell r="B616" t="str">
            <v>BOX</v>
          </cell>
          <cell r="C616">
            <v>9</v>
          </cell>
          <cell r="D616">
            <v>107</v>
          </cell>
          <cell r="E616">
            <v>173</v>
          </cell>
          <cell r="F616">
            <v>74</v>
          </cell>
          <cell r="G616" t="str">
            <v>SE2500M</v>
          </cell>
          <cell r="H616">
            <v>14</v>
          </cell>
          <cell r="I616">
            <v>1</v>
          </cell>
          <cell r="J616" t="str">
            <v>용인공장</v>
          </cell>
          <cell r="P616">
            <v>1500</v>
          </cell>
          <cell r="Q616">
            <v>350</v>
          </cell>
          <cell r="R616" t="str">
            <v>파랑</v>
          </cell>
          <cell r="U616">
            <v>44707</v>
          </cell>
          <cell r="V616" t="str">
            <v>이관금형</v>
          </cell>
          <cell r="Y616">
            <v>67</v>
          </cell>
          <cell r="Z616">
            <v>11625</v>
          </cell>
          <cell r="AD616">
            <v>0.85</v>
          </cell>
        </row>
        <row r="617">
          <cell r="A617" t="str">
            <v>김치13K-2</v>
          </cell>
          <cell r="B617" t="str">
            <v>BOX</v>
          </cell>
          <cell r="C617">
            <v>3</v>
          </cell>
          <cell r="D617">
            <v>100</v>
          </cell>
          <cell r="E617">
            <v>230</v>
          </cell>
          <cell r="F617">
            <v>74</v>
          </cell>
          <cell r="G617" t="str">
            <v>B240NS</v>
          </cell>
          <cell r="H617" t="str">
            <v>TOP:28/BOT:14</v>
          </cell>
          <cell r="I617">
            <v>3</v>
          </cell>
          <cell r="J617" t="str">
            <v>삼일이노팩</v>
          </cell>
          <cell r="P617">
            <v>1360</v>
          </cell>
          <cell r="Q617">
            <v>350</v>
          </cell>
          <cell r="R617" t="str">
            <v>파랑</v>
          </cell>
          <cell r="U617">
            <v>45532</v>
          </cell>
          <cell r="V617" t="str">
            <v>삼일 용인(이관)</v>
          </cell>
          <cell r="AD617">
            <v>0.85</v>
          </cell>
          <cell r="AE617">
            <v>80</v>
          </cell>
          <cell r="AG617" t="str">
            <v>김치13K-2</v>
          </cell>
        </row>
        <row r="618">
          <cell r="A618" t="str">
            <v>김치13K#2</v>
          </cell>
          <cell r="B618" t="str">
            <v>BOX</v>
          </cell>
          <cell r="C618">
            <v>3</v>
          </cell>
          <cell r="D618">
            <v>100</v>
          </cell>
          <cell r="E618">
            <v>230</v>
          </cell>
          <cell r="F618">
            <v>74</v>
          </cell>
          <cell r="G618" t="str">
            <v>B240NS</v>
          </cell>
          <cell r="H618">
            <v>8</v>
          </cell>
          <cell r="I618">
            <v>3</v>
          </cell>
          <cell r="J618" t="str">
            <v>삼일이노팩</v>
          </cell>
          <cell r="P618">
            <v>1360</v>
          </cell>
          <cell r="Q618">
            <v>350</v>
          </cell>
          <cell r="R618" t="str">
            <v>녹색</v>
          </cell>
          <cell r="U618">
            <v>45532</v>
          </cell>
          <cell r="V618" t="str">
            <v>삼일 용인(이관)</v>
          </cell>
          <cell r="W618" t="str">
            <v>융착,버(BURR)불량 확인할것!!</v>
          </cell>
          <cell r="AD618">
            <v>0.85</v>
          </cell>
          <cell r="AE618">
            <v>80</v>
          </cell>
        </row>
        <row r="619">
          <cell r="A619" t="str">
            <v>김치13K</v>
          </cell>
          <cell r="B619" t="str">
            <v>BOX</v>
          </cell>
          <cell r="C619">
            <v>3</v>
          </cell>
          <cell r="D619">
            <v>230</v>
          </cell>
          <cell r="E619">
            <v>181</v>
          </cell>
          <cell r="F619">
            <v>78</v>
          </cell>
          <cell r="G619" t="str">
            <v>B240NS</v>
          </cell>
          <cell r="H619" t="str">
            <v>TOP:48/BOT:12</v>
          </cell>
          <cell r="I619">
            <v>2</v>
          </cell>
          <cell r="J619" t="str">
            <v>용인공장</v>
          </cell>
          <cell r="P619">
            <v>1360</v>
          </cell>
          <cell r="Q619">
            <v>350</v>
          </cell>
          <cell r="R619" t="str">
            <v>보라</v>
          </cell>
          <cell r="U619">
            <v>45219</v>
          </cell>
          <cell r="V619" t="str">
            <v>삼일 용인(이관)</v>
          </cell>
          <cell r="AC619" t="str">
            <v>이동</v>
          </cell>
          <cell r="AD619">
            <v>0.85</v>
          </cell>
        </row>
        <row r="620">
          <cell r="A620" t="str">
            <v>김치10K-TOP#2</v>
          </cell>
          <cell r="B620" t="str">
            <v>BOX</v>
          </cell>
          <cell r="C620">
            <v>8</v>
          </cell>
          <cell r="D620">
            <v>100</v>
          </cell>
          <cell r="E620">
            <v>50</v>
          </cell>
          <cell r="F620">
            <v>74</v>
          </cell>
          <cell r="G620" t="str">
            <v>SE2500M</v>
          </cell>
          <cell r="H620">
            <v>28</v>
          </cell>
          <cell r="I620">
            <v>1</v>
          </cell>
          <cell r="J620" t="str">
            <v>용인공장</v>
          </cell>
          <cell r="P620">
            <v>1360</v>
          </cell>
          <cell r="Q620">
            <v>150</v>
          </cell>
          <cell r="R620" t="str">
            <v>녹색</v>
          </cell>
          <cell r="U620">
            <v>44707</v>
          </cell>
          <cell r="V620" t="str">
            <v>이관금형</v>
          </cell>
          <cell r="Y620">
            <v>72</v>
          </cell>
          <cell r="Z620">
            <v>3610</v>
          </cell>
          <cell r="AD620">
            <v>0.85</v>
          </cell>
        </row>
        <row r="621">
          <cell r="A621" t="str">
            <v>김치10K-TOP#2</v>
          </cell>
          <cell r="B621" t="str">
            <v>BOX</v>
          </cell>
          <cell r="E621">
            <v>50</v>
          </cell>
          <cell r="J621" t="str">
            <v>용인공장</v>
          </cell>
          <cell r="P621">
            <v>1700</v>
          </cell>
          <cell r="Q621">
            <v>300</v>
          </cell>
          <cell r="AD621">
            <v>0.85</v>
          </cell>
          <cell r="AE621">
            <v>75</v>
          </cell>
        </row>
        <row r="622">
          <cell r="A622" t="str">
            <v>김치10K-TOP#2</v>
          </cell>
          <cell r="B622" t="str">
            <v>BOX</v>
          </cell>
          <cell r="C622">
            <v>8</v>
          </cell>
          <cell r="D622">
            <v>100</v>
          </cell>
          <cell r="E622">
            <v>50</v>
          </cell>
          <cell r="F622">
            <v>74</v>
          </cell>
          <cell r="G622" t="str">
            <v>SE2500M</v>
          </cell>
          <cell r="H622">
            <v>28</v>
          </cell>
          <cell r="I622">
            <v>1</v>
          </cell>
          <cell r="J622" t="str">
            <v>용인공장</v>
          </cell>
          <cell r="P622">
            <v>1360</v>
          </cell>
          <cell r="Q622">
            <v>150</v>
          </cell>
          <cell r="R622" t="str">
            <v>녹색</v>
          </cell>
          <cell r="U622">
            <v>44707</v>
          </cell>
          <cell r="V622" t="str">
            <v>이관금형</v>
          </cell>
          <cell r="Y622">
            <v>72</v>
          </cell>
          <cell r="Z622">
            <v>3610</v>
          </cell>
          <cell r="AD622">
            <v>0.85</v>
          </cell>
        </row>
        <row r="623">
          <cell r="A623" t="str">
            <v>김치10K-BOT</v>
          </cell>
          <cell r="B623" t="str">
            <v>BOX</v>
          </cell>
          <cell r="C623" t="str">
            <v>10</v>
          </cell>
          <cell r="D623" t="str">
            <v>100</v>
          </cell>
          <cell r="E623" t="str">
            <v>130</v>
          </cell>
          <cell r="F623" t="str">
            <v>74</v>
          </cell>
          <cell r="G623" t="str">
            <v>SE2500M</v>
          </cell>
          <cell r="H623" t="str">
            <v>14</v>
          </cell>
          <cell r="I623" t="str">
            <v>1</v>
          </cell>
          <cell r="J623" t="str">
            <v>용인공장</v>
          </cell>
          <cell r="P623" t="str">
            <v>1360</v>
          </cell>
          <cell r="Q623" t="str">
            <v>300</v>
          </cell>
          <cell r="R623" t="str">
            <v>노랑</v>
          </cell>
          <cell r="U623">
            <v>44707</v>
          </cell>
          <cell r="V623" t="str">
            <v>이관금형</v>
          </cell>
          <cell r="AD623">
            <v>0.85</v>
          </cell>
        </row>
        <row r="624">
          <cell r="A624" t="str">
            <v>김치10K-BOT</v>
          </cell>
          <cell r="B624" t="str">
            <v>BOX</v>
          </cell>
          <cell r="C624" t="str">
            <v>10</v>
          </cell>
          <cell r="D624" t="str">
            <v>100</v>
          </cell>
          <cell r="E624" t="str">
            <v>130</v>
          </cell>
          <cell r="F624" t="str">
            <v>74</v>
          </cell>
          <cell r="G624" t="str">
            <v>SE2500M</v>
          </cell>
          <cell r="H624" t="str">
            <v>14</v>
          </cell>
          <cell r="I624" t="str">
            <v>1</v>
          </cell>
          <cell r="J624" t="str">
            <v>용인공장</v>
          </cell>
          <cell r="P624" t="str">
            <v>1360</v>
          </cell>
          <cell r="R624" t="str">
            <v>노랑</v>
          </cell>
          <cell r="U624">
            <v>44707</v>
          </cell>
          <cell r="V624" t="str">
            <v>이관금형</v>
          </cell>
        </row>
        <row r="625">
          <cell r="A625" t="str">
            <v>김치10K</v>
          </cell>
          <cell r="B625" t="str">
            <v>BOX</v>
          </cell>
          <cell r="C625">
            <v>10</v>
          </cell>
          <cell r="D625">
            <v>100</v>
          </cell>
          <cell r="E625">
            <v>130</v>
          </cell>
          <cell r="F625">
            <v>74</v>
          </cell>
          <cell r="G625" t="str">
            <v>SE2500M</v>
          </cell>
          <cell r="H625">
            <v>14</v>
          </cell>
          <cell r="I625">
            <v>1</v>
          </cell>
          <cell r="J625" t="str">
            <v>용인공장</v>
          </cell>
          <cell r="P625">
            <v>1500</v>
          </cell>
          <cell r="Q625">
            <v>300</v>
          </cell>
          <cell r="R625" t="str">
            <v>노랑</v>
          </cell>
          <cell r="U625">
            <v>44707</v>
          </cell>
          <cell r="V625" t="str">
            <v>이관금형</v>
          </cell>
          <cell r="Y625">
            <v>66</v>
          </cell>
          <cell r="Z625">
            <v>8529</v>
          </cell>
          <cell r="AD625">
            <v>0.85</v>
          </cell>
        </row>
        <row r="626">
          <cell r="A626" t="str">
            <v>굴BOX3K</v>
          </cell>
          <cell r="B626" t="str">
            <v>BOX</v>
          </cell>
          <cell r="C626">
            <v>8</v>
          </cell>
          <cell r="D626">
            <v>80</v>
          </cell>
          <cell r="E626">
            <v>40</v>
          </cell>
          <cell r="F626">
            <v>74</v>
          </cell>
          <cell r="G626" t="str">
            <v>SE2500M</v>
          </cell>
          <cell r="H626">
            <v>40</v>
          </cell>
          <cell r="I626">
            <v>1</v>
          </cell>
          <cell r="J626" t="str">
            <v>삼일이노팩</v>
          </cell>
          <cell r="K626">
            <v>91</v>
          </cell>
          <cell r="L626">
            <v>95</v>
          </cell>
          <cell r="O626">
            <v>450</v>
          </cell>
          <cell r="P626">
            <v>1360</v>
          </cell>
          <cell r="Q626">
            <v>200</v>
          </cell>
          <cell r="R626" t="str">
            <v>노랑</v>
          </cell>
          <cell r="S626" t="str">
            <v>노랑</v>
          </cell>
          <cell r="T626" t="str">
            <v>굴박스3K몸체</v>
          </cell>
          <cell r="U626">
            <v>40161</v>
          </cell>
          <cell r="V626" t="str">
            <v>삼일금형</v>
          </cell>
          <cell r="X626" t="str">
            <v>Q-0102</v>
          </cell>
          <cell r="Y626">
            <v>64</v>
          </cell>
          <cell r="Z626">
            <v>2580</v>
          </cell>
          <cell r="AC626" t="str">
            <v>2009.12.16승인완료2014.12.01기준중량,기준배율변경(50-65,64배)2015.0106인중량변경(50g-40)몸통중량만뚜껑따로</v>
          </cell>
          <cell r="AD626">
            <v>0.85</v>
          </cell>
          <cell r="AE626">
            <v>69</v>
          </cell>
          <cell r="AF626">
            <v>2</v>
          </cell>
        </row>
        <row r="627">
          <cell r="A627" t="str">
            <v>굴BOX2K</v>
          </cell>
          <cell r="B627" t="str">
            <v>BOX</v>
          </cell>
          <cell r="C627">
            <v>8</v>
          </cell>
          <cell r="D627">
            <v>65</v>
          </cell>
          <cell r="E627">
            <v>30</v>
          </cell>
          <cell r="F627">
            <v>74</v>
          </cell>
          <cell r="G627" t="str">
            <v>SE2500M</v>
          </cell>
          <cell r="H627">
            <v>60</v>
          </cell>
          <cell r="I627">
            <v>1</v>
          </cell>
          <cell r="J627" t="str">
            <v>삼일이노팩</v>
          </cell>
          <cell r="K627">
            <v>61</v>
          </cell>
          <cell r="L627">
            <v>65</v>
          </cell>
          <cell r="O627">
            <v>330</v>
          </cell>
          <cell r="P627">
            <v>1360</v>
          </cell>
          <cell r="Q627">
            <v>150</v>
          </cell>
          <cell r="R627" t="str">
            <v>파랑</v>
          </cell>
          <cell r="S627" t="str">
            <v>파랑</v>
          </cell>
          <cell r="T627" t="str">
            <v>굴박스2K몸체</v>
          </cell>
          <cell r="U627">
            <v>40163</v>
          </cell>
          <cell r="V627" t="str">
            <v>삼일금형</v>
          </cell>
          <cell r="X627" t="str">
            <v>Q-0102</v>
          </cell>
          <cell r="Y627">
            <v>64</v>
          </cell>
          <cell r="Z627">
            <v>1984</v>
          </cell>
          <cell r="AC627" t="str">
            <v>2014.12.01기준중량,기준배율변경(40-56)2015.0106인중량변경(40g-30)몸통중량만뚜껑따로</v>
          </cell>
          <cell r="AD627">
            <v>0.85</v>
          </cell>
          <cell r="AE627">
            <v>75</v>
          </cell>
          <cell r="AF627">
            <v>6</v>
          </cell>
        </row>
        <row r="628">
          <cell r="A628" t="str">
            <v>굴BOX#6(몸통/뚜껑)</v>
          </cell>
          <cell r="B628" t="str">
            <v>BOX</v>
          </cell>
          <cell r="C628">
            <v>6</v>
          </cell>
          <cell r="D628">
            <v>100</v>
          </cell>
          <cell r="E628">
            <v>99</v>
          </cell>
          <cell r="F628">
            <v>74</v>
          </cell>
          <cell r="G628" t="str">
            <v>SE2500M</v>
          </cell>
          <cell r="H628" t="str">
            <v>B:20 T:80</v>
          </cell>
          <cell r="I628">
            <v>2</v>
          </cell>
          <cell r="J628" t="str">
            <v>용인공장</v>
          </cell>
          <cell r="K628">
            <v>28</v>
          </cell>
          <cell r="L628">
            <v>32</v>
          </cell>
          <cell r="M628">
            <v>218</v>
          </cell>
          <cell r="N628">
            <v>222</v>
          </cell>
          <cell r="P628">
            <v>1500</v>
          </cell>
          <cell r="Q628">
            <v>350</v>
          </cell>
          <cell r="R628" t="str">
            <v>빨강</v>
          </cell>
          <cell r="U628">
            <v>44746</v>
          </cell>
          <cell r="V628" t="str">
            <v>금형사업부</v>
          </cell>
          <cell r="AC628" t="str">
            <v>김영석사원</v>
          </cell>
          <cell r="AD628">
            <v>0.85</v>
          </cell>
        </row>
        <row r="629">
          <cell r="A629" t="str">
            <v>굴BOX#5(몸통/뚜껑)</v>
          </cell>
          <cell r="B629" t="str">
            <v>BOX</v>
          </cell>
          <cell r="C629">
            <v>6</v>
          </cell>
          <cell r="D629">
            <v>80</v>
          </cell>
          <cell r="E629">
            <v>99</v>
          </cell>
          <cell r="F629">
            <v>78</v>
          </cell>
          <cell r="G629" t="str">
            <v>SE2500M</v>
          </cell>
          <cell r="H629" t="str">
            <v>B:20 T:80</v>
          </cell>
          <cell r="I629">
            <v>2</v>
          </cell>
          <cell r="J629" t="str">
            <v>삼일이노팩</v>
          </cell>
          <cell r="K629">
            <v>28</v>
          </cell>
          <cell r="L629">
            <v>32</v>
          </cell>
          <cell r="M629">
            <v>218</v>
          </cell>
          <cell r="N629">
            <v>222</v>
          </cell>
          <cell r="P629">
            <v>1500</v>
          </cell>
          <cell r="Q629">
            <v>300</v>
          </cell>
          <cell r="R629" t="str">
            <v>파랑</v>
          </cell>
          <cell r="S629" t="str">
            <v>파랑</v>
          </cell>
          <cell r="U629">
            <v>41817</v>
          </cell>
          <cell r="V629" t="str">
            <v>금형제조부</v>
          </cell>
          <cell r="AC629" t="str">
            <v>김영석사원</v>
          </cell>
          <cell r="AD629">
            <v>0.85</v>
          </cell>
          <cell r="AE629">
            <v>75</v>
          </cell>
          <cell r="AF629">
            <v>9</v>
          </cell>
        </row>
        <row r="630">
          <cell r="A630" t="str">
            <v>굴BOX#5(55배)</v>
          </cell>
          <cell r="B630" t="str">
            <v>BOX</v>
          </cell>
          <cell r="C630">
            <v>6</v>
          </cell>
          <cell r="D630">
            <v>80</v>
          </cell>
          <cell r="E630">
            <v>116</v>
          </cell>
          <cell r="F630">
            <v>65</v>
          </cell>
          <cell r="G630" t="str">
            <v>B240NS</v>
          </cell>
          <cell r="H630" t="str">
            <v>B:20 T:80</v>
          </cell>
          <cell r="I630">
            <v>2</v>
          </cell>
          <cell r="J630" t="str">
            <v>삼일이노팩</v>
          </cell>
          <cell r="K630">
            <v>28</v>
          </cell>
          <cell r="L630">
            <v>32</v>
          </cell>
          <cell r="M630">
            <v>218</v>
          </cell>
          <cell r="N630">
            <v>222</v>
          </cell>
          <cell r="O630">
            <v>530</v>
          </cell>
          <cell r="P630">
            <v>1500</v>
          </cell>
          <cell r="Q630">
            <v>350</v>
          </cell>
          <cell r="R630" t="str">
            <v>주황</v>
          </cell>
          <cell r="S630" t="str">
            <v>파란비닐</v>
          </cell>
          <cell r="T630" t="str">
            <v>굴BOX(뚜껑,몸체)</v>
          </cell>
          <cell r="U630">
            <v>41817</v>
          </cell>
          <cell r="V630" t="str">
            <v>금형제조부</v>
          </cell>
          <cell r="Y630">
            <v>55</v>
          </cell>
          <cell r="Z630">
            <v>6744</v>
          </cell>
          <cell r="AC630" t="str">
            <v>2015.09.23모델등록</v>
          </cell>
          <cell r="AD630">
            <v>0.85</v>
          </cell>
          <cell r="AE630">
            <v>75</v>
          </cell>
          <cell r="AF630">
            <v>4</v>
          </cell>
        </row>
        <row r="631">
          <cell r="A631" t="str">
            <v>굴BOX#5</v>
          </cell>
          <cell r="B631" t="str">
            <v>BOX</v>
          </cell>
          <cell r="C631">
            <v>6</v>
          </cell>
          <cell r="D631">
            <v>70</v>
          </cell>
          <cell r="E631">
            <v>105</v>
          </cell>
          <cell r="F631">
            <v>74</v>
          </cell>
          <cell r="G631" t="str">
            <v>SE2500M</v>
          </cell>
          <cell r="H631">
            <v>20</v>
          </cell>
          <cell r="I631">
            <v>2</v>
          </cell>
          <cell r="J631" t="str">
            <v>삼일이노팩</v>
          </cell>
          <cell r="K631">
            <v>28</v>
          </cell>
          <cell r="L631">
            <v>32</v>
          </cell>
          <cell r="M631">
            <v>218</v>
          </cell>
          <cell r="N631">
            <v>222</v>
          </cell>
          <cell r="O631">
            <v>700</v>
          </cell>
          <cell r="P631">
            <v>1500</v>
          </cell>
          <cell r="Q631">
            <v>350</v>
          </cell>
          <cell r="R631" t="str">
            <v>빨강</v>
          </cell>
          <cell r="S631" t="str">
            <v>빨강</v>
          </cell>
          <cell r="T631" t="str">
            <v>굴BOX(뚜껑,몸체)</v>
          </cell>
          <cell r="U631">
            <v>43948</v>
          </cell>
          <cell r="V631" t="str">
            <v>금형제조부</v>
          </cell>
          <cell r="Y631">
            <v>64</v>
          </cell>
          <cell r="Z631">
            <v>6744</v>
          </cell>
          <cell r="AC631" t="str">
            <v>석상준과장, 2021.05.03재코팅</v>
          </cell>
          <cell r="AD631">
            <v>0.85</v>
          </cell>
          <cell r="AE631">
            <v>70</v>
          </cell>
        </row>
        <row r="632">
          <cell r="A632" t="str">
            <v>굴BOX#5</v>
          </cell>
          <cell r="B632" t="str">
            <v>BOX</v>
          </cell>
          <cell r="C632">
            <v>6</v>
          </cell>
          <cell r="D632">
            <v>70</v>
          </cell>
          <cell r="E632">
            <v>105</v>
          </cell>
          <cell r="F632">
            <v>74</v>
          </cell>
          <cell r="G632" t="str">
            <v>SE2500M</v>
          </cell>
          <cell r="H632">
            <v>20</v>
          </cell>
          <cell r="I632">
            <v>2</v>
          </cell>
          <cell r="J632" t="str">
            <v>삼일이노팩</v>
          </cell>
          <cell r="K632">
            <v>28</v>
          </cell>
          <cell r="L632">
            <v>32</v>
          </cell>
          <cell r="M632">
            <v>218</v>
          </cell>
          <cell r="N632">
            <v>222</v>
          </cell>
          <cell r="O632">
            <v>700</v>
          </cell>
          <cell r="P632">
            <v>1500</v>
          </cell>
          <cell r="Q632">
            <v>350</v>
          </cell>
          <cell r="R632" t="str">
            <v>빨강</v>
          </cell>
          <cell r="S632" t="str">
            <v>빨강</v>
          </cell>
          <cell r="T632" t="str">
            <v>굴BOX(뚜껑,몸체)</v>
          </cell>
          <cell r="U632">
            <v>43948</v>
          </cell>
          <cell r="V632" t="str">
            <v>금형제조부</v>
          </cell>
          <cell r="Y632">
            <v>64</v>
          </cell>
          <cell r="Z632">
            <v>6744</v>
          </cell>
          <cell r="AC632" t="str">
            <v>석상준과장, 2021.05.03재코팅</v>
          </cell>
          <cell r="AD632">
            <v>0.85</v>
          </cell>
          <cell r="AE632">
            <v>70</v>
          </cell>
        </row>
        <row r="633">
          <cell r="A633" t="str">
            <v>굴BOX#4(55배)</v>
          </cell>
          <cell r="B633" t="str">
            <v>BOX</v>
          </cell>
          <cell r="C633">
            <v>6</v>
          </cell>
          <cell r="D633">
            <v>80</v>
          </cell>
          <cell r="E633">
            <v>125</v>
          </cell>
          <cell r="F633">
            <v>65</v>
          </cell>
          <cell r="G633" t="str">
            <v>B240NS</v>
          </cell>
          <cell r="H633">
            <v>20</v>
          </cell>
          <cell r="I633">
            <v>2</v>
          </cell>
          <cell r="J633" t="str">
            <v>삼일이노팩</v>
          </cell>
          <cell r="K633">
            <v>28</v>
          </cell>
          <cell r="L633">
            <v>32</v>
          </cell>
          <cell r="M633">
            <v>218</v>
          </cell>
          <cell r="N633">
            <v>222</v>
          </cell>
          <cell r="O633">
            <v>530</v>
          </cell>
          <cell r="P633">
            <v>1500</v>
          </cell>
          <cell r="Q633">
            <v>350</v>
          </cell>
          <cell r="R633" t="str">
            <v>주황</v>
          </cell>
          <cell r="S633" t="str">
            <v>주황</v>
          </cell>
          <cell r="T633" t="str">
            <v>굴BOX(뚜껑,몸체)</v>
          </cell>
          <cell r="U633">
            <v>41817</v>
          </cell>
          <cell r="V633" t="str">
            <v>금형제조부</v>
          </cell>
          <cell r="Y633">
            <v>55</v>
          </cell>
          <cell r="Z633">
            <v>6744</v>
          </cell>
          <cell r="AC633" t="str">
            <v>2015.09.23모델등록</v>
          </cell>
          <cell r="AD633">
            <v>0.85</v>
          </cell>
          <cell r="AE633">
            <v>75</v>
          </cell>
          <cell r="AF633">
            <v>4</v>
          </cell>
        </row>
        <row r="634">
          <cell r="A634" t="str">
            <v>굴BOX#3(48배)</v>
          </cell>
          <cell r="B634" t="str">
            <v>BOX</v>
          </cell>
          <cell r="C634">
            <v>4</v>
          </cell>
          <cell r="D634">
            <v>90</v>
          </cell>
          <cell r="E634">
            <v>135</v>
          </cell>
          <cell r="F634">
            <v>58</v>
          </cell>
          <cell r="G634" t="str">
            <v>B240NS</v>
          </cell>
          <cell r="H634">
            <v>20</v>
          </cell>
          <cell r="I634">
            <v>2</v>
          </cell>
          <cell r="J634" t="str">
            <v>삼일이노팩</v>
          </cell>
          <cell r="K634">
            <v>28</v>
          </cell>
          <cell r="L634">
            <v>32</v>
          </cell>
          <cell r="M634">
            <v>218</v>
          </cell>
          <cell r="N634">
            <v>222</v>
          </cell>
          <cell r="O634">
            <v>1000</v>
          </cell>
          <cell r="P634">
            <v>1360</v>
          </cell>
          <cell r="Q634">
            <v>300</v>
          </cell>
          <cell r="R634" t="str">
            <v>검정</v>
          </cell>
          <cell r="S634" t="str">
            <v>검정</v>
          </cell>
          <cell r="Z634">
            <v>6744</v>
          </cell>
          <cell r="AA634">
            <v>45510</v>
          </cell>
          <cell r="AC634" t="str">
            <v>금형없음.굴BOX#3금형동일</v>
          </cell>
          <cell r="AD634">
            <v>0.89</v>
          </cell>
          <cell r="AE634">
            <v>70</v>
          </cell>
          <cell r="AF634">
            <v>3</v>
          </cell>
        </row>
        <row r="635">
          <cell r="A635" t="str">
            <v>굴BOX#2</v>
          </cell>
          <cell r="B635" t="str">
            <v>BOX</v>
          </cell>
          <cell r="C635">
            <v>6</v>
          </cell>
          <cell r="D635">
            <v>70</v>
          </cell>
          <cell r="E635">
            <v>105</v>
          </cell>
          <cell r="F635">
            <v>74</v>
          </cell>
          <cell r="G635" t="str">
            <v>SE2500M</v>
          </cell>
          <cell r="H635">
            <v>20</v>
          </cell>
          <cell r="I635">
            <v>2</v>
          </cell>
          <cell r="J635" t="str">
            <v>아산이피에스</v>
          </cell>
          <cell r="K635">
            <v>28</v>
          </cell>
          <cell r="L635">
            <v>32</v>
          </cell>
          <cell r="M635">
            <v>218</v>
          </cell>
          <cell r="N635">
            <v>222</v>
          </cell>
          <cell r="O635">
            <v>700</v>
          </cell>
          <cell r="P635">
            <v>1500</v>
          </cell>
          <cell r="Q635">
            <v>350</v>
          </cell>
          <cell r="R635" t="str">
            <v>빨강</v>
          </cell>
          <cell r="S635" t="str">
            <v>빨강</v>
          </cell>
          <cell r="T635" t="str">
            <v>굴BOX(뚜껑,몸체)</v>
          </cell>
          <cell r="U635">
            <v>43948</v>
          </cell>
          <cell r="V635" t="str">
            <v>금형제조부</v>
          </cell>
          <cell r="Y635">
            <v>64</v>
          </cell>
          <cell r="Z635">
            <v>6744</v>
          </cell>
          <cell r="AC635" t="str">
            <v>석상준과장, 2021.05.03재코팅</v>
          </cell>
          <cell r="AD635">
            <v>0.85</v>
          </cell>
          <cell r="AE635">
            <v>70</v>
          </cell>
        </row>
        <row r="636">
          <cell r="A636" t="str">
            <v>굴2K3K뚜껑</v>
          </cell>
          <cell r="B636" t="str">
            <v>BOX</v>
          </cell>
          <cell r="C636">
            <v>8</v>
          </cell>
          <cell r="D636">
            <v>65</v>
          </cell>
          <cell r="E636">
            <v>25</v>
          </cell>
          <cell r="F636">
            <v>70</v>
          </cell>
          <cell r="G636" t="str">
            <v>SE2500M</v>
          </cell>
          <cell r="H636">
            <v>100</v>
          </cell>
          <cell r="I636">
            <v>1</v>
          </cell>
          <cell r="J636" t="str">
            <v>삼일이노팩</v>
          </cell>
          <cell r="K636">
            <v>22</v>
          </cell>
          <cell r="L636">
            <v>26</v>
          </cell>
          <cell r="O636">
            <v>0</v>
          </cell>
          <cell r="P636">
            <v>1360</v>
          </cell>
          <cell r="Q636">
            <v>150</v>
          </cell>
          <cell r="R636" t="str">
            <v>녹색</v>
          </cell>
          <cell r="S636" t="str">
            <v>녹색</v>
          </cell>
          <cell r="T636" t="str">
            <v>굴박스2K3K공용뚜껑</v>
          </cell>
          <cell r="U636">
            <v>40161</v>
          </cell>
          <cell r="V636" t="str">
            <v>삼일금형</v>
          </cell>
          <cell r="X636" t="str">
            <v>Q-0501</v>
          </cell>
          <cell r="AC636" t="str">
            <v>2009.12.16승인완료2015.0106인중량변경(40g-25g)</v>
          </cell>
          <cell r="AD636">
            <v>0.85</v>
          </cell>
          <cell r="AE636">
            <v>75</v>
          </cell>
          <cell r="AF636">
            <v>8</v>
          </cell>
        </row>
        <row r="637">
          <cell r="A637" t="str">
            <v>광폭정식판(33배)</v>
          </cell>
          <cell r="B637" t="str">
            <v>SET</v>
          </cell>
          <cell r="C637">
            <v>1</v>
          </cell>
          <cell r="D637">
            <v>100</v>
          </cell>
          <cell r="E637">
            <v>1600</v>
          </cell>
          <cell r="F637">
            <v>36</v>
          </cell>
          <cell r="G637" t="str">
            <v>B240NS</v>
          </cell>
          <cell r="H637">
            <v>5</v>
          </cell>
          <cell r="I637">
            <v>1</v>
          </cell>
          <cell r="J637" t="str">
            <v>가화텍</v>
          </cell>
          <cell r="K637">
            <v>31.5</v>
          </cell>
          <cell r="L637">
            <v>33.5</v>
          </cell>
          <cell r="O637">
            <v>8500</v>
          </cell>
          <cell r="P637">
            <v>1360</v>
          </cell>
          <cell r="Q637">
            <v>150</v>
          </cell>
          <cell r="R637" t="str">
            <v>밴딩</v>
          </cell>
          <cell r="S637" t="str">
            <v>밴딩</v>
          </cell>
          <cell r="T637" t="str">
            <v>대파정식판-180#26</v>
          </cell>
          <cell r="U637">
            <v>39372</v>
          </cell>
          <cell r="V637" t="str">
            <v>삼일금형</v>
          </cell>
          <cell r="W637" t="str">
            <v>MPTP-180 , 26차</v>
          </cell>
          <cell r="AC637" t="str">
            <v>04-11-15코팅완료관리중량(750~800G)-장석운이사님통보.10.3.22일중량1055g에서1021g으로변경.</v>
          </cell>
          <cell r="AD637">
            <v>0.9</v>
          </cell>
          <cell r="AE637">
            <v>100</v>
          </cell>
          <cell r="AF637">
            <v>2</v>
          </cell>
        </row>
        <row r="638">
          <cell r="A638" t="str">
            <v>광폭정식판</v>
          </cell>
          <cell r="B638" t="str">
            <v>SET</v>
          </cell>
          <cell r="C638">
            <v>1</v>
          </cell>
          <cell r="D638">
            <v>100</v>
          </cell>
          <cell r="E638">
            <v>1021</v>
          </cell>
          <cell r="F638">
            <v>50</v>
          </cell>
          <cell r="G638" t="str">
            <v>B240NS</v>
          </cell>
          <cell r="H638">
            <v>5</v>
          </cell>
          <cell r="I638">
            <v>1</v>
          </cell>
          <cell r="J638" t="str">
            <v>가화텍</v>
          </cell>
          <cell r="K638">
            <v>32</v>
          </cell>
          <cell r="L638">
            <v>34</v>
          </cell>
          <cell r="O638">
            <v>5450</v>
          </cell>
          <cell r="P638">
            <v>1360</v>
          </cell>
          <cell r="Q638">
            <v>150</v>
          </cell>
          <cell r="R638" t="str">
            <v>밴딩</v>
          </cell>
          <cell r="S638" t="str">
            <v>밴딩</v>
          </cell>
          <cell r="T638" t="str">
            <v>대파정식판-180#26</v>
          </cell>
          <cell r="U638">
            <v>39372</v>
          </cell>
          <cell r="V638" t="str">
            <v>삼일금형</v>
          </cell>
          <cell r="W638" t="str">
            <v>MPTP-180 , 26차</v>
          </cell>
          <cell r="X638" t="str">
            <v>R-0201</v>
          </cell>
          <cell r="AC638" t="str">
            <v>04-11-15코팅완료관리중량(750~800G)-장석운이사님통보.10.3.22일중량1055g에서1021g으로변경.</v>
          </cell>
          <cell r="AD638">
            <v>0.85</v>
          </cell>
          <cell r="AE638">
            <v>100</v>
          </cell>
          <cell r="AF638">
            <v>1</v>
          </cell>
        </row>
        <row r="639">
          <cell r="A639" t="str">
            <v>계수기EPE</v>
          </cell>
          <cell r="B639" t="str">
            <v>PAD</v>
          </cell>
          <cell r="J639" t="str">
            <v>이뱅킹테크</v>
          </cell>
          <cell r="O639">
            <v>4200</v>
          </cell>
          <cell r="P639" t="str">
            <v>340*300*90T(동진폴리우레탄매입품)</v>
          </cell>
        </row>
        <row r="640">
          <cell r="A640" t="str">
            <v>계수기EPE</v>
          </cell>
          <cell r="B640" t="str">
            <v>PAD</v>
          </cell>
          <cell r="J640" t="str">
            <v>이뱅킹테크</v>
          </cell>
          <cell r="O640">
            <v>4200</v>
          </cell>
          <cell r="P640" t="str">
            <v>340*300*90T(동진폴리우레탄매입품)</v>
          </cell>
        </row>
        <row r="641">
          <cell r="A641" t="str">
            <v>갈비5구(회색)</v>
          </cell>
          <cell r="B641" t="str">
            <v>저발</v>
          </cell>
          <cell r="C641">
            <v>2</v>
          </cell>
          <cell r="D641">
            <v>85</v>
          </cell>
          <cell r="E641">
            <v>523</v>
          </cell>
          <cell r="F641">
            <v>40</v>
          </cell>
          <cell r="G641" t="str">
            <v>ZP2500</v>
          </cell>
          <cell r="H641">
            <v>30</v>
          </cell>
          <cell r="I641">
            <v>1</v>
          </cell>
          <cell r="J641" t="str">
            <v>평창축협</v>
          </cell>
          <cell r="K641">
            <v>59</v>
          </cell>
          <cell r="L641">
            <v>63</v>
          </cell>
          <cell r="O641">
            <v>100</v>
          </cell>
          <cell r="P641">
            <v>500</v>
          </cell>
          <cell r="R641" t="str">
            <v>노랑</v>
          </cell>
          <cell r="S641" t="str">
            <v>노랑</v>
          </cell>
          <cell r="T641" t="str">
            <v>갈비5구</v>
          </cell>
          <cell r="U641">
            <v>40269</v>
          </cell>
          <cell r="V641" t="str">
            <v>삼일금형</v>
          </cell>
          <cell r="AC641" t="str">
            <v>금형없음,갈비5구 동일금형</v>
          </cell>
          <cell r="AD641">
            <v>0.9</v>
          </cell>
          <cell r="AE641">
            <v>85</v>
          </cell>
          <cell r="AF641">
            <v>8</v>
          </cell>
        </row>
        <row r="642">
          <cell r="A642" t="str">
            <v>갈비5구(48배)</v>
          </cell>
          <cell r="B642" t="str">
            <v>저발</v>
          </cell>
          <cell r="C642">
            <v>2</v>
          </cell>
          <cell r="D642">
            <v>85</v>
          </cell>
          <cell r="E642">
            <v>436</v>
          </cell>
          <cell r="F642">
            <v>58</v>
          </cell>
          <cell r="G642" t="str">
            <v>B240NS</v>
          </cell>
          <cell r="H642">
            <v>30</v>
          </cell>
          <cell r="I642">
            <v>1</v>
          </cell>
          <cell r="J642" t="str">
            <v>평창축협</v>
          </cell>
          <cell r="K642">
            <v>59</v>
          </cell>
          <cell r="L642">
            <v>63</v>
          </cell>
          <cell r="O642">
            <v>100</v>
          </cell>
          <cell r="P642">
            <v>500</v>
          </cell>
          <cell r="R642" t="str">
            <v>노랑</v>
          </cell>
          <cell r="S642" t="str">
            <v>노랑</v>
          </cell>
          <cell r="T642" t="str">
            <v>갈비5구</v>
          </cell>
          <cell r="U642">
            <v>40269</v>
          </cell>
          <cell r="V642" t="str">
            <v>삼일금형</v>
          </cell>
          <cell r="AC642" t="str">
            <v>금형없음,갈비5구 동일금형</v>
          </cell>
          <cell r="AD642">
            <v>0.9</v>
          </cell>
          <cell r="AE642">
            <v>85</v>
          </cell>
          <cell r="AF642">
            <v>4</v>
          </cell>
        </row>
        <row r="643">
          <cell r="A643" t="str">
            <v>갈비5구</v>
          </cell>
          <cell r="B643" t="str">
            <v>저발</v>
          </cell>
          <cell r="C643">
            <v>2</v>
          </cell>
          <cell r="D643">
            <v>85</v>
          </cell>
          <cell r="E643">
            <v>523</v>
          </cell>
          <cell r="F643">
            <v>36</v>
          </cell>
          <cell r="G643" t="str">
            <v>B240NS</v>
          </cell>
          <cell r="H643">
            <v>30</v>
          </cell>
          <cell r="I643">
            <v>1</v>
          </cell>
          <cell r="J643" t="str">
            <v>평창축협</v>
          </cell>
          <cell r="K643">
            <v>59</v>
          </cell>
          <cell r="L643">
            <v>63</v>
          </cell>
          <cell r="O643">
            <v>382</v>
          </cell>
          <cell r="P643">
            <v>500</v>
          </cell>
          <cell r="R643" t="str">
            <v>노랑</v>
          </cell>
          <cell r="S643" t="str">
            <v>노랑</v>
          </cell>
          <cell r="T643" t="str">
            <v>갈비5구</v>
          </cell>
          <cell r="U643">
            <v>40269</v>
          </cell>
          <cell r="V643" t="str">
            <v>삼일금형</v>
          </cell>
          <cell r="X643" t="str">
            <v>P-0901</v>
          </cell>
          <cell r="Z643">
            <v>20930</v>
          </cell>
          <cell r="AC643" t="str">
            <v>2015.01.07 승인중량(523)</v>
          </cell>
          <cell r="AD643">
            <v>0.85</v>
          </cell>
          <cell r="AE643">
            <v>85</v>
          </cell>
          <cell r="AF643">
            <v>8</v>
          </cell>
        </row>
        <row r="644">
          <cell r="A644" t="str">
            <v>갈비4구(회색)</v>
          </cell>
          <cell r="B644" t="str">
            <v>회색</v>
          </cell>
          <cell r="C644">
            <v>6</v>
          </cell>
          <cell r="D644">
            <v>85</v>
          </cell>
          <cell r="E644">
            <v>95</v>
          </cell>
          <cell r="F644">
            <v>40</v>
          </cell>
          <cell r="G644" t="str">
            <v>ZP2500</v>
          </cell>
          <cell r="H644">
            <v>30</v>
          </cell>
          <cell r="I644">
            <v>1</v>
          </cell>
          <cell r="J644" t="str">
            <v>평창축협</v>
          </cell>
          <cell r="K644">
            <v>59</v>
          </cell>
          <cell r="L644">
            <v>63</v>
          </cell>
          <cell r="O644">
            <v>100</v>
          </cell>
          <cell r="P644">
            <v>1360</v>
          </cell>
          <cell r="Q644">
            <v>150</v>
          </cell>
          <cell r="R644" t="str">
            <v>흰색</v>
          </cell>
          <cell r="S644" t="str">
            <v>흰색</v>
          </cell>
          <cell r="T644" t="str">
            <v>갈비4구</v>
          </cell>
          <cell r="U644">
            <v>40243</v>
          </cell>
          <cell r="V644" t="str">
            <v>삼일금형</v>
          </cell>
          <cell r="AC644" t="str">
            <v>금형없음,갈비5구 동일금형</v>
          </cell>
          <cell r="AD644">
            <v>0.9</v>
          </cell>
          <cell r="AE644">
            <v>95</v>
          </cell>
          <cell r="AF644">
            <v>8</v>
          </cell>
        </row>
        <row r="645">
          <cell r="A645" t="str">
            <v>갈비4구(48배)</v>
          </cell>
          <cell r="B645" t="str">
            <v>BOX</v>
          </cell>
          <cell r="C645">
            <v>6</v>
          </cell>
          <cell r="D645">
            <v>85</v>
          </cell>
          <cell r="E645">
            <v>340</v>
          </cell>
          <cell r="F645">
            <v>58</v>
          </cell>
          <cell r="G645" t="str">
            <v>B240NS</v>
          </cell>
          <cell r="H645">
            <v>30</v>
          </cell>
          <cell r="I645">
            <v>1</v>
          </cell>
          <cell r="J645" t="str">
            <v>평창축협</v>
          </cell>
          <cell r="K645">
            <v>59</v>
          </cell>
          <cell r="L645">
            <v>63</v>
          </cell>
          <cell r="O645">
            <v>100</v>
          </cell>
          <cell r="P645">
            <v>1360</v>
          </cell>
          <cell r="Q645">
            <v>150</v>
          </cell>
          <cell r="R645" t="str">
            <v>주황</v>
          </cell>
          <cell r="S645" t="str">
            <v>주황</v>
          </cell>
          <cell r="T645" t="str">
            <v>갈비4구</v>
          </cell>
          <cell r="U645">
            <v>40243</v>
          </cell>
          <cell r="V645" t="str">
            <v>삼일금형</v>
          </cell>
          <cell r="AC645" t="str">
            <v>금형없음,갈비5구 동일금형</v>
          </cell>
          <cell r="AD645">
            <v>0.9</v>
          </cell>
          <cell r="AE645">
            <v>85</v>
          </cell>
          <cell r="AF645">
            <v>8</v>
          </cell>
        </row>
        <row r="646">
          <cell r="A646" t="str">
            <v>갈비4구</v>
          </cell>
          <cell r="B646" t="str">
            <v>BOX</v>
          </cell>
          <cell r="C646">
            <v>6</v>
          </cell>
          <cell r="D646">
            <v>95</v>
          </cell>
          <cell r="E646">
            <v>95</v>
          </cell>
          <cell r="F646">
            <v>36</v>
          </cell>
          <cell r="G646" t="str">
            <v>B240NS</v>
          </cell>
          <cell r="H646">
            <v>30</v>
          </cell>
          <cell r="I646">
            <v>1</v>
          </cell>
          <cell r="J646" t="str">
            <v>평창축협</v>
          </cell>
          <cell r="K646">
            <v>59</v>
          </cell>
          <cell r="L646">
            <v>63</v>
          </cell>
          <cell r="O646">
            <v>382</v>
          </cell>
          <cell r="P646">
            <v>1360</v>
          </cell>
          <cell r="Q646">
            <v>150</v>
          </cell>
          <cell r="R646" t="str">
            <v>주황</v>
          </cell>
          <cell r="S646" t="str">
            <v>주황</v>
          </cell>
          <cell r="T646" t="str">
            <v>갈비4구</v>
          </cell>
          <cell r="U646">
            <v>40243</v>
          </cell>
          <cell r="V646" t="str">
            <v>삼일금형</v>
          </cell>
          <cell r="X646" t="str">
            <v>Q-0103</v>
          </cell>
          <cell r="Z646">
            <v>16318</v>
          </cell>
          <cell r="AC646" t="str">
            <v>2010.01.16승인완료,,2015.01.07 승인중량(408),2015.12.21 기준중량변경(408-&gt;95)</v>
          </cell>
          <cell r="AD646">
            <v>0.9</v>
          </cell>
          <cell r="AE646">
            <v>85</v>
          </cell>
          <cell r="AF646">
            <v>10</v>
          </cell>
        </row>
        <row r="647">
          <cell r="A647" t="str">
            <v>갈비4K5K(40배)</v>
          </cell>
          <cell r="B647" t="str">
            <v>BOX</v>
          </cell>
          <cell r="C647">
            <v>2</v>
          </cell>
          <cell r="D647">
            <v>90</v>
          </cell>
          <cell r="E647">
            <v>340</v>
          </cell>
          <cell r="F647">
            <v>50</v>
          </cell>
          <cell r="G647" t="str">
            <v>B240NS</v>
          </cell>
          <cell r="H647">
            <v>5</v>
          </cell>
          <cell r="I647">
            <v>2</v>
          </cell>
          <cell r="J647" t="str">
            <v>평창축협</v>
          </cell>
          <cell r="K647">
            <v>34</v>
          </cell>
          <cell r="L647">
            <v>38</v>
          </cell>
          <cell r="M647">
            <v>137</v>
          </cell>
          <cell r="N647">
            <v>141</v>
          </cell>
          <cell r="O647">
            <v>2400</v>
          </cell>
          <cell r="P647">
            <v>1360</v>
          </cell>
          <cell r="Q647">
            <v>200</v>
          </cell>
          <cell r="R647" t="str">
            <v>비닐</v>
          </cell>
          <cell r="S647" t="str">
            <v>비닐</v>
          </cell>
          <cell r="T647" t="str">
            <v>갈비세트4K-5KTOP/BOT</v>
          </cell>
          <cell r="U647">
            <v>40176</v>
          </cell>
          <cell r="V647" t="str">
            <v>삼일금형</v>
          </cell>
          <cell r="AC647" t="str">
            <v>금형없음,갈비4k5k 동일금형, 2012.10.08 기준배율변경(42-&gt;45)</v>
          </cell>
          <cell r="AD647">
            <v>0.85</v>
          </cell>
          <cell r="AE647">
            <v>90</v>
          </cell>
          <cell r="AF647">
            <v>4</v>
          </cell>
        </row>
        <row r="648">
          <cell r="A648" t="str">
            <v>갈비4K5K</v>
          </cell>
          <cell r="B648" t="str">
            <v>BOX</v>
          </cell>
          <cell r="C648">
            <v>2</v>
          </cell>
          <cell r="D648">
            <v>137</v>
          </cell>
          <cell r="E648">
            <v>345</v>
          </cell>
          <cell r="F648">
            <v>58</v>
          </cell>
          <cell r="G648" t="str">
            <v>B240NS</v>
          </cell>
          <cell r="H648">
            <v>5</v>
          </cell>
          <cell r="I648">
            <v>2</v>
          </cell>
          <cell r="J648" t="str">
            <v>평창축협</v>
          </cell>
          <cell r="K648">
            <v>34</v>
          </cell>
          <cell r="L648">
            <v>38</v>
          </cell>
          <cell r="M648">
            <v>137</v>
          </cell>
          <cell r="N648">
            <v>141</v>
          </cell>
          <cell r="O648">
            <v>3546</v>
          </cell>
          <cell r="P648">
            <v>1360</v>
          </cell>
          <cell r="Q648">
            <v>200</v>
          </cell>
          <cell r="R648" t="str">
            <v>비닐</v>
          </cell>
          <cell r="S648" t="str">
            <v>비닐</v>
          </cell>
          <cell r="T648" t="str">
            <v>갈비세트4K-5KTOP/BOT</v>
          </cell>
          <cell r="U648">
            <v>40176</v>
          </cell>
          <cell r="V648" t="str">
            <v>삼일금형</v>
          </cell>
          <cell r="X648" t="str">
            <v>Q-0501</v>
          </cell>
          <cell r="AC648" t="str">
            <v>2010.01.08승인완료,2015.01.07 기준중량변경(340-&gt;345)</v>
          </cell>
          <cell r="AD648">
            <v>0.85</v>
          </cell>
          <cell r="AE648">
            <v>90</v>
          </cell>
          <cell r="AF648">
            <v>6</v>
          </cell>
        </row>
        <row r="649">
          <cell r="A649" t="str">
            <v>갈비4k</v>
          </cell>
          <cell r="B649" t="str">
            <v>BOX</v>
          </cell>
          <cell r="C649">
            <v>3</v>
          </cell>
          <cell r="D649">
            <v>100</v>
          </cell>
          <cell r="E649">
            <v>300</v>
          </cell>
          <cell r="F649">
            <v>74</v>
          </cell>
          <cell r="G649" t="str">
            <v>B240NS</v>
          </cell>
          <cell r="H649">
            <v>10</v>
          </cell>
          <cell r="I649">
            <v>2</v>
          </cell>
          <cell r="J649" t="str">
            <v>한국이노팩</v>
          </cell>
          <cell r="K649">
            <v>104</v>
          </cell>
          <cell r="L649">
            <v>106</v>
          </cell>
          <cell r="M649">
            <v>94</v>
          </cell>
          <cell r="N649">
            <v>96</v>
          </cell>
          <cell r="P649">
            <v>1600</v>
          </cell>
          <cell r="Q649">
            <v>250</v>
          </cell>
          <cell r="R649" t="str">
            <v>파랑</v>
          </cell>
          <cell r="U649">
            <v>45506</v>
          </cell>
          <cell r="V649" t="str">
            <v>이관금형</v>
          </cell>
          <cell r="AD649">
            <v>0.85</v>
          </cell>
        </row>
        <row r="650">
          <cell r="A650" t="str">
            <v>갈비4K</v>
          </cell>
          <cell r="B650" t="str">
            <v>BOX</v>
          </cell>
          <cell r="C650">
            <v>3</v>
          </cell>
          <cell r="D650">
            <v>100</v>
          </cell>
          <cell r="E650">
            <v>300</v>
          </cell>
          <cell r="F650">
            <v>74</v>
          </cell>
          <cell r="G650" t="str">
            <v>B240NS</v>
          </cell>
          <cell r="H650">
            <v>10</v>
          </cell>
          <cell r="I650">
            <v>2</v>
          </cell>
          <cell r="J650" t="str">
            <v>삼일이노팩</v>
          </cell>
          <cell r="P650">
            <v>1600</v>
          </cell>
          <cell r="Q650">
            <v>250</v>
          </cell>
          <cell r="R650" t="str">
            <v>파랑</v>
          </cell>
          <cell r="U650">
            <v>45506</v>
          </cell>
          <cell r="V650" t="str">
            <v>이관금형</v>
          </cell>
        </row>
        <row r="651">
          <cell r="A651" t="str">
            <v>갈비4k</v>
          </cell>
          <cell r="B651" t="str">
            <v>BOX</v>
          </cell>
          <cell r="C651">
            <v>3</v>
          </cell>
          <cell r="D651">
            <v>100</v>
          </cell>
          <cell r="E651">
            <v>300</v>
          </cell>
          <cell r="F651">
            <v>74</v>
          </cell>
          <cell r="G651" t="str">
            <v>B240NS</v>
          </cell>
          <cell r="H651">
            <v>10</v>
          </cell>
          <cell r="I651">
            <v>2</v>
          </cell>
          <cell r="J651" t="str">
            <v>삼일이노팩</v>
          </cell>
          <cell r="P651">
            <v>1600</v>
          </cell>
          <cell r="Q651">
            <v>250</v>
          </cell>
          <cell r="R651" t="str">
            <v>파랑</v>
          </cell>
          <cell r="U651">
            <v>45506</v>
          </cell>
          <cell r="V651" t="str">
            <v>이관금형</v>
          </cell>
          <cell r="AD651">
            <v>0.85</v>
          </cell>
        </row>
        <row r="652">
          <cell r="A652" t="str">
            <v>갈비3구</v>
          </cell>
          <cell r="B652" t="str">
            <v>BOX</v>
          </cell>
          <cell r="C652">
            <v>8</v>
          </cell>
          <cell r="D652">
            <v>90</v>
          </cell>
          <cell r="E652">
            <v>95</v>
          </cell>
          <cell r="F652">
            <v>36</v>
          </cell>
          <cell r="G652" t="str">
            <v>B240NS</v>
          </cell>
          <cell r="H652">
            <v>30</v>
          </cell>
          <cell r="I652">
            <v>1</v>
          </cell>
          <cell r="J652" t="str">
            <v>평창축협</v>
          </cell>
          <cell r="K652">
            <v>63</v>
          </cell>
          <cell r="L652">
            <v>67</v>
          </cell>
          <cell r="O652">
            <v>382</v>
          </cell>
          <cell r="P652">
            <v>1360</v>
          </cell>
          <cell r="Q652">
            <v>150</v>
          </cell>
          <cell r="R652" t="str">
            <v>검정</v>
          </cell>
          <cell r="S652" t="str">
            <v>검정</v>
          </cell>
          <cell r="T652" t="str">
            <v>갈비3구</v>
          </cell>
          <cell r="U652">
            <v>40183</v>
          </cell>
          <cell r="V652" t="str">
            <v>삼일금형</v>
          </cell>
          <cell r="X652" t="str">
            <v>T-0715</v>
          </cell>
          <cell r="Z652">
            <v>12814</v>
          </cell>
          <cell r="AC652" t="str">
            <v>2010.01.16승인완료,2015.01.07 승인중량(320)</v>
          </cell>
          <cell r="AD652">
            <v>0.85</v>
          </cell>
          <cell r="AE652">
            <v>85</v>
          </cell>
          <cell r="AF652">
            <v>8</v>
          </cell>
        </row>
        <row r="653">
          <cell r="A653" t="str">
            <v>갈비3K(50배)</v>
          </cell>
          <cell r="B653" t="str">
            <v>BOX</v>
          </cell>
          <cell r="C653">
            <v>3</v>
          </cell>
          <cell r="D653">
            <v>90</v>
          </cell>
          <cell r="E653">
            <v>300</v>
          </cell>
          <cell r="F653">
            <v>58</v>
          </cell>
          <cell r="G653" t="str">
            <v>B240NS</v>
          </cell>
          <cell r="H653">
            <v>6</v>
          </cell>
          <cell r="I653">
            <v>2</v>
          </cell>
          <cell r="J653" t="str">
            <v>평창축협</v>
          </cell>
          <cell r="K653">
            <v>34</v>
          </cell>
          <cell r="L653">
            <v>38</v>
          </cell>
          <cell r="M653">
            <v>131</v>
          </cell>
          <cell r="N653">
            <v>135</v>
          </cell>
          <cell r="O653">
            <v>100</v>
          </cell>
          <cell r="P653">
            <v>1360</v>
          </cell>
          <cell r="Q653">
            <v>200</v>
          </cell>
          <cell r="R653" t="str">
            <v>비닐</v>
          </cell>
          <cell r="S653" t="str">
            <v>비닐</v>
          </cell>
          <cell r="T653" t="str">
            <v>갈비세트3KTOP/BOT</v>
          </cell>
          <cell r="U653">
            <v>40176</v>
          </cell>
          <cell r="V653" t="str">
            <v>삼일금형</v>
          </cell>
          <cell r="AC653" t="str">
            <v>금형없음, 갈비3K 동일금형</v>
          </cell>
          <cell r="AD653">
            <v>0.74</v>
          </cell>
          <cell r="AE653">
            <v>90</v>
          </cell>
          <cell r="AF653">
            <v>4</v>
          </cell>
        </row>
        <row r="654">
          <cell r="A654" t="str">
            <v>갈비3K</v>
          </cell>
          <cell r="B654" t="str">
            <v>BOX</v>
          </cell>
          <cell r="C654">
            <v>3</v>
          </cell>
          <cell r="D654">
            <v>161</v>
          </cell>
          <cell r="E654">
            <v>260</v>
          </cell>
          <cell r="F654">
            <v>58</v>
          </cell>
          <cell r="G654" t="str">
            <v>B240NS</v>
          </cell>
          <cell r="H654">
            <v>6</v>
          </cell>
          <cell r="I654">
            <v>2</v>
          </cell>
          <cell r="J654" t="str">
            <v>평창축협</v>
          </cell>
          <cell r="K654">
            <v>34</v>
          </cell>
          <cell r="L654">
            <v>38</v>
          </cell>
          <cell r="M654">
            <v>131</v>
          </cell>
          <cell r="N654">
            <v>135</v>
          </cell>
          <cell r="O654">
            <v>2546</v>
          </cell>
          <cell r="P654">
            <v>1360</v>
          </cell>
          <cell r="Q654">
            <v>200</v>
          </cell>
          <cell r="R654" t="str">
            <v>비닐</v>
          </cell>
          <cell r="S654" t="str">
            <v>비닐</v>
          </cell>
          <cell r="T654" t="str">
            <v>갈비세트3KTOP/BOT</v>
          </cell>
          <cell r="U654">
            <v>40176</v>
          </cell>
          <cell r="V654" t="str">
            <v>삼일금형</v>
          </cell>
          <cell r="X654" t="str">
            <v>Q-0102</v>
          </cell>
          <cell r="Z654">
            <v>10526</v>
          </cell>
          <cell r="AC654" t="str">
            <v>2010.01.08승인완료,2015.01.07 기준중량변경(300-&gt;260)</v>
          </cell>
          <cell r="AD654">
            <v>0.9</v>
          </cell>
          <cell r="AE654">
            <v>90</v>
          </cell>
          <cell r="AF654">
            <v>8</v>
          </cell>
        </row>
        <row r="655">
          <cell r="A655" t="str">
            <v>가정용정식판(EPO)</v>
          </cell>
          <cell r="B655" t="str">
            <v>저발</v>
          </cell>
          <cell r="C655">
            <v>1</v>
          </cell>
          <cell r="D655">
            <v>75</v>
          </cell>
          <cell r="E655">
            <v>265</v>
          </cell>
          <cell r="F655">
            <v>30</v>
          </cell>
          <cell r="G655" t="str">
            <v>PNSD30</v>
          </cell>
          <cell r="H655">
            <v>20</v>
          </cell>
          <cell r="I655">
            <v>1</v>
          </cell>
          <cell r="J655" t="str">
            <v>가화텍</v>
          </cell>
          <cell r="K655">
            <v>24</v>
          </cell>
          <cell r="L655">
            <v>26</v>
          </cell>
          <cell r="O655">
            <v>800</v>
          </cell>
          <cell r="P655">
            <v>500</v>
          </cell>
          <cell r="S655">
            <v>0</v>
          </cell>
          <cell r="T655" t="str">
            <v>가정용정식판#13</v>
          </cell>
          <cell r="U655">
            <v>37314</v>
          </cell>
          <cell r="V655" t="str">
            <v>삼일금형</v>
          </cell>
          <cell r="W655" t="str">
            <v>MPTP-12, 13차</v>
          </cell>
          <cell r="X655" t="str">
            <v>Q-0201</v>
          </cell>
          <cell r="AC655" t="str">
            <v>2019.8.27 EPO SAMPLE</v>
          </cell>
          <cell r="AD655">
            <v>0.85</v>
          </cell>
          <cell r="AE655">
            <v>120</v>
          </cell>
        </row>
        <row r="656">
          <cell r="A656" t="str">
            <v>가정용정식판(33배)</v>
          </cell>
          <cell r="B656" t="str">
            <v>저발</v>
          </cell>
          <cell r="C656">
            <v>1</v>
          </cell>
          <cell r="D656">
            <v>100</v>
          </cell>
          <cell r="E656">
            <v>222</v>
          </cell>
          <cell r="F656">
            <v>36</v>
          </cell>
          <cell r="G656" t="str">
            <v>B240NS</v>
          </cell>
          <cell r="H656">
            <v>20</v>
          </cell>
          <cell r="I656">
            <v>1</v>
          </cell>
          <cell r="J656" t="str">
            <v>가화텍</v>
          </cell>
          <cell r="K656">
            <v>24</v>
          </cell>
          <cell r="L656">
            <v>26</v>
          </cell>
          <cell r="O656">
            <v>1190</v>
          </cell>
          <cell r="P656">
            <v>500</v>
          </cell>
          <cell r="S656">
            <v>0</v>
          </cell>
          <cell r="T656" t="str">
            <v>가정용정식판#13</v>
          </cell>
          <cell r="W656" t="str">
            <v>13차</v>
          </cell>
          <cell r="AC656" t="str">
            <v>가정용정식판동일금형</v>
          </cell>
          <cell r="AD656">
            <v>0.9</v>
          </cell>
          <cell r="AE656">
            <v>100</v>
          </cell>
          <cell r="AF656">
            <v>1</v>
          </cell>
        </row>
        <row r="657">
          <cell r="A657" t="str">
            <v>가정용정식판</v>
          </cell>
          <cell r="B657" t="str">
            <v>저발</v>
          </cell>
          <cell r="C657">
            <v>1</v>
          </cell>
          <cell r="D657">
            <v>75</v>
          </cell>
          <cell r="E657">
            <v>150</v>
          </cell>
          <cell r="F657">
            <v>53</v>
          </cell>
          <cell r="G657" t="str">
            <v>B240NS</v>
          </cell>
          <cell r="H657">
            <v>20</v>
          </cell>
          <cell r="I657">
            <v>1</v>
          </cell>
          <cell r="J657" t="str">
            <v>가화텍</v>
          </cell>
          <cell r="K657">
            <v>24</v>
          </cell>
          <cell r="L657">
            <v>26</v>
          </cell>
          <cell r="O657">
            <v>800</v>
          </cell>
          <cell r="P657">
            <v>500</v>
          </cell>
          <cell r="S657">
            <v>0</v>
          </cell>
          <cell r="T657" t="str">
            <v>가정용정식판#13</v>
          </cell>
          <cell r="U657">
            <v>37314</v>
          </cell>
          <cell r="V657" t="str">
            <v>삼일금형</v>
          </cell>
          <cell r="W657" t="str">
            <v>MPTP-12, 13차</v>
          </cell>
          <cell r="X657" t="str">
            <v>Q-0201</v>
          </cell>
          <cell r="AC657" t="str">
            <v>1*1.10.3.22중량변경160g에서150g으로변경.</v>
          </cell>
          <cell r="AD657">
            <v>0.85</v>
          </cell>
          <cell r="AE657">
            <v>120</v>
          </cell>
          <cell r="AF657">
            <v>2</v>
          </cell>
        </row>
        <row r="658">
          <cell r="A658" t="str">
            <v>가스레인지-포장재</v>
          </cell>
          <cell r="B658" t="str">
            <v>SET</v>
          </cell>
          <cell r="C658">
            <v>3</v>
          </cell>
          <cell r="D658">
            <v>80</v>
          </cell>
          <cell r="E658">
            <v>193</v>
          </cell>
          <cell r="F658">
            <v>50</v>
          </cell>
          <cell r="G658" t="str">
            <v>B240NS</v>
          </cell>
          <cell r="H658" t="str">
            <v>TOP:10/BOT:10</v>
          </cell>
          <cell r="I658">
            <v>2</v>
          </cell>
          <cell r="J658" t="str">
            <v>하츠</v>
          </cell>
          <cell r="P658">
            <v>1360</v>
          </cell>
          <cell r="Q658">
            <v>200</v>
          </cell>
          <cell r="U658">
            <v>45390</v>
          </cell>
          <cell r="V658" t="str">
            <v>금형사업부</v>
          </cell>
          <cell r="AD658">
            <v>0.85</v>
          </cell>
        </row>
        <row r="659">
          <cell r="A659" t="str">
            <v>ZERO-S</v>
          </cell>
          <cell r="B659" t="str">
            <v>SET</v>
          </cell>
          <cell r="C659">
            <v>3</v>
          </cell>
          <cell r="D659">
            <v>135</v>
          </cell>
          <cell r="E659">
            <v>221</v>
          </cell>
          <cell r="F659">
            <v>50</v>
          </cell>
          <cell r="G659" t="str">
            <v>B240NS</v>
          </cell>
          <cell r="H659" t="str">
            <v>UP:빨강10 LOW:흰색10</v>
          </cell>
          <cell r="I659">
            <v>2</v>
          </cell>
          <cell r="J659" t="str">
            <v>위닉스</v>
          </cell>
          <cell r="K659">
            <v>88</v>
          </cell>
          <cell r="L659">
            <v>92</v>
          </cell>
          <cell r="M659">
            <v>98</v>
          </cell>
          <cell r="N659">
            <v>102</v>
          </cell>
          <cell r="P659">
            <v>1360</v>
          </cell>
          <cell r="Q659">
            <v>200</v>
          </cell>
          <cell r="R659" t="str">
            <v>빨강</v>
          </cell>
          <cell r="S659" t="str">
            <v>흰색</v>
          </cell>
          <cell r="T659" t="str">
            <v>2710-016500/016600</v>
          </cell>
          <cell r="U659">
            <v>45841</v>
          </cell>
          <cell r="V659" t="str">
            <v>둔포 이관</v>
          </cell>
          <cell r="W659" t="str">
            <v>융착,버,치수(BURR)불량 확인할것!!</v>
          </cell>
          <cell r="AD659">
            <v>0.85</v>
          </cell>
          <cell r="AE659">
            <v>80</v>
          </cell>
        </row>
        <row r="660">
          <cell r="A660" t="str">
            <v>ZERO-S</v>
          </cell>
          <cell r="B660" t="str">
            <v>SET</v>
          </cell>
          <cell r="C660">
            <v>3</v>
          </cell>
          <cell r="D660">
            <v>135</v>
          </cell>
          <cell r="E660">
            <v>221</v>
          </cell>
          <cell r="F660">
            <v>50</v>
          </cell>
          <cell r="G660" t="str">
            <v>B240NS</v>
          </cell>
          <cell r="H660" t="str">
            <v>UP:빨강10 LOW:흰색10</v>
          </cell>
          <cell r="I660">
            <v>2</v>
          </cell>
          <cell r="J660" t="str">
            <v>위닉스</v>
          </cell>
          <cell r="K660">
            <v>88</v>
          </cell>
          <cell r="L660">
            <v>92</v>
          </cell>
          <cell r="M660">
            <v>98</v>
          </cell>
          <cell r="N660">
            <v>102</v>
          </cell>
          <cell r="P660">
            <v>1360</v>
          </cell>
          <cell r="Q660">
            <v>200</v>
          </cell>
          <cell r="R660" t="str">
            <v>빨강</v>
          </cell>
          <cell r="S660" t="str">
            <v>흰색</v>
          </cell>
          <cell r="T660" t="str">
            <v>2710-016500/016600</v>
          </cell>
          <cell r="U660">
            <v>45841</v>
          </cell>
          <cell r="V660" t="str">
            <v>둔포 이관</v>
          </cell>
          <cell r="W660" t="str">
            <v>융착,버,치수(BURR)불량 확인할것!!</v>
          </cell>
          <cell r="AD660">
            <v>0.85</v>
          </cell>
          <cell r="AE660">
            <v>80</v>
          </cell>
        </row>
        <row r="661">
          <cell r="A661" t="str">
            <v>YS01/02</v>
          </cell>
          <cell r="B661" t="str">
            <v>회색</v>
          </cell>
          <cell r="C661">
            <v>3</v>
          </cell>
          <cell r="D661">
            <v>150</v>
          </cell>
          <cell r="E661">
            <v>260</v>
          </cell>
          <cell r="F661">
            <v>40</v>
          </cell>
          <cell r="G661" t="str">
            <v>ZP2500</v>
          </cell>
          <cell r="H661" t="str">
            <v>YS01주10/02파10</v>
          </cell>
          <cell r="I661">
            <v>6</v>
          </cell>
          <cell r="J661" t="str">
            <v>㈜탭스</v>
          </cell>
          <cell r="O661">
            <v>4328</v>
          </cell>
          <cell r="P661">
            <v>1600</v>
          </cell>
          <cell r="Q661">
            <v>300</v>
          </cell>
          <cell r="R661" t="str">
            <v>주황</v>
          </cell>
          <cell r="S661" t="str">
            <v>파랑</v>
          </cell>
          <cell r="T661" t="str">
            <v>YS01/02</v>
          </cell>
          <cell r="U661">
            <v>45267</v>
          </cell>
          <cell r="V661" t="str">
            <v>대양이동입고</v>
          </cell>
          <cell r="W661" t="str">
            <v>YS01-180g/02-80g</v>
          </cell>
          <cell r="AD661">
            <v>0.85</v>
          </cell>
        </row>
        <row r="662">
          <cell r="A662" t="str">
            <v>YS01/02</v>
          </cell>
          <cell r="B662" t="str">
            <v>BOX</v>
          </cell>
          <cell r="C662">
            <v>3</v>
          </cell>
          <cell r="D662">
            <v>150</v>
          </cell>
          <cell r="E662">
            <v>280</v>
          </cell>
          <cell r="F662">
            <v>40</v>
          </cell>
          <cell r="G662" t="str">
            <v>ZP2500</v>
          </cell>
          <cell r="H662">
            <v>1</v>
          </cell>
          <cell r="I662">
            <v>6</v>
          </cell>
          <cell r="J662" t="str">
            <v>㈜탭스</v>
          </cell>
          <cell r="O662">
            <v>4328</v>
          </cell>
          <cell r="P662">
            <v>1600</v>
          </cell>
          <cell r="Q662">
            <v>300</v>
          </cell>
          <cell r="T662" t="str">
            <v>YS01/02</v>
          </cell>
          <cell r="U662">
            <v>45267</v>
          </cell>
          <cell r="V662" t="str">
            <v>대양이동입고</v>
          </cell>
          <cell r="W662" t="str">
            <v>YS01/02</v>
          </cell>
          <cell r="AD662">
            <v>0.85</v>
          </cell>
        </row>
        <row r="663">
          <cell r="A663" t="str">
            <v>YS01/02</v>
          </cell>
          <cell r="B663" t="str">
            <v>BOX</v>
          </cell>
          <cell r="C663">
            <v>3</v>
          </cell>
          <cell r="D663">
            <v>150</v>
          </cell>
          <cell r="E663">
            <v>280</v>
          </cell>
          <cell r="F663">
            <v>40</v>
          </cell>
          <cell r="G663" t="str">
            <v>ZP2500</v>
          </cell>
          <cell r="H663">
            <v>1</v>
          </cell>
          <cell r="I663">
            <v>6</v>
          </cell>
          <cell r="J663" t="str">
            <v>㈜탭스</v>
          </cell>
          <cell r="O663">
            <v>4328</v>
          </cell>
          <cell r="P663">
            <v>1600</v>
          </cell>
          <cell r="Q663">
            <v>300</v>
          </cell>
          <cell r="T663" t="str">
            <v>YS01/02</v>
          </cell>
          <cell r="U663">
            <v>45267</v>
          </cell>
          <cell r="V663" t="str">
            <v>대양이동입고</v>
          </cell>
          <cell r="W663" t="str">
            <v>YS01/02</v>
          </cell>
          <cell r="AD663">
            <v>0.85</v>
          </cell>
        </row>
        <row r="664">
          <cell r="A664" t="str">
            <v>YS01/02</v>
          </cell>
          <cell r="B664" t="str">
            <v>BOX</v>
          </cell>
          <cell r="D664">
            <v>100</v>
          </cell>
          <cell r="E664">
            <v>280</v>
          </cell>
          <cell r="F664">
            <v>40</v>
          </cell>
          <cell r="G664" t="str">
            <v>ZP2500</v>
          </cell>
          <cell r="J664" t="str">
            <v>㈜탭스</v>
          </cell>
          <cell r="T664" t="str">
            <v>YS01/02</v>
          </cell>
          <cell r="U664">
            <v>45267</v>
          </cell>
          <cell r="V664" t="str">
            <v>대양이동입고</v>
          </cell>
          <cell r="W664" t="str">
            <v>YS01/02</v>
          </cell>
          <cell r="AD664">
            <v>0.85</v>
          </cell>
        </row>
        <row r="665">
          <cell r="A665" t="str">
            <v>YI-2K(60배)</v>
          </cell>
          <cell r="B665" t="str">
            <v>BOX</v>
          </cell>
          <cell r="E665">
            <v>90</v>
          </cell>
          <cell r="J665" t="str">
            <v>용인공장</v>
          </cell>
          <cell r="K665">
            <v>29</v>
          </cell>
          <cell r="L665">
            <v>33</v>
          </cell>
          <cell r="M665">
            <v>211</v>
          </cell>
          <cell r="N665">
            <v>215</v>
          </cell>
          <cell r="P665">
            <v>1700</v>
          </cell>
          <cell r="Q665">
            <v>300</v>
          </cell>
          <cell r="R665" t="str">
            <v>파랑</v>
          </cell>
          <cell r="U665">
            <v>45404</v>
          </cell>
          <cell r="V665" t="str">
            <v>삼일 용인(이관)</v>
          </cell>
          <cell r="AD665">
            <v>0.85</v>
          </cell>
          <cell r="AE665">
            <v>75</v>
          </cell>
        </row>
        <row r="666">
          <cell r="A666" t="str">
            <v>YI-2K</v>
          </cell>
          <cell r="B666" t="str">
            <v>BOX</v>
          </cell>
          <cell r="E666">
            <v>87</v>
          </cell>
          <cell r="J666" t="str">
            <v>용인공장</v>
          </cell>
          <cell r="K666">
            <v>29</v>
          </cell>
          <cell r="L666">
            <v>33</v>
          </cell>
          <cell r="M666">
            <v>211</v>
          </cell>
          <cell r="N666">
            <v>215</v>
          </cell>
          <cell r="P666">
            <v>1700</v>
          </cell>
          <cell r="Q666">
            <v>300</v>
          </cell>
          <cell r="R666" t="str">
            <v>파랑</v>
          </cell>
          <cell r="U666">
            <v>45404</v>
          </cell>
          <cell r="V666" t="str">
            <v>삼일 용인(이관)</v>
          </cell>
          <cell r="AD666">
            <v>0.85</v>
          </cell>
          <cell r="AE666">
            <v>75</v>
          </cell>
        </row>
        <row r="667">
          <cell r="A667" t="str">
            <v>YD</v>
          </cell>
          <cell r="B667" t="str">
            <v>SET</v>
          </cell>
          <cell r="C667">
            <v>2</v>
          </cell>
          <cell r="D667">
            <v>80</v>
          </cell>
          <cell r="E667">
            <v>508</v>
          </cell>
          <cell r="F667">
            <v>74</v>
          </cell>
          <cell r="G667" t="str">
            <v>B240NS</v>
          </cell>
          <cell r="H667">
            <v>1</v>
          </cell>
          <cell r="I667">
            <v>2</v>
          </cell>
          <cell r="J667" t="str">
            <v>모트렉스</v>
          </cell>
          <cell r="O667">
            <v>2570</v>
          </cell>
          <cell r="P667">
            <v>1360</v>
          </cell>
          <cell r="Q667">
            <v>200</v>
          </cell>
          <cell r="S667">
            <v>0</v>
          </cell>
          <cell r="T667" t="str">
            <v>YD(595*485*270)</v>
          </cell>
          <cell r="U667">
            <v>43243</v>
          </cell>
          <cell r="V667" t="str">
            <v>이관금형</v>
          </cell>
          <cell r="W667" t="str">
            <v>2번 건조, 생성예정(C)</v>
          </cell>
          <cell r="Y667">
            <v>64</v>
          </cell>
          <cell r="AC667" t="str">
            <v>최재학계장</v>
          </cell>
          <cell r="AD667">
            <v>0.85</v>
          </cell>
          <cell r="AE667">
            <v>75</v>
          </cell>
          <cell r="AF667">
            <v>1</v>
          </cell>
        </row>
        <row r="668">
          <cell r="A668" t="str">
            <v>Y4(통)</v>
          </cell>
          <cell r="B668" t="str">
            <v>SET</v>
          </cell>
          <cell r="C668">
            <v>2</v>
          </cell>
          <cell r="D668">
            <v>70</v>
          </cell>
          <cell r="E668">
            <v>310</v>
          </cell>
          <cell r="F668">
            <v>65</v>
          </cell>
          <cell r="G668" t="str">
            <v>B240NS</v>
          </cell>
          <cell r="H668">
            <v>10</v>
          </cell>
          <cell r="I668">
            <v>2</v>
          </cell>
          <cell r="J668" t="str">
            <v>한국TPS</v>
          </cell>
          <cell r="K668">
            <v>48</v>
          </cell>
          <cell r="L668">
            <v>52</v>
          </cell>
          <cell r="M668">
            <v>158</v>
          </cell>
          <cell r="N668">
            <v>162</v>
          </cell>
          <cell r="O668">
            <v>1550</v>
          </cell>
          <cell r="P668">
            <v>1300</v>
          </cell>
          <cell r="Q668">
            <v>250</v>
          </cell>
          <cell r="R668" t="str">
            <v>빨강</v>
          </cell>
          <cell r="S668">
            <v>0</v>
          </cell>
          <cell r="U668">
            <v>41310</v>
          </cell>
          <cell r="V668" t="str">
            <v>인천EPS이동입고</v>
          </cell>
          <cell r="W668" t="str">
            <v>Y4통박스</v>
          </cell>
          <cell r="AC668" t="str">
            <v xml:space="preserve">장혁민사원Y3/Y4동일금형 CAVITY/CORE따로있음 </v>
          </cell>
          <cell r="AD668">
            <v>0.85</v>
          </cell>
          <cell r="AE668">
            <v>80</v>
          </cell>
          <cell r="AF668">
            <v>6</v>
          </cell>
        </row>
        <row r="669">
          <cell r="A669" t="str">
            <v>Y4</v>
          </cell>
          <cell r="B669" t="str">
            <v>SET</v>
          </cell>
          <cell r="C669">
            <v>2</v>
          </cell>
          <cell r="D669">
            <v>70</v>
          </cell>
          <cell r="E669">
            <v>375</v>
          </cell>
          <cell r="F669">
            <v>58</v>
          </cell>
          <cell r="G669" t="str">
            <v>B240NS</v>
          </cell>
          <cell r="H669">
            <v>10</v>
          </cell>
          <cell r="I669">
            <v>2</v>
          </cell>
          <cell r="J669" t="str">
            <v>한국TPS</v>
          </cell>
          <cell r="K669">
            <v>48</v>
          </cell>
          <cell r="L669">
            <v>52</v>
          </cell>
          <cell r="M669">
            <v>158</v>
          </cell>
          <cell r="N669">
            <v>162</v>
          </cell>
          <cell r="O669">
            <v>1875</v>
          </cell>
          <cell r="P669">
            <v>1300</v>
          </cell>
          <cell r="Q669">
            <v>250</v>
          </cell>
          <cell r="R669" t="str">
            <v>보라</v>
          </cell>
          <cell r="S669" t="str">
            <v>보라</v>
          </cell>
          <cell r="U669">
            <v>41310</v>
          </cell>
          <cell r="V669" t="str">
            <v>인천EPS이동입고</v>
          </cell>
          <cell r="X669" t="str">
            <v>Q-0601</v>
          </cell>
          <cell r="AC669" t="str">
            <v>장혁민사원Y3/Y4동일금형 CAVITY/CORE따로있음 2013.08.23 중량변경 (420-&gt;375g)</v>
          </cell>
          <cell r="AD669">
            <v>0.85</v>
          </cell>
          <cell r="AE669">
            <v>70</v>
          </cell>
          <cell r="AF669">
            <v>6</v>
          </cell>
        </row>
        <row r="670">
          <cell r="A670" t="str">
            <v>Y3</v>
          </cell>
          <cell r="B670" t="str">
            <v>SET</v>
          </cell>
          <cell r="C670">
            <v>2</v>
          </cell>
          <cell r="D670">
            <v>70</v>
          </cell>
          <cell r="E670">
            <v>395</v>
          </cell>
          <cell r="F670">
            <v>58</v>
          </cell>
          <cell r="G670" t="str">
            <v>B240NS</v>
          </cell>
          <cell r="H670">
            <v>10</v>
          </cell>
          <cell r="I670">
            <v>2</v>
          </cell>
          <cell r="J670" t="str">
            <v>한국TPS</v>
          </cell>
          <cell r="K670">
            <v>48</v>
          </cell>
          <cell r="L670">
            <v>52</v>
          </cell>
          <cell r="M670">
            <v>158</v>
          </cell>
          <cell r="N670">
            <v>162</v>
          </cell>
          <cell r="O670">
            <v>1975</v>
          </cell>
          <cell r="P670">
            <v>1300</v>
          </cell>
          <cell r="Q670">
            <v>250</v>
          </cell>
          <cell r="R670" t="str">
            <v>흰색</v>
          </cell>
          <cell r="S670" t="str">
            <v>흰색</v>
          </cell>
          <cell r="U670">
            <v>41310</v>
          </cell>
          <cell r="V670" t="str">
            <v>인천EPS이동입고</v>
          </cell>
          <cell r="X670" t="str">
            <v>Q-0601</v>
          </cell>
          <cell r="AC670" t="str">
            <v>장혁민사원Y3/Y4동일금형 2013.08.23 중량변경 (440-&gt;395g)</v>
          </cell>
          <cell r="AD670">
            <v>0.85</v>
          </cell>
          <cell r="AE670">
            <v>70</v>
          </cell>
          <cell r="AF670">
            <v>4</v>
          </cell>
        </row>
        <row r="671">
          <cell r="A671" t="str">
            <v>Y23-STAND</v>
          </cell>
          <cell r="B671" t="str">
            <v>저발</v>
          </cell>
          <cell r="C671">
            <v>2</v>
          </cell>
          <cell r="D671">
            <v>155</v>
          </cell>
          <cell r="E671">
            <v>106</v>
          </cell>
          <cell r="F671">
            <v>30</v>
          </cell>
          <cell r="G671" t="str">
            <v>FI-351</v>
          </cell>
          <cell r="H671" t="str">
            <v>생산4,포장16</v>
          </cell>
          <cell r="I671">
            <v>2</v>
          </cell>
          <cell r="J671" t="str">
            <v>오비오</v>
          </cell>
          <cell r="P671">
            <v>500</v>
          </cell>
          <cell r="R671" t="str">
            <v>보라</v>
          </cell>
          <cell r="U671">
            <v>45723</v>
          </cell>
          <cell r="V671" t="str">
            <v>금형사업부</v>
          </cell>
          <cell r="AD671">
            <v>0.85</v>
          </cell>
          <cell r="AE671">
            <v>80</v>
          </cell>
        </row>
        <row r="672">
          <cell r="A672" t="str">
            <v>Y23-STAND</v>
          </cell>
          <cell r="B672" t="str">
            <v>저발</v>
          </cell>
          <cell r="C672">
            <v>2</v>
          </cell>
          <cell r="D672">
            <v>155</v>
          </cell>
          <cell r="E672">
            <v>106</v>
          </cell>
          <cell r="F672">
            <v>30</v>
          </cell>
          <cell r="G672" t="str">
            <v>FI-351</v>
          </cell>
          <cell r="H672" t="str">
            <v>생산4,포장16</v>
          </cell>
          <cell r="I672">
            <v>2</v>
          </cell>
          <cell r="J672" t="str">
            <v>오비오</v>
          </cell>
          <cell r="P672">
            <v>500</v>
          </cell>
          <cell r="R672" t="str">
            <v>보라</v>
          </cell>
          <cell r="U672">
            <v>45723</v>
          </cell>
          <cell r="V672" t="str">
            <v>금형사업부</v>
          </cell>
          <cell r="AD672">
            <v>0.85</v>
          </cell>
          <cell r="AE672">
            <v>80</v>
          </cell>
        </row>
        <row r="673">
          <cell r="A673" t="str">
            <v>Y23-STAND</v>
          </cell>
          <cell r="B673" t="str">
            <v>SET</v>
          </cell>
          <cell r="C673">
            <v>2</v>
          </cell>
          <cell r="D673">
            <v>120</v>
          </cell>
          <cell r="E673">
            <v>106</v>
          </cell>
          <cell r="F673">
            <v>30</v>
          </cell>
          <cell r="G673" t="str">
            <v>FI-351</v>
          </cell>
          <cell r="H673">
            <v>10</v>
          </cell>
          <cell r="I673">
            <v>2</v>
          </cell>
          <cell r="J673" t="str">
            <v>오비오</v>
          </cell>
          <cell r="P673">
            <v>500</v>
          </cell>
          <cell r="U673">
            <v>45723</v>
          </cell>
          <cell r="V673" t="str">
            <v>금형사업부</v>
          </cell>
          <cell r="AC673" t="str">
            <v>김영석사원</v>
          </cell>
          <cell r="AD673">
            <v>0.85</v>
          </cell>
        </row>
        <row r="674">
          <cell r="A674" t="str">
            <v>XRN-6410B2</v>
          </cell>
          <cell r="B674" t="str">
            <v>SET</v>
          </cell>
          <cell r="C674">
            <v>4</v>
          </cell>
          <cell r="D674">
            <v>100</v>
          </cell>
          <cell r="E674">
            <v>154</v>
          </cell>
          <cell r="F674">
            <v>70</v>
          </cell>
          <cell r="G674" t="str">
            <v>B240NS</v>
          </cell>
          <cell r="H674">
            <v>12</v>
          </cell>
          <cell r="I674">
            <v>2</v>
          </cell>
          <cell r="J674" t="str">
            <v>한화테크윈</v>
          </cell>
          <cell r="K674">
            <v>128</v>
          </cell>
          <cell r="L674">
            <v>132</v>
          </cell>
          <cell r="M674">
            <v>153</v>
          </cell>
          <cell r="N674">
            <v>157</v>
          </cell>
          <cell r="P674">
            <v>1360</v>
          </cell>
          <cell r="Q674">
            <v>250</v>
          </cell>
          <cell r="R674" t="str">
            <v>빨강</v>
          </cell>
          <cell r="S674" t="str">
            <v>빨강</v>
          </cell>
          <cell r="U674">
            <v>44146</v>
          </cell>
          <cell r="V674" t="str">
            <v>세일하이테크</v>
          </cell>
          <cell r="Y674">
            <v>60</v>
          </cell>
          <cell r="Z674">
            <v>9232</v>
          </cell>
          <cell r="AC674" t="str">
            <v>석상준과장</v>
          </cell>
          <cell r="AD674">
            <v>0.85</v>
          </cell>
        </row>
        <row r="675">
          <cell r="A675" t="str">
            <v>XNP-L6322H1</v>
          </cell>
          <cell r="B675" t="str">
            <v>SET</v>
          </cell>
          <cell r="C675">
            <v>2</v>
          </cell>
          <cell r="D675">
            <v>100</v>
          </cell>
          <cell r="E675">
            <v>150</v>
          </cell>
          <cell r="F675">
            <v>60</v>
          </cell>
          <cell r="G675" t="str">
            <v>B240NS</v>
          </cell>
          <cell r="H675" t="str">
            <v>TOP:10 / BOT:10</v>
          </cell>
          <cell r="I675">
            <v>2</v>
          </cell>
          <cell r="J675" t="str">
            <v>한화테크윈</v>
          </cell>
          <cell r="K675">
            <v>100</v>
          </cell>
          <cell r="L675">
            <v>102</v>
          </cell>
          <cell r="M675">
            <v>117</v>
          </cell>
          <cell r="N675">
            <v>119</v>
          </cell>
          <cell r="P675">
            <v>1360</v>
          </cell>
          <cell r="Q675">
            <v>250</v>
          </cell>
          <cell r="R675" t="str">
            <v>빨강</v>
          </cell>
          <cell r="U675">
            <v>44958</v>
          </cell>
          <cell r="V675" t="str">
            <v>금형사업부</v>
          </cell>
          <cell r="W675" t="str">
            <v>2303-041</v>
          </cell>
          <cell r="AD675">
            <v>0.85</v>
          </cell>
        </row>
        <row r="676">
          <cell r="A676" t="str">
            <v>XNP-L6322H1</v>
          </cell>
          <cell r="B676" t="str">
            <v>SET</v>
          </cell>
          <cell r="C676">
            <v>2</v>
          </cell>
          <cell r="D676">
            <v>100</v>
          </cell>
          <cell r="E676">
            <v>150</v>
          </cell>
          <cell r="F676">
            <v>60</v>
          </cell>
          <cell r="G676" t="str">
            <v>B240NS</v>
          </cell>
          <cell r="H676" t="str">
            <v>TOP:10 / BOT:10</v>
          </cell>
          <cell r="I676">
            <v>2</v>
          </cell>
          <cell r="J676" t="str">
            <v>한화테크윈</v>
          </cell>
          <cell r="K676">
            <v>100</v>
          </cell>
          <cell r="L676">
            <v>102</v>
          </cell>
          <cell r="M676">
            <v>117</v>
          </cell>
          <cell r="N676">
            <v>119</v>
          </cell>
          <cell r="P676">
            <v>1360</v>
          </cell>
          <cell r="Q676">
            <v>250</v>
          </cell>
          <cell r="R676" t="str">
            <v>빨강</v>
          </cell>
          <cell r="U676">
            <v>44958</v>
          </cell>
          <cell r="V676" t="str">
            <v>금형사업부</v>
          </cell>
          <cell r="W676" t="str">
            <v>2303-041</v>
          </cell>
          <cell r="AD676">
            <v>0.85</v>
          </cell>
        </row>
        <row r="677">
          <cell r="A677" t="str">
            <v>XNP-CX310R EPS</v>
          </cell>
          <cell r="B677" t="str">
            <v>SET</v>
          </cell>
          <cell r="C677">
            <v>6</v>
          </cell>
          <cell r="D677">
            <v>100</v>
          </cell>
          <cell r="E677">
            <v>113</v>
          </cell>
          <cell r="F677">
            <v>60</v>
          </cell>
          <cell r="G677" t="str">
            <v>B240NS</v>
          </cell>
          <cell r="H677" t="str">
            <v>T:12  B:12</v>
          </cell>
          <cell r="I677">
            <v>2</v>
          </cell>
          <cell r="J677" t="str">
            <v>한화테크윈</v>
          </cell>
          <cell r="K677">
            <v>148.80000000000001</v>
          </cell>
          <cell r="L677">
            <v>150.80000000000001</v>
          </cell>
          <cell r="M677">
            <v>134</v>
          </cell>
          <cell r="N677">
            <v>136</v>
          </cell>
          <cell r="P677">
            <v>1360</v>
          </cell>
          <cell r="Q677">
            <v>250</v>
          </cell>
          <cell r="R677" t="str">
            <v>주황</v>
          </cell>
          <cell r="T677" t="str">
            <v>2305-067</v>
          </cell>
          <cell r="U677" t="str">
            <v>2023.06.02</v>
          </cell>
          <cell r="V677" t="str">
            <v>금형사업부</v>
          </cell>
          <cell r="AD677">
            <v>0.85</v>
          </cell>
        </row>
        <row r="678">
          <cell r="A678" t="str">
            <v>XNP-CX310R EPS</v>
          </cell>
          <cell r="B678" t="str">
            <v>SET</v>
          </cell>
          <cell r="C678">
            <v>1</v>
          </cell>
          <cell r="D678">
            <v>100</v>
          </cell>
          <cell r="E678">
            <v>113</v>
          </cell>
          <cell r="F678">
            <v>60</v>
          </cell>
          <cell r="G678" t="str">
            <v>B240NS</v>
          </cell>
          <cell r="H678" t="str">
            <v>T:12  B:12</v>
          </cell>
          <cell r="I678">
            <v>1</v>
          </cell>
          <cell r="J678" t="str">
            <v>한화테크윈</v>
          </cell>
          <cell r="K678">
            <v>148.80000000000001</v>
          </cell>
          <cell r="L678">
            <v>150.80000000000001</v>
          </cell>
          <cell r="M678">
            <v>134</v>
          </cell>
          <cell r="N678">
            <v>136</v>
          </cell>
          <cell r="P678">
            <v>1360</v>
          </cell>
          <cell r="Q678">
            <v>250</v>
          </cell>
          <cell r="R678" t="str">
            <v>주황</v>
          </cell>
          <cell r="T678" t="str">
            <v>2305-067</v>
          </cell>
          <cell r="U678" t="str">
            <v>2023.06.02</v>
          </cell>
          <cell r="V678" t="str">
            <v>금형사업부</v>
          </cell>
          <cell r="AD678">
            <v>0.85</v>
          </cell>
        </row>
        <row r="679">
          <cell r="A679" t="str">
            <v>XNP-9300RW</v>
          </cell>
          <cell r="B679" t="str">
            <v>SET</v>
          </cell>
          <cell r="C679">
            <v>8</v>
          </cell>
          <cell r="D679">
            <v>100</v>
          </cell>
          <cell r="E679">
            <v>84</v>
          </cell>
          <cell r="F679">
            <v>70</v>
          </cell>
          <cell r="G679" t="str">
            <v>B240NS</v>
          </cell>
          <cell r="H679" t="str">
            <v>T:20B:20</v>
          </cell>
          <cell r="I679">
            <v>2</v>
          </cell>
          <cell r="J679" t="str">
            <v>한화테크윈</v>
          </cell>
          <cell r="K679">
            <v>127</v>
          </cell>
          <cell r="L679">
            <v>131</v>
          </cell>
          <cell r="M679">
            <v>118</v>
          </cell>
          <cell r="N679">
            <v>121</v>
          </cell>
          <cell r="P679">
            <v>1360</v>
          </cell>
          <cell r="Q679">
            <v>250</v>
          </cell>
          <cell r="R679" t="str">
            <v>빨강</v>
          </cell>
          <cell r="S679" t="str">
            <v>검정</v>
          </cell>
          <cell r="U679">
            <v>43966</v>
          </cell>
          <cell r="V679" t="str">
            <v>세일하이테크</v>
          </cell>
          <cell r="W679" t="str">
            <v>XNP-9300RE, PM02-005641A/ PM02-005642A</v>
          </cell>
          <cell r="Y679">
            <v>60</v>
          </cell>
          <cell r="Z679">
            <v>5035</v>
          </cell>
          <cell r="AC679" t="str">
            <v>석상준과장, 간이금형 휘다1개입고, 2020.06.25 CAVITY추가(2-1-&gt;2*8)및 휘다7개입고, 2020.07.31 코팅완료</v>
          </cell>
          <cell r="AD679">
            <v>0.85</v>
          </cell>
          <cell r="AF679">
            <v>2</v>
          </cell>
        </row>
        <row r="680">
          <cell r="A680" t="str">
            <v>XNP-9300RE</v>
          </cell>
          <cell r="E680">
            <v>84</v>
          </cell>
          <cell r="J680" t="str">
            <v>한화테크윈</v>
          </cell>
        </row>
        <row r="681">
          <cell r="A681" t="str">
            <v>XNP-9300R</v>
          </cell>
          <cell r="B681" t="str">
            <v>SET</v>
          </cell>
          <cell r="C681">
            <v>6</v>
          </cell>
          <cell r="D681">
            <v>80</v>
          </cell>
          <cell r="E681">
            <v>79</v>
          </cell>
          <cell r="F681">
            <v>70</v>
          </cell>
          <cell r="G681" t="str">
            <v>B240NS</v>
          </cell>
          <cell r="H681">
            <v>20</v>
          </cell>
          <cell r="I681">
            <v>2</v>
          </cell>
          <cell r="J681" t="str">
            <v>한화테크윈</v>
          </cell>
          <cell r="K681">
            <v>117</v>
          </cell>
          <cell r="L681">
            <v>121</v>
          </cell>
          <cell r="M681">
            <v>128</v>
          </cell>
          <cell r="N681">
            <v>130</v>
          </cell>
          <cell r="P681">
            <v>1360</v>
          </cell>
          <cell r="Q681">
            <v>250</v>
          </cell>
          <cell r="R681" t="str">
            <v>노랑</v>
          </cell>
          <cell r="U681">
            <v>44110</v>
          </cell>
          <cell r="V681" t="str">
            <v>금형사업부</v>
          </cell>
          <cell r="W681" t="str">
            <v>PM02-005765/PM02-005766</v>
          </cell>
          <cell r="Y681">
            <v>60</v>
          </cell>
          <cell r="Z681">
            <v>4726</v>
          </cell>
          <cell r="AC681" t="str">
            <v>석상준과장, 2020.11.19 CORE교체</v>
          </cell>
          <cell r="AD681">
            <v>0.85</v>
          </cell>
          <cell r="AF681">
            <v>8</v>
          </cell>
        </row>
        <row r="682">
          <cell r="A682" t="str">
            <v>XNP-6320RH(50배)</v>
          </cell>
          <cell r="B682" t="str">
            <v>SET</v>
          </cell>
          <cell r="C682">
            <v>3</v>
          </cell>
          <cell r="D682">
            <v>80</v>
          </cell>
          <cell r="E682">
            <v>850</v>
          </cell>
          <cell r="F682">
            <v>65</v>
          </cell>
          <cell r="G682" t="str">
            <v>B240NS</v>
          </cell>
          <cell r="H682">
            <v>4</v>
          </cell>
          <cell r="I682">
            <v>2</v>
          </cell>
          <cell r="J682" t="str">
            <v>한화테크윈</v>
          </cell>
          <cell r="K682">
            <v>236</v>
          </cell>
          <cell r="L682">
            <v>240</v>
          </cell>
          <cell r="M682">
            <v>167</v>
          </cell>
          <cell r="N682">
            <v>171</v>
          </cell>
          <cell r="P682">
            <v>1360</v>
          </cell>
          <cell r="Q682">
            <v>350</v>
          </cell>
          <cell r="R682" t="str">
            <v>빨강</v>
          </cell>
          <cell r="S682" t="str">
            <v>빨강</v>
          </cell>
          <cell r="U682">
            <v>43636</v>
          </cell>
          <cell r="V682" t="str">
            <v>금형제조부</v>
          </cell>
          <cell r="W682" t="str">
            <v>포장묶음 단위 확인.MF02-005325A/26A</v>
          </cell>
          <cell r="Y682">
            <v>40</v>
          </cell>
          <cell r="AD682">
            <v>0.85</v>
          </cell>
          <cell r="AE682">
            <v>80</v>
          </cell>
          <cell r="AF682">
            <v>4</v>
          </cell>
        </row>
        <row r="683">
          <cell r="A683" t="str">
            <v>XNP-6320RH(40배)</v>
          </cell>
          <cell r="B683" t="str">
            <v>SET</v>
          </cell>
          <cell r="C683">
            <v>3</v>
          </cell>
          <cell r="D683">
            <v>80</v>
          </cell>
          <cell r="E683">
            <v>1062</v>
          </cell>
          <cell r="F683">
            <v>50</v>
          </cell>
          <cell r="G683" t="str">
            <v>B240NS</v>
          </cell>
          <cell r="H683">
            <v>4</v>
          </cell>
          <cell r="I683">
            <v>2</v>
          </cell>
          <cell r="J683" t="str">
            <v>한화테크윈</v>
          </cell>
          <cell r="K683">
            <v>236</v>
          </cell>
          <cell r="L683">
            <v>240</v>
          </cell>
          <cell r="M683">
            <v>167</v>
          </cell>
          <cell r="N683">
            <v>171</v>
          </cell>
          <cell r="P683">
            <v>1360</v>
          </cell>
          <cell r="Q683">
            <v>350</v>
          </cell>
          <cell r="R683" t="str">
            <v>흰색</v>
          </cell>
          <cell r="S683" t="str">
            <v>흰색</v>
          </cell>
          <cell r="U683">
            <v>43636</v>
          </cell>
          <cell r="V683" t="str">
            <v>금형제조부</v>
          </cell>
          <cell r="W683" t="str">
            <v>MF02-005325A/26A</v>
          </cell>
          <cell r="Y683">
            <v>40</v>
          </cell>
          <cell r="AC683" t="str">
            <v>190709 40배로 승인.</v>
          </cell>
          <cell r="AD683">
            <v>0.85</v>
          </cell>
          <cell r="AE683">
            <v>80</v>
          </cell>
          <cell r="AF683">
            <v>2</v>
          </cell>
        </row>
        <row r="684">
          <cell r="A684" t="str">
            <v>XNO-6080R</v>
          </cell>
          <cell r="B684" t="str">
            <v>SET</v>
          </cell>
          <cell r="C684">
            <v>5</v>
          </cell>
          <cell r="D684">
            <v>80</v>
          </cell>
          <cell r="E684">
            <v>42</v>
          </cell>
          <cell r="F684">
            <v>70</v>
          </cell>
          <cell r="G684" t="str">
            <v>B240NS</v>
          </cell>
          <cell r="H684" t="str">
            <v>F:50R:50</v>
          </cell>
          <cell r="I684">
            <v>2</v>
          </cell>
          <cell r="J684" t="str">
            <v>한화테크윈</v>
          </cell>
          <cell r="K684">
            <v>58</v>
          </cell>
          <cell r="L684">
            <v>62</v>
          </cell>
          <cell r="M684">
            <v>122</v>
          </cell>
          <cell r="N684">
            <v>126</v>
          </cell>
          <cell r="P684">
            <v>1360</v>
          </cell>
          <cell r="Q684">
            <v>200</v>
          </cell>
          <cell r="R684" t="str">
            <v>파란비닐</v>
          </cell>
          <cell r="S684" t="str">
            <v>파란비닐</v>
          </cell>
          <cell r="T684" t="str">
            <v>BULLET-CAM</v>
          </cell>
          <cell r="U684">
            <v>43902</v>
          </cell>
          <cell r="V684" t="str">
            <v>금형제조부</v>
          </cell>
          <cell r="W684" t="str">
            <v>큰거(R) 노란끈 작은거(F) 빨간끈 MF02-005576A/77A (파란비닐 2겹 포장)</v>
          </cell>
          <cell r="Y684" t="str">
            <v>60</v>
          </cell>
          <cell r="Z684">
            <v>2542</v>
          </cell>
          <cell r="AC684" t="str">
            <v>석상준과장, 2020.03.19배율 및 기준중량 변경 ( 50배-&gt;60배, 50g-&gt;42g)</v>
          </cell>
          <cell r="AD684">
            <v>0.85</v>
          </cell>
          <cell r="AF684">
            <v>8</v>
          </cell>
        </row>
        <row r="685">
          <cell r="A685" t="str">
            <v>X1본체-REAR</v>
          </cell>
          <cell r="B685" t="str">
            <v>SET</v>
          </cell>
          <cell r="C685">
            <v>1</v>
          </cell>
          <cell r="D685">
            <v>150</v>
          </cell>
          <cell r="E685">
            <v>1374</v>
          </cell>
          <cell r="F685">
            <v>65</v>
          </cell>
          <cell r="G685" t="str">
            <v>B240NS</v>
          </cell>
          <cell r="H685">
            <v>2</v>
          </cell>
          <cell r="I685">
            <v>2</v>
          </cell>
          <cell r="J685" t="str">
            <v>오스템임플란트</v>
          </cell>
          <cell r="K685">
            <v>337</v>
          </cell>
          <cell r="L685">
            <v>341</v>
          </cell>
          <cell r="M685">
            <v>412</v>
          </cell>
          <cell r="N685">
            <v>416</v>
          </cell>
          <cell r="O685">
            <v>9200</v>
          </cell>
          <cell r="P685">
            <v>1360</v>
          </cell>
          <cell r="Q685">
            <v>500</v>
          </cell>
          <cell r="R685" t="str">
            <v>노랑</v>
          </cell>
          <cell r="S685" t="str">
            <v>노랑</v>
          </cell>
          <cell r="U685">
            <v>42675</v>
          </cell>
          <cell r="V685" t="str">
            <v>금형제조부</v>
          </cell>
          <cell r="Z685">
            <v>66016</v>
          </cell>
          <cell r="AC685" t="str">
            <v>최재학사원</v>
          </cell>
          <cell r="AD685">
            <v>0.85</v>
          </cell>
          <cell r="AE685">
            <v>100</v>
          </cell>
          <cell r="AF685">
            <v>1</v>
          </cell>
        </row>
        <row r="686">
          <cell r="A686" t="str">
            <v>X1본체-FRONT</v>
          </cell>
          <cell r="B686" t="str">
            <v>SET</v>
          </cell>
          <cell r="C686">
            <v>1</v>
          </cell>
          <cell r="D686">
            <v>190</v>
          </cell>
          <cell r="E686">
            <v>3908</v>
          </cell>
          <cell r="F686">
            <v>65</v>
          </cell>
          <cell r="G686" t="str">
            <v>B240NS</v>
          </cell>
          <cell r="H686">
            <v>1</v>
          </cell>
          <cell r="I686">
            <v>2</v>
          </cell>
          <cell r="J686" t="str">
            <v>오스템임플란트</v>
          </cell>
          <cell r="K686">
            <v>337</v>
          </cell>
          <cell r="L686">
            <v>341</v>
          </cell>
          <cell r="M686">
            <v>414</v>
          </cell>
          <cell r="N686">
            <v>418</v>
          </cell>
          <cell r="O686">
            <v>26100</v>
          </cell>
          <cell r="P686">
            <v>1500</v>
          </cell>
          <cell r="Q686">
            <v>550</v>
          </cell>
          <cell r="R686" t="str">
            <v>빨강</v>
          </cell>
          <cell r="S686" t="str">
            <v>빨강</v>
          </cell>
          <cell r="U686">
            <v>42681</v>
          </cell>
          <cell r="V686" t="str">
            <v>금형제조부</v>
          </cell>
          <cell r="AC686" t="str">
            <v>최재학사원</v>
          </cell>
          <cell r="AD686">
            <v>0.85</v>
          </cell>
          <cell r="AE686">
            <v>160</v>
          </cell>
          <cell r="AF686">
            <v>4</v>
          </cell>
        </row>
        <row r="687">
          <cell r="A687" t="str">
            <v>X17(N)</v>
          </cell>
          <cell r="B687" t="str">
            <v>SET</v>
          </cell>
          <cell r="C687">
            <v>2</v>
          </cell>
          <cell r="D687">
            <v>135</v>
          </cell>
          <cell r="E687">
            <v>426</v>
          </cell>
          <cell r="F687">
            <v>50</v>
          </cell>
          <cell r="G687" t="str">
            <v>B240NS</v>
          </cell>
          <cell r="H687" t="str">
            <v>UP:8포16 LOW:8,포16</v>
          </cell>
          <cell r="I687">
            <v>2</v>
          </cell>
          <cell r="J687" t="str">
            <v>위닉스</v>
          </cell>
          <cell r="K687">
            <v>94</v>
          </cell>
          <cell r="L687">
            <v>96</v>
          </cell>
          <cell r="M687">
            <v>129</v>
          </cell>
          <cell r="N687">
            <v>131</v>
          </cell>
          <cell r="P687">
            <v>1360</v>
          </cell>
          <cell r="Q687">
            <v>250</v>
          </cell>
          <cell r="R687" t="str">
            <v>u노랑</v>
          </cell>
          <cell r="S687" t="str">
            <v>L파랑</v>
          </cell>
          <cell r="T687" t="str">
            <v>2710-0187-00</v>
          </cell>
          <cell r="U687">
            <v>45842</v>
          </cell>
          <cell r="V687" t="str">
            <v>둔포 이관</v>
          </cell>
          <cell r="W687" t="str">
            <v>융착,버,치수(BURR)불량 확인할것!!</v>
          </cell>
          <cell r="AD687">
            <v>0.85</v>
          </cell>
          <cell r="AE687">
            <v>80</v>
          </cell>
        </row>
        <row r="688">
          <cell r="A688" t="str">
            <v>X17(N)</v>
          </cell>
          <cell r="B688" t="str">
            <v>SET</v>
          </cell>
          <cell r="C688">
            <v>2</v>
          </cell>
          <cell r="D688">
            <v>135</v>
          </cell>
          <cell r="E688">
            <v>426</v>
          </cell>
          <cell r="F688">
            <v>50</v>
          </cell>
          <cell r="G688" t="str">
            <v>B240NS</v>
          </cell>
          <cell r="H688" t="str">
            <v>UP:8포16 LOW:8,포16</v>
          </cell>
          <cell r="I688">
            <v>2</v>
          </cell>
          <cell r="J688" t="str">
            <v>위닉스</v>
          </cell>
          <cell r="K688">
            <v>94</v>
          </cell>
          <cell r="L688">
            <v>96</v>
          </cell>
          <cell r="M688">
            <v>129</v>
          </cell>
          <cell r="N688">
            <v>131</v>
          </cell>
          <cell r="P688">
            <v>1360</v>
          </cell>
          <cell r="Q688">
            <v>250</v>
          </cell>
          <cell r="R688" t="str">
            <v>u노랑</v>
          </cell>
          <cell r="S688" t="str">
            <v>L파랑</v>
          </cell>
          <cell r="T688" t="str">
            <v>2710-0187-00</v>
          </cell>
          <cell r="U688">
            <v>45842</v>
          </cell>
          <cell r="V688" t="str">
            <v>둔포 이관</v>
          </cell>
          <cell r="W688" t="str">
            <v>융착,버,치수(BURR)불량 확인할것!!</v>
          </cell>
          <cell r="AD688">
            <v>0.85</v>
          </cell>
          <cell r="AE688">
            <v>80</v>
          </cell>
        </row>
        <row r="689">
          <cell r="A689" t="str">
            <v>X10</v>
          </cell>
          <cell r="B689" t="str">
            <v>SET</v>
          </cell>
          <cell r="C689">
            <v>3</v>
          </cell>
          <cell r="D689">
            <v>130</v>
          </cell>
          <cell r="E689">
            <v>367</v>
          </cell>
          <cell r="F689">
            <v>50</v>
          </cell>
          <cell r="G689" t="str">
            <v>B240NS</v>
          </cell>
          <cell r="H689" t="str">
            <v>UP:8포16 LOW:8,포16</v>
          </cell>
          <cell r="I689">
            <v>2</v>
          </cell>
          <cell r="J689" t="str">
            <v>위닉스</v>
          </cell>
          <cell r="K689">
            <v>129</v>
          </cell>
          <cell r="L689">
            <v>131</v>
          </cell>
          <cell r="M689">
            <v>149</v>
          </cell>
          <cell r="N689">
            <v>151</v>
          </cell>
          <cell r="P689">
            <v>1360</v>
          </cell>
          <cell r="Q689">
            <v>250</v>
          </cell>
          <cell r="R689" t="str">
            <v>초록</v>
          </cell>
          <cell r="S689" t="str">
            <v>주황</v>
          </cell>
          <cell r="T689" t="str">
            <v>2710-0187-00</v>
          </cell>
          <cell r="U689">
            <v>45841</v>
          </cell>
          <cell r="V689" t="str">
            <v>둔포 이관</v>
          </cell>
          <cell r="W689" t="str">
            <v>융착,버,치수(BURR)불량 확인할것!!</v>
          </cell>
          <cell r="AC689" t="str">
            <v>프레임 일체형</v>
          </cell>
          <cell r="AD689">
            <v>0.85</v>
          </cell>
          <cell r="AE689">
            <v>80</v>
          </cell>
        </row>
        <row r="690">
          <cell r="A690" t="str">
            <v>X10</v>
          </cell>
          <cell r="B690" t="str">
            <v>SET</v>
          </cell>
          <cell r="C690">
            <v>3</v>
          </cell>
          <cell r="D690">
            <v>130</v>
          </cell>
          <cell r="E690">
            <v>367</v>
          </cell>
          <cell r="F690">
            <v>50</v>
          </cell>
          <cell r="G690" t="str">
            <v>B240NS</v>
          </cell>
          <cell r="H690" t="str">
            <v>UP:8포16 LOW:8,포16</v>
          </cell>
          <cell r="I690">
            <v>2</v>
          </cell>
          <cell r="J690" t="str">
            <v>위닉스</v>
          </cell>
          <cell r="K690">
            <v>129</v>
          </cell>
          <cell r="L690">
            <v>131</v>
          </cell>
          <cell r="M690">
            <v>149</v>
          </cell>
          <cell r="N690">
            <v>151</v>
          </cell>
          <cell r="P690">
            <v>1360</v>
          </cell>
          <cell r="Q690">
            <v>250</v>
          </cell>
          <cell r="R690" t="str">
            <v>초록</v>
          </cell>
          <cell r="S690" t="str">
            <v>주황</v>
          </cell>
          <cell r="T690" t="str">
            <v>2710-0187-00</v>
          </cell>
          <cell r="U690">
            <v>45841</v>
          </cell>
          <cell r="V690" t="str">
            <v>둔포 이관</v>
          </cell>
          <cell r="W690" t="str">
            <v>융착,버,치수(BURR)불량 확인할것!!</v>
          </cell>
          <cell r="AC690" t="str">
            <v>프레임 일체형</v>
          </cell>
          <cell r="AD690">
            <v>0.85</v>
          </cell>
          <cell r="AE690">
            <v>80</v>
          </cell>
        </row>
        <row r="691">
          <cell r="A691" t="str">
            <v>WS-6600</v>
          </cell>
          <cell r="B691" t="str">
            <v>SET</v>
          </cell>
          <cell r="C691">
            <v>2</v>
          </cell>
          <cell r="D691">
            <v>90</v>
          </cell>
          <cell r="E691">
            <v>350</v>
          </cell>
          <cell r="F691">
            <v>74</v>
          </cell>
          <cell r="G691" t="str">
            <v>B240NS</v>
          </cell>
          <cell r="H691" t="str">
            <v>7/20/24</v>
          </cell>
          <cell r="I691">
            <v>3</v>
          </cell>
          <cell r="J691" t="str">
            <v>용인공장</v>
          </cell>
          <cell r="P691">
            <v>1360</v>
          </cell>
          <cell r="Q691">
            <v>250</v>
          </cell>
          <cell r="R691" t="str">
            <v>빨강</v>
          </cell>
          <cell r="S691" t="str">
            <v>흰색</v>
          </cell>
          <cell r="U691">
            <v>44732</v>
          </cell>
          <cell r="V691" t="str">
            <v>이관금형</v>
          </cell>
          <cell r="AC691" t="str">
            <v>석상준 차장</v>
          </cell>
          <cell r="AD691">
            <v>0.85</v>
          </cell>
        </row>
        <row r="692">
          <cell r="A692" t="str">
            <v>WS-6600</v>
          </cell>
          <cell r="B692" t="str">
            <v>SET</v>
          </cell>
          <cell r="C692">
            <v>2</v>
          </cell>
          <cell r="D692">
            <v>90</v>
          </cell>
          <cell r="E692">
            <v>350</v>
          </cell>
          <cell r="F692">
            <v>74</v>
          </cell>
          <cell r="G692" t="str">
            <v>B240NS</v>
          </cell>
          <cell r="H692" t="str">
            <v>7/20/24</v>
          </cell>
          <cell r="I692">
            <v>3</v>
          </cell>
          <cell r="J692" t="str">
            <v>용인공장</v>
          </cell>
          <cell r="P692">
            <v>1360</v>
          </cell>
          <cell r="Q692">
            <v>250</v>
          </cell>
          <cell r="R692" t="str">
            <v>빨강</v>
          </cell>
          <cell r="S692" t="str">
            <v>흰색</v>
          </cell>
          <cell r="U692">
            <v>44732</v>
          </cell>
          <cell r="V692" t="str">
            <v>이관금형</v>
          </cell>
          <cell r="AC692" t="str">
            <v>석상준 차장</v>
          </cell>
          <cell r="AD692">
            <v>0.85</v>
          </cell>
        </row>
        <row r="693">
          <cell r="A693" t="str">
            <v>WS600</v>
          </cell>
          <cell r="B693" t="str">
            <v>저발</v>
          </cell>
          <cell r="C693">
            <v>4</v>
          </cell>
          <cell r="D693">
            <v>210</v>
          </cell>
          <cell r="E693">
            <v>42</v>
          </cell>
          <cell r="F693">
            <v>35</v>
          </cell>
          <cell r="G693" t="str">
            <v>ZP2500</v>
          </cell>
          <cell r="H693" t="str">
            <v>50조</v>
          </cell>
          <cell r="I693">
            <v>2</v>
          </cell>
          <cell r="J693" t="str">
            <v>신우엠테크</v>
          </cell>
          <cell r="K693">
            <v>47.85</v>
          </cell>
          <cell r="L693">
            <v>49.85</v>
          </cell>
          <cell r="M693">
            <v>100.85</v>
          </cell>
          <cell r="N693">
            <v>102.85</v>
          </cell>
          <cell r="P693">
            <v>700</v>
          </cell>
          <cell r="R693" t="str">
            <v>박스</v>
          </cell>
          <cell r="U693">
            <v>45576</v>
          </cell>
          <cell r="V693" t="str">
            <v>금형제조부</v>
          </cell>
          <cell r="AD693">
            <v>0.83</v>
          </cell>
          <cell r="AE693">
            <v>80</v>
          </cell>
        </row>
        <row r="694">
          <cell r="A694" t="str">
            <v>WPUSLIM</v>
          </cell>
          <cell r="B694" t="str">
            <v>SET</v>
          </cell>
          <cell r="C694">
            <v>4</v>
          </cell>
          <cell r="D694">
            <v>85</v>
          </cell>
          <cell r="E694">
            <v>187</v>
          </cell>
          <cell r="F694">
            <v>36</v>
          </cell>
          <cell r="G694" t="str">
            <v>B240NS</v>
          </cell>
          <cell r="H694">
            <v>20</v>
          </cell>
          <cell r="I694">
            <v>2</v>
          </cell>
          <cell r="J694" t="str">
            <v>SK매직</v>
          </cell>
          <cell r="K694">
            <v>152</v>
          </cell>
          <cell r="L694">
            <v>156</v>
          </cell>
          <cell r="M694">
            <v>73.5</v>
          </cell>
          <cell r="N694">
            <v>75.5</v>
          </cell>
          <cell r="O694">
            <v>887</v>
          </cell>
          <cell r="P694">
            <v>1300</v>
          </cell>
          <cell r="Q694">
            <v>250</v>
          </cell>
          <cell r="R694" t="str">
            <v>흰색</v>
          </cell>
          <cell r="S694" t="str">
            <v>흰색</v>
          </cell>
          <cell r="T694" t="str">
            <v>WPU8201C,큐비에스</v>
          </cell>
          <cell r="U694">
            <v>40134</v>
          </cell>
          <cell r="V694" t="str">
            <v>삼일금형</v>
          </cell>
          <cell r="W694" t="str">
            <v>57915-15,16, BURR 확인! 테이프사용, 끈풀지말것!!</v>
          </cell>
          <cell r="X694" t="str">
            <v>A-0903</v>
          </cell>
          <cell r="AC694" t="str">
            <v>간이, 2009.12.22케비트추가, 2010.02.09승인완료,2013.06.26수정,2016.08.26포장단위 변경(10-&gt;20), 2021.04.29 휘다 홀 이동</v>
          </cell>
          <cell r="AD694">
            <v>0.9</v>
          </cell>
          <cell r="AE694">
            <v>85</v>
          </cell>
          <cell r="AF694">
            <v>1</v>
          </cell>
        </row>
        <row r="695">
          <cell r="A695" t="str">
            <v>WPU-INSERT</v>
          </cell>
          <cell r="B695" t="str">
            <v>저발</v>
          </cell>
          <cell r="C695">
            <v>10</v>
          </cell>
          <cell r="D695">
            <v>90</v>
          </cell>
          <cell r="E695">
            <v>3</v>
          </cell>
          <cell r="F695">
            <v>65</v>
          </cell>
          <cell r="G695" t="str">
            <v>B240NS</v>
          </cell>
          <cell r="H695">
            <v>300</v>
          </cell>
          <cell r="I695">
            <v>1</v>
          </cell>
          <cell r="J695" t="str">
            <v>SK매직</v>
          </cell>
          <cell r="K695">
            <v>27.5</v>
          </cell>
          <cell r="L695">
            <v>28</v>
          </cell>
          <cell r="O695">
            <v>107</v>
          </cell>
          <cell r="P695">
            <v>500</v>
          </cell>
          <cell r="R695" t="str">
            <v>비닐</v>
          </cell>
          <cell r="S695" t="str">
            <v>비닐</v>
          </cell>
          <cell r="T695" t="str">
            <v>WPU INSERT</v>
          </cell>
          <cell r="U695">
            <v>38465</v>
          </cell>
          <cell r="V695" t="str">
            <v>삼일금형</v>
          </cell>
          <cell r="X695" t="str">
            <v>Q-1001</v>
          </cell>
          <cell r="AC695" t="str">
            <v>06.4.10 동양매직에서 부상정공으로 업체명 변경(유제한계장)</v>
          </cell>
          <cell r="AD695">
            <v>0.85</v>
          </cell>
          <cell r="AE695">
            <v>90</v>
          </cell>
          <cell r="AF695">
            <v>2</v>
          </cell>
        </row>
        <row r="696">
          <cell r="A696" t="str">
            <v>WPU-B300/400</v>
          </cell>
          <cell r="B696" t="str">
            <v>회색</v>
          </cell>
          <cell r="C696">
            <v>3</v>
          </cell>
          <cell r="D696">
            <v>100</v>
          </cell>
          <cell r="E696">
            <v>129</v>
          </cell>
          <cell r="F696">
            <v>48</v>
          </cell>
          <cell r="G696" t="str">
            <v>ZP2500</v>
          </cell>
          <cell r="H696">
            <v>10</v>
          </cell>
          <cell r="I696">
            <v>2</v>
          </cell>
          <cell r="J696" t="str">
            <v>SK매직</v>
          </cell>
          <cell r="K696">
            <v>218</v>
          </cell>
          <cell r="L696">
            <v>222</v>
          </cell>
          <cell r="M696">
            <v>23</v>
          </cell>
          <cell r="N696">
            <v>25</v>
          </cell>
          <cell r="O696">
            <v>740</v>
          </cell>
          <cell r="P696">
            <v>1360</v>
          </cell>
          <cell r="Q696">
            <v>300</v>
          </cell>
          <cell r="R696" t="str">
            <v>검정</v>
          </cell>
          <cell r="S696" t="str">
            <v>검정</v>
          </cell>
          <cell r="T696" t="str">
            <v>MIDDLE:3g, BODY:126g,큐비에스</v>
          </cell>
          <cell r="U696">
            <v>43631</v>
          </cell>
          <cell r="V696" t="str">
            <v>금형제조부(세일)</v>
          </cell>
          <cell r="W696" t="str">
            <v>거꾸로 조립(초물145g 내외)</v>
          </cell>
          <cell r="Y696">
            <v>40</v>
          </cell>
          <cell r="Z696">
            <v>5193</v>
          </cell>
          <cell r="AD696">
            <v>0.85</v>
          </cell>
          <cell r="AE696">
            <v>80</v>
          </cell>
          <cell r="AF696">
            <v>2</v>
          </cell>
        </row>
        <row r="697">
          <cell r="A697" t="str">
            <v>WPU8231F내장재</v>
          </cell>
          <cell r="B697" t="str">
            <v>SET</v>
          </cell>
          <cell r="C697">
            <v>6</v>
          </cell>
          <cell r="D697">
            <v>80</v>
          </cell>
          <cell r="E697">
            <v>168</v>
          </cell>
          <cell r="F697">
            <v>36</v>
          </cell>
          <cell r="G697" t="str">
            <v>B240NS</v>
          </cell>
          <cell r="H697">
            <v>10</v>
          </cell>
          <cell r="I697">
            <v>2</v>
          </cell>
          <cell r="J697" t="str">
            <v>SK매직</v>
          </cell>
          <cell r="K697">
            <v>202.5</v>
          </cell>
          <cell r="L697">
            <v>203.5</v>
          </cell>
          <cell r="M697">
            <v>38.299999999999997</v>
          </cell>
          <cell r="N697">
            <v>39.299999999999997</v>
          </cell>
          <cell r="O697">
            <v>796</v>
          </cell>
          <cell r="P697">
            <v>1360</v>
          </cell>
          <cell r="Q697">
            <v>300</v>
          </cell>
          <cell r="R697" t="str">
            <v>빨강</v>
          </cell>
          <cell r="S697" t="str">
            <v>빨강</v>
          </cell>
          <cell r="T697" t="str">
            <v>WPU8231F내장재, WPU5900</v>
          </cell>
          <cell r="U697">
            <v>40893</v>
          </cell>
          <cell r="V697" t="str">
            <v>금형제조부</v>
          </cell>
          <cell r="W697" t="str">
            <v>51918-89,87,88</v>
          </cell>
          <cell r="X697" t="str">
            <v>Q-0502</v>
          </cell>
          <cell r="AC697" t="str">
            <v>석상준계장, 2012.03.12기준중량변경(100-&gt;168), 2012.07.02 코팅입고</v>
          </cell>
          <cell r="AD697">
            <v>0.9</v>
          </cell>
          <cell r="AE697">
            <v>90</v>
          </cell>
          <cell r="AF697">
            <v>1</v>
          </cell>
        </row>
        <row r="698">
          <cell r="A698" t="str">
            <v>WPU8215-2</v>
          </cell>
          <cell r="B698" t="str">
            <v>SET</v>
          </cell>
          <cell r="C698">
            <v>2</v>
          </cell>
          <cell r="D698">
            <v>84</v>
          </cell>
          <cell r="E698">
            <v>335</v>
          </cell>
          <cell r="F698">
            <v>50</v>
          </cell>
          <cell r="G698" t="str">
            <v>B240NS</v>
          </cell>
          <cell r="H698">
            <v>10</v>
          </cell>
          <cell r="I698">
            <v>2</v>
          </cell>
          <cell r="J698" t="str">
            <v>SK매직</v>
          </cell>
          <cell r="K698">
            <v>72</v>
          </cell>
          <cell r="L698">
            <v>76</v>
          </cell>
          <cell r="M698">
            <v>94</v>
          </cell>
          <cell r="N698">
            <v>96</v>
          </cell>
          <cell r="O698">
            <v>1588</v>
          </cell>
          <cell r="P698">
            <v>1300</v>
          </cell>
          <cell r="Q698">
            <v>200</v>
          </cell>
          <cell r="R698" t="str">
            <v>주황</v>
          </cell>
          <cell r="S698" t="str">
            <v>주황</v>
          </cell>
          <cell r="T698" t="str">
            <v>WPU8215 UP/LOW</v>
          </cell>
          <cell r="U698">
            <v>40605</v>
          </cell>
          <cell r="V698" t="str">
            <v>금형제조부</v>
          </cell>
          <cell r="X698" t="str">
            <v>E-0403</v>
          </cell>
          <cell r="AC698" t="str">
            <v>2011.05.27기준중량변경340g~301g, 2012.02.23기준중량변경(301-&gt;340), 2012.05.31 수정,2013.03.18 LOW끈색변경(빨강-&gt;주황),2013.03.21개조, 2013.04.25기준중량변경(340-&gt;335),213.07.01 끈색변경(파랑,주황-&gt;주황),2016.07.12스팀캡교체,2016.07.26배율변경57-&gt;50</v>
          </cell>
          <cell r="AD698">
            <v>0.85</v>
          </cell>
          <cell r="AE698">
            <v>65</v>
          </cell>
          <cell r="AF698">
            <v>4</v>
          </cell>
        </row>
        <row r="699">
          <cell r="A699" t="str">
            <v>WPU60</v>
          </cell>
          <cell r="B699" t="str">
            <v>SET</v>
          </cell>
          <cell r="C699">
            <v>4</v>
          </cell>
          <cell r="D699">
            <v>85</v>
          </cell>
          <cell r="E699">
            <v>179</v>
          </cell>
          <cell r="F699">
            <v>36</v>
          </cell>
          <cell r="G699" t="str">
            <v>B240NS</v>
          </cell>
          <cell r="H699">
            <v>20</v>
          </cell>
          <cell r="I699">
            <v>2</v>
          </cell>
          <cell r="J699" t="str">
            <v>SK매직</v>
          </cell>
          <cell r="K699">
            <v>172</v>
          </cell>
          <cell r="L699">
            <v>174</v>
          </cell>
          <cell r="M699">
            <v>54.5</v>
          </cell>
          <cell r="N699">
            <v>56.5</v>
          </cell>
          <cell r="O699">
            <v>848</v>
          </cell>
          <cell r="P699">
            <v>1300</v>
          </cell>
          <cell r="Q699">
            <v>250</v>
          </cell>
          <cell r="R699" t="str">
            <v>녹색</v>
          </cell>
          <cell r="S699" t="str">
            <v>녹색</v>
          </cell>
          <cell r="T699" t="str">
            <v>WPU6212C/F</v>
          </cell>
          <cell r="U699">
            <v>40134</v>
          </cell>
          <cell r="V699" t="str">
            <v>삼일금형</v>
          </cell>
          <cell r="W699" t="str">
            <v>57915-13,14, BURR 확인! 테이프사용, 끈풀지말것!!</v>
          </cell>
          <cell r="X699" t="str">
            <v>E-0701</v>
          </cell>
          <cell r="AC699" t="str">
            <v>간이, 2009.12.22수정및 케비트추가, 2016.06.13수리,2016.08.26포장단위 변경(10-&gt;20), 2020.04.01 휘다위치 변경 BURR 수리</v>
          </cell>
          <cell r="AD699">
            <v>0.9</v>
          </cell>
          <cell r="AE699">
            <v>85</v>
          </cell>
          <cell r="AF699">
            <v>2</v>
          </cell>
        </row>
        <row r="700">
          <cell r="A700" t="str">
            <v>WPU1100내장재</v>
          </cell>
          <cell r="B700" t="str">
            <v>SET</v>
          </cell>
          <cell r="C700">
            <v>8</v>
          </cell>
          <cell r="D700">
            <v>110</v>
          </cell>
          <cell r="E700">
            <v>60</v>
          </cell>
          <cell r="F700">
            <v>24</v>
          </cell>
          <cell r="G700" t="str">
            <v>B240NS</v>
          </cell>
          <cell r="H700">
            <v>40</v>
          </cell>
          <cell r="I700">
            <v>2</v>
          </cell>
          <cell r="J700" t="str">
            <v>SK매직</v>
          </cell>
          <cell r="K700">
            <v>180.9</v>
          </cell>
          <cell r="L700">
            <v>182.9</v>
          </cell>
          <cell r="M700">
            <v>180.9</v>
          </cell>
          <cell r="N700">
            <v>182.9</v>
          </cell>
          <cell r="O700">
            <v>368</v>
          </cell>
          <cell r="P700">
            <v>1360</v>
          </cell>
          <cell r="Q700">
            <v>150</v>
          </cell>
          <cell r="R700" t="str">
            <v>검정</v>
          </cell>
          <cell r="S700" t="str">
            <v>검정</v>
          </cell>
          <cell r="U700">
            <v>41439</v>
          </cell>
          <cell r="V700" t="str">
            <v>금형제조부</v>
          </cell>
          <cell r="W700" t="str">
            <v>중량,건조,냉각,이바리확인</v>
          </cell>
          <cell r="AC700" t="str">
            <v>조우리사원,간이금형 2*1,2013.08.09 FULL CACITY 제작 입고(2*1-&gt;2*8), 2013.09.24기준중량변경(62-&gt;78),2013.10.01코팅 2014.03.31기준중량변경(78-&gt;60)</v>
          </cell>
          <cell r="AD700">
            <v>0.9</v>
          </cell>
          <cell r="AE700">
            <v>100</v>
          </cell>
          <cell r="AF700">
            <v>2</v>
          </cell>
        </row>
        <row r="701">
          <cell r="A701" t="str">
            <v>WPU1100REAR</v>
          </cell>
          <cell r="B701" t="str">
            <v>SET</v>
          </cell>
          <cell r="C701">
            <v>16</v>
          </cell>
          <cell r="D701">
            <v>110</v>
          </cell>
          <cell r="E701">
            <v>26</v>
          </cell>
          <cell r="F701">
            <v>24</v>
          </cell>
          <cell r="G701" t="str">
            <v>B240NS</v>
          </cell>
          <cell r="H701">
            <v>80</v>
          </cell>
          <cell r="I701">
            <v>1</v>
          </cell>
          <cell r="J701" t="str">
            <v>SK매직</v>
          </cell>
          <cell r="K701">
            <v>34.5</v>
          </cell>
          <cell r="L701">
            <v>36.5</v>
          </cell>
          <cell r="O701">
            <v>193</v>
          </cell>
          <cell r="P701">
            <v>1360</v>
          </cell>
          <cell r="Q701">
            <v>150</v>
          </cell>
          <cell r="R701" t="str">
            <v>검정</v>
          </cell>
          <cell r="S701" t="str">
            <v>검정</v>
          </cell>
          <cell r="U701">
            <v>41439</v>
          </cell>
          <cell r="V701" t="str">
            <v>금형제조부</v>
          </cell>
          <cell r="W701" t="str">
            <v>중량,건조,냉각,이바리확인</v>
          </cell>
          <cell r="AC701" t="str">
            <v>조우리사원,간이금형 1*2, 2013.07.24개조,2013.08.09 FULL CAVITY 제작입고(1*2-&gt;1*16) 2014.03.31기준중량변경(32-&gt;26),2014.06.09개조, 2014.08.18코팅,2016.08.27 재코팅, 2020.04.27 파손수리</v>
          </cell>
          <cell r="AD701">
            <v>0.9</v>
          </cell>
          <cell r="AE701">
            <v>100</v>
          </cell>
          <cell r="AF701">
            <v>4</v>
          </cell>
        </row>
        <row r="702">
          <cell r="A702" t="str">
            <v>WPU1100PAD</v>
          </cell>
          <cell r="B702" t="str">
            <v>SET</v>
          </cell>
          <cell r="C702">
            <v>2</v>
          </cell>
          <cell r="D702">
            <v>75</v>
          </cell>
          <cell r="E702">
            <v>445</v>
          </cell>
          <cell r="F702">
            <v>53</v>
          </cell>
          <cell r="G702" t="str">
            <v>SG-302</v>
          </cell>
          <cell r="H702">
            <v>10</v>
          </cell>
          <cell r="I702">
            <v>2</v>
          </cell>
          <cell r="J702" t="str">
            <v>SK매직</v>
          </cell>
          <cell r="K702">
            <v>114</v>
          </cell>
          <cell r="L702">
            <v>116</v>
          </cell>
          <cell r="M702">
            <v>114</v>
          </cell>
          <cell r="N702">
            <v>116</v>
          </cell>
          <cell r="O702">
            <v>2108</v>
          </cell>
          <cell r="P702">
            <v>1360</v>
          </cell>
          <cell r="Q702">
            <v>200</v>
          </cell>
          <cell r="R702" t="str">
            <v>초록</v>
          </cell>
          <cell r="S702" t="str">
            <v>초록</v>
          </cell>
          <cell r="U702">
            <v>41505</v>
          </cell>
          <cell r="V702" t="str">
            <v>금형제조부</v>
          </cell>
          <cell r="W702" t="str">
            <v>57922-63000,64000</v>
          </cell>
          <cell r="X702" t="str">
            <v>계양리 P-1</v>
          </cell>
          <cell r="AC702" t="str">
            <v>김길영계장,묶음단위변경(5-&gt;10),2014.04.02 개조, 2014.08.20코팅</v>
          </cell>
          <cell r="AD702">
            <v>0.85</v>
          </cell>
          <cell r="AE702">
            <v>75</v>
          </cell>
          <cell r="AF702">
            <v>1</v>
          </cell>
        </row>
        <row r="703">
          <cell r="A703" t="str">
            <v>WP-20S</v>
          </cell>
          <cell r="B703" t="str">
            <v>SET</v>
          </cell>
          <cell r="C703">
            <v>3</v>
          </cell>
          <cell r="D703">
            <v>100</v>
          </cell>
          <cell r="E703">
            <v>204</v>
          </cell>
          <cell r="F703">
            <v>70</v>
          </cell>
          <cell r="G703" t="str">
            <v>B240NS</v>
          </cell>
          <cell r="H703">
            <v>10</v>
          </cell>
          <cell r="I703">
            <v>2</v>
          </cell>
          <cell r="J703" t="str">
            <v>청호나이스</v>
          </cell>
          <cell r="K703">
            <v>82</v>
          </cell>
          <cell r="L703">
            <v>84</v>
          </cell>
          <cell r="M703">
            <v>79</v>
          </cell>
          <cell r="N703">
            <v>81</v>
          </cell>
          <cell r="P703">
            <v>1360</v>
          </cell>
          <cell r="Q703">
            <v>200</v>
          </cell>
          <cell r="R703" t="str">
            <v>검정</v>
          </cell>
          <cell r="T703" t="str">
            <v>나노냉정수기,61-1892-0/61-1892-0</v>
          </cell>
          <cell r="U703">
            <v>43934</v>
          </cell>
          <cell r="V703" t="str">
            <v>세일하이테크</v>
          </cell>
          <cell r="W703" t="str">
            <v>나노냉정수기</v>
          </cell>
          <cell r="Y703">
            <v>60</v>
          </cell>
          <cell r="Z703">
            <v>12273</v>
          </cell>
          <cell r="AC703" t="str">
            <v>석상준과장, 2020.05.15 모델명변경(나노냉정수기-&gt;WP-20S), 2020.06.03 CAVITY추가(2*2-&gt;2*3), 2020.07.24 코팅완료</v>
          </cell>
          <cell r="AD703">
            <v>0.85</v>
          </cell>
          <cell r="AF703">
            <v>4</v>
          </cell>
        </row>
        <row r="704">
          <cell r="A704" t="str">
            <v>WMB-1501-UP</v>
          </cell>
          <cell r="B704" t="str">
            <v>SET</v>
          </cell>
          <cell r="C704">
            <v>2</v>
          </cell>
          <cell r="D704">
            <v>100</v>
          </cell>
          <cell r="E704">
            <v>267</v>
          </cell>
          <cell r="F704">
            <v>70</v>
          </cell>
          <cell r="G704" t="str">
            <v>B240NS</v>
          </cell>
          <cell r="H704" t="str">
            <v xml:space="preserve">UP:5 </v>
          </cell>
          <cell r="I704">
            <v>2</v>
          </cell>
          <cell r="J704" t="str">
            <v>코웨이</v>
          </cell>
          <cell r="M704">
            <v>162</v>
          </cell>
          <cell r="N704">
            <v>168</v>
          </cell>
          <cell r="P704">
            <v>1360</v>
          </cell>
          <cell r="Q704">
            <v>250</v>
          </cell>
          <cell r="R704" t="str">
            <v>빨강</v>
          </cell>
          <cell r="U704">
            <v>45638</v>
          </cell>
          <cell r="V704" t="str">
            <v>금형제조부</v>
          </cell>
          <cell r="AD704">
            <v>0.83</v>
          </cell>
          <cell r="AE704">
            <v>80</v>
          </cell>
        </row>
        <row r="705">
          <cell r="A705" t="str">
            <v>WMB-1501-LOW</v>
          </cell>
          <cell r="B705" t="str">
            <v>SET</v>
          </cell>
          <cell r="C705">
            <v>2</v>
          </cell>
          <cell r="D705">
            <v>100</v>
          </cell>
          <cell r="E705">
            <v>140</v>
          </cell>
          <cell r="F705">
            <v>70</v>
          </cell>
          <cell r="G705" t="str">
            <v>B240NS</v>
          </cell>
          <cell r="H705" t="str">
            <v>LOW:10</v>
          </cell>
          <cell r="I705">
            <v>2</v>
          </cell>
          <cell r="J705" t="str">
            <v>코웨이</v>
          </cell>
          <cell r="K705">
            <v>87</v>
          </cell>
          <cell r="L705">
            <v>93</v>
          </cell>
          <cell r="P705">
            <v>1360</v>
          </cell>
          <cell r="Q705">
            <v>250</v>
          </cell>
          <cell r="R705" t="str">
            <v>빨강</v>
          </cell>
          <cell r="U705">
            <v>45638</v>
          </cell>
          <cell r="V705" t="str">
            <v>금형제조부</v>
          </cell>
          <cell r="AD705">
            <v>0.83</v>
          </cell>
          <cell r="AE705">
            <v>80</v>
          </cell>
        </row>
        <row r="706">
          <cell r="A706" t="str">
            <v>WMB-1501</v>
          </cell>
          <cell r="B706" t="str">
            <v>SET</v>
          </cell>
          <cell r="C706">
            <v>2</v>
          </cell>
          <cell r="D706">
            <v>100</v>
          </cell>
          <cell r="E706">
            <v>407</v>
          </cell>
          <cell r="F706">
            <v>70</v>
          </cell>
          <cell r="G706" t="str">
            <v>B240NS</v>
          </cell>
          <cell r="H706" t="str">
            <v>UP:5 LOW:10</v>
          </cell>
          <cell r="I706">
            <v>2</v>
          </cell>
          <cell r="J706" t="str">
            <v>코웨이</v>
          </cell>
          <cell r="K706">
            <v>87</v>
          </cell>
          <cell r="L706">
            <v>93</v>
          </cell>
          <cell r="M706">
            <v>162</v>
          </cell>
          <cell r="N706">
            <v>168</v>
          </cell>
          <cell r="P706">
            <v>1360</v>
          </cell>
          <cell r="Q706">
            <v>250</v>
          </cell>
          <cell r="R706" t="str">
            <v>빨강</v>
          </cell>
          <cell r="T706" t="str">
            <v>음처기-대형</v>
          </cell>
          <cell r="U706">
            <v>45638</v>
          </cell>
          <cell r="V706" t="str">
            <v>금형제조부</v>
          </cell>
          <cell r="AD706">
            <v>0.83</v>
          </cell>
          <cell r="AE706">
            <v>80</v>
          </cell>
        </row>
        <row r="707">
          <cell r="A707" t="str">
            <v>WMB-0703-UP</v>
          </cell>
          <cell r="B707" t="str">
            <v>SET</v>
          </cell>
          <cell r="C707">
            <v>3</v>
          </cell>
          <cell r="D707">
            <v>100</v>
          </cell>
          <cell r="E707">
            <v>251</v>
          </cell>
          <cell r="F707">
            <v>70</v>
          </cell>
          <cell r="G707" t="str">
            <v>B240NS</v>
          </cell>
          <cell r="H707" t="str">
            <v>UP:5</v>
          </cell>
          <cell r="I707">
            <v>2</v>
          </cell>
          <cell r="J707" t="str">
            <v>코웨이</v>
          </cell>
          <cell r="M707">
            <v>172</v>
          </cell>
          <cell r="N707">
            <v>178</v>
          </cell>
          <cell r="P707">
            <v>1360</v>
          </cell>
          <cell r="Q707">
            <v>250</v>
          </cell>
          <cell r="R707" t="str">
            <v>노랑</v>
          </cell>
          <cell r="U707">
            <v>45638</v>
          </cell>
          <cell r="V707" t="str">
            <v>금형제조부</v>
          </cell>
          <cell r="AD707">
            <v>0.83</v>
          </cell>
          <cell r="AE707">
            <v>80</v>
          </cell>
        </row>
        <row r="708">
          <cell r="A708" t="str">
            <v>WMB-0703-LOW</v>
          </cell>
          <cell r="B708" t="str">
            <v>SET</v>
          </cell>
          <cell r="C708">
            <v>3</v>
          </cell>
          <cell r="D708">
            <v>100</v>
          </cell>
          <cell r="E708">
            <v>118</v>
          </cell>
          <cell r="F708">
            <v>70</v>
          </cell>
          <cell r="G708" t="str">
            <v>B240NS</v>
          </cell>
          <cell r="H708" t="str">
            <v>LOW:10</v>
          </cell>
          <cell r="I708">
            <v>2</v>
          </cell>
          <cell r="J708" t="str">
            <v>코웨이</v>
          </cell>
          <cell r="K708">
            <v>87</v>
          </cell>
          <cell r="L708">
            <v>93</v>
          </cell>
          <cell r="P708">
            <v>1360</v>
          </cell>
          <cell r="Q708">
            <v>250</v>
          </cell>
          <cell r="R708" t="str">
            <v>노랑</v>
          </cell>
          <cell r="U708">
            <v>45638</v>
          </cell>
          <cell r="V708" t="str">
            <v>금형제조부</v>
          </cell>
          <cell r="AD708">
            <v>0.83</v>
          </cell>
          <cell r="AE708">
            <v>80</v>
          </cell>
        </row>
        <row r="709">
          <cell r="A709" t="str">
            <v>WMB-0703</v>
          </cell>
          <cell r="B709" t="str">
            <v>SET</v>
          </cell>
          <cell r="C709">
            <v>3</v>
          </cell>
          <cell r="D709">
            <v>100</v>
          </cell>
          <cell r="E709">
            <v>369</v>
          </cell>
          <cell r="F709">
            <v>70</v>
          </cell>
          <cell r="G709" t="str">
            <v>B240NS</v>
          </cell>
          <cell r="H709" t="str">
            <v>UP:5 LOW:10</v>
          </cell>
          <cell r="I709">
            <v>2</v>
          </cell>
          <cell r="J709" t="str">
            <v>코웨이</v>
          </cell>
          <cell r="K709">
            <v>87</v>
          </cell>
          <cell r="L709">
            <v>93</v>
          </cell>
          <cell r="M709">
            <v>172</v>
          </cell>
          <cell r="N709">
            <v>178</v>
          </cell>
          <cell r="P709">
            <v>1360</v>
          </cell>
          <cell r="Q709">
            <v>250</v>
          </cell>
          <cell r="R709" t="str">
            <v>노랑</v>
          </cell>
          <cell r="T709" t="str">
            <v>음처기-소형</v>
          </cell>
          <cell r="U709">
            <v>45638</v>
          </cell>
          <cell r="V709" t="str">
            <v>금형제조부</v>
          </cell>
          <cell r="AD709">
            <v>0.83</v>
          </cell>
          <cell r="AE709">
            <v>80</v>
          </cell>
        </row>
        <row r="710">
          <cell r="A710" t="str">
            <v>W117-R3000D</v>
          </cell>
          <cell r="B710" t="str">
            <v>저발</v>
          </cell>
          <cell r="C710">
            <v>2</v>
          </cell>
          <cell r="D710">
            <v>100</v>
          </cell>
          <cell r="E710">
            <v>100</v>
          </cell>
          <cell r="F710">
            <v>74</v>
          </cell>
          <cell r="G710" t="str">
            <v>B240NS</v>
          </cell>
          <cell r="H710">
            <v>1</v>
          </cell>
          <cell r="I710">
            <v>2</v>
          </cell>
          <cell r="J710" t="str">
            <v>휴맥스</v>
          </cell>
          <cell r="P710">
            <v>500</v>
          </cell>
          <cell r="U710">
            <v>45492</v>
          </cell>
          <cell r="V710" t="str">
            <v>삼일 서천(외주생산)</v>
          </cell>
          <cell r="AD710">
            <v>0.85</v>
          </cell>
        </row>
        <row r="711">
          <cell r="A711" t="str">
            <v>W117-R3000D</v>
          </cell>
          <cell r="B711" t="str">
            <v>SET</v>
          </cell>
          <cell r="C711">
            <v>2</v>
          </cell>
          <cell r="D711">
            <v>100</v>
          </cell>
          <cell r="E711">
            <v>100</v>
          </cell>
          <cell r="F711">
            <v>74</v>
          </cell>
          <cell r="G711" t="str">
            <v>B240NS</v>
          </cell>
          <cell r="H711">
            <v>1</v>
          </cell>
          <cell r="I711">
            <v>2</v>
          </cell>
          <cell r="J711" t="str">
            <v>휴맥스</v>
          </cell>
          <cell r="P711">
            <v>500</v>
          </cell>
          <cell r="U711">
            <v>45492</v>
          </cell>
          <cell r="V711" t="str">
            <v>삼일 서천(외주생산)</v>
          </cell>
        </row>
        <row r="712">
          <cell r="A712" t="str">
            <v>W117-R3000D</v>
          </cell>
          <cell r="B712" t="str">
            <v>SET</v>
          </cell>
          <cell r="C712">
            <v>2</v>
          </cell>
          <cell r="D712">
            <v>100</v>
          </cell>
          <cell r="E712">
            <v>100</v>
          </cell>
          <cell r="F712">
            <v>74</v>
          </cell>
          <cell r="G712" t="str">
            <v>B240NS</v>
          </cell>
          <cell r="H712">
            <v>1</v>
          </cell>
          <cell r="I712">
            <v>2</v>
          </cell>
          <cell r="J712" t="str">
            <v>휴맥스</v>
          </cell>
          <cell r="P712">
            <v>500</v>
          </cell>
          <cell r="U712">
            <v>45492</v>
          </cell>
          <cell r="V712" t="str">
            <v>삼일 서천(외주생산)</v>
          </cell>
        </row>
        <row r="713">
          <cell r="A713" t="str">
            <v>W1</v>
          </cell>
          <cell r="J713" t="str">
            <v>삼일이노팩</v>
          </cell>
        </row>
        <row r="714">
          <cell r="A714" t="str">
            <v>VER4-IN-BOT</v>
          </cell>
          <cell r="B714" t="str">
            <v>회색</v>
          </cell>
          <cell r="C714">
            <v>4</v>
          </cell>
          <cell r="D714">
            <v>180</v>
          </cell>
          <cell r="E714">
            <v>330</v>
          </cell>
          <cell r="F714">
            <v>40</v>
          </cell>
          <cell r="G714" t="str">
            <v>ZP2500</v>
          </cell>
          <cell r="H714">
            <v>2</v>
          </cell>
          <cell r="I714">
            <v>4</v>
          </cell>
          <cell r="J714" t="str">
            <v>㈜탭스</v>
          </cell>
          <cell r="P714">
            <v>1600</v>
          </cell>
          <cell r="Q714">
            <v>450</v>
          </cell>
          <cell r="R714" t="str">
            <v>비닐</v>
          </cell>
          <cell r="T714" t="str">
            <v>VER4 INNER BOX</v>
          </cell>
          <cell r="U714">
            <v>45264</v>
          </cell>
          <cell r="V714" t="str">
            <v>대양이동입고</v>
          </cell>
          <cell r="W714" t="str">
            <v>VER4 내피</v>
          </cell>
          <cell r="AD714">
            <v>0.85</v>
          </cell>
        </row>
        <row r="715">
          <cell r="A715" t="str">
            <v>VER4-IN-BOT</v>
          </cell>
          <cell r="B715" t="str">
            <v>BOX</v>
          </cell>
          <cell r="C715">
            <v>4</v>
          </cell>
          <cell r="D715">
            <v>180</v>
          </cell>
          <cell r="E715">
            <v>330</v>
          </cell>
          <cell r="F715">
            <v>40</v>
          </cell>
          <cell r="G715" t="str">
            <v>ZP2500</v>
          </cell>
          <cell r="H715">
            <v>2</v>
          </cell>
          <cell r="I715">
            <v>4</v>
          </cell>
          <cell r="J715" t="str">
            <v>㈜탭스</v>
          </cell>
          <cell r="P715">
            <v>1600</v>
          </cell>
          <cell r="Q715">
            <v>450</v>
          </cell>
          <cell r="R715" t="str">
            <v>비닐</v>
          </cell>
          <cell r="T715" t="str">
            <v>VER4 INNER BOX</v>
          </cell>
          <cell r="U715">
            <v>45264</v>
          </cell>
          <cell r="V715" t="str">
            <v>대양이동입고</v>
          </cell>
          <cell r="W715" t="str">
            <v>VER4 내피</v>
          </cell>
          <cell r="AD715">
            <v>0.85</v>
          </cell>
        </row>
        <row r="716">
          <cell r="A716" t="str">
            <v>VENETO</v>
          </cell>
          <cell r="B716" t="str">
            <v>SET</v>
          </cell>
          <cell r="C716">
            <v>3</v>
          </cell>
          <cell r="D716">
            <v>98</v>
          </cell>
          <cell r="E716">
            <v>205</v>
          </cell>
          <cell r="F716">
            <v>36</v>
          </cell>
          <cell r="G716" t="str">
            <v>B240NS</v>
          </cell>
          <cell r="H716">
            <v>10</v>
          </cell>
          <cell r="I716">
            <v>1</v>
          </cell>
          <cell r="J716" t="str">
            <v>동광NB</v>
          </cell>
          <cell r="K716">
            <v>43</v>
          </cell>
          <cell r="L716">
            <v>46</v>
          </cell>
          <cell r="O716">
            <v>10</v>
          </cell>
          <cell r="P716">
            <v>1500</v>
          </cell>
          <cell r="Q716">
            <v>150</v>
          </cell>
          <cell r="R716" t="str">
            <v>비닐</v>
          </cell>
          <cell r="S716" t="str">
            <v>비닐</v>
          </cell>
          <cell r="T716" t="str">
            <v>고정 냉각노즈 확인 필!</v>
          </cell>
          <cell r="U716">
            <v>43117</v>
          </cell>
          <cell r="V716" t="str">
            <v>금형제조부</v>
          </cell>
          <cell r="W716" t="str">
            <v>금형거꾸로조립(낙하불량), 고정냉각노즐 확인!</v>
          </cell>
          <cell r="AC716" t="str">
            <v>최재학계장</v>
          </cell>
          <cell r="AD716">
            <v>0.9</v>
          </cell>
          <cell r="AE716">
            <v>100</v>
          </cell>
          <cell r="AF716">
            <v>0</v>
          </cell>
        </row>
        <row r="717">
          <cell r="A717" t="str">
            <v>VA69-01081A001</v>
          </cell>
          <cell r="B717" t="str">
            <v>SET</v>
          </cell>
          <cell r="C717">
            <v>2</v>
          </cell>
          <cell r="D717">
            <v>100</v>
          </cell>
          <cell r="G717" t="str">
            <v>B240NS</v>
          </cell>
          <cell r="H717">
            <v>5</v>
          </cell>
          <cell r="I717">
            <v>1</v>
          </cell>
          <cell r="J717" t="str">
            <v>삼성전자</v>
          </cell>
          <cell r="P717">
            <v>1360</v>
          </cell>
          <cell r="Q717">
            <v>200</v>
          </cell>
          <cell r="U717">
            <v>45141</v>
          </cell>
          <cell r="AD717">
            <v>0.85</v>
          </cell>
        </row>
        <row r="718">
          <cell r="A718" t="str">
            <v>VA69-01081A001</v>
          </cell>
          <cell r="B718" t="str">
            <v>SET</v>
          </cell>
          <cell r="C718">
            <v>2</v>
          </cell>
          <cell r="D718">
            <v>100</v>
          </cell>
          <cell r="G718" t="str">
            <v>B240NS</v>
          </cell>
          <cell r="H718">
            <v>5</v>
          </cell>
          <cell r="I718">
            <v>1</v>
          </cell>
          <cell r="J718" t="str">
            <v>삼성전자</v>
          </cell>
          <cell r="P718">
            <v>1360</v>
          </cell>
          <cell r="Q718">
            <v>200</v>
          </cell>
          <cell r="U718">
            <v>45141</v>
          </cell>
          <cell r="AD718">
            <v>0.85</v>
          </cell>
        </row>
        <row r="719">
          <cell r="A719" t="str">
            <v>VA69-01018A</v>
          </cell>
          <cell r="B719" t="str">
            <v>PAD</v>
          </cell>
          <cell r="E719">
            <v>2</v>
          </cell>
          <cell r="J719" t="str">
            <v>삼성전자</v>
          </cell>
          <cell r="O719">
            <v>30</v>
          </cell>
          <cell r="P719" t="str">
            <v>125*93*10T(50배)</v>
          </cell>
          <cell r="S719">
            <v>350</v>
          </cell>
        </row>
        <row r="720">
          <cell r="A720" t="str">
            <v>VA69-01018A</v>
          </cell>
          <cell r="B720" t="str">
            <v>PAD</v>
          </cell>
          <cell r="E720">
            <v>2</v>
          </cell>
          <cell r="J720" t="str">
            <v>삼성전자</v>
          </cell>
          <cell r="O720">
            <v>30</v>
          </cell>
          <cell r="P720" t="str">
            <v>125*93*10T(50배)</v>
          </cell>
        </row>
        <row r="721">
          <cell r="A721" t="str">
            <v>V90</v>
          </cell>
          <cell r="B721" t="str">
            <v>저발</v>
          </cell>
          <cell r="C721">
            <v>3</v>
          </cell>
          <cell r="D721">
            <v>90</v>
          </cell>
          <cell r="E721">
            <v>130</v>
          </cell>
          <cell r="F721">
            <v>74</v>
          </cell>
          <cell r="G721" t="str">
            <v>B240NS</v>
          </cell>
          <cell r="H721">
            <v>16</v>
          </cell>
          <cell r="I721">
            <v>1</v>
          </cell>
          <cell r="J721" t="str">
            <v>브이씨엘</v>
          </cell>
          <cell r="O721">
            <v>1000</v>
          </cell>
          <cell r="P721">
            <v>500</v>
          </cell>
          <cell r="R721" t="str">
            <v>빨강</v>
          </cell>
          <cell r="S721" t="str">
            <v>빨강</v>
          </cell>
          <cell r="U721">
            <v>42968</v>
          </cell>
          <cell r="V721" t="str">
            <v>이동금형</v>
          </cell>
          <cell r="AC721" t="str">
            <v>최재학계장</v>
          </cell>
          <cell r="AD721">
            <v>0.85</v>
          </cell>
          <cell r="AE721">
            <v>90</v>
          </cell>
          <cell r="AF721">
            <v>1</v>
          </cell>
        </row>
        <row r="722">
          <cell r="A722" t="str">
            <v>UV-SIDE-CUSHION</v>
          </cell>
          <cell r="B722" t="str">
            <v>SET</v>
          </cell>
          <cell r="C722">
            <v>4</v>
          </cell>
          <cell r="D722">
            <v>100</v>
          </cell>
          <cell r="E722">
            <v>156</v>
          </cell>
          <cell r="F722">
            <v>50</v>
          </cell>
          <cell r="G722" t="str">
            <v>B240NS</v>
          </cell>
          <cell r="H722">
            <v>1</v>
          </cell>
          <cell r="I722">
            <v>1</v>
          </cell>
          <cell r="J722" t="str">
            <v>세스코</v>
          </cell>
          <cell r="P722">
            <v>1360</v>
          </cell>
          <cell r="Q722">
            <v>350</v>
          </cell>
          <cell r="V722" t="str">
            <v>금형사업부</v>
          </cell>
          <cell r="AD722">
            <v>0.85</v>
          </cell>
        </row>
        <row r="723">
          <cell r="A723" t="str">
            <v>UV-SIDE-CUSHION</v>
          </cell>
          <cell r="B723" t="str">
            <v>SET</v>
          </cell>
          <cell r="C723">
            <v>4</v>
          </cell>
          <cell r="D723">
            <v>100</v>
          </cell>
          <cell r="E723">
            <v>156</v>
          </cell>
          <cell r="F723">
            <v>50</v>
          </cell>
          <cell r="G723" t="str">
            <v>B240NS</v>
          </cell>
          <cell r="H723">
            <v>1</v>
          </cell>
          <cell r="I723">
            <v>1</v>
          </cell>
          <cell r="J723" t="str">
            <v>세스코</v>
          </cell>
          <cell r="P723">
            <v>1360</v>
          </cell>
          <cell r="Q723">
            <v>350</v>
          </cell>
          <cell r="V723" t="str">
            <v>금형사업부</v>
          </cell>
          <cell r="AD723">
            <v>0.85</v>
          </cell>
        </row>
        <row r="724">
          <cell r="A724" t="str">
            <v>UV-CUSHION</v>
          </cell>
          <cell r="B724" t="str">
            <v>SET</v>
          </cell>
          <cell r="C724">
            <v>2</v>
          </cell>
          <cell r="D724">
            <v>100</v>
          </cell>
          <cell r="E724">
            <v>597</v>
          </cell>
          <cell r="F724" t="str">
            <v>40/50</v>
          </cell>
          <cell r="G724" t="str">
            <v>B240NS</v>
          </cell>
          <cell r="H724">
            <v>1</v>
          </cell>
          <cell r="I724">
            <v>2</v>
          </cell>
          <cell r="J724" t="str">
            <v>세스코</v>
          </cell>
          <cell r="P724">
            <v>1360</v>
          </cell>
          <cell r="V724" t="str">
            <v>금형사업부</v>
          </cell>
          <cell r="AD724">
            <v>0.85</v>
          </cell>
        </row>
        <row r="725">
          <cell r="A725" t="str">
            <v>UV-CUSHION</v>
          </cell>
          <cell r="B725" t="str">
            <v>SET</v>
          </cell>
          <cell r="C725">
            <v>2</v>
          </cell>
          <cell r="D725">
            <v>100</v>
          </cell>
          <cell r="E725">
            <v>597</v>
          </cell>
          <cell r="F725" t="str">
            <v>40/50</v>
          </cell>
          <cell r="G725" t="str">
            <v>B240NS</v>
          </cell>
          <cell r="H725">
            <v>1</v>
          </cell>
          <cell r="I725">
            <v>2</v>
          </cell>
          <cell r="J725" t="str">
            <v>세스코</v>
          </cell>
          <cell r="P725">
            <v>1360</v>
          </cell>
          <cell r="V725" t="str">
            <v>금형사업부</v>
          </cell>
        </row>
        <row r="726">
          <cell r="A726" t="str">
            <v>UVC-SIDE</v>
          </cell>
          <cell r="B726" t="str">
            <v>SET</v>
          </cell>
          <cell r="C726">
            <v>4</v>
          </cell>
          <cell r="D726">
            <v>70</v>
          </cell>
          <cell r="E726">
            <v>238</v>
          </cell>
          <cell r="F726">
            <v>50</v>
          </cell>
          <cell r="G726" t="str">
            <v>B240NS</v>
          </cell>
          <cell r="H726">
            <v>1</v>
          </cell>
          <cell r="I726">
            <v>1</v>
          </cell>
          <cell r="J726" t="str">
            <v>세스코</v>
          </cell>
          <cell r="P726">
            <v>1360</v>
          </cell>
          <cell r="Q726">
            <v>350</v>
          </cell>
          <cell r="U726">
            <v>45440</v>
          </cell>
          <cell r="V726" t="str">
            <v>금형사업부</v>
          </cell>
        </row>
        <row r="727">
          <cell r="A727" t="str">
            <v>UVC-SIDE</v>
          </cell>
          <cell r="B727" t="str">
            <v>SET</v>
          </cell>
          <cell r="C727">
            <v>4</v>
          </cell>
          <cell r="D727">
            <v>70</v>
          </cell>
          <cell r="E727">
            <v>238</v>
          </cell>
          <cell r="F727">
            <v>50</v>
          </cell>
          <cell r="G727" t="str">
            <v>B240NS</v>
          </cell>
          <cell r="H727">
            <v>1</v>
          </cell>
          <cell r="I727">
            <v>1</v>
          </cell>
          <cell r="J727" t="str">
            <v>세스코</v>
          </cell>
          <cell r="P727">
            <v>1360</v>
          </cell>
          <cell r="U727">
            <v>45440</v>
          </cell>
          <cell r="V727" t="str">
            <v>금형사업부</v>
          </cell>
          <cell r="AD727">
            <v>0.85</v>
          </cell>
        </row>
        <row r="728">
          <cell r="A728" t="str">
            <v>UPPER RACK</v>
          </cell>
          <cell r="J728" t="str">
            <v>새롬수지</v>
          </cell>
        </row>
        <row r="729">
          <cell r="A729" t="str">
            <v>UNO-S014/015</v>
          </cell>
          <cell r="B729" t="str">
            <v>SET</v>
          </cell>
          <cell r="C729">
            <v>3</v>
          </cell>
          <cell r="D729">
            <v>100</v>
          </cell>
          <cell r="E729">
            <v>154</v>
          </cell>
          <cell r="F729">
            <v>58</v>
          </cell>
          <cell r="G729" t="str">
            <v>B240NS</v>
          </cell>
          <cell r="H729">
            <v>10</v>
          </cell>
          <cell r="I729">
            <v>2</v>
          </cell>
          <cell r="J729" t="str">
            <v>유노이아</v>
          </cell>
          <cell r="K729">
            <v>63</v>
          </cell>
          <cell r="L729">
            <v>67</v>
          </cell>
          <cell r="M729">
            <v>58</v>
          </cell>
          <cell r="N729">
            <v>62</v>
          </cell>
          <cell r="P729">
            <v>1360</v>
          </cell>
          <cell r="Q729">
            <v>200</v>
          </cell>
          <cell r="R729" t="str">
            <v>파랑</v>
          </cell>
          <cell r="T729" t="str">
            <v>TOP/BOT</v>
          </cell>
          <cell r="U729">
            <v>44575</v>
          </cell>
          <cell r="V729" t="str">
            <v>경원 ENG</v>
          </cell>
          <cell r="Y729">
            <v>50</v>
          </cell>
          <cell r="Z729">
            <v>7662</v>
          </cell>
          <cell r="AC729" t="str">
            <v>석상준차장</v>
          </cell>
          <cell r="AD729">
            <v>0.85</v>
          </cell>
        </row>
        <row r="730">
          <cell r="A730" t="str">
            <v>UNO-S012/013</v>
          </cell>
          <cell r="B730" t="str">
            <v>SET</v>
          </cell>
          <cell r="C730">
            <v>4</v>
          </cell>
          <cell r="D730">
            <v>100</v>
          </cell>
          <cell r="E730">
            <v>87</v>
          </cell>
          <cell r="F730">
            <v>24</v>
          </cell>
          <cell r="G730" t="str">
            <v>SF400</v>
          </cell>
          <cell r="H730">
            <v>10</v>
          </cell>
          <cell r="I730">
            <v>2</v>
          </cell>
          <cell r="J730" t="str">
            <v>유노이아</v>
          </cell>
          <cell r="K730">
            <v>100.8</v>
          </cell>
          <cell r="L730">
            <v>102.8</v>
          </cell>
          <cell r="M730">
            <v>100.8</v>
          </cell>
          <cell r="N730">
            <v>1102.8</v>
          </cell>
          <cell r="P730">
            <v>700</v>
          </cell>
          <cell r="R730" t="str">
            <v>흰색</v>
          </cell>
          <cell r="T730" t="str">
            <v>LEFT/RIGHT</v>
          </cell>
          <cell r="U730">
            <v>44575</v>
          </cell>
          <cell r="V730" t="str">
            <v>세일하이테크</v>
          </cell>
          <cell r="W730" t="str">
            <v>휘다 돌출x, 이물 주의</v>
          </cell>
          <cell r="Y730">
            <v>20</v>
          </cell>
          <cell r="Z730">
            <v>940</v>
          </cell>
          <cell r="AC730" t="str">
            <v>석상준차장</v>
          </cell>
          <cell r="AD730">
            <v>0.85</v>
          </cell>
        </row>
        <row r="731">
          <cell r="A731" t="str">
            <v>UNK-베드</v>
          </cell>
          <cell r="B731" t="str">
            <v>저발</v>
          </cell>
          <cell r="C731">
            <v>2</v>
          </cell>
          <cell r="D731">
            <v>100</v>
          </cell>
          <cell r="E731">
            <v>290</v>
          </cell>
          <cell r="F731">
            <v>50</v>
          </cell>
          <cell r="G731" t="str">
            <v>B240NS</v>
          </cell>
          <cell r="H731">
            <v>10</v>
          </cell>
          <cell r="I731">
            <v>1</v>
          </cell>
          <cell r="J731" t="str">
            <v>UNK</v>
          </cell>
          <cell r="K731">
            <v>209</v>
          </cell>
          <cell r="L731">
            <v>211</v>
          </cell>
          <cell r="P731">
            <v>500</v>
          </cell>
          <cell r="Q731">
            <v>0</v>
          </cell>
          <cell r="R731" t="str">
            <v>빨강</v>
          </cell>
          <cell r="U731">
            <v>44973</v>
          </cell>
          <cell r="V731" t="str">
            <v>대원금형</v>
          </cell>
          <cell r="Y731">
            <v>40</v>
          </cell>
          <cell r="AC731" t="str">
            <v>김영석계장</v>
          </cell>
          <cell r="AD731">
            <v>0.85</v>
          </cell>
        </row>
        <row r="732">
          <cell r="A732" t="str">
            <v>UNK-베드</v>
          </cell>
          <cell r="B732" t="str">
            <v>SET</v>
          </cell>
          <cell r="C732">
            <v>2</v>
          </cell>
          <cell r="D732">
            <v>100</v>
          </cell>
          <cell r="E732">
            <v>290</v>
          </cell>
          <cell r="F732">
            <v>50</v>
          </cell>
          <cell r="G732" t="str">
            <v>B240NS</v>
          </cell>
          <cell r="H732">
            <v>10</v>
          </cell>
          <cell r="I732">
            <v>1</v>
          </cell>
          <cell r="J732" t="str">
            <v>UNK</v>
          </cell>
          <cell r="K732">
            <v>209</v>
          </cell>
          <cell r="L732">
            <v>211</v>
          </cell>
          <cell r="P732">
            <v>500</v>
          </cell>
          <cell r="Q732">
            <v>0</v>
          </cell>
          <cell r="R732" t="str">
            <v>빨강</v>
          </cell>
          <cell r="U732">
            <v>44973</v>
          </cell>
          <cell r="V732" t="str">
            <v>대원금형</v>
          </cell>
          <cell r="Y732">
            <v>40</v>
          </cell>
          <cell r="AC732" t="str">
            <v>김영석계장</v>
          </cell>
          <cell r="AD732">
            <v>0.85</v>
          </cell>
        </row>
        <row r="733">
          <cell r="A733" t="str">
            <v>UNBOX</v>
          </cell>
          <cell r="E733">
            <v>0</v>
          </cell>
          <cell r="J733" t="str">
            <v>아드마텍</v>
          </cell>
          <cell r="O733">
            <v>2350</v>
          </cell>
        </row>
        <row r="734">
          <cell r="A734" t="str">
            <v>UNBOX</v>
          </cell>
          <cell r="E734">
            <v>0</v>
          </cell>
          <cell r="J734" t="str">
            <v>아드마텍</v>
          </cell>
          <cell r="O734">
            <v>2350</v>
          </cell>
        </row>
        <row r="735">
          <cell r="A735" t="str">
            <v>UBPE</v>
          </cell>
          <cell r="B735" t="str">
            <v>SET</v>
          </cell>
          <cell r="C735">
            <v>2</v>
          </cell>
          <cell r="D735">
            <v>80</v>
          </cell>
          <cell r="E735">
            <v>395</v>
          </cell>
          <cell r="F735">
            <v>74</v>
          </cell>
          <cell r="G735" t="str">
            <v>B240NS</v>
          </cell>
          <cell r="H735">
            <v>1</v>
          </cell>
          <cell r="I735">
            <v>2</v>
          </cell>
          <cell r="J735" t="str">
            <v>모트렉스</v>
          </cell>
          <cell r="O735">
            <v>2010</v>
          </cell>
          <cell r="P735">
            <v>1360</v>
          </cell>
          <cell r="Q735">
            <v>200</v>
          </cell>
          <cell r="S735">
            <v>0</v>
          </cell>
          <cell r="T735" t="str">
            <v>스티로폼(UBPE/CKD/584*476*180)</v>
          </cell>
          <cell r="U735">
            <v>43243</v>
          </cell>
          <cell r="V735" t="str">
            <v>이관금형</v>
          </cell>
          <cell r="W735" t="str">
            <v>2번 건조, SC721012A</v>
          </cell>
          <cell r="Y735">
            <v>64</v>
          </cell>
          <cell r="AC735" t="str">
            <v>최재학계장</v>
          </cell>
          <cell r="AD735">
            <v>0.85</v>
          </cell>
          <cell r="AE735">
            <v>80</v>
          </cell>
          <cell r="AF735">
            <v>6</v>
          </cell>
        </row>
        <row r="736">
          <cell r="A736" t="str">
            <v>U12</v>
          </cell>
          <cell r="B736" t="str">
            <v>SET</v>
          </cell>
          <cell r="C736">
            <v>2</v>
          </cell>
          <cell r="D736">
            <v>100</v>
          </cell>
          <cell r="E736">
            <v>148</v>
          </cell>
          <cell r="F736">
            <v>50</v>
          </cell>
          <cell r="G736" t="str">
            <v>B240NS</v>
          </cell>
          <cell r="H736">
            <v>10</v>
          </cell>
          <cell r="I736">
            <v>2</v>
          </cell>
          <cell r="J736" t="str">
            <v>하이필</v>
          </cell>
          <cell r="P736">
            <v>1360</v>
          </cell>
          <cell r="Q736">
            <v>200</v>
          </cell>
          <cell r="U736">
            <v>45141</v>
          </cell>
          <cell r="AD736">
            <v>0.85</v>
          </cell>
        </row>
        <row r="737">
          <cell r="A737" t="str">
            <v>U12</v>
          </cell>
          <cell r="B737" t="str">
            <v>SET</v>
          </cell>
          <cell r="C737">
            <v>2</v>
          </cell>
          <cell r="D737">
            <v>100</v>
          </cell>
          <cell r="E737">
            <v>148</v>
          </cell>
          <cell r="F737">
            <v>50</v>
          </cell>
          <cell r="G737" t="str">
            <v>B240NS</v>
          </cell>
          <cell r="H737">
            <v>10</v>
          </cell>
          <cell r="I737">
            <v>2</v>
          </cell>
          <cell r="J737" t="str">
            <v>하이필</v>
          </cell>
          <cell r="P737">
            <v>1360</v>
          </cell>
          <cell r="Q737">
            <v>200</v>
          </cell>
          <cell r="U737">
            <v>45141</v>
          </cell>
          <cell r="AD737">
            <v>0.85</v>
          </cell>
        </row>
        <row r="738">
          <cell r="A738" t="str">
            <v>TVIS_55TRAY</v>
          </cell>
          <cell r="B738" t="str">
            <v>LCD</v>
          </cell>
          <cell r="C738">
            <v>1</v>
          </cell>
          <cell r="D738">
            <v>200</v>
          </cell>
          <cell r="E738">
            <v>2314</v>
          </cell>
          <cell r="F738">
            <v>50</v>
          </cell>
          <cell r="G738" t="str">
            <v>B240NS</v>
          </cell>
          <cell r="H738">
            <v>1</v>
          </cell>
          <cell r="I738">
            <v>1</v>
          </cell>
          <cell r="J738" t="str">
            <v>토비스</v>
          </cell>
          <cell r="K738">
            <v>174</v>
          </cell>
          <cell r="L738">
            <v>176</v>
          </cell>
          <cell r="O738">
            <v>22000</v>
          </cell>
          <cell r="P738">
            <v>1700</v>
          </cell>
          <cell r="Q738">
            <v>300</v>
          </cell>
          <cell r="S738">
            <v>0</v>
          </cell>
          <cell r="U738">
            <v>43321</v>
          </cell>
          <cell r="V738" t="str">
            <v>금형제조부</v>
          </cell>
          <cell r="W738" t="str">
            <v>대전후납품(6시간건조),SLOT없음.역가열 생산!</v>
          </cell>
          <cell r="Y738">
            <v>40</v>
          </cell>
          <cell r="AD738">
            <v>0.85</v>
          </cell>
          <cell r="AE738">
            <v>200</v>
          </cell>
          <cell r="AF738">
            <v>4</v>
          </cell>
        </row>
        <row r="739">
          <cell r="A739" t="str">
            <v>TS-CUSHION</v>
          </cell>
          <cell r="B739" t="str">
            <v>SET</v>
          </cell>
          <cell r="C739">
            <v>1</v>
          </cell>
          <cell r="D739">
            <v>100</v>
          </cell>
          <cell r="E739">
            <v>776</v>
          </cell>
          <cell r="F739">
            <v>65</v>
          </cell>
          <cell r="G739" t="str">
            <v>B240NS</v>
          </cell>
          <cell r="I739">
            <v>2</v>
          </cell>
          <cell r="J739" t="str">
            <v>IS동서</v>
          </cell>
          <cell r="K739">
            <v>245</v>
          </cell>
          <cell r="L739">
            <v>136</v>
          </cell>
          <cell r="M739">
            <v>68</v>
          </cell>
          <cell r="N739">
            <v>70</v>
          </cell>
          <cell r="O739">
            <v>10</v>
          </cell>
          <cell r="P739">
            <v>1360</v>
          </cell>
          <cell r="Q739">
            <v>250</v>
          </cell>
          <cell r="R739" t="str">
            <v>녹색</v>
          </cell>
          <cell r="S739" t="str">
            <v>녹색</v>
          </cell>
          <cell r="U739">
            <v>42712</v>
          </cell>
          <cell r="V739" t="str">
            <v>금형제조부</v>
          </cell>
          <cell r="Y739">
            <v>50</v>
          </cell>
          <cell r="Z739">
            <v>38795</v>
          </cell>
          <cell r="AC739" t="str">
            <v>최재학사원,2018.02.26포장단위변경(5-&gt;몸통5뚜껑10)</v>
          </cell>
          <cell r="AD739">
            <v>0.85</v>
          </cell>
          <cell r="AE739">
            <v>85</v>
          </cell>
          <cell r="AF739">
            <v>2</v>
          </cell>
        </row>
        <row r="740">
          <cell r="A740" t="str">
            <v>TS-3060-1</v>
          </cell>
          <cell r="B740" t="str">
            <v>SET</v>
          </cell>
          <cell r="C740">
            <v>2</v>
          </cell>
          <cell r="D740">
            <v>90</v>
          </cell>
          <cell r="E740">
            <v>500</v>
          </cell>
          <cell r="F740">
            <v>74</v>
          </cell>
          <cell r="G740" t="str">
            <v>B240NS</v>
          </cell>
          <cell r="H740">
            <v>10</v>
          </cell>
          <cell r="I740">
            <v>1</v>
          </cell>
          <cell r="J740" t="str">
            <v>우성AFC</v>
          </cell>
          <cell r="P740">
            <v>1300</v>
          </cell>
          <cell r="Q740">
            <v>150</v>
          </cell>
          <cell r="R740" t="str">
            <v>빨강</v>
          </cell>
          <cell r="U740">
            <v>44769</v>
          </cell>
          <cell r="V740" t="str">
            <v>이관금형</v>
          </cell>
          <cell r="AD740">
            <v>0.85</v>
          </cell>
        </row>
        <row r="741">
          <cell r="A741" t="str">
            <v>TS-3060-1</v>
          </cell>
          <cell r="B741" t="str">
            <v>SET</v>
          </cell>
          <cell r="C741">
            <v>2</v>
          </cell>
          <cell r="D741">
            <v>100</v>
          </cell>
          <cell r="E741">
            <v>500</v>
          </cell>
          <cell r="F741">
            <v>74</v>
          </cell>
          <cell r="G741" t="str">
            <v>B240NS</v>
          </cell>
          <cell r="H741">
            <v>10</v>
          </cell>
          <cell r="I741">
            <v>1</v>
          </cell>
          <cell r="J741" t="str">
            <v>우성AFC</v>
          </cell>
          <cell r="P741">
            <v>1300</v>
          </cell>
          <cell r="Q741">
            <v>150</v>
          </cell>
          <cell r="R741" t="str">
            <v>빨강</v>
          </cell>
          <cell r="U741">
            <v>44769</v>
          </cell>
          <cell r="V741" t="str">
            <v>이관금형</v>
          </cell>
          <cell r="AD741">
            <v>0.85</v>
          </cell>
        </row>
        <row r="742">
          <cell r="A742" t="str">
            <v>TS-3060-1</v>
          </cell>
          <cell r="B742" t="str">
            <v>SET</v>
          </cell>
          <cell r="C742">
            <v>2</v>
          </cell>
          <cell r="D742">
            <v>100</v>
          </cell>
          <cell r="E742">
            <v>500</v>
          </cell>
          <cell r="F742">
            <v>74</v>
          </cell>
          <cell r="G742" t="str">
            <v>B240NS</v>
          </cell>
          <cell r="H742">
            <v>10</v>
          </cell>
          <cell r="I742">
            <v>1</v>
          </cell>
          <cell r="J742" t="str">
            <v>우성AFC</v>
          </cell>
          <cell r="P742">
            <v>1300</v>
          </cell>
          <cell r="Q742">
            <v>150</v>
          </cell>
          <cell r="R742" t="str">
            <v>빨강</v>
          </cell>
          <cell r="U742">
            <v>44769</v>
          </cell>
          <cell r="V742" t="str">
            <v>이관금형</v>
          </cell>
          <cell r="AD742">
            <v>0.85</v>
          </cell>
        </row>
        <row r="743">
          <cell r="A743" t="str">
            <v>TRM-810S</v>
          </cell>
          <cell r="B743" t="str">
            <v>SET</v>
          </cell>
          <cell r="C743">
            <v>2</v>
          </cell>
          <cell r="D743">
            <v>90</v>
          </cell>
          <cell r="E743">
            <v>150</v>
          </cell>
          <cell r="F743">
            <v>65</v>
          </cell>
          <cell r="G743" t="str">
            <v>B240NS</v>
          </cell>
          <cell r="H743">
            <v>10</v>
          </cell>
          <cell r="I743">
            <v>3</v>
          </cell>
          <cell r="J743" t="str">
            <v>한화테크윈</v>
          </cell>
          <cell r="P743">
            <v>1360</v>
          </cell>
          <cell r="Q743">
            <v>150</v>
          </cell>
          <cell r="R743" t="str">
            <v>흰색</v>
          </cell>
          <cell r="S743" t="str">
            <v>흰색</v>
          </cell>
          <cell r="U743">
            <v>43426</v>
          </cell>
          <cell r="V743" t="str">
            <v>금형제조부</v>
          </cell>
          <cell r="W743" t="str">
            <v>MF02-004891A/92A/93A</v>
          </cell>
          <cell r="Y743">
            <v>50</v>
          </cell>
          <cell r="Z743">
            <v>7455</v>
          </cell>
          <cell r="AC743" t="str">
            <v>181207금형수정, 2020.07.03 파손수리</v>
          </cell>
          <cell r="AD743">
            <v>0.85</v>
          </cell>
          <cell r="AE743">
            <v>80</v>
          </cell>
          <cell r="AF743">
            <v>2</v>
          </cell>
        </row>
        <row r="744">
          <cell r="A744" t="str">
            <v>TOKAY-L/R</v>
          </cell>
          <cell r="B744" t="str">
            <v>저발</v>
          </cell>
          <cell r="C744">
            <v>2</v>
          </cell>
          <cell r="D744">
            <v>210</v>
          </cell>
          <cell r="E744">
            <v>89</v>
          </cell>
          <cell r="F744">
            <v>30</v>
          </cell>
          <cell r="G744" t="str">
            <v>FI-351</v>
          </cell>
          <cell r="H744" t="str">
            <v>4조4다발</v>
          </cell>
          <cell r="I744">
            <v>2</v>
          </cell>
          <cell r="J744" t="str">
            <v>오비오</v>
          </cell>
          <cell r="K744">
            <v>259.7</v>
          </cell>
          <cell r="L744">
            <v>260.3</v>
          </cell>
          <cell r="M744">
            <v>259.7</v>
          </cell>
          <cell r="N744">
            <v>260.3</v>
          </cell>
          <cell r="P744">
            <v>500</v>
          </cell>
          <cell r="R744" t="str">
            <v>검정</v>
          </cell>
          <cell r="U744">
            <v>45993</v>
          </cell>
          <cell r="V744" t="str">
            <v>금형제조부</v>
          </cell>
          <cell r="AD744">
            <v>0.85</v>
          </cell>
          <cell r="AE744">
            <v>90</v>
          </cell>
        </row>
        <row r="745">
          <cell r="A745" t="str">
            <v>TOKAY-L/R</v>
          </cell>
          <cell r="B745" t="str">
            <v>저발</v>
          </cell>
          <cell r="C745">
            <v>2</v>
          </cell>
          <cell r="D745">
            <v>210</v>
          </cell>
          <cell r="E745">
            <v>89</v>
          </cell>
          <cell r="F745">
            <v>30</v>
          </cell>
          <cell r="G745" t="str">
            <v>FI-351</v>
          </cell>
          <cell r="H745" t="str">
            <v>4조4다발</v>
          </cell>
          <cell r="I745">
            <v>2</v>
          </cell>
          <cell r="J745" t="str">
            <v>오비오</v>
          </cell>
          <cell r="K745">
            <v>259.7</v>
          </cell>
          <cell r="L745">
            <v>260.3</v>
          </cell>
          <cell r="M745">
            <v>259.7</v>
          </cell>
          <cell r="N745">
            <v>260.3</v>
          </cell>
          <cell r="P745">
            <v>500</v>
          </cell>
          <cell r="R745" t="str">
            <v>검정</v>
          </cell>
          <cell r="U745">
            <v>45993</v>
          </cell>
          <cell r="V745" t="str">
            <v>금형제조부</v>
          </cell>
          <cell r="AD745">
            <v>0.85</v>
          </cell>
          <cell r="AE745">
            <v>90</v>
          </cell>
        </row>
        <row r="746">
          <cell r="A746" t="str">
            <v>TOKAY-CUSHION</v>
          </cell>
          <cell r="B746" t="str">
            <v>SET</v>
          </cell>
          <cell r="C746">
            <v>3</v>
          </cell>
          <cell r="D746">
            <v>130</v>
          </cell>
          <cell r="E746">
            <v>140</v>
          </cell>
          <cell r="F746">
            <v>50</v>
          </cell>
          <cell r="G746" t="str">
            <v>B240NS</v>
          </cell>
          <cell r="H746" t="str">
            <v>UP:15 LOW:15</v>
          </cell>
          <cell r="I746">
            <v>2</v>
          </cell>
          <cell r="J746" t="str">
            <v>오비오</v>
          </cell>
          <cell r="K746">
            <v>54.9</v>
          </cell>
          <cell r="L746">
            <v>55.1</v>
          </cell>
          <cell r="M746">
            <v>44.2</v>
          </cell>
          <cell r="N746">
            <v>45.2</v>
          </cell>
          <cell r="P746">
            <v>1360</v>
          </cell>
          <cell r="Q746">
            <v>150</v>
          </cell>
          <cell r="R746" t="str">
            <v>T노랑</v>
          </cell>
          <cell r="S746" t="str">
            <v>B주황</v>
          </cell>
          <cell r="U746">
            <v>45986</v>
          </cell>
          <cell r="V746" t="str">
            <v>금형제조부</v>
          </cell>
          <cell r="AD746">
            <v>0.85</v>
          </cell>
          <cell r="AE746">
            <v>100</v>
          </cell>
        </row>
        <row r="747">
          <cell r="A747" t="str">
            <v>TOKAY-CUSHION</v>
          </cell>
          <cell r="B747" t="str">
            <v>SET</v>
          </cell>
          <cell r="C747">
            <v>3</v>
          </cell>
          <cell r="D747">
            <v>130</v>
          </cell>
          <cell r="E747">
            <v>140</v>
          </cell>
          <cell r="F747">
            <v>50</v>
          </cell>
          <cell r="G747" t="str">
            <v>B240NS</v>
          </cell>
          <cell r="H747" t="str">
            <v>UP:15 LOW:15</v>
          </cell>
          <cell r="I747">
            <v>2</v>
          </cell>
          <cell r="J747" t="str">
            <v>오비오</v>
          </cell>
          <cell r="K747">
            <v>54.9</v>
          </cell>
          <cell r="L747">
            <v>55.1</v>
          </cell>
          <cell r="M747">
            <v>44.2</v>
          </cell>
          <cell r="N747">
            <v>45.2</v>
          </cell>
          <cell r="P747">
            <v>1360</v>
          </cell>
          <cell r="Q747">
            <v>150</v>
          </cell>
          <cell r="R747" t="str">
            <v>T노랑</v>
          </cell>
          <cell r="S747" t="str">
            <v>B주황</v>
          </cell>
          <cell r="U747">
            <v>45986</v>
          </cell>
          <cell r="V747" t="str">
            <v>금형제조부</v>
          </cell>
          <cell r="AD747">
            <v>0.85</v>
          </cell>
          <cell r="AE747">
            <v>100</v>
          </cell>
        </row>
        <row r="748">
          <cell r="A748" t="str">
            <v>TNS-9050IBC</v>
          </cell>
          <cell r="B748" t="str">
            <v>SET</v>
          </cell>
          <cell r="C748">
            <v>4</v>
          </cell>
          <cell r="D748">
            <v>100</v>
          </cell>
          <cell r="E748">
            <v>253</v>
          </cell>
          <cell r="F748">
            <v>60</v>
          </cell>
          <cell r="G748" t="str">
            <v>B240NS</v>
          </cell>
          <cell r="H748">
            <v>6</v>
          </cell>
          <cell r="I748">
            <v>2</v>
          </cell>
          <cell r="J748" t="str">
            <v>한화테크윈</v>
          </cell>
          <cell r="K748">
            <v>160</v>
          </cell>
          <cell r="L748">
            <v>162</v>
          </cell>
          <cell r="M748">
            <v>160</v>
          </cell>
          <cell r="N748">
            <v>162</v>
          </cell>
          <cell r="P748">
            <v>1360</v>
          </cell>
          <cell r="Q748">
            <v>250</v>
          </cell>
          <cell r="R748" t="str">
            <v>흰색</v>
          </cell>
          <cell r="U748">
            <v>45222</v>
          </cell>
          <cell r="V748" t="str">
            <v>금형사업부</v>
          </cell>
          <cell r="AD748">
            <v>0.85</v>
          </cell>
        </row>
        <row r="749">
          <cell r="A749" t="str">
            <v>TNS-9050IBC</v>
          </cell>
          <cell r="B749" t="str">
            <v>SET</v>
          </cell>
          <cell r="C749">
            <v>4</v>
          </cell>
          <cell r="D749">
            <v>100</v>
          </cell>
          <cell r="E749">
            <v>253</v>
          </cell>
          <cell r="F749">
            <v>60</v>
          </cell>
          <cell r="G749" t="str">
            <v>B240NS</v>
          </cell>
          <cell r="H749">
            <v>6</v>
          </cell>
          <cell r="I749">
            <v>1</v>
          </cell>
          <cell r="J749" t="str">
            <v>한화테크윈</v>
          </cell>
          <cell r="K749">
            <v>160</v>
          </cell>
          <cell r="L749">
            <v>162</v>
          </cell>
          <cell r="M749">
            <v>160</v>
          </cell>
          <cell r="N749">
            <v>162</v>
          </cell>
          <cell r="P749">
            <v>1360</v>
          </cell>
          <cell r="Q749">
            <v>250</v>
          </cell>
          <cell r="R749" t="str">
            <v>흰색</v>
          </cell>
          <cell r="U749">
            <v>45222</v>
          </cell>
          <cell r="V749" t="str">
            <v>금형사업부</v>
          </cell>
          <cell r="AD749">
            <v>0.85</v>
          </cell>
        </row>
        <row r="750">
          <cell r="A750" t="str">
            <v>TNPP(EPS)_내피</v>
          </cell>
          <cell r="B750" t="str">
            <v>회색</v>
          </cell>
          <cell r="C750">
            <v>3</v>
          </cell>
          <cell r="D750">
            <v>180</v>
          </cell>
          <cell r="E750">
            <v>0</v>
          </cell>
          <cell r="F750">
            <v>40</v>
          </cell>
          <cell r="G750" t="str">
            <v>ZP2500</v>
          </cell>
          <cell r="H750">
            <v>1</v>
          </cell>
          <cell r="I750">
            <v>3</v>
          </cell>
          <cell r="J750" t="str">
            <v>㈜탭스</v>
          </cell>
          <cell r="O750">
            <v>4017</v>
          </cell>
          <cell r="P750">
            <v>1600</v>
          </cell>
          <cell r="Q750">
            <v>400</v>
          </cell>
          <cell r="U750">
            <v>45300</v>
          </cell>
          <cell r="V750" t="str">
            <v>진양이동입고</v>
          </cell>
          <cell r="W750" t="str">
            <v>TNPP(EPS)_내피</v>
          </cell>
          <cell r="AD750">
            <v>0.85</v>
          </cell>
        </row>
        <row r="751">
          <cell r="A751" t="str">
            <v>TNPP(EPS)_내피</v>
          </cell>
          <cell r="B751" t="str">
            <v>BOX</v>
          </cell>
          <cell r="C751">
            <v>3</v>
          </cell>
          <cell r="D751">
            <v>180</v>
          </cell>
          <cell r="E751">
            <v>0</v>
          </cell>
          <cell r="F751">
            <v>40</v>
          </cell>
          <cell r="G751" t="str">
            <v>ZP2500</v>
          </cell>
          <cell r="H751">
            <v>1</v>
          </cell>
          <cell r="I751">
            <v>3</v>
          </cell>
          <cell r="J751" t="str">
            <v>㈜탭스</v>
          </cell>
          <cell r="O751">
            <v>4017</v>
          </cell>
          <cell r="P751">
            <v>1600</v>
          </cell>
          <cell r="Q751">
            <v>400</v>
          </cell>
          <cell r="U751">
            <v>45300</v>
          </cell>
          <cell r="V751" t="str">
            <v>진양이동입고</v>
          </cell>
          <cell r="W751" t="str">
            <v>TNPP(EPS)_내피</v>
          </cell>
          <cell r="AD751">
            <v>0.85</v>
          </cell>
        </row>
        <row r="752">
          <cell r="A752" t="str">
            <v>TNPP(EPS)_내피</v>
          </cell>
          <cell r="B752" t="str">
            <v>BOX</v>
          </cell>
          <cell r="C752">
            <v>3</v>
          </cell>
          <cell r="D752">
            <v>180</v>
          </cell>
          <cell r="E752">
            <v>0</v>
          </cell>
          <cell r="F752">
            <v>40</v>
          </cell>
          <cell r="G752" t="str">
            <v>ZP2500</v>
          </cell>
          <cell r="H752">
            <v>1</v>
          </cell>
          <cell r="I752">
            <v>3</v>
          </cell>
          <cell r="J752" t="str">
            <v>㈜탭스</v>
          </cell>
          <cell r="O752">
            <v>4017</v>
          </cell>
          <cell r="P752">
            <v>1600</v>
          </cell>
          <cell r="Q752">
            <v>400</v>
          </cell>
          <cell r="U752">
            <v>45300</v>
          </cell>
          <cell r="V752" t="str">
            <v>진양이동입고</v>
          </cell>
          <cell r="W752" t="str">
            <v>TNPP(EPS)_내피</v>
          </cell>
          <cell r="AD752">
            <v>0.85</v>
          </cell>
        </row>
        <row r="753">
          <cell r="A753" t="str">
            <v>TNP-AXXX0RW TOP/BOT</v>
          </cell>
          <cell r="B753" t="str">
            <v>SET</v>
          </cell>
          <cell r="C753">
            <v>2</v>
          </cell>
          <cell r="D753">
            <v>120</v>
          </cell>
          <cell r="E753">
            <v>875</v>
          </cell>
          <cell r="F753">
            <v>60</v>
          </cell>
          <cell r="G753" t="str">
            <v>B240NS</v>
          </cell>
          <cell r="H753">
            <v>3</v>
          </cell>
          <cell r="I753">
            <v>2</v>
          </cell>
          <cell r="J753" t="str">
            <v>한화비전</v>
          </cell>
          <cell r="K753">
            <v>254</v>
          </cell>
          <cell r="L753">
            <v>258</v>
          </cell>
          <cell r="M753">
            <v>156.80000000000001</v>
          </cell>
          <cell r="N753">
            <v>159.19999999999999</v>
          </cell>
          <cell r="P753">
            <v>1360</v>
          </cell>
          <cell r="Q753">
            <v>200</v>
          </cell>
          <cell r="R753" t="str">
            <v>녹색</v>
          </cell>
          <cell r="T753" t="str">
            <v>PM02-007409A,PM02-007410A</v>
          </cell>
          <cell r="U753">
            <v>45798</v>
          </cell>
          <cell r="V753" t="str">
            <v>금형사업부</v>
          </cell>
          <cell r="W753" t="str">
            <v>건조2번(건조상태 확인후 포장)</v>
          </cell>
          <cell r="AD753">
            <v>0.85</v>
          </cell>
          <cell r="AE753">
            <v>80</v>
          </cell>
        </row>
        <row r="754">
          <cell r="A754" t="str">
            <v>TNP-AXXX0RW TOP/BOT</v>
          </cell>
          <cell r="B754" t="str">
            <v>SET</v>
          </cell>
          <cell r="C754">
            <v>2</v>
          </cell>
          <cell r="D754">
            <v>120</v>
          </cell>
          <cell r="E754">
            <v>875</v>
          </cell>
          <cell r="F754">
            <v>60</v>
          </cell>
          <cell r="G754" t="str">
            <v>B240NS</v>
          </cell>
          <cell r="H754">
            <v>3</v>
          </cell>
          <cell r="I754">
            <v>2</v>
          </cell>
          <cell r="J754" t="str">
            <v>한화비전</v>
          </cell>
          <cell r="K754">
            <v>254</v>
          </cell>
          <cell r="L754">
            <v>258</v>
          </cell>
          <cell r="M754">
            <v>156.80000000000001</v>
          </cell>
          <cell r="N754">
            <v>159.19999999999999</v>
          </cell>
          <cell r="P754">
            <v>1360</v>
          </cell>
          <cell r="Q754">
            <v>200</v>
          </cell>
          <cell r="R754" t="str">
            <v>녹색</v>
          </cell>
          <cell r="T754" t="str">
            <v>PM02-007409A,PM02-007410A</v>
          </cell>
          <cell r="U754">
            <v>45798</v>
          </cell>
          <cell r="V754" t="str">
            <v>금형사업부</v>
          </cell>
          <cell r="W754" t="str">
            <v>건조2번(건조상태 확인후 포장)</v>
          </cell>
          <cell r="AD754">
            <v>0.85</v>
          </cell>
          <cell r="AE754">
            <v>80</v>
          </cell>
        </row>
        <row r="755">
          <cell r="A755" t="str">
            <v>TNO-C3060T</v>
          </cell>
          <cell r="B755" t="str">
            <v>SET</v>
          </cell>
          <cell r="C755">
            <v>6</v>
          </cell>
          <cell r="D755">
            <v>120</v>
          </cell>
          <cell r="E755">
            <v>159</v>
          </cell>
          <cell r="F755">
            <v>60</v>
          </cell>
          <cell r="G755" t="str">
            <v>B240NS</v>
          </cell>
          <cell r="H755">
            <v>10</v>
          </cell>
          <cell r="I755">
            <v>2</v>
          </cell>
          <cell r="J755" t="str">
            <v>한화비전</v>
          </cell>
          <cell r="K755">
            <v>86.8</v>
          </cell>
          <cell r="L755">
            <v>89.2</v>
          </cell>
          <cell r="M755">
            <v>86.8</v>
          </cell>
          <cell r="N755">
            <v>89.2</v>
          </cell>
          <cell r="P755">
            <v>1360</v>
          </cell>
          <cell r="Q755">
            <v>200</v>
          </cell>
          <cell r="R755" t="str">
            <v>검정</v>
          </cell>
          <cell r="U755">
            <v>45730</v>
          </cell>
          <cell r="V755" t="str">
            <v>금형사업부</v>
          </cell>
          <cell r="W755" t="str">
            <v>PM02-007363A,PM02-007364A</v>
          </cell>
          <cell r="AD755">
            <v>0.85</v>
          </cell>
          <cell r="AE755">
            <v>80</v>
          </cell>
        </row>
        <row r="756">
          <cell r="A756" t="str">
            <v>TNO-C3060T</v>
          </cell>
          <cell r="B756" t="str">
            <v>SET</v>
          </cell>
          <cell r="C756">
            <v>6</v>
          </cell>
          <cell r="D756">
            <v>120</v>
          </cell>
          <cell r="E756">
            <v>159</v>
          </cell>
          <cell r="F756">
            <v>60</v>
          </cell>
          <cell r="G756" t="str">
            <v>B240NS</v>
          </cell>
          <cell r="H756">
            <v>10</v>
          </cell>
          <cell r="I756">
            <v>2</v>
          </cell>
          <cell r="J756" t="str">
            <v>한화비전</v>
          </cell>
          <cell r="K756">
            <v>86.8</v>
          </cell>
          <cell r="L756">
            <v>89.2</v>
          </cell>
          <cell r="M756">
            <v>86.8</v>
          </cell>
          <cell r="N756">
            <v>89.2</v>
          </cell>
          <cell r="P756">
            <v>1360</v>
          </cell>
          <cell r="Q756">
            <v>200</v>
          </cell>
          <cell r="R756" t="str">
            <v>검정</v>
          </cell>
          <cell r="U756">
            <v>45730</v>
          </cell>
          <cell r="V756" t="str">
            <v>금형사업부</v>
          </cell>
          <cell r="W756" t="str">
            <v>PM02-007363A,PM02-007364A</v>
          </cell>
          <cell r="AD756">
            <v>0.85</v>
          </cell>
          <cell r="AE756">
            <v>80</v>
          </cell>
        </row>
        <row r="757">
          <cell r="A757" t="str">
            <v>TNO-C3022TR</v>
          </cell>
          <cell r="B757" t="str">
            <v>SET</v>
          </cell>
          <cell r="C757">
            <v>2</v>
          </cell>
          <cell r="D757">
            <v>100</v>
          </cell>
          <cell r="E757">
            <v>120</v>
          </cell>
          <cell r="F757">
            <v>60</v>
          </cell>
          <cell r="G757" t="str">
            <v>B240NS</v>
          </cell>
          <cell r="H757">
            <v>10</v>
          </cell>
          <cell r="I757">
            <v>2</v>
          </cell>
          <cell r="J757" t="str">
            <v>한화테크윈</v>
          </cell>
          <cell r="P757">
            <v>1360</v>
          </cell>
          <cell r="U757">
            <v>45145</v>
          </cell>
          <cell r="V757" t="str">
            <v>금형사업부</v>
          </cell>
          <cell r="AD757">
            <v>0.85</v>
          </cell>
        </row>
        <row r="758">
          <cell r="A758" t="str">
            <v>TNO-C3022TR</v>
          </cell>
          <cell r="B758" t="str">
            <v>SET</v>
          </cell>
          <cell r="C758">
            <v>2</v>
          </cell>
          <cell r="D758">
            <v>100</v>
          </cell>
          <cell r="E758">
            <v>120</v>
          </cell>
          <cell r="F758">
            <v>60</v>
          </cell>
          <cell r="G758" t="str">
            <v>B240NS</v>
          </cell>
          <cell r="H758">
            <v>10</v>
          </cell>
          <cell r="I758">
            <v>2</v>
          </cell>
          <cell r="J758" t="str">
            <v>한화테크윈</v>
          </cell>
          <cell r="P758">
            <v>1360</v>
          </cell>
          <cell r="U758">
            <v>45145</v>
          </cell>
          <cell r="V758" t="str">
            <v>금형사업부</v>
          </cell>
          <cell r="AD758">
            <v>0.85</v>
          </cell>
        </row>
        <row r="759">
          <cell r="A759" t="str">
            <v>TNO-A45090R</v>
          </cell>
          <cell r="B759" t="str">
            <v>SET</v>
          </cell>
          <cell r="C759">
            <v>6</v>
          </cell>
          <cell r="D759">
            <v>90</v>
          </cell>
          <cell r="E759">
            <v>135</v>
          </cell>
          <cell r="F759">
            <v>60</v>
          </cell>
          <cell r="G759" t="str">
            <v>B240NS</v>
          </cell>
          <cell r="H759" t="str">
            <v>생산12,포장반12</v>
          </cell>
          <cell r="I759">
            <v>1</v>
          </cell>
          <cell r="J759" t="str">
            <v>한화테크윈</v>
          </cell>
          <cell r="K759">
            <v>139.80000000000001</v>
          </cell>
          <cell r="L759">
            <v>142.19999999999999</v>
          </cell>
          <cell r="P759">
            <v>1300</v>
          </cell>
          <cell r="Q759">
            <v>250</v>
          </cell>
          <cell r="R759" t="str">
            <v>빨강</v>
          </cell>
          <cell r="U759">
            <v>45995</v>
          </cell>
          <cell r="V759" t="str">
            <v>금형제조부</v>
          </cell>
          <cell r="W759" t="str">
            <v>PM02-007625A</v>
          </cell>
          <cell r="AD759">
            <v>0.85</v>
          </cell>
          <cell r="AE759">
            <v>70</v>
          </cell>
        </row>
        <row r="760">
          <cell r="A760" t="str">
            <v>TNO-A45090R</v>
          </cell>
          <cell r="B760" t="str">
            <v>SET</v>
          </cell>
          <cell r="C760">
            <v>6</v>
          </cell>
          <cell r="D760">
            <v>90</v>
          </cell>
          <cell r="E760">
            <v>135</v>
          </cell>
          <cell r="F760">
            <v>60</v>
          </cell>
          <cell r="G760" t="str">
            <v>B240NS</v>
          </cell>
          <cell r="H760" t="str">
            <v>생산12,포장반12</v>
          </cell>
          <cell r="I760">
            <v>1</v>
          </cell>
          <cell r="J760" t="str">
            <v>한화테크윈</v>
          </cell>
          <cell r="K760">
            <v>139.80000000000001</v>
          </cell>
          <cell r="L760">
            <v>142.19999999999999</v>
          </cell>
          <cell r="P760">
            <v>1300</v>
          </cell>
          <cell r="Q760">
            <v>250</v>
          </cell>
          <cell r="R760" t="str">
            <v>빨강</v>
          </cell>
          <cell r="U760">
            <v>45995</v>
          </cell>
          <cell r="V760" t="str">
            <v>금형제조부</v>
          </cell>
          <cell r="W760" t="str">
            <v>PM02-007625A</v>
          </cell>
          <cell r="AD760">
            <v>0.85</v>
          </cell>
          <cell r="AE760">
            <v>70</v>
          </cell>
        </row>
        <row r="761">
          <cell r="A761" t="str">
            <v>TLE</v>
          </cell>
          <cell r="B761" t="str">
            <v>SET</v>
          </cell>
          <cell r="C761">
            <v>2</v>
          </cell>
          <cell r="D761">
            <v>80</v>
          </cell>
          <cell r="E761">
            <v>485</v>
          </cell>
          <cell r="F761">
            <v>74</v>
          </cell>
          <cell r="G761" t="str">
            <v>B240NS</v>
          </cell>
          <cell r="H761">
            <v>4</v>
          </cell>
          <cell r="I761">
            <v>2</v>
          </cell>
          <cell r="J761" t="str">
            <v>모트렉스</v>
          </cell>
          <cell r="O761">
            <v>2350</v>
          </cell>
          <cell r="P761">
            <v>1360</v>
          </cell>
          <cell r="Q761">
            <v>250</v>
          </cell>
          <cell r="R761" t="str">
            <v>빨강</v>
          </cell>
          <cell r="S761" t="str">
            <v>빨강</v>
          </cell>
          <cell r="T761" t="str">
            <v>스티로폼(TL/CKD/584*476*270)</v>
          </cell>
          <cell r="U761">
            <v>43243</v>
          </cell>
          <cell r="V761" t="str">
            <v>이관금형</v>
          </cell>
          <cell r="W761" t="str">
            <v>2번 건조, SC721017A-1</v>
          </cell>
          <cell r="Y761">
            <v>64</v>
          </cell>
          <cell r="AC761" t="str">
            <v>최재학계장, 190102 아산대여, 2020.02.25 수리입고</v>
          </cell>
          <cell r="AD761">
            <v>0.85</v>
          </cell>
          <cell r="AE761">
            <v>75</v>
          </cell>
        </row>
        <row r="762">
          <cell r="A762" t="str">
            <v>TLE</v>
          </cell>
          <cell r="B762" t="str">
            <v>SET</v>
          </cell>
          <cell r="C762">
            <v>2</v>
          </cell>
          <cell r="D762">
            <v>80</v>
          </cell>
          <cell r="E762">
            <v>485</v>
          </cell>
          <cell r="F762">
            <v>74</v>
          </cell>
          <cell r="G762" t="str">
            <v>B240NS</v>
          </cell>
          <cell r="H762">
            <v>4</v>
          </cell>
          <cell r="I762">
            <v>2</v>
          </cell>
          <cell r="J762" t="str">
            <v>모트렉스</v>
          </cell>
          <cell r="O762">
            <v>2350</v>
          </cell>
          <cell r="P762">
            <v>1360</v>
          </cell>
          <cell r="Q762">
            <v>250</v>
          </cell>
          <cell r="R762" t="str">
            <v>빨강</v>
          </cell>
          <cell r="S762" t="str">
            <v>빨강</v>
          </cell>
          <cell r="T762" t="str">
            <v>스티로폼(TL/CKD/584*476*270)</v>
          </cell>
          <cell r="U762">
            <v>43243</v>
          </cell>
          <cell r="V762" t="str">
            <v>이관금형</v>
          </cell>
          <cell r="W762" t="str">
            <v>2번 건조, SC721017A-1</v>
          </cell>
          <cell r="Y762">
            <v>64</v>
          </cell>
          <cell r="AC762" t="str">
            <v>최재학계장, 190102 아산대여, 2020.02.25 수리입고</v>
          </cell>
          <cell r="AD762">
            <v>0.85</v>
          </cell>
          <cell r="AE762">
            <v>75</v>
          </cell>
          <cell r="AF762">
            <v>4</v>
          </cell>
        </row>
        <row r="763">
          <cell r="A763" t="str">
            <v>TLE</v>
          </cell>
          <cell r="B763" t="str">
            <v>SET</v>
          </cell>
          <cell r="C763">
            <v>2</v>
          </cell>
          <cell r="D763">
            <v>80</v>
          </cell>
          <cell r="E763">
            <v>485</v>
          </cell>
          <cell r="F763">
            <v>74</v>
          </cell>
          <cell r="G763" t="str">
            <v>SG302AN</v>
          </cell>
          <cell r="H763">
            <v>4</v>
          </cell>
          <cell r="I763">
            <v>2</v>
          </cell>
          <cell r="J763" t="str">
            <v>모트렉스</v>
          </cell>
          <cell r="O763">
            <v>2350</v>
          </cell>
          <cell r="P763">
            <v>1360</v>
          </cell>
          <cell r="Q763">
            <v>250</v>
          </cell>
          <cell r="R763" t="str">
            <v>빨강</v>
          </cell>
          <cell r="S763" t="str">
            <v>빨강</v>
          </cell>
          <cell r="T763" t="str">
            <v>스티로폼(TL/CKD/584*476*270)</v>
          </cell>
          <cell r="U763">
            <v>43243</v>
          </cell>
          <cell r="V763" t="str">
            <v>이관금형</v>
          </cell>
          <cell r="W763" t="str">
            <v>2번 건조, SC721017A-1</v>
          </cell>
          <cell r="Y763">
            <v>64</v>
          </cell>
          <cell r="AC763" t="str">
            <v>최재학계장, 190102 아산대여, 2020.02.25 수리입고</v>
          </cell>
          <cell r="AD763">
            <v>0.85</v>
          </cell>
          <cell r="AE763">
            <v>75</v>
          </cell>
          <cell r="AF763">
            <v>4</v>
          </cell>
        </row>
        <row r="764">
          <cell r="A764" t="str">
            <v>THMXXX</v>
          </cell>
          <cell r="B764" t="str">
            <v>SET</v>
          </cell>
          <cell r="C764">
            <v>4</v>
          </cell>
          <cell r="D764">
            <v>85</v>
          </cell>
          <cell r="E764">
            <v>125</v>
          </cell>
          <cell r="F764">
            <v>65</v>
          </cell>
          <cell r="G764" t="str">
            <v>B240NS</v>
          </cell>
          <cell r="H764">
            <v>10</v>
          </cell>
          <cell r="I764">
            <v>1</v>
          </cell>
          <cell r="J764" t="str">
            <v>아이두잇</v>
          </cell>
          <cell r="K764">
            <v>103</v>
          </cell>
          <cell r="L764">
            <v>107</v>
          </cell>
          <cell r="O764">
            <v>715</v>
          </cell>
          <cell r="P764">
            <v>1360</v>
          </cell>
          <cell r="Q764">
            <v>200</v>
          </cell>
          <cell r="R764" t="str">
            <v>파랑</v>
          </cell>
          <cell r="S764" t="str">
            <v>파랑</v>
          </cell>
          <cell r="U764">
            <v>42342</v>
          </cell>
          <cell r="V764" t="str">
            <v>금형제조부</v>
          </cell>
          <cell r="W764" t="str">
            <v>이물,2번건조, 냉각수1초이하,고치수 중요</v>
          </cell>
          <cell r="X764" t="str">
            <v>Q-0103</v>
          </cell>
          <cell r="AC764" t="str">
            <v xml:space="preserve">최재학사원 </v>
          </cell>
          <cell r="AD764">
            <v>0.85</v>
          </cell>
          <cell r="AE764">
            <v>80</v>
          </cell>
          <cell r="AF764">
            <v>4</v>
          </cell>
        </row>
        <row r="765">
          <cell r="A765" t="str">
            <v>THM01D</v>
          </cell>
          <cell r="B765" t="str">
            <v>SET</v>
          </cell>
          <cell r="C765">
            <v>9</v>
          </cell>
          <cell r="D765">
            <v>80</v>
          </cell>
          <cell r="E765">
            <v>60</v>
          </cell>
          <cell r="F765">
            <v>65</v>
          </cell>
          <cell r="G765" t="str">
            <v>B240NS</v>
          </cell>
          <cell r="H765">
            <v>20</v>
          </cell>
          <cell r="I765">
            <v>1</v>
          </cell>
          <cell r="J765" t="str">
            <v>아이두잇</v>
          </cell>
          <cell r="K765">
            <v>78</v>
          </cell>
          <cell r="L765">
            <v>79</v>
          </cell>
          <cell r="O765">
            <v>365</v>
          </cell>
          <cell r="P765">
            <v>1360</v>
          </cell>
          <cell r="Q765">
            <v>150</v>
          </cell>
          <cell r="R765" t="str">
            <v>흰색</v>
          </cell>
          <cell r="S765" t="str">
            <v>흰색</v>
          </cell>
          <cell r="T765" t="str">
            <v>THM01D</v>
          </cell>
          <cell r="U765">
            <v>40848</v>
          </cell>
          <cell r="V765" t="str">
            <v>한일폼케미칼이동입고</v>
          </cell>
          <cell r="W765" t="str">
            <v>이물,2번건조, 냉각수1초이하</v>
          </cell>
          <cell r="AC765" t="str">
            <v>장혁민사원2011.11.01(한일폼케미칼에서이관), 2011.11.23코팅</v>
          </cell>
          <cell r="AD765">
            <v>0.85</v>
          </cell>
          <cell r="AE765">
            <v>90</v>
          </cell>
          <cell r="AF765">
            <v>8</v>
          </cell>
        </row>
        <row r="766">
          <cell r="A766" t="str">
            <v>TD550</v>
          </cell>
          <cell r="B766" t="str">
            <v>회색</v>
          </cell>
          <cell r="C766">
            <v>2</v>
          </cell>
          <cell r="D766">
            <v>180</v>
          </cell>
          <cell r="E766">
            <v>1000</v>
          </cell>
          <cell r="F766">
            <v>40</v>
          </cell>
          <cell r="G766" t="str">
            <v>ZP2500</v>
          </cell>
          <cell r="H766">
            <v>1</v>
          </cell>
          <cell r="I766">
            <v>2</v>
          </cell>
          <cell r="J766" t="str">
            <v>㈜탭스</v>
          </cell>
          <cell r="O766">
            <v>12348</v>
          </cell>
          <cell r="P766">
            <v>1600</v>
          </cell>
          <cell r="Q766">
            <v>450</v>
          </cell>
          <cell r="T766" t="str">
            <v>TD550</v>
          </cell>
          <cell r="U766">
            <v>45267</v>
          </cell>
          <cell r="V766" t="str">
            <v>대양이동입고</v>
          </cell>
          <cell r="W766" t="str">
            <v>TD550H3(TD400)</v>
          </cell>
          <cell r="AD766">
            <v>0.85</v>
          </cell>
        </row>
        <row r="767">
          <cell r="A767" t="str">
            <v>TD550</v>
          </cell>
          <cell r="B767" t="str">
            <v>BOX</v>
          </cell>
          <cell r="C767">
            <v>2</v>
          </cell>
          <cell r="D767">
            <v>180</v>
          </cell>
          <cell r="E767">
            <v>1000</v>
          </cell>
          <cell r="F767">
            <v>40</v>
          </cell>
          <cell r="G767" t="str">
            <v>ZP2500</v>
          </cell>
          <cell r="H767">
            <v>1</v>
          </cell>
          <cell r="I767">
            <v>2</v>
          </cell>
          <cell r="J767" t="str">
            <v>㈜탭스</v>
          </cell>
          <cell r="O767">
            <v>12348</v>
          </cell>
          <cell r="P767">
            <v>1600</v>
          </cell>
          <cell r="Q767">
            <v>450</v>
          </cell>
          <cell r="T767" t="str">
            <v>TD550</v>
          </cell>
          <cell r="U767">
            <v>45267</v>
          </cell>
          <cell r="V767" t="str">
            <v>대양이동입고</v>
          </cell>
          <cell r="W767" t="str">
            <v>TD550H3(TD400)</v>
          </cell>
          <cell r="AD767">
            <v>0.85</v>
          </cell>
        </row>
        <row r="768">
          <cell r="A768" t="str">
            <v>TD550</v>
          </cell>
          <cell r="B768" t="str">
            <v>BOX</v>
          </cell>
          <cell r="C768">
            <v>2</v>
          </cell>
          <cell r="D768">
            <v>180</v>
          </cell>
          <cell r="E768">
            <v>1000</v>
          </cell>
          <cell r="F768">
            <v>40</v>
          </cell>
          <cell r="G768" t="str">
            <v>ZP2500</v>
          </cell>
          <cell r="H768">
            <v>1</v>
          </cell>
          <cell r="I768">
            <v>2</v>
          </cell>
          <cell r="J768" t="str">
            <v>㈜탭스</v>
          </cell>
          <cell r="O768">
            <v>12348</v>
          </cell>
          <cell r="P768">
            <v>1600</v>
          </cell>
          <cell r="Q768">
            <v>450</v>
          </cell>
          <cell r="T768" t="str">
            <v>TD550</v>
          </cell>
          <cell r="U768">
            <v>45267</v>
          </cell>
          <cell r="V768" t="str">
            <v>대양이동입고</v>
          </cell>
          <cell r="W768" t="str">
            <v>TD550H3(TD400)</v>
          </cell>
          <cell r="AD768">
            <v>0.85</v>
          </cell>
        </row>
        <row r="769">
          <cell r="A769" t="str">
            <v>TD550</v>
          </cell>
          <cell r="B769" t="str">
            <v>BOX</v>
          </cell>
          <cell r="D769">
            <v>100</v>
          </cell>
          <cell r="E769">
            <v>1000</v>
          </cell>
          <cell r="F769">
            <v>40</v>
          </cell>
          <cell r="G769" t="str">
            <v>ZP2500</v>
          </cell>
          <cell r="J769" t="str">
            <v>㈜탭스</v>
          </cell>
          <cell r="T769" t="str">
            <v>TD550</v>
          </cell>
          <cell r="U769">
            <v>45267</v>
          </cell>
          <cell r="V769" t="str">
            <v>대양이동입고</v>
          </cell>
          <cell r="W769" t="str">
            <v>TD550H3(TD400)</v>
          </cell>
          <cell r="AD769">
            <v>0.85</v>
          </cell>
        </row>
        <row r="770">
          <cell r="A770" t="str">
            <v>TD380 IN/B</v>
          </cell>
          <cell r="B770" t="str">
            <v>회색</v>
          </cell>
          <cell r="C770">
            <v>2</v>
          </cell>
          <cell r="D770">
            <v>180</v>
          </cell>
          <cell r="E770">
            <v>827</v>
          </cell>
          <cell r="F770">
            <v>40</v>
          </cell>
          <cell r="G770" t="str">
            <v>ZP2500</v>
          </cell>
          <cell r="H770">
            <v>1</v>
          </cell>
          <cell r="I770">
            <v>1</v>
          </cell>
          <cell r="J770" t="str">
            <v>㈜탭스</v>
          </cell>
          <cell r="P770">
            <v>1600</v>
          </cell>
          <cell r="Q770">
            <v>200</v>
          </cell>
          <cell r="T770" t="str">
            <v>베르나 내피 몸통</v>
          </cell>
          <cell r="U770">
            <v>45267</v>
          </cell>
          <cell r="V770" t="str">
            <v>대양이동입고</v>
          </cell>
          <cell r="W770" t="str">
            <v>구형 베르나 내피 몸통</v>
          </cell>
          <cell r="AD770">
            <v>0.85</v>
          </cell>
        </row>
        <row r="771">
          <cell r="A771" t="str">
            <v>TD380 IN/B</v>
          </cell>
          <cell r="B771" t="str">
            <v>BOX</v>
          </cell>
          <cell r="C771">
            <v>2</v>
          </cell>
          <cell r="D771">
            <v>180</v>
          </cell>
          <cell r="E771">
            <v>827</v>
          </cell>
          <cell r="F771">
            <v>40</v>
          </cell>
          <cell r="G771" t="str">
            <v>ZP2500</v>
          </cell>
          <cell r="H771">
            <v>1</v>
          </cell>
          <cell r="I771">
            <v>1</v>
          </cell>
          <cell r="J771" t="str">
            <v>㈜탭스</v>
          </cell>
          <cell r="P771">
            <v>1600</v>
          </cell>
          <cell r="Q771">
            <v>200</v>
          </cell>
          <cell r="T771" t="str">
            <v>베르나 내피 몸통</v>
          </cell>
          <cell r="U771">
            <v>45267</v>
          </cell>
          <cell r="V771" t="str">
            <v>대양이동입고</v>
          </cell>
          <cell r="W771" t="str">
            <v>구형 베르나 내피 몸통</v>
          </cell>
          <cell r="AD771">
            <v>0.85</v>
          </cell>
        </row>
        <row r="772">
          <cell r="A772" t="str">
            <v>TD380 IN/B</v>
          </cell>
          <cell r="B772" t="str">
            <v>BOX</v>
          </cell>
          <cell r="D772">
            <v>100</v>
          </cell>
          <cell r="E772">
            <v>827</v>
          </cell>
          <cell r="F772">
            <v>40</v>
          </cell>
          <cell r="G772" t="str">
            <v>ZP2500</v>
          </cell>
          <cell r="J772" t="str">
            <v>㈜탭스</v>
          </cell>
          <cell r="T772" t="str">
            <v>베르나 내피 몸통</v>
          </cell>
          <cell r="U772">
            <v>45267</v>
          </cell>
          <cell r="V772" t="str">
            <v>대양이동입고</v>
          </cell>
          <cell r="W772" t="str">
            <v>구형 베르나 내피 몸통</v>
          </cell>
          <cell r="AD772">
            <v>0.85</v>
          </cell>
        </row>
        <row r="773">
          <cell r="A773" t="str">
            <v>TD</v>
          </cell>
          <cell r="B773" t="str">
            <v>SET</v>
          </cell>
          <cell r="C773">
            <v>2</v>
          </cell>
          <cell r="D773">
            <v>80</v>
          </cell>
          <cell r="E773">
            <v>375</v>
          </cell>
          <cell r="F773">
            <v>74</v>
          </cell>
          <cell r="G773" t="str">
            <v>B240NS</v>
          </cell>
          <cell r="H773">
            <v>1</v>
          </cell>
          <cell r="I773">
            <v>2</v>
          </cell>
          <cell r="J773" t="str">
            <v>모트렉스</v>
          </cell>
          <cell r="O773">
            <v>1940</v>
          </cell>
          <cell r="P773">
            <v>1360</v>
          </cell>
          <cell r="Q773">
            <v>200</v>
          </cell>
          <cell r="S773">
            <v>0</v>
          </cell>
          <cell r="T773" t="str">
            <v>스티로폼(TD/CKD/584*476*180)</v>
          </cell>
          <cell r="U773">
            <v>43243</v>
          </cell>
          <cell r="V773" t="str">
            <v>이관금형</v>
          </cell>
          <cell r="W773" t="str">
            <v>2번 건조, SC21019A</v>
          </cell>
          <cell r="Y773">
            <v>64</v>
          </cell>
          <cell r="AC773" t="str">
            <v>최재학계장</v>
          </cell>
          <cell r="AD773">
            <v>0.85</v>
          </cell>
          <cell r="AE773">
            <v>80</v>
          </cell>
          <cell r="AF773">
            <v>4</v>
          </cell>
        </row>
        <row r="774">
          <cell r="A774" t="str">
            <v>TBD</v>
          </cell>
          <cell r="B774" t="str">
            <v>SET</v>
          </cell>
          <cell r="C774">
            <v>7</v>
          </cell>
          <cell r="D774">
            <v>100</v>
          </cell>
          <cell r="E774">
            <v>95</v>
          </cell>
          <cell r="F774">
            <v>70</v>
          </cell>
          <cell r="G774" t="str">
            <v>B240NS</v>
          </cell>
          <cell r="H774">
            <v>10</v>
          </cell>
          <cell r="I774">
            <v>2</v>
          </cell>
          <cell r="J774" t="str">
            <v>한화테크윈</v>
          </cell>
          <cell r="K774">
            <v>82</v>
          </cell>
          <cell r="L774">
            <v>86</v>
          </cell>
          <cell r="M774">
            <v>82</v>
          </cell>
          <cell r="N774">
            <v>86</v>
          </cell>
          <cell r="P774">
            <v>1360</v>
          </cell>
          <cell r="Q774">
            <v>200</v>
          </cell>
          <cell r="R774" t="str">
            <v>빨강</v>
          </cell>
          <cell r="S774" t="str">
            <v>빨강</v>
          </cell>
          <cell r="U774">
            <v>44287</v>
          </cell>
          <cell r="V774" t="str">
            <v>경원 ENG</v>
          </cell>
          <cell r="Y774">
            <v>60</v>
          </cell>
          <cell r="Z774">
            <v>5724</v>
          </cell>
          <cell r="AC774" t="str">
            <v>석상준과장, 2021.06.26 CAVITY추가(2*1-&gt;2*7), 2021.08.23 수정으로인한 기준중량변경(97-&gt;95)</v>
          </cell>
          <cell r="AD774">
            <v>0.85</v>
          </cell>
          <cell r="AF774">
            <v>6</v>
          </cell>
        </row>
        <row r="775">
          <cell r="A775" t="str">
            <v>TAPS_UPPER</v>
          </cell>
          <cell r="B775" t="str">
            <v>BOX</v>
          </cell>
          <cell r="C775">
            <v>1</v>
          </cell>
          <cell r="D775">
            <v>150</v>
          </cell>
          <cell r="E775">
            <v>1350</v>
          </cell>
          <cell r="F775">
            <v>30</v>
          </cell>
          <cell r="G775" t="str">
            <v>B240NS</v>
          </cell>
          <cell r="H775">
            <v>1</v>
          </cell>
          <cell r="I775">
            <v>1</v>
          </cell>
          <cell r="J775" t="str">
            <v>㈜탭스</v>
          </cell>
          <cell r="O775">
            <v>7300</v>
          </cell>
          <cell r="P775">
            <v>1600</v>
          </cell>
          <cell r="Q775">
            <v>150</v>
          </cell>
          <cell r="U775">
            <v>45307</v>
          </cell>
          <cell r="V775" t="str">
            <v>진양이동입고</v>
          </cell>
          <cell r="AD775">
            <v>0.85</v>
          </cell>
        </row>
        <row r="776">
          <cell r="A776" t="str">
            <v>TAPS_UPPER</v>
          </cell>
          <cell r="B776" t="str">
            <v>BOX</v>
          </cell>
          <cell r="C776">
            <v>1</v>
          </cell>
          <cell r="D776">
            <v>150</v>
          </cell>
          <cell r="E776">
            <v>1350</v>
          </cell>
          <cell r="F776">
            <v>30</v>
          </cell>
          <cell r="G776" t="str">
            <v>B240NS</v>
          </cell>
          <cell r="H776">
            <v>1</v>
          </cell>
          <cell r="I776">
            <v>1</v>
          </cell>
          <cell r="J776" t="str">
            <v>㈜탭스</v>
          </cell>
          <cell r="O776">
            <v>7300</v>
          </cell>
          <cell r="P776">
            <v>1600</v>
          </cell>
          <cell r="Q776">
            <v>150</v>
          </cell>
          <cell r="U776">
            <v>45307</v>
          </cell>
          <cell r="V776" t="str">
            <v>진양이동입고</v>
          </cell>
        </row>
        <row r="777">
          <cell r="A777" t="str">
            <v>TAPS_UPPER</v>
          </cell>
          <cell r="B777" t="str">
            <v>BOX</v>
          </cell>
          <cell r="C777">
            <v>1</v>
          </cell>
          <cell r="D777">
            <v>150</v>
          </cell>
          <cell r="E777">
            <v>1350</v>
          </cell>
          <cell r="F777">
            <v>30</v>
          </cell>
          <cell r="G777" t="str">
            <v>B240NS</v>
          </cell>
          <cell r="H777">
            <v>1</v>
          </cell>
          <cell r="I777">
            <v>1</v>
          </cell>
          <cell r="J777" t="str">
            <v>㈜탭스</v>
          </cell>
          <cell r="O777">
            <v>7300</v>
          </cell>
          <cell r="P777">
            <v>1600</v>
          </cell>
          <cell r="Q777">
            <v>150</v>
          </cell>
          <cell r="U777">
            <v>45307</v>
          </cell>
          <cell r="V777" t="str">
            <v>진양이동입고</v>
          </cell>
          <cell r="W777" t="str">
            <v>YS01/02</v>
          </cell>
          <cell r="AD777">
            <v>0.85</v>
          </cell>
        </row>
        <row r="778">
          <cell r="A778" t="str">
            <v>TAPS_UPPER</v>
          </cell>
          <cell r="B778" t="str">
            <v>BOX</v>
          </cell>
          <cell r="C778">
            <v>1</v>
          </cell>
          <cell r="D778">
            <v>150</v>
          </cell>
          <cell r="E778">
            <v>1350</v>
          </cell>
          <cell r="F778">
            <v>30</v>
          </cell>
          <cell r="G778" t="str">
            <v>B240NS</v>
          </cell>
          <cell r="H778">
            <v>1</v>
          </cell>
          <cell r="I778">
            <v>1</v>
          </cell>
          <cell r="J778" t="str">
            <v>㈜탭스</v>
          </cell>
          <cell r="O778">
            <v>7300</v>
          </cell>
          <cell r="P778">
            <v>1600</v>
          </cell>
          <cell r="Q778">
            <v>150</v>
          </cell>
          <cell r="U778">
            <v>45307</v>
          </cell>
          <cell r="V778" t="str">
            <v>진양이동입고</v>
          </cell>
        </row>
        <row r="779">
          <cell r="A779" t="str">
            <v>TAPS_SIDE</v>
          </cell>
          <cell r="C779">
            <v>2</v>
          </cell>
          <cell r="G779" t="str">
            <v>B240NS</v>
          </cell>
          <cell r="H779">
            <v>1</v>
          </cell>
          <cell r="I779">
            <v>1</v>
          </cell>
          <cell r="J779" t="str">
            <v>미입고</v>
          </cell>
          <cell r="V779" t="str">
            <v>미입고</v>
          </cell>
          <cell r="AD779">
            <v>0.85</v>
          </cell>
        </row>
        <row r="780">
          <cell r="A780" t="str">
            <v>TAPS_SIDE</v>
          </cell>
          <cell r="C780">
            <v>2</v>
          </cell>
          <cell r="G780" t="str">
            <v>B240NS</v>
          </cell>
          <cell r="H780">
            <v>1</v>
          </cell>
          <cell r="I780">
            <v>1</v>
          </cell>
          <cell r="J780" t="str">
            <v>미입고</v>
          </cell>
          <cell r="V780" t="str">
            <v>미입고</v>
          </cell>
        </row>
        <row r="781">
          <cell r="A781" t="str">
            <v>TAPS_SIDE</v>
          </cell>
          <cell r="C781">
            <v>2</v>
          </cell>
          <cell r="G781" t="str">
            <v>B240NS</v>
          </cell>
          <cell r="H781">
            <v>1</v>
          </cell>
          <cell r="I781">
            <v>1</v>
          </cell>
          <cell r="J781" t="str">
            <v>미입고</v>
          </cell>
          <cell r="V781" t="str">
            <v>미입고</v>
          </cell>
          <cell r="W781" t="str">
            <v>SK200 내피몸통</v>
          </cell>
          <cell r="AD781">
            <v>0.85</v>
          </cell>
        </row>
        <row r="782">
          <cell r="A782" t="str">
            <v>TAPS_SIDE</v>
          </cell>
          <cell r="C782">
            <v>2</v>
          </cell>
          <cell r="G782" t="str">
            <v>B240NS</v>
          </cell>
          <cell r="H782">
            <v>1</v>
          </cell>
          <cell r="I782">
            <v>1</v>
          </cell>
          <cell r="J782" t="str">
            <v>미입고</v>
          </cell>
          <cell r="V782" t="str">
            <v>미입고</v>
          </cell>
        </row>
        <row r="783">
          <cell r="A783" t="str">
            <v>TAPS_SHORT</v>
          </cell>
          <cell r="B783" t="str">
            <v>BOX</v>
          </cell>
          <cell r="C783">
            <v>1</v>
          </cell>
          <cell r="D783">
            <v>150</v>
          </cell>
          <cell r="E783">
            <v>1500</v>
          </cell>
          <cell r="F783">
            <v>30</v>
          </cell>
          <cell r="G783" t="str">
            <v>B240NS</v>
          </cell>
          <cell r="H783">
            <v>1</v>
          </cell>
          <cell r="I783">
            <v>1</v>
          </cell>
          <cell r="J783" t="str">
            <v>㈜탭스</v>
          </cell>
          <cell r="O783">
            <v>8100</v>
          </cell>
          <cell r="P783">
            <v>1600</v>
          </cell>
          <cell r="Q783">
            <v>150</v>
          </cell>
          <cell r="U783">
            <v>45307</v>
          </cell>
          <cell r="V783" t="str">
            <v>진양이동입고</v>
          </cell>
          <cell r="AD783">
            <v>0.85</v>
          </cell>
        </row>
        <row r="784">
          <cell r="A784" t="str">
            <v>TAPS_SHORT</v>
          </cell>
          <cell r="B784" t="str">
            <v>BOX</v>
          </cell>
          <cell r="C784">
            <v>1</v>
          </cell>
          <cell r="D784">
            <v>150</v>
          </cell>
          <cell r="E784">
            <v>1500</v>
          </cell>
          <cell r="F784">
            <v>30</v>
          </cell>
          <cell r="G784" t="str">
            <v>B240NS</v>
          </cell>
          <cell r="H784">
            <v>1</v>
          </cell>
          <cell r="I784">
            <v>1</v>
          </cell>
          <cell r="J784" t="str">
            <v>㈜탭스</v>
          </cell>
          <cell r="O784">
            <v>8100</v>
          </cell>
          <cell r="P784">
            <v>1600</v>
          </cell>
          <cell r="Q784">
            <v>150</v>
          </cell>
          <cell r="U784">
            <v>45307</v>
          </cell>
          <cell r="V784" t="str">
            <v>진양이동입고</v>
          </cell>
        </row>
        <row r="785">
          <cell r="A785" t="str">
            <v>TAPS_SHORT</v>
          </cell>
          <cell r="B785" t="str">
            <v>BOX</v>
          </cell>
          <cell r="C785">
            <v>1</v>
          </cell>
          <cell r="D785">
            <v>150</v>
          </cell>
          <cell r="E785">
            <v>1500</v>
          </cell>
          <cell r="F785">
            <v>30</v>
          </cell>
          <cell r="G785" t="str">
            <v>B240NS</v>
          </cell>
          <cell r="H785">
            <v>1</v>
          </cell>
          <cell r="I785">
            <v>1</v>
          </cell>
          <cell r="J785" t="str">
            <v>㈜탭스</v>
          </cell>
          <cell r="O785">
            <v>8100</v>
          </cell>
          <cell r="P785">
            <v>1600</v>
          </cell>
          <cell r="Q785">
            <v>150</v>
          </cell>
          <cell r="U785">
            <v>45307</v>
          </cell>
          <cell r="V785" t="str">
            <v>진양이동입고</v>
          </cell>
          <cell r="W785" t="str">
            <v>한우1호</v>
          </cell>
          <cell r="AD785">
            <v>0.85</v>
          </cell>
        </row>
        <row r="786">
          <cell r="A786" t="str">
            <v>TAPS_SHORT</v>
          </cell>
          <cell r="B786" t="str">
            <v>BOX</v>
          </cell>
          <cell r="C786">
            <v>1</v>
          </cell>
          <cell r="D786">
            <v>150</v>
          </cell>
          <cell r="E786">
            <v>1500</v>
          </cell>
          <cell r="F786">
            <v>30</v>
          </cell>
          <cell r="G786" t="str">
            <v>B240NS</v>
          </cell>
          <cell r="H786">
            <v>1</v>
          </cell>
          <cell r="I786">
            <v>1</v>
          </cell>
          <cell r="J786" t="str">
            <v>㈜탭스</v>
          </cell>
          <cell r="O786">
            <v>8100</v>
          </cell>
          <cell r="P786">
            <v>1600</v>
          </cell>
          <cell r="Q786">
            <v>150</v>
          </cell>
          <cell r="U786">
            <v>45307</v>
          </cell>
          <cell r="V786" t="str">
            <v>진양이동입고</v>
          </cell>
        </row>
        <row r="787">
          <cell r="A787" t="str">
            <v>TAPS_LONG</v>
          </cell>
          <cell r="B787" t="str">
            <v>BOX</v>
          </cell>
          <cell r="C787">
            <v>1</v>
          </cell>
          <cell r="D787">
            <v>150</v>
          </cell>
          <cell r="E787">
            <v>2000</v>
          </cell>
          <cell r="F787">
            <v>30</v>
          </cell>
          <cell r="G787" t="str">
            <v>B240NS</v>
          </cell>
          <cell r="H787">
            <v>1</v>
          </cell>
          <cell r="I787">
            <v>1</v>
          </cell>
          <cell r="J787" t="str">
            <v>㈜탭스</v>
          </cell>
          <cell r="O787">
            <v>10800</v>
          </cell>
          <cell r="P787">
            <v>1600</v>
          </cell>
          <cell r="Q787">
            <v>150</v>
          </cell>
          <cell r="U787">
            <v>45307</v>
          </cell>
          <cell r="V787" t="str">
            <v>진양이동입고</v>
          </cell>
          <cell r="AD787">
            <v>0.85</v>
          </cell>
        </row>
        <row r="788">
          <cell r="A788" t="str">
            <v>TAPS_LONG</v>
          </cell>
          <cell r="B788" t="str">
            <v>BOX</v>
          </cell>
          <cell r="C788">
            <v>1</v>
          </cell>
          <cell r="D788">
            <v>150</v>
          </cell>
          <cell r="E788">
            <v>2000</v>
          </cell>
          <cell r="F788">
            <v>30</v>
          </cell>
          <cell r="G788" t="str">
            <v>B240NS</v>
          </cell>
          <cell r="H788">
            <v>1</v>
          </cell>
          <cell r="I788">
            <v>1</v>
          </cell>
          <cell r="J788" t="str">
            <v>㈜탭스</v>
          </cell>
          <cell r="O788">
            <v>10800</v>
          </cell>
          <cell r="P788">
            <v>1600</v>
          </cell>
          <cell r="Q788">
            <v>150</v>
          </cell>
          <cell r="U788">
            <v>45307</v>
          </cell>
          <cell r="V788" t="str">
            <v>진양이동입고</v>
          </cell>
        </row>
        <row r="789">
          <cell r="A789" t="str">
            <v>TAPS_LONG</v>
          </cell>
          <cell r="B789" t="str">
            <v>BOX</v>
          </cell>
          <cell r="C789">
            <v>1</v>
          </cell>
          <cell r="D789">
            <v>150</v>
          </cell>
          <cell r="E789">
            <v>2000</v>
          </cell>
          <cell r="F789">
            <v>30</v>
          </cell>
          <cell r="G789" t="str">
            <v>B240NS</v>
          </cell>
          <cell r="H789">
            <v>1</v>
          </cell>
          <cell r="I789">
            <v>1</v>
          </cell>
          <cell r="J789" t="str">
            <v>㈜탭스</v>
          </cell>
          <cell r="O789">
            <v>10800</v>
          </cell>
          <cell r="P789">
            <v>1600</v>
          </cell>
          <cell r="Q789">
            <v>150</v>
          </cell>
          <cell r="U789">
            <v>45307</v>
          </cell>
          <cell r="V789" t="str">
            <v>진양이동입고</v>
          </cell>
          <cell r="W789" t="str">
            <v>SK200 뚜껑</v>
          </cell>
          <cell r="AD789">
            <v>0.85</v>
          </cell>
        </row>
        <row r="790">
          <cell r="A790" t="str">
            <v>TAPS_LONG</v>
          </cell>
          <cell r="B790" t="str">
            <v>BOX</v>
          </cell>
          <cell r="C790">
            <v>1</v>
          </cell>
          <cell r="D790">
            <v>150</v>
          </cell>
          <cell r="E790">
            <v>2000</v>
          </cell>
          <cell r="F790">
            <v>30</v>
          </cell>
          <cell r="G790" t="str">
            <v>B240NS</v>
          </cell>
          <cell r="H790">
            <v>1</v>
          </cell>
          <cell r="I790">
            <v>1</v>
          </cell>
          <cell r="J790" t="str">
            <v>㈜탭스</v>
          </cell>
          <cell r="O790">
            <v>10800</v>
          </cell>
          <cell r="P790">
            <v>1600</v>
          </cell>
          <cell r="Q790">
            <v>150</v>
          </cell>
          <cell r="U790">
            <v>45307</v>
          </cell>
          <cell r="V790" t="str">
            <v>진양이동입고</v>
          </cell>
        </row>
        <row r="791">
          <cell r="A791" t="str">
            <v>TAPS_LID</v>
          </cell>
          <cell r="B791" t="str">
            <v>BOX</v>
          </cell>
          <cell r="C791">
            <v>1</v>
          </cell>
          <cell r="D791">
            <v>150</v>
          </cell>
          <cell r="E791">
            <v>1300</v>
          </cell>
          <cell r="F791">
            <v>30</v>
          </cell>
          <cell r="G791" t="str">
            <v>B240NS</v>
          </cell>
          <cell r="H791">
            <v>1</v>
          </cell>
          <cell r="I791">
            <v>1</v>
          </cell>
          <cell r="J791" t="str">
            <v>㈜탭스</v>
          </cell>
          <cell r="O791">
            <v>7000</v>
          </cell>
          <cell r="P791">
            <v>1600</v>
          </cell>
          <cell r="Q791">
            <v>150</v>
          </cell>
          <cell r="U791">
            <v>45307</v>
          </cell>
          <cell r="V791" t="str">
            <v>진양이동입고</v>
          </cell>
          <cell r="AD791">
            <v>0.85</v>
          </cell>
        </row>
        <row r="792">
          <cell r="A792" t="str">
            <v>TAPS_LID</v>
          </cell>
          <cell r="B792" t="str">
            <v>BOX</v>
          </cell>
          <cell r="C792">
            <v>1</v>
          </cell>
          <cell r="D792">
            <v>150</v>
          </cell>
          <cell r="E792">
            <v>1300</v>
          </cell>
          <cell r="F792">
            <v>30</v>
          </cell>
          <cell r="G792" t="str">
            <v>B240NS</v>
          </cell>
          <cell r="H792">
            <v>1</v>
          </cell>
          <cell r="I792">
            <v>1</v>
          </cell>
          <cell r="J792" t="str">
            <v>㈜탭스</v>
          </cell>
          <cell r="O792">
            <v>7000</v>
          </cell>
          <cell r="P792">
            <v>1600</v>
          </cell>
          <cell r="Q792">
            <v>150</v>
          </cell>
          <cell r="U792">
            <v>45307</v>
          </cell>
          <cell r="V792" t="str">
            <v>진양이동입고</v>
          </cell>
        </row>
        <row r="793">
          <cell r="A793" t="str">
            <v>TAPS_LID</v>
          </cell>
          <cell r="B793" t="str">
            <v>BOX</v>
          </cell>
          <cell r="C793">
            <v>1</v>
          </cell>
          <cell r="D793">
            <v>150</v>
          </cell>
          <cell r="E793">
            <v>1300</v>
          </cell>
          <cell r="F793">
            <v>30</v>
          </cell>
          <cell r="G793" t="str">
            <v>B240NS</v>
          </cell>
          <cell r="H793">
            <v>1</v>
          </cell>
          <cell r="I793">
            <v>1</v>
          </cell>
          <cell r="J793" t="str">
            <v>㈜탭스</v>
          </cell>
          <cell r="O793">
            <v>7000</v>
          </cell>
          <cell r="P793">
            <v>1600</v>
          </cell>
          <cell r="Q793">
            <v>150</v>
          </cell>
          <cell r="U793">
            <v>45307</v>
          </cell>
          <cell r="V793" t="str">
            <v>진양이동입고</v>
          </cell>
          <cell r="AD793">
            <v>0.85</v>
          </cell>
        </row>
        <row r="794">
          <cell r="A794" t="str">
            <v>TAPS_LID</v>
          </cell>
          <cell r="B794" t="str">
            <v>BOX</v>
          </cell>
          <cell r="C794">
            <v>1</v>
          </cell>
          <cell r="D794">
            <v>150</v>
          </cell>
          <cell r="E794">
            <v>1300</v>
          </cell>
          <cell r="F794">
            <v>30</v>
          </cell>
          <cell r="G794" t="str">
            <v>B240NS</v>
          </cell>
          <cell r="H794">
            <v>1</v>
          </cell>
          <cell r="I794">
            <v>1</v>
          </cell>
          <cell r="J794" t="str">
            <v>㈜탭스</v>
          </cell>
          <cell r="O794">
            <v>7000</v>
          </cell>
          <cell r="P794">
            <v>1600</v>
          </cell>
          <cell r="Q794">
            <v>150</v>
          </cell>
          <cell r="U794">
            <v>45307</v>
          </cell>
          <cell r="V794" t="str">
            <v>진양이동입고</v>
          </cell>
        </row>
        <row r="795">
          <cell r="A795" t="str">
            <v>T595-압판(60배)</v>
          </cell>
          <cell r="B795" t="str">
            <v>SET</v>
          </cell>
          <cell r="C795">
            <v>3</v>
          </cell>
          <cell r="D795">
            <v>120</v>
          </cell>
          <cell r="E795">
            <v>246</v>
          </cell>
          <cell r="F795">
            <v>65</v>
          </cell>
          <cell r="G795" t="str">
            <v>B240NS/B240NS</v>
          </cell>
          <cell r="H795" t="str">
            <v>4/4</v>
          </cell>
          <cell r="I795">
            <v>2</v>
          </cell>
          <cell r="J795" t="str">
            <v>캐논</v>
          </cell>
          <cell r="K795">
            <v>175</v>
          </cell>
          <cell r="L795">
            <v>179</v>
          </cell>
          <cell r="M795">
            <v>175</v>
          </cell>
          <cell r="N795">
            <v>179</v>
          </cell>
          <cell r="O795">
            <v>1154</v>
          </cell>
          <cell r="P795">
            <v>1360</v>
          </cell>
          <cell r="Q795">
            <v>250</v>
          </cell>
          <cell r="R795" t="str">
            <v>검정</v>
          </cell>
          <cell r="S795" t="str">
            <v>검정</v>
          </cell>
          <cell r="T795" t="str">
            <v>Z40_PAD_TOP</v>
          </cell>
          <cell r="U795">
            <v>43253</v>
          </cell>
          <cell r="V795" t="str">
            <v>이관금형</v>
          </cell>
          <cell r="W795" t="str">
            <v>거꾸로 조립,FX2-4662-000초물:255~275</v>
          </cell>
          <cell r="Y795">
            <v>50</v>
          </cell>
          <cell r="Z795">
            <v>14106</v>
          </cell>
          <cell r="AC795" t="str">
            <v>2018.10.24 수율 88% 62배-&gt;68배(323g), 2019.1.19(62--&gt;74배 236g 배율 변경), 2021.09.06 기준중량변경235-&gt;246 사용배율변경 70-&gt;64</v>
          </cell>
          <cell r="AD795">
            <v>0.85</v>
          </cell>
          <cell r="AE795">
            <v>110</v>
          </cell>
          <cell r="AF795">
            <v>4</v>
          </cell>
        </row>
        <row r="796">
          <cell r="A796" t="str">
            <v>T595-압판</v>
          </cell>
          <cell r="B796" t="str">
            <v>SET</v>
          </cell>
          <cell r="C796">
            <v>3</v>
          </cell>
          <cell r="D796">
            <v>100</v>
          </cell>
          <cell r="E796">
            <v>283</v>
          </cell>
          <cell r="F796">
            <v>58</v>
          </cell>
          <cell r="G796" t="str">
            <v>B240NS</v>
          </cell>
          <cell r="H796" t="str">
            <v>4/4</v>
          </cell>
          <cell r="I796">
            <v>2</v>
          </cell>
          <cell r="J796" t="str">
            <v>캐논</v>
          </cell>
          <cell r="K796">
            <v>175</v>
          </cell>
          <cell r="L796">
            <v>179</v>
          </cell>
          <cell r="M796">
            <v>175</v>
          </cell>
          <cell r="N796">
            <v>179</v>
          </cell>
          <cell r="O796">
            <v>1382</v>
          </cell>
          <cell r="P796">
            <v>1360</v>
          </cell>
          <cell r="Q796">
            <v>250</v>
          </cell>
          <cell r="R796" t="str">
            <v>빨강</v>
          </cell>
          <cell r="S796" t="str">
            <v>빨강</v>
          </cell>
          <cell r="T796" t="str">
            <v>Z40_PAD_TOP</v>
          </cell>
          <cell r="U796">
            <v>43253</v>
          </cell>
          <cell r="V796" t="str">
            <v>이관금형</v>
          </cell>
          <cell r="W796" t="str">
            <v>거꾸로 조립, FX2-4662-000</v>
          </cell>
          <cell r="X796" t="str">
            <v>D-7-06</v>
          </cell>
          <cell r="Y796">
            <v>50</v>
          </cell>
          <cell r="Z796">
            <v>14106</v>
          </cell>
          <cell r="AC796" t="str">
            <v>2018.10.24 수율 88% 62배-&gt;68배(323g), 2021.10.21재코팅</v>
          </cell>
          <cell r="AD796">
            <v>0.85</v>
          </cell>
          <cell r="AE796">
            <v>100</v>
          </cell>
          <cell r="AF796">
            <v>4</v>
          </cell>
        </row>
        <row r="797">
          <cell r="A797" t="str">
            <v>T595-TRAY</v>
          </cell>
          <cell r="B797" t="str">
            <v>저발</v>
          </cell>
          <cell r="C797">
            <v>12</v>
          </cell>
          <cell r="D797">
            <v>85</v>
          </cell>
          <cell r="E797">
            <v>10</v>
          </cell>
          <cell r="F797">
            <v>58</v>
          </cell>
          <cell r="G797" t="str">
            <v>B240NS</v>
          </cell>
          <cell r="H797">
            <v>200</v>
          </cell>
          <cell r="I797">
            <v>1</v>
          </cell>
          <cell r="J797" t="str">
            <v>캐논</v>
          </cell>
          <cell r="O797">
            <v>140</v>
          </cell>
          <cell r="P797">
            <v>500</v>
          </cell>
          <cell r="Q797">
            <v>500</v>
          </cell>
          <cell r="R797" t="str">
            <v>비닐</v>
          </cell>
          <cell r="S797" t="str">
            <v>비닐</v>
          </cell>
          <cell r="T797" t="str">
            <v>Z40_PAD_TOP</v>
          </cell>
          <cell r="U797">
            <v>43253</v>
          </cell>
          <cell r="V797" t="str">
            <v>이관금형</v>
          </cell>
          <cell r="W797" t="str">
            <v>FX2-4665-000</v>
          </cell>
          <cell r="Y797">
            <v>48</v>
          </cell>
          <cell r="Z797">
            <v>492</v>
          </cell>
          <cell r="AD797">
            <v>0.85</v>
          </cell>
          <cell r="AE797">
            <v>85</v>
          </cell>
          <cell r="AF797">
            <v>4</v>
          </cell>
        </row>
        <row r="798">
          <cell r="A798" t="str">
            <v>T595-TOP(60배)</v>
          </cell>
          <cell r="B798" t="str">
            <v>SET</v>
          </cell>
          <cell r="C798">
            <v>3</v>
          </cell>
          <cell r="D798">
            <v>85</v>
          </cell>
          <cell r="E798">
            <v>404</v>
          </cell>
          <cell r="F798">
            <v>70</v>
          </cell>
          <cell r="G798" t="str">
            <v>B240NS</v>
          </cell>
          <cell r="H798" t="str">
            <v>4/4</v>
          </cell>
          <cell r="I798">
            <v>2</v>
          </cell>
          <cell r="J798" t="str">
            <v>캐논</v>
          </cell>
          <cell r="K798">
            <v>263</v>
          </cell>
          <cell r="L798">
            <v>267</v>
          </cell>
          <cell r="M798">
            <v>263</v>
          </cell>
          <cell r="N798">
            <v>267</v>
          </cell>
          <cell r="O798">
            <v>1893</v>
          </cell>
          <cell r="P798">
            <v>1360</v>
          </cell>
          <cell r="Q798">
            <v>350</v>
          </cell>
          <cell r="R798" t="str">
            <v>녹색</v>
          </cell>
          <cell r="S798" t="str">
            <v>녹색</v>
          </cell>
          <cell r="T798" t="str">
            <v>Z40_PAD_TOP</v>
          </cell>
          <cell r="U798">
            <v>43253</v>
          </cell>
          <cell r="V798" t="str">
            <v>이관금형</v>
          </cell>
          <cell r="W798" t="str">
            <v>FX2-4663-000초물:424~444</v>
          </cell>
          <cell r="X798" t="str">
            <v>D-1-06</v>
          </cell>
          <cell r="Y798">
            <v>48</v>
          </cell>
          <cell r="Z798">
            <v>23131</v>
          </cell>
          <cell r="AC798" t="str">
            <v>2019.1.19(62배--&gt;68배 386g 배율 변경), 2021.09.06 기준중량변경386-&gt;404 사용배율변경 70-&gt;64</v>
          </cell>
          <cell r="AD798">
            <v>0.85</v>
          </cell>
          <cell r="AE798">
            <v>80</v>
          </cell>
          <cell r="AF798">
            <v>2</v>
          </cell>
        </row>
        <row r="799">
          <cell r="A799" t="str">
            <v>T595-TOP</v>
          </cell>
          <cell r="B799" t="str">
            <v>SET</v>
          </cell>
          <cell r="C799">
            <v>3</v>
          </cell>
          <cell r="D799">
            <v>85</v>
          </cell>
          <cell r="E799">
            <v>463</v>
          </cell>
          <cell r="F799">
            <v>58</v>
          </cell>
          <cell r="G799" t="str">
            <v>B240NS</v>
          </cell>
          <cell r="H799" t="str">
            <v>4/4</v>
          </cell>
          <cell r="I799">
            <v>2</v>
          </cell>
          <cell r="J799" t="str">
            <v>캐논</v>
          </cell>
          <cell r="K799">
            <v>263</v>
          </cell>
          <cell r="L799">
            <v>267</v>
          </cell>
          <cell r="M799">
            <v>263</v>
          </cell>
          <cell r="N799">
            <v>267</v>
          </cell>
          <cell r="O799">
            <v>2267</v>
          </cell>
          <cell r="P799">
            <v>1360</v>
          </cell>
          <cell r="Q799">
            <v>350</v>
          </cell>
          <cell r="R799" t="str">
            <v>녹색</v>
          </cell>
          <cell r="S799" t="str">
            <v>녹색</v>
          </cell>
          <cell r="T799" t="str">
            <v>Z40_PAD_TOP</v>
          </cell>
          <cell r="U799">
            <v>43253</v>
          </cell>
          <cell r="V799" t="str">
            <v>이관금형</v>
          </cell>
          <cell r="W799" t="str">
            <v>FX2-4663-000</v>
          </cell>
          <cell r="Y799">
            <v>48</v>
          </cell>
          <cell r="Z799">
            <v>23131</v>
          </cell>
          <cell r="AC799" t="str">
            <v>2022.01.25 휨 수리</v>
          </cell>
          <cell r="AD799">
            <v>0.85</v>
          </cell>
          <cell r="AE799">
            <v>85</v>
          </cell>
          <cell r="AF799">
            <v>2</v>
          </cell>
        </row>
        <row r="800">
          <cell r="A800" t="str">
            <v>T595-BOT(60배)</v>
          </cell>
          <cell r="B800" t="str">
            <v>SET</v>
          </cell>
          <cell r="C800">
            <v>2</v>
          </cell>
          <cell r="D800">
            <v>80</v>
          </cell>
          <cell r="E800">
            <v>261</v>
          </cell>
          <cell r="F800">
            <v>65</v>
          </cell>
          <cell r="G800" t="str">
            <v>B240NS</v>
          </cell>
          <cell r="H800" t="str">
            <v>4/40/40</v>
          </cell>
          <cell r="I800">
            <v>4</v>
          </cell>
          <cell r="J800" t="str">
            <v>캐논</v>
          </cell>
          <cell r="K800">
            <v>156</v>
          </cell>
          <cell r="L800">
            <v>160</v>
          </cell>
          <cell r="M800">
            <v>156</v>
          </cell>
          <cell r="N800">
            <v>160</v>
          </cell>
          <cell r="O800">
            <v>1221</v>
          </cell>
          <cell r="P800">
            <v>1360</v>
          </cell>
          <cell r="Q800">
            <v>250</v>
          </cell>
          <cell r="R800" t="str">
            <v>보라</v>
          </cell>
          <cell r="S800" t="str">
            <v>보라</v>
          </cell>
          <cell r="T800" t="str">
            <v>Z40_PAD_BOTTOM</v>
          </cell>
          <cell r="U800">
            <v>43253</v>
          </cell>
          <cell r="V800" t="str">
            <v>이관금형</v>
          </cell>
          <cell r="W800" t="str">
            <v>FX2-4661-000초물:265~285</v>
          </cell>
          <cell r="X800" t="str">
            <v>D-2-06</v>
          </cell>
          <cell r="Y800">
            <v>50</v>
          </cell>
          <cell r="Z800">
            <v>14926</v>
          </cell>
          <cell r="AC800" t="str">
            <v>2018.09.04 SIDE포장단위변경(80-&gt;40),2018.09.19 끈색변경(흰색-&gt;검정), 2019.1.19(62배--&gt;68배 249g 배율변경), 2021.09.06 기준중량변경249-&gt;261 사용배율변경 70-&gt;64</v>
          </cell>
          <cell r="AD800">
            <v>0.85</v>
          </cell>
          <cell r="AE800">
            <v>80</v>
          </cell>
          <cell r="AF800">
            <v>4</v>
          </cell>
        </row>
        <row r="801">
          <cell r="A801" t="str">
            <v>T595-BOT</v>
          </cell>
          <cell r="B801" t="str">
            <v>SET</v>
          </cell>
          <cell r="C801">
            <v>2</v>
          </cell>
          <cell r="D801">
            <v>90</v>
          </cell>
          <cell r="E801">
            <v>299</v>
          </cell>
          <cell r="F801">
            <v>58</v>
          </cell>
          <cell r="G801" t="str">
            <v>B240NS</v>
          </cell>
          <cell r="H801" t="str">
            <v>4/40/40</v>
          </cell>
          <cell r="I801">
            <v>4</v>
          </cell>
          <cell r="J801" t="str">
            <v>캐논</v>
          </cell>
          <cell r="K801">
            <v>156</v>
          </cell>
          <cell r="L801">
            <v>160</v>
          </cell>
          <cell r="M801">
            <v>156</v>
          </cell>
          <cell r="N801">
            <v>160</v>
          </cell>
          <cell r="O801">
            <v>1463</v>
          </cell>
          <cell r="P801">
            <v>1360</v>
          </cell>
          <cell r="Q801">
            <v>250</v>
          </cell>
          <cell r="R801" t="str">
            <v>검정</v>
          </cell>
          <cell r="S801" t="str">
            <v>검정</v>
          </cell>
          <cell r="T801" t="str">
            <v>Z40_PAD_BOTTOM</v>
          </cell>
          <cell r="U801">
            <v>43253</v>
          </cell>
          <cell r="V801" t="str">
            <v>이관금형</v>
          </cell>
          <cell r="W801" t="str">
            <v>FX2-4661-000</v>
          </cell>
          <cell r="Y801">
            <v>50</v>
          </cell>
          <cell r="Z801">
            <v>14926</v>
          </cell>
          <cell r="AC801" t="str">
            <v>2018.09.04 SIDE포장단위변경(80-&gt;40),2018.09.19 끈색변경(흰색-&gt;검정), 2020.06.08 CORE파손수리, 2021.02.04재코팅, 2021.04.20 수리완료</v>
          </cell>
          <cell r="AD801">
            <v>0.85</v>
          </cell>
          <cell r="AE801">
            <v>85</v>
          </cell>
          <cell r="AF801">
            <v>6</v>
          </cell>
        </row>
        <row r="802">
          <cell r="A802" t="str">
            <v>T565-MQMR</v>
          </cell>
          <cell r="B802" t="str">
            <v>SET</v>
          </cell>
          <cell r="C802">
            <v>2</v>
          </cell>
          <cell r="D802">
            <v>100</v>
          </cell>
          <cell r="E802">
            <v>501</v>
          </cell>
          <cell r="F802">
            <v>70</v>
          </cell>
          <cell r="G802" t="str">
            <v>B240NS</v>
          </cell>
          <cell r="H802" t="str">
            <v>5 / 5 / 50</v>
          </cell>
          <cell r="I802">
            <v>4</v>
          </cell>
          <cell r="J802" t="str">
            <v>캐논</v>
          </cell>
          <cell r="P802">
            <v>1360</v>
          </cell>
          <cell r="Q802">
            <v>300</v>
          </cell>
          <cell r="R802" t="str">
            <v>주황</v>
          </cell>
          <cell r="U802" t="str">
            <v>2022.09.07</v>
          </cell>
          <cell r="V802" t="str">
            <v>금형사업부</v>
          </cell>
          <cell r="Y802">
            <v>60</v>
          </cell>
          <cell r="AC802" t="str">
            <v>김영석사원</v>
          </cell>
          <cell r="AD802">
            <v>0.85</v>
          </cell>
        </row>
        <row r="803">
          <cell r="A803" t="str">
            <v>T565-MQMR</v>
          </cell>
          <cell r="B803" t="str">
            <v>SET</v>
          </cell>
          <cell r="C803">
            <v>2</v>
          </cell>
          <cell r="D803">
            <v>100</v>
          </cell>
          <cell r="E803">
            <v>501</v>
          </cell>
          <cell r="F803">
            <v>70</v>
          </cell>
          <cell r="G803" t="str">
            <v>B240NS</v>
          </cell>
          <cell r="H803" t="str">
            <v>5 / 5 / 50</v>
          </cell>
          <cell r="I803">
            <v>4</v>
          </cell>
          <cell r="J803" t="str">
            <v>캐논</v>
          </cell>
          <cell r="P803">
            <v>1360</v>
          </cell>
          <cell r="Q803">
            <v>300</v>
          </cell>
          <cell r="R803" t="str">
            <v>주황</v>
          </cell>
          <cell r="U803" t="str">
            <v>2022.09.07</v>
          </cell>
          <cell r="V803" t="str">
            <v>금형사업부</v>
          </cell>
          <cell r="Y803">
            <v>60</v>
          </cell>
          <cell r="AC803" t="str">
            <v>김영석사원</v>
          </cell>
          <cell r="AD803">
            <v>0.85</v>
          </cell>
        </row>
        <row r="804">
          <cell r="A804" t="str">
            <v>T565-MQMR</v>
          </cell>
          <cell r="B804" t="str">
            <v>SET</v>
          </cell>
          <cell r="C804">
            <v>2</v>
          </cell>
          <cell r="D804">
            <v>100</v>
          </cell>
          <cell r="E804">
            <v>604</v>
          </cell>
          <cell r="F804">
            <v>50</v>
          </cell>
          <cell r="G804" t="str">
            <v>B240NS</v>
          </cell>
          <cell r="H804">
            <v>3</v>
          </cell>
          <cell r="I804">
            <v>4</v>
          </cell>
          <cell r="J804" t="str">
            <v>캐논</v>
          </cell>
          <cell r="P804">
            <v>1360</v>
          </cell>
          <cell r="Q804">
            <v>300</v>
          </cell>
          <cell r="R804" t="str">
            <v>파란</v>
          </cell>
          <cell r="U804" t="str">
            <v>2022.09.07</v>
          </cell>
          <cell r="V804" t="str">
            <v>금형사업부</v>
          </cell>
          <cell r="AC804" t="str">
            <v>김영석사원</v>
          </cell>
          <cell r="AD804">
            <v>0.85</v>
          </cell>
        </row>
        <row r="805">
          <cell r="A805" t="str">
            <v>T565-MQMR</v>
          </cell>
          <cell r="B805" t="str">
            <v>SET</v>
          </cell>
          <cell r="C805">
            <v>2</v>
          </cell>
          <cell r="D805">
            <v>100</v>
          </cell>
          <cell r="E805">
            <v>604</v>
          </cell>
          <cell r="F805">
            <v>50</v>
          </cell>
          <cell r="G805" t="str">
            <v>B240NS</v>
          </cell>
          <cell r="H805">
            <v>1</v>
          </cell>
          <cell r="I805">
            <v>4</v>
          </cell>
          <cell r="J805" t="str">
            <v>캐논</v>
          </cell>
          <cell r="P805">
            <v>1500</v>
          </cell>
        </row>
        <row r="806">
          <cell r="A806" t="str">
            <v>T565-MQMR</v>
          </cell>
          <cell r="B806" t="str">
            <v>SET</v>
          </cell>
          <cell r="C806">
            <v>2</v>
          </cell>
          <cell r="D806">
            <v>100</v>
          </cell>
          <cell r="E806">
            <v>604</v>
          </cell>
          <cell r="F806">
            <v>50</v>
          </cell>
          <cell r="G806" t="str">
            <v>B240NS</v>
          </cell>
          <cell r="H806">
            <v>1</v>
          </cell>
          <cell r="I806">
            <v>4</v>
          </cell>
          <cell r="J806" t="str">
            <v>캐논</v>
          </cell>
          <cell r="P806">
            <v>1500</v>
          </cell>
        </row>
        <row r="807">
          <cell r="A807" t="str">
            <v>T543MA-UNDER</v>
          </cell>
          <cell r="B807" t="str">
            <v>SET</v>
          </cell>
          <cell r="C807">
            <v>4</v>
          </cell>
          <cell r="D807">
            <v>70</v>
          </cell>
          <cell r="E807">
            <v>171</v>
          </cell>
          <cell r="F807">
            <v>70</v>
          </cell>
          <cell r="G807" t="str">
            <v>B240NS</v>
          </cell>
          <cell r="H807">
            <v>6</v>
          </cell>
          <cell r="I807">
            <v>1</v>
          </cell>
          <cell r="J807" t="str">
            <v>캐논</v>
          </cell>
          <cell r="K807">
            <v>128</v>
          </cell>
          <cell r="L807">
            <v>132</v>
          </cell>
          <cell r="O807">
            <v>889</v>
          </cell>
          <cell r="P807">
            <v>1360</v>
          </cell>
          <cell r="Q807">
            <v>250</v>
          </cell>
          <cell r="R807" t="str">
            <v>검정</v>
          </cell>
          <cell r="S807" t="str">
            <v>검정</v>
          </cell>
          <cell r="T807" t="str">
            <v>UNDER_PAD</v>
          </cell>
          <cell r="U807">
            <v>43253</v>
          </cell>
          <cell r="V807" t="str">
            <v>이관금형</v>
          </cell>
          <cell r="W807" t="str">
            <v xml:space="preserve">FX2-4380-000초물:183~203 / 바닥치수 필히 측정 </v>
          </cell>
          <cell r="X807" t="str">
            <v>D-4-06</v>
          </cell>
          <cell r="Y807">
            <v>60</v>
          </cell>
          <cell r="Z807">
            <v>10260</v>
          </cell>
          <cell r="AC807" t="str">
            <v>2018.07.02포장단위변경(6-&gt;12),2018.07.13포장단위변경(12-&gt;6),2018.08.29기준배율 및 중량변경(62-&gt;74,205-&gt;171),끈색변경(주황-&gt;빨강), (배율/중량변경 구분관리(180829)</v>
          </cell>
          <cell r="AD807">
            <v>0.85</v>
          </cell>
          <cell r="AE807">
            <v>75</v>
          </cell>
          <cell r="AF807">
            <v>4</v>
          </cell>
        </row>
        <row r="808">
          <cell r="A808" t="str">
            <v>T543MA-PLA</v>
          </cell>
          <cell r="B808" t="str">
            <v>SET</v>
          </cell>
          <cell r="C808">
            <v>4</v>
          </cell>
          <cell r="D808">
            <v>85</v>
          </cell>
          <cell r="E808">
            <v>156</v>
          </cell>
          <cell r="F808">
            <v>70</v>
          </cell>
          <cell r="G808" t="str">
            <v>B240NS</v>
          </cell>
          <cell r="H808">
            <v>6</v>
          </cell>
          <cell r="I808">
            <v>1</v>
          </cell>
          <cell r="J808" t="str">
            <v>캐논</v>
          </cell>
          <cell r="K808">
            <v>158</v>
          </cell>
          <cell r="L808">
            <v>162</v>
          </cell>
          <cell r="O808">
            <v>858</v>
          </cell>
          <cell r="P808">
            <v>1360</v>
          </cell>
          <cell r="Q808">
            <v>250</v>
          </cell>
          <cell r="R808" t="str">
            <v>보라</v>
          </cell>
          <cell r="S808" t="str">
            <v>보라</v>
          </cell>
          <cell r="T808" t="str">
            <v>UPPER_PAD_PAL</v>
          </cell>
          <cell r="U808">
            <v>43253</v>
          </cell>
          <cell r="V808" t="str">
            <v>이관금형</v>
          </cell>
          <cell r="W808" t="str">
            <v>FX2-4379-000초물:170~180</v>
          </cell>
          <cell r="X808" t="str">
            <v>D-5-06</v>
          </cell>
          <cell r="Y808">
            <v>60</v>
          </cell>
          <cell r="Z808">
            <v>9325</v>
          </cell>
          <cell r="AC808" t="str">
            <v>2018.08.29기준배율 및 중량변경(62-&gt;74,214-&gt;156),끈색변경(검정-&gt;녹색), (배율/중량변경 구분관리(180829)</v>
          </cell>
          <cell r="AD808">
            <v>0.85</v>
          </cell>
          <cell r="AE808">
            <v>80</v>
          </cell>
          <cell r="AF808">
            <v>4</v>
          </cell>
        </row>
        <row r="809">
          <cell r="A809" t="str">
            <v>T543MA-CRG</v>
          </cell>
          <cell r="B809" t="str">
            <v>SET</v>
          </cell>
          <cell r="C809">
            <v>4</v>
          </cell>
          <cell r="D809">
            <v>82</v>
          </cell>
          <cell r="E809">
            <v>387</v>
          </cell>
          <cell r="F809">
            <v>65</v>
          </cell>
          <cell r="G809" t="str">
            <v>B240NS</v>
          </cell>
          <cell r="H809">
            <v>5</v>
          </cell>
          <cell r="I809">
            <v>1</v>
          </cell>
          <cell r="J809" t="str">
            <v>캐논</v>
          </cell>
          <cell r="O809">
            <v>1997</v>
          </cell>
          <cell r="P809">
            <v>1360</v>
          </cell>
          <cell r="Q809">
            <v>400</v>
          </cell>
          <cell r="R809" t="str">
            <v>파랑</v>
          </cell>
          <cell r="S809" t="str">
            <v>파랑</v>
          </cell>
          <cell r="U809">
            <v>43437</v>
          </cell>
          <cell r="W809" t="str">
            <v>FX2-5165-000초물:410~435</v>
          </cell>
          <cell r="X809" t="str">
            <v>D-1-02</v>
          </cell>
          <cell r="Y809">
            <v>60</v>
          </cell>
          <cell r="Z809">
            <v>23248</v>
          </cell>
          <cell r="AD809">
            <v>0.82</v>
          </cell>
          <cell r="AE809">
            <v>220</v>
          </cell>
          <cell r="AF809">
            <v>0</v>
          </cell>
        </row>
        <row r="810">
          <cell r="A810" t="str">
            <v>T543MA-ADF</v>
          </cell>
          <cell r="B810" t="str">
            <v>SET</v>
          </cell>
          <cell r="C810">
            <v>4</v>
          </cell>
          <cell r="D810">
            <v>75</v>
          </cell>
          <cell r="E810">
            <v>179</v>
          </cell>
          <cell r="F810">
            <v>74</v>
          </cell>
          <cell r="G810" t="str">
            <v>B240NS</v>
          </cell>
          <cell r="H810">
            <v>6</v>
          </cell>
          <cell r="I810">
            <v>1</v>
          </cell>
          <cell r="J810" t="str">
            <v>캐논</v>
          </cell>
          <cell r="K810">
            <v>193</v>
          </cell>
          <cell r="L810">
            <v>197</v>
          </cell>
          <cell r="O810">
            <v>931</v>
          </cell>
          <cell r="P810">
            <v>1360</v>
          </cell>
          <cell r="Q810">
            <v>250</v>
          </cell>
          <cell r="R810" t="str">
            <v>노랑</v>
          </cell>
          <cell r="S810" t="str">
            <v>노랑</v>
          </cell>
          <cell r="T810" t="str">
            <v>UPPER_PAD_ADF</v>
          </cell>
          <cell r="U810">
            <v>43253</v>
          </cell>
          <cell r="V810" t="str">
            <v>이관금형</v>
          </cell>
          <cell r="W810" t="str">
            <v xml:space="preserve">FX2-4378-000, 크라킹 5mm이내 / 바닥치수 필히 측정 </v>
          </cell>
          <cell r="X810" t="str">
            <v>D-3-06</v>
          </cell>
          <cell r="Y810">
            <v>60</v>
          </cell>
          <cell r="Z810">
            <v>10710</v>
          </cell>
          <cell r="AC810" t="str">
            <v>2018.07.13포장단위변경(16-&gt;6),2018.08.29기준배율 및 중량변경(62-&gt;74,214-&gt;179),끈색변경(파랑-&gt;노랑)</v>
          </cell>
          <cell r="AD810">
            <v>0.85</v>
          </cell>
          <cell r="AE810">
            <v>75</v>
          </cell>
          <cell r="AF810">
            <v>6</v>
          </cell>
        </row>
        <row r="811">
          <cell r="A811" t="str">
            <v>T539-T/B</v>
          </cell>
          <cell r="B811" t="str">
            <v>SET</v>
          </cell>
          <cell r="C811">
            <v>2</v>
          </cell>
          <cell r="D811">
            <v>80</v>
          </cell>
          <cell r="E811">
            <v>616</v>
          </cell>
          <cell r="F811">
            <v>50</v>
          </cell>
          <cell r="G811" t="str">
            <v>B240NS</v>
          </cell>
          <cell r="H811" t="str">
            <v>T:4 B:4</v>
          </cell>
          <cell r="I811">
            <v>2</v>
          </cell>
          <cell r="J811" t="str">
            <v>캐논</v>
          </cell>
          <cell r="K811">
            <v>165.5</v>
          </cell>
          <cell r="L811">
            <v>168.5</v>
          </cell>
          <cell r="M811">
            <v>183.5</v>
          </cell>
          <cell r="N811">
            <v>1686.5</v>
          </cell>
          <cell r="P811">
            <v>1360</v>
          </cell>
          <cell r="Q811">
            <v>300</v>
          </cell>
          <cell r="R811" t="str">
            <v>보라</v>
          </cell>
          <cell r="U811">
            <v>45530</v>
          </cell>
          <cell r="V811" t="str">
            <v>금형사업부</v>
          </cell>
          <cell r="AC811" t="str">
            <v>2024-09-30 코팅 및 각인교체</v>
          </cell>
          <cell r="AD811">
            <v>0.85</v>
          </cell>
        </row>
        <row r="812">
          <cell r="A812" t="str">
            <v>T539-FRONT</v>
          </cell>
          <cell r="B812" t="str">
            <v>SET</v>
          </cell>
          <cell r="C812">
            <v>6</v>
          </cell>
          <cell r="D812">
            <v>80</v>
          </cell>
          <cell r="E812">
            <v>43</v>
          </cell>
          <cell r="F812">
            <v>50</v>
          </cell>
          <cell r="G812" t="str">
            <v>B240NS</v>
          </cell>
          <cell r="H812">
            <v>12</v>
          </cell>
          <cell r="I812">
            <v>1</v>
          </cell>
          <cell r="J812" t="str">
            <v>캐논</v>
          </cell>
          <cell r="K812">
            <v>89</v>
          </cell>
          <cell r="L812">
            <v>91</v>
          </cell>
          <cell r="P812">
            <v>1360</v>
          </cell>
          <cell r="Q812">
            <v>200</v>
          </cell>
          <cell r="R812" t="str">
            <v>파랑</v>
          </cell>
          <cell r="U812">
            <v>45530</v>
          </cell>
          <cell r="V812" t="str">
            <v>금형사업부</v>
          </cell>
          <cell r="AC812" t="str">
            <v>2024-09-30 코팅 및 각인교체</v>
          </cell>
          <cell r="AD812">
            <v>0.85</v>
          </cell>
        </row>
        <row r="813">
          <cell r="A813" t="str">
            <v>T539-FIN</v>
          </cell>
          <cell r="B813" t="str">
            <v>저발</v>
          </cell>
          <cell r="C813">
            <v>4</v>
          </cell>
          <cell r="D813">
            <v>80</v>
          </cell>
          <cell r="E813">
            <v>80</v>
          </cell>
          <cell r="F813">
            <v>50</v>
          </cell>
          <cell r="G813" t="str">
            <v>B240NS</v>
          </cell>
          <cell r="H813">
            <v>8</v>
          </cell>
          <cell r="I813">
            <v>1</v>
          </cell>
          <cell r="J813" t="str">
            <v>캐논</v>
          </cell>
          <cell r="K813">
            <v>326</v>
          </cell>
          <cell r="L813">
            <v>330</v>
          </cell>
          <cell r="P813">
            <v>500</v>
          </cell>
          <cell r="R813" t="str">
            <v>녹색</v>
          </cell>
          <cell r="U813">
            <v>45530</v>
          </cell>
          <cell r="V813" t="str">
            <v>금형사업부</v>
          </cell>
          <cell r="AC813" t="str">
            <v>2024-09-30 코팅</v>
          </cell>
          <cell r="AD813">
            <v>0.85</v>
          </cell>
        </row>
        <row r="814">
          <cell r="A814" t="str">
            <v>T539-BASE</v>
          </cell>
          <cell r="B814" t="str">
            <v>저발</v>
          </cell>
          <cell r="C814">
            <v>8</v>
          </cell>
          <cell r="D814">
            <v>80</v>
          </cell>
          <cell r="E814">
            <v>20</v>
          </cell>
          <cell r="F814">
            <v>50</v>
          </cell>
          <cell r="G814" t="str">
            <v>B240NS</v>
          </cell>
          <cell r="H814">
            <v>50</v>
          </cell>
          <cell r="I814">
            <v>1</v>
          </cell>
          <cell r="J814" t="str">
            <v>캐논</v>
          </cell>
          <cell r="K814">
            <v>168.5</v>
          </cell>
          <cell r="L814">
            <v>171.5</v>
          </cell>
          <cell r="P814">
            <v>500</v>
          </cell>
          <cell r="R814" t="str">
            <v>비닐</v>
          </cell>
          <cell r="U814">
            <v>45530</v>
          </cell>
          <cell r="V814" t="str">
            <v>금형사업부</v>
          </cell>
          <cell r="AC814" t="str">
            <v>2024-09-30 코팅</v>
          </cell>
          <cell r="AD814">
            <v>0.85</v>
          </cell>
        </row>
        <row r="815">
          <cell r="A815" t="str">
            <v>T529-MA</v>
          </cell>
          <cell r="B815" t="str">
            <v>SET</v>
          </cell>
          <cell r="C815">
            <v>2</v>
          </cell>
          <cell r="D815">
            <v>100</v>
          </cell>
          <cell r="E815">
            <v>362</v>
          </cell>
          <cell r="F815">
            <v>58</v>
          </cell>
          <cell r="G815" t="str">
            <v>B240NS</v>
          </cell>
          <cell r="H815">
            <v>1</v>
          </cell>
          <cell r="I815">
            <v>2</v>
          </cell>
          <cell r="J815" t="str">
            <v>캐논</v>
          </cell>
          <cell r="P815">
            <v>1360</v>
          </cell>
          <cell r="Q815">
            <v>250</v>
          </cell>
          <cell r="U815">
            <v>44998</v>
          </cell>
          <cell r="V815" t="str">
            <v>경원 ENG</v>
          </cell>
          <cell r="Y815">
            <v>50</v>
          </cell>
          <cell r="AC815" t="str">
            <v>김영석계장</v>
          </cell>
          <cell r="AD815">
            <v>0.85</v>
          </cell>
        </row>
        <row r="816">
          <cell r="A816" t="str">
            <v>T529-MA</v>
          </cell>
          <cell r="B816" t="str">
            <v>SET</v>
          </cell>
          <cell r="C816">
            <v>2</v>
          </cell>
          <cell r="D816">
            <v>100</v>
          </cell>
          <cell r="E816">
            <v>362</v>
          </cell>
          <cell r="F816">
            <v>58</v>
          </cell>
          <cell r="G816" t="str">
            <v>B240NS</v>
          </cell>
          <cell r="H816">
            <v>1</v>
          </cell>
          <cell r="I816">
            <v>2</v>
          </cell>
          <cell r="J816" t="str">
            <v>캐논</v>
          </cell>
          <cell r="P816">
            <v>1360</v>
          </cell>
          <cell r="Q816">
            <v>250</v>
          </cell>
          <cell r="U816">
            <v>44998</v>
          </cell>
          <cell r="V816" t="str">
            <v>경원 ENG</v>
          </cell>
          <cell r="Y816">
            <v>50</v>
          </cell>
          <cell r="AC816" t="str">
            <v>김영석계장</v>
          </cell>
          <cell r="AD816">
            <v>0.85</v>
          </cell>
        </row>
        <row r="817">
          <cell r="A817" t="str">
            <v>T499-SET#3</v>
          </cell>
          <cell r="B817" t="str">
            <v>SET</v>
          </cell>
          <cell r="C817">
            <v>3</v>
          </cell>
          <cell r="D817">
            <v>85</v>
          </cell>
          <cell r="E817">
            <v>155</v>
          </cell>
          <cell r="F817">
            <v>70</v>
          </cell>
          <cell r="G817" t="str">
            <v>B240NS</v>
          </cell>
          <cell r="H817" t="str">
            <v>8/8</v>
          </cell>
          <cell r="I817">
            <v>2</v>
          </cell>
          <cell r="J817" t="str">
            <v>캐논</v>
          </cell>
          <cell r="K817">
            <v>114</v>
          </cell>
          <cell r="L817">
            <v>118</v>
          </cell>
          <cell r="M817">
            <v>139</v>
          </cell>
          <cell r="N817">
            <v>145</v>
          </cell>
          <cell r="O817">
            <v>806</v>
          </cell>
          <cell r="P817">
            <v>1500</v>
          </cell>
          <cell r="Q817">
            <v>250</v>
          </cell>
          <cell r="R817" t="str">
            <v xml:space="preserve">보라 </v>
          </cell>
          <cell r="S817" t="str">
            <v>빨강</v>
          </cell>
          <cell r="T817" t="str">
            <v>UNDER PAD_T499/UPPER PAD_T499</v>
          </cell>
          <cell r="U817">
            <v>44677</v>
          </cell>
          <cell r="W817" t="str">
            <v>FX-4848-000/FX1-4717-000초물:170~180</v>
          </cell>
          <cell r="X817" t="str">
            <v>D-6-06</v>
          </cell>
          <cell r="Y817">
            <v>60</v>
          </cell>
          <cell r="Z817">
            <v>9491</v>
          </cell>
          <cell r="AC817" t="str">
            <v>최재학계장, 190315 SG302 #74, 2021.06.10재코팅, 2021.06.11이동,고정각재 수정, 2022.02.24 써포트 및 이동각재 교체,2025-07-8재코팅,26-02-24각인교체후 끈변경</v>
          </cell>
          <cell r="AD817">
            <v>0.82</v>
          </cell>
          <cell r="AE817">
            <v>82</v>
          </cell>
        </row>
        <row r="818">
          <cell r="A818" t="str">
            <v>T499-SET#3</v>
          </cell>
          <cell r="B818" t="str">
            <v>SET</v>
          </cell>
          <cell r="C818">
            <v>3</v>
          </cell>
          <cell r="D818">
            <v>85</v>
          </cell>
          <cell r="E818">
            <v>155</v>
          </cell>
          <cell r="F818">
            <v>70</v>
          </cell>
          <cell r="G818" t="str">
            <v>B240NS</v>
          </cell>
          <cell r="H818" t="str">
            <v>8/8</v>
          </cell>
          <cell r="I818">
            <v>2</v>
          </cell>
          <cell r="J818" t="str">
            <v>캐논</v>
          </cell>
          <cell r="K818">
            <v>114</v>
          </cell>
          <cell r="L818">
            <v>118</v>
          </cell>
          <cell r="M818">
            <v>139</v>
          </cell>
          <cell r="N818">
            <v>145</v>
          </cell>
          <cell r="O818">
            <v>806</v>
          </cell>
          <cell r="P818">
            <v>1500</v>
          </cell>
          <cell r="Q818">
            <v>250</v>
          </cell>
          <cell r="R818" t="str">
            <v>보라</v>
          </cell>
          <cell r="S818" t="str">
            <v>빨강</v>
          </cell>
          <cell r="T818" t="str">
            <v>UNDER PAD_T499/UPPER PAD_T499</v>
          </cell>
          <cell r="U818">
            <v>44677</v>
          </cell>
          <cell r="W818" t="str">
            <v>FX-4848-000/FX1-4717-000초물:170~180</v>
          </cell>
          <cell r="X818" t="str">
            <v>D-6-06</v>
          </cell>
          <cell r="Y818">
            <v>60</v>
          </cell>
          <cell r="Z818">
            <v>9491</v>
          </cell>
          <cell r="AC818" t="str">
            <v>최재학계장, 190315 SG302 #74, 2021.06.10재코팅, 2021.06.11이동,고정각재 수정, 2022.02.24 써포트 및 이동각재 교체</v>
          </cell>
          <cell r="AD818">
            <v>0.82</v>
          </cell>
          <cell r="AE818">
            <v>82</v>
          </cell>
          <cell r="AF818">
            <v>6</v>
          </cell>
        </row>
        <row r="819">
          <cell r="A819" t="str">
            <v>T499-SET#2</v>
          </cell>
          <cell r="B819" t="str">
            <v>SET</v>
          </cell>
          <cell r="C819">
            <v>3</v>
          </cell>
          <cell r="D819">
            <v>85</v>
          </cell>
          <cell r="E819">
            <v>155</v>
          </cell>
          <cell r="F819">
            <v>70</v>
          </cell>
          <cell r="G819" t="str">
            <v>B240NS</v>
          </cell>
          <cell r="H819" t="str">
            <v>8/8</v>
          </cell>
          <cell r="I819">
            <v>2</v>
          </cell>
          <cell r="J819" t="str">
            <v>캐논</v>
          </cell>
          <cell r="K819">
            <v>114</v>
          </cell>
          <cell r="L819">
            <v>118</v>
          </cell>
          <cell r="M819">
            <v>139</v>
          </cell>
          <cell r="N819">
            <v>145</v>
          </cell>
          <cell r="O819">
            <v>806</v>
          </cell>
          <cell r="P819">
            <v>1500</v>
          </cell>
          <cell r="Q819">
            <v>250</v>
          </cell>
          <cell r="R819" t="str">
            <v>빨강</v>
          </cell>
          <cell r="S819" t="str">
            <v>녹색</v>
          </cell>
          <cell r="T819" t="str">
            <v>UNDER PAD_T499/UPPER PAD_T499</v>
          </cell>
          <cell r="U819">
            <v>43388</v>
          </cell>
          <cell r="V819" t="str">
            <v>금형제조부</v>
          </cell>
          <cell r="W819" t="str">
            <v>FX-4848-000/FX1-4717-000초물:170~180</v>
          </cell>
          <cell r="X819" t="str">
            <v>D-6-06</v>
          </cell>
          <cell r="Y819">
            <v>60</v>
          </cell>
          <cell r="Z819">
            <v>9491</v>
          </cell>
          <cell r="AC819" t="str">
            <v>최재학계장, 190315 SG302 #74, 2021.06.10재코팅, 2021.06.11이동,고정각재 수정, 2022.02.24 써포트 및 이동각재 교체</v>
          </cell>
          <cell r="AD819">
            <v>0.82</v>
          </cell>
          <cell r="AE819">
            <v>82</v>
          </cell>
          <cell r="AF819">
            <v>0</v>
          </cell>
        </row>
        <row r="820">
          <cell r="A820" t="str">
            <v>T10</v>
          </cell>
          <cell r="B820" t="str">
            <v>SET</v>
          </cell>
          <cell r="C820">
            <v>3</v>
          </cell>
          <cell r="D820">
            <v>80</v>
          </cell>
          <cell r="E820">
            <v>165</v>
          </cell>
          <cell r="F820">
            <v>65</v>
          </cell>
          <cell r="G820" t="str">
            <v>B240NS</v>
          </cell>
          <cell r="H820">
            <v>10</v>
          </cell>
          <cell r="I820">
            <v>2</v>
          </cell>
          <cell r="J820" t="str">
            <v>삼성HME</v>
          </cell>
          <cell r="K820">
            <v>114</v>
          </cell>
          <cell r="L820">
            <v>116</v>
          </cell>
          <cell r="M820">
            <v>99</v>
          </cell>
          <cell r="N820">
            <v>101</v>
          </cell>
          <cell r="O820">
            <v>1080</v>
          </cell>
          <cell r="P820">
            <v>1360</v>
          </cell>
          <cell r="Q820">
            <v>200</v>
          </cell>
          <cell r="R820" t="str">
            <v>빨강</v>
          </cell>
          <cell r="S820" t="str">
            <v>빨강</v>
          </cell>
          <cell r="T820" t="str">
            <v>T10간이</v>
          </cell>
          <cell r="U820">
            <v>41029</v>
          </cell>
          <cell r="V820" t="str">
            <v>금형제조부</v>
          </cell>
          <cell r="W820" t="str">
            <v>6~9호기 이동 이형 문제!</v>
          </cell>
          <cell r="AC820" t="str">
            <v>장혁민사원, 2012.06.05 CAVITY추가 (2*1-&gt;2.3), 2012.06.13 승인완료,2014.06.10끈색변경(흰색-&gt;빨강)</v>
          </cell>
          <cell r="AD820">
            <v>0.85</v>
          </cell>
          <cell r="AE820">
            <v>80</v>
          </cell>
          <cell r="AF820">
            <v>1</v>
          </cell>
        </row>
        <row r="821">
          <cell r="A821" t="str">
            <v>SWITCH</v>
          </cell>
          <cell r="B821" t="str">
            <v>SET</v>
          </cell>
          <cell r="C821">
            <v>6</v>
          </cell>
          <cell r="D821">
            <v>90</v>
          </cell>
          <cell r="E821">
            <v>89</v>
          </cell>
          <cell r="F821">
            <v>70</v>
          </cell>
          <cell r="G821" t="str">
            <v>B240NS</v>
          </cell>
          <cell r="H821" t="str">
            <v>자UP:10,포20,자LOW:10포20</v>
          </cell>
          <cell r="I821">
            <v>2</v>
          </cell>
          <cell r="J821" t="str">
            <v>코웨이</v>
          </cell>
          <cell r="K821">
            <v>98</v>
          </cell>
          <cell r="L821">
            <v>102</v>
          </cell>
          <cell r="M821">
            <v>68</v>
          </cell>
          <cell r="N821">
            <v>72</v>
          </cell>
          <cell r="P821">
            <v>1360</v>
          </cell>
          <cell r="R821" t="str">
            <v>주황</v>
          </cell>
          <cell r="U821">
            <v>45565</v>
          </cell>
          <cell r="V821" t="str">
            <v>금형제조부</v>
          </cell>
          <cell r="AC821" t="str">
            <v>흰색→주황26-3-16</v>
          </cell>
          <cell r="AD821">
            <v>0.85</v>
          </cell>
          <cell r="AE821">
            <v>80</v>
          </cell>
        </row>
        <row r="822">
          <cell r="A822" t="str">
            <v>SU2I</v>
          </cell>
          <cell r="B822" t="str">
            <v>SET</v>
          </cell>
          <cell r="C822">
            <v>2</v>
          </cell>
          <cell r="D822">
            <v>90</v>
          </cell>
          <cell r="E822">
            <v>641</v>
          </cell>
          <cell r="F822">
            <v>70</v>
          </cell>
          <cell r="G822" t="str">
            <v>SG302AN</v>
          </cell>
          <cell r="H822">
            <v>3</v>
          </cell>
          <cell r="I822">
            <v>2</v>
          </cell>
          <cell r="J822" t="str">
            <v>모트렉스</v>
          </cell>
          <cell r="K822">
            <v>184</v>
          </cell>
          <cell r="L822">
            <v>188</v>
          </cell>
          <cell r="M822">
            <v>184</v>
          </cell>
          <cell r="N822">
            <v>188</v>
          </cell>
          <cell r="P822">
            <v>1360</v>
          </cell>
          <cell r="Q822">
            <v>300</v>
          </cell>
          <cell r="R822" t="str">
            <v>노랑</v>
          </cell>
          <cell r="S822" t="str">
            <v>노랑</v>
          </cell>
          <cell r="U822">
            <v>43775</v>
          </cell>
          <cell r="V822" t="str">
            <v>금형제조부</v>
          </cell>
          <cell r="W822" t="str">
            <v>2번 건조</v>
          </cell>
          <cell r="Y822">
            <v>60</v>
          </cell>
          <cell r="Z822">
            <v>66627</v>
          </cell>
          <cell r="AC822" t="str">
            <v>최재학계장 , 보령금형제작, 191128 수정반출, 2020.09.04수정</v>
          </cell>
          <cell r="AD822">
            <v>0.85</v>
          </cell>
          <cell r="AE822">
            <v>80</v>
          </cell>
        </row>
        <row r="823">
          <cell r="A823" t="str">
            <v>S-TOP</v>
          </cell>
          <cell r="B823" t="str">
            <v>SET</v>
          </cell>
          <cell r="C823">
            <v>1</v>
          </cell>
          <cell r="D823">
            <v>75</v>
          </cell>
          <cell r="E823">
            <v>422</v>
          </cell>
          <cell r="F823">
            <v>53</v>
          </cell>
          <cell r="G823" t="str">
            <v>B240NS</v>
          </cell>
          <cell r="H823">
            <v>10</v>
          </cell>
          <cell r="I823">
            <v>1</v>
          </cell>
          <cell r="J823" t="str">
            <v>SK매직</v>
          </cell>
          <cell r="K823">
            <v>78</v>
          </cell>
          <cell r="L823">
            <v>88</v>
          </cell>
          <cell r="O823">
            <v>2037</v>
          </cell>
          <cell r="P823">
            <v>1300</v>
          </cell>
          <cell r="Q823">
            <v>150</v>
          </cell>
          <cell r="R823" t="str">
            <v>녹색</v>
          </cell>
          <cell r="S823" t="str">
            <v>녹색</v>
          </cell>
          <cell r="T823" t="str">
            <v>TOP PAD-F</v>
          </cell>
          <cell r="U823">
            <v>39752</v>
          </cell>
          <cell r="V823" t="str">
            <v>삼일금형</v>
          </cell>
          <cell r="X823" t="str">
            <v>계양리 J-1</v>
          </cell>
          <cell r="AC823" t="str">
            <v>09.02.18 승인완료, 2011.12.22기준중량변경(422-&gt;380), 2012.01.15기준중량변경(380-&gt;422), 2012.06.07 각인추가 및 변경, 2012.10.08 기준배율변경(42-&gt;45)</v>
          </cell>
          <cell r="AD823">
            <v>0.85</v>
          </cell>
          <cell r="AE823">
            <v>75</v>
          </cell>
          <cell r="AF823">
            <v>1</v>
          </cell>
        </row>
        <row r="824">
          <cell r="A824" t="str">
            <v>SR-TOP</v>
          </cell>
          <cell r="B824" t="str">
            <v>SET</v>
          </cell>
          <cell r="C824">
            <v>4</v>
          </cell>
          <cell r="D824">
            <v>130</v>
          </cell>
          <cell r="E824">
            <v>220</v>
          </cell>
          <cell r="F824">
            <v>65</v>
          </cell>
          <cell r="G824" t="str">
            <v>B240NS</v>
          </cell>
          <cell r="H824">
            <v>10</v>
          </cell>
          <cell r="I824">
            <v>1</v>
          </cell>
          <cell r="J824" t="str">
            <v>SK매직</v>
          </cell>
          <cell r="P824">
            <v>1500</v>
          </cell>
          <cell r="Q824">
            <v>150</v>
          </cell>
          <cell r="R824" t="str">
            <v>밴딩</v>
          </cell>
          <cell r="U824">
            <v>44643</v>
          </cell>
          <cell r="V824" t="str">
            <v>이관금형</v>
          </cell>
          <cell r="Y824">
            <v>60</v>
          </cell>
          <cell r="AC824" t="str">
            <v>김영석사원</v>
          </cell>
          <cell r="AD824">
            <v>0.85</v>
          </cell>
        </row>
        <row r="825">
          <cell r="A825" t="str">
            <v>SRN-470D</v>
          </cell>
          <cell r="B825" t="str">
            <v>SET</v>
          </cell>
          <cell r="C825">
            <v>4</v>
          </cell>
          <cell r="D825">
            <v>80</v>
          </cell>
          <cell r="E825">
            <v>140</v>
          </cell>
          <cell r="F825">
            <v>65</v>
          </cell>
          <cell r="G825" t="str">
            <v>B240NS</v>
          </cell>
          <cell r="H825">
            <v>12</v>
          </cell>
          <cell r="I825">
            <v>2</v>
          </cell>
          <cell r="J825" t="str">
            <v>엑소더스</v>
          </cell>
          <cell r="K825">
            <v>103</v>
          </cell>
          <cell r="L825">
            <v>105</v>
          </cell>
          <cell r="M825">
            <v>103</v>
          </cell>
          <cell r="N825">
            <v>105</v>
          </cell>
          <cell r="O825">
            <v>970</v>
          </cell>
          <cell r="P825">
            <v>1360</v>
          </cell>
          <cell r="Q825">
            <v>200</v>
          </cell>
          <cell r="R825" t="str">
            <v>주황</v>
          </cell>
          <cell r="S825" t="str">
            <v>주황</v>
          </cell>
          <cell r="T825" t="str">
            <v>SRN-470D</v>
          </cell>
          <cell r="U825">
            <v>40548</v>
          </cell>
          <cell r="V825" t="str">
            <v>금형제조부</v>
          </cell>
          <cell r="X825" t="str">
            <v>계양리 O-1</v>
          </cell>
          <cell r="AC825" t="str">
            <v>2011.09.14개조, 2011.09.23승인완료, 2012.06.22 수정(각인교체),2017.05.24업체명변경(한림SJT-&gt;엑소더스)</v>
          </cell>
          <cell r="AD825">
            <v>0.85</v>
          </cell>
          <cell r="AE825">
            <v>100</v>
          </cell>
          <cell r="AF825">
            <v>8</v>
          </cell>
        </row>
        <row r="826">
          <cell r="A826" t="str">
            <v>SRD-476D</v>
          </cell>
          <cell r="B826" t="str">
            <v>SET</v>
          </cell>
          <cell r="C826">
            <v>2</v>
          </cell>
          <cell r="D826">
            <v>80</v>
          </cell>
          <cell r="E826">
            <v>210</v>
          </cell>
          <cell r="F826">
            <v>65</v>
          </cell>
          <cell r="G826" t="str">
            <v>B240NS</v>
          </cell>
          <cell r="H826">
            <v>5</v>
          </cell>
          <cell r="I826">
            <v>2</v>
          </cell>
          <cell r="J826" t="str">
            <v>엑소더스</v>
          </cell>
          <cell r="K826">
            <v>84</v>
          </cell>
          <cell r="L826">
            <v>86</v>
          </cell>
          <cell r="M826">
            <v>84</v>
          </cell>
          <cell r="N826">
            <v>86</v>
          </cell>
          <cell r="O826">
            <v>1600</v>
          </cell>
          <cell r="P826">
            <v>1360</v>
          </cell>
          <cell r="Q826">
            <v>150</v>
          </cell>
          <cell r="R826" t="str">
            <v>녹색</v>
          </cell>
          <cell r="S826" t="str">
            <v>녹색</v>
          </cell>
          <cell r="T826" t="str">
            <v>SRD-476D</v>
          </cell>
          <cell r="U826">
            <v>41737</v>
          </cell>
          <cell r="V826" t="str">
            <v>금형제조부</v>
          </cell>
          <cell r="X826" t="str">
            <v>계양리 P-2</v>
          </cell>
          <cell r="AC826" t="str">
            <v>조우리사원 (232Kg)  ,2017.05.24업체명변경(한림SJT-&gt;엑소더스)</v>
          </cell>
          <cell r="AD826">
            <v>0.85</v>
          </cell>
          <cell r="AE826">
            <v>80</v>
          </cell>
          <cell r="AF826">
            <v>6</v>
          </cell>
        </row>
        <row r="827">
          <cell r="A827" t="str">
            <v>SRD-1676D</v>
          </cell>
          <cell r="B827" t="str">
            <v>SET</v>
          </cell>
          <cell r="C827">
            <v>2</v>
          </cell>
          <cell r="D827">
            <v>75</v>
          </cell>
          <cell r="E827">
            <v>220</v>
          </cell>
          <cell r="F827">
            <v>65</v>
          </cell>
          <cell r="G827" t="str">
            <v>B240NS</v>
          </cell>
          <cell r="H827">
            <v>5</v>
          </cell>
          <cell r="I827">
            <v>2</v>
          </cell>
          <cell r="J827" t="str">
            <v>엑소더스</v>
          </cell>
          <cell r="K827">
            <v>81</v>
          </cell>
          <cell r="L827">
            <v>86</v>
          </cell>
          <cell r="M827">
            <v>81</v>
          </cell>
          <cell r="N827">
            <v>86</v>
          </cell>
          <cell r="O827">
            <v>1600</v>
          </cell>
          <cell r="P827">
            <v>1360</v>
          </cell>
          <cell r="Q827">
            <v>150</v>
          </cell>
          <cell r="R827" t="str">
            <v>노랑</v>
          </cell>
          <cell r="S827" t="str">
            <v>노랑</v>
          </cell>
          <cell r="T827" t="str">
            <v>SRD-1676D</v>
          </cell>
          <cell r="U827">
            <v>41731</v>
          </cell>
          <cell r="V827" t="str">
            <v>금형제조부</v>
          </cell>
          <cell r="W827" t="str">
            <v>이물불량주의</v>
          </cell>
          <cell r="X827" t="str">
            <v>T-0411</v>
          </cell>
          <cell r="AC827" t="str">
            <v>조우리사원,2014.04.23 묶음단위변경(1-&gt;5) ,2017.05.24업체명변경(한림SJT-&gt;엑소더스)</v>
          </cell>
          <cell r="AD827">
            <v>0.85</v>
          </cell>
          <cell r="AE827">
            <v>75</v>
          </cell>
          <cell r="AF827">
            <v>6</v>
          </cell>
        </row>
        <row r="828">
          <cell r="A828" t="str">
            <v>SRD-1673D</v>
          </cell>
          <cell r="B828" t="str">
            <v>SET</v>
          </cell>
          <cell r="C828">
            <v>4</v>
          </cell>
          <cell r="D828">
            <v>80</v>
          </cell>
          <cell r="E828">
            <v>114</v>
          </cell>
          <cell r="F828">
            <v>70</v>
          </cell>
          <cell r="G828" t="str">
            <v>B240NS</v>
          </cell>
          <cell r="H828">
            <v>12</v>
          </cell>
          <cell r="I828">
            <v>2</v>
          </cell>
          <cell r="J828" t="str">
            <v>엑소더스</v>
          </cell>
          <cell r="K828">
            <v>134</v>
          </cell>
          <cell r="L828">
            <v>136</v>
          </cell>
          <cell r="M828">
            <v>136.5</v>
          </cell>
          <cell r="N828">
            <v>138.5</v>
          </cell>
          <cell r="O828">
            <v>900</v>
          </cell>
          <cell r="P828">
            <v>1360</v>
          </cell>
          <cell r="Q828">
            <v>200</v>
          </cell>
          <cell r="R828" t="str">
            <v>빨강</v>
          </cell>
          <cell r="S828" t="str">
            <v>빨강</v>
          </cell>
          <cell r="T828" t="str">
            <v>SRD-1673D</v>
          </cell>
          <cell r="U828">
            <v>41192</v>
          </cell>
          <cell r="V828" t="str">
            <v>금형제조부</v>
          </cell>
          <cell r="X828" t="str">
            <v>계양리 I-2</v>
          </cell>
          <cell r="AC828" t="str">
            <v>최재학사원,2012.10.29개조후간이금형입고,2012.11.2수정,2012.11.26 full cavity 입고(2*1-&gt;2*4),2013.02.04수정, 2014.01.21기준배율변경(57-&gt;62),2017.05.24업체명변경(한림SJT-&gt;엑소더스)</v>
          </cell>
          <cell r="AD828">
            <v>0.85</v>
          </cell>
          <cell r="AE828">
            <v>70</v>
          </cell>
          <cell r="AF828">
            <v>4</v>
          </cell>
        </row>
        <row r="829">
          <cell r="A829" t="str">
            <v>SRD-1670DNEW</v>
          </cell>
          <cell r="B829" t="str">
            <v>SET</v>
          </cell>
          <cell r="C829">
            <v>4</v>
          </cell>
          <cell r="D829">
            <v>80</v>
          </cell>
          <cell r="E829">
            <v>190</v>
          </cell>
          <cell r="F829">
            <v>70</v>
          </cell>
          <cell r="G829" t="str">
            <v>B240NS</v>
          </cell>
          <cell r="H829">
            <v>12</v>
          </cell>
          <cell r="I829">
            <v>2</v>
          </cell>
          <cell r="J829" t="str">
            <v>엑소더스</v>
          </cell>
          <cell r="K829">
            <v>152</v>
          </cell>
          <cell r="L829">
            <v>154</v>
          </cell>
          <cell r="M829">
            <v>129</v>
          </cell>
          <cell r="N829">
            <v>131</v>
          </cell>
          <cell r="O829">
            <v>1200</v>
          </cell>
          <cell r="P829">
            <v>1360</v>
          </cell>
          <cell r="Q829">
            <v>250</v>
          </cell>
          <cell r="R829" t="str">
            <v>파랑</v>
          </cell>
          <cell r="S829" t="str">
            <v>파랑</v>
          </cell>
          <cell r="T829" t="str">
            <v>SRD-1670DNEW</v>
          </cell>
          <cell r="U829">
            <v>40836</v>
          </cell>
          <cell r="V829" t="str">
            <v>금형제조부</v>
          </cell>
          <cell r="X829" t="str">
            <v>T-0309</v>
          </cell>
          <cell r="AC829" t="str">
            <v>석상준계장, 2012.01.20기준중량변경(189-&gt;190), 2012.06.22 수정(각인교쳬), 2012.07.17 개조 및 끈색변경, 2012.09.03 기준배율변경(57-&gt;62),2017.05.24업체명변경(한림SJT-&gt;엑소더스), 2020.10.06수정</v>
          </cell>
          <cell r="AD829">
            <v>0.85</v>
          </cell>
          <cell r="AE829">
            <v>85</v>
          </cell>
          <cell r="AF829">
            <v>4</v>
          </cell>
        </row>
        <row r="830">
          <cell r="A830" t="str">
            <v>SRD-1640</v>
          </cell>
          <cell r="B830" t="str">
            <v>SET</v>
          </cell>
          <cell r="C830">
            <v>5</v>
          </cell>
          <cell r="D830">
            <v>80</v>
          </cell>
          <cell r="E830">
            <v>75</v>
          </cell>
          <cell r="F830">
            <v>65</v>
          </cell>
          <cell r="G830" t="str">
            <v>B240NS</v>
          </cell>
          <cell r="H830">
            <v>21</v>
          </cell>
          <cell r="I830">
            <v>2</v>
          </cell>
          <cell r="J830" t="str">
            <v>엑소더스</v>
          </cell>
          <cell r="K830">
            <v>69</v>
          </cell>
          <cell r="L830">
            <v>71</v>
          </cell>
          <cell r="M830">
            <v>69</v>
          </cell>
          <cell r="N830">
            <v>71</v>
          </cell>
          <cell r="O830">
            <v>650</v>
          </cell>
          <cell r="P830">
            <v>1360</v>
          </cell>
          <cell r="Q830">
            <v>150</v>
          </cell>
          <cell r="R830" t="str">
            <v>노랑</v>
          </cell>
          <cell r="S830" t="str">
            <v>노랑</v>
          </cell>
          <cell r="T830" t="str">
            <v>SRD-1640</v>
          </cell>
          <cell r="U830">
            <v>40936</v>
          </cell>
          <cell r="V830" t="str">
            <v>금형제조부</v>
          </cell>
          <cell r="X830" t="str">
            <v>Q-0801</v>
          </cell>
          <cell r="AC830" t="str">
            <v>장혁민사원,2017.05.24업체명변경(한림SJT-&gt;엑소더스)</v>
          </cell>
          <cell r="AD830">
            <v>0.85</v>
          </cell>
          <cell r="AE830">
            <v>80</v>
          </cell>
          <cell r="AF830">
            <v>4</v>
          </cell>
        </row>
        <row r="831">
          <cell r="A831" t="str">
            <v>SR-BOT</v>
          </cell>
          <cell r="B831" t="str">
            <v>SET</v>
          </cell>
          <cell r="C831">
            <v>4</v>
          </cell>
          <cell r="D831">
            <v>96</v>
          </cell>
          <cell r="E831">
            <v>125</v>
          </cell>
          <cell r="F831">
            <v>65</v>
          </cell>
          <cell r="G831" t="str">
            <v>B240NS</v>
          </cell>
          <cell r="H831">
            <v>10</v>
          </cell>
          <cell r="I831">
            <v>1</v>
          </cell>
          <cell r="J831" t="str">
            <v>SK매직</v>
          </cell>
          <cell r="P831">
            <v>1500</v>
          </cell>
          <cell r="Q831">
            <v>150</v>
          </cell>
          <cell r="R831" t="str">
            <v>노랑</v>
          </cell>
          <cell r="U831">
            <v>44643</v>
          </cell>
          <cell r="V831" t="str">
            <v>이관금형</v>
          </cell>
          <cell r="Y831">
            <v>60</v>
          </cell>
          <cell r="AC831" t="str">
            <v>김영석사원</v>
          </cell>
          <cell r="AD831">
            <v>0.85</v>
          </cell>
        </row>
        <row r="832">
          <cell r="A832" t="str">
            <v>SPN-10080P</v>
          </cell>
          <cell r="B832" t="str">
            <v>저발</v>
          </cell>
          <cell r="C832">
            <v>6</v>
          </cell>
          <cell r="D832">
            <v>120</v>
          </cell>
          <cell r="E832">
            <v>27</v>
          </cell>
          <cell r="F832">
            <v>65</v>
          </cell>
          <cell r="G832" t="str">
            <v>B240NS</v>
          </cell>
          <cell r="H832">
            <v>40</v>
          </cell>
          <cell r="I832">
            <v>1</v>
          </cell>
          <cell r="J832" t="str">
            <v>엑소더스</v>
          </cell>
          <cell r="K832">
            <v>59</v>
          </cell>
          <cell r="L832">
            <v>61</v>
          </cell>
          <cell r="O832">
            <v>10</v>
          </cell>
          <cell r="P832">
            <v>700</v>
          </cell>
          <cell r="R832" t="str">
            <v>보라</v>
          </cell>
          <cell r="S832" t="str">
            <v>보라</v>
          </cell>
          <cell r="U832">
            <v>42964</v>
          </cell>
          <cell r="V832" t="str">
            <v>금형제조부</v>
          </cell>
          <cell r="Y832">
            <v>50</v>
          </cell>
          <cell r="AC832" t="str">
            <v>최재학계장</v>
          </cell>
          <cell r="AD832">
            <v>0.85</v>
          </cell>
          <cell r="AE832">
            <v>120</v>
          </cell>
          <cell r="AF832">
            <v>6</v>
          </cell>
        </row>
        <row r="833">
          <cell r="A833" t="str">
            <v>SPE-1600R-2</v>
          </cell>
          <cell r="B833" t="str">
            <v>SET</v>
          </cell>
          <cell r="C833">
            <v>4</v>
          </cell>
          <cell r="D833">
            <v>100</v>
          </cell>
          <cell r="E833">
            <v>140</v>
          </cell>
          <cell r="F833">
            <v>65</v>
          </cell>
          <cell r="G833" t="str">
            <v>B240NS</v>
          </cell>
          <cell r="H833">
            <v>20</v>
          </cell>
          <cell r="I833">
            <v>2</v>
          </cell>
          <cell r="J833" t="str">
            <v>엑소더스</v>
          </cell>
          <cell r="K833">
            <v>115</v>
          </cell>
          <cell r="L833">
            <v>117</v>
          </cell>
          <cell r="O833">
            <v>730</v>
          </cell>
          <cell r="P833">
            <v>1360</v>
          </cell>
          <cell r="Q833">
            <v>200</v>
          </cell>
          <cell r="R833" t="str">
            <v>녹색</v>
          </cell>
          <cell r="S833" t="str">
            <v>녹색</v>
          </cell>
          <cell r="T833" t="str">
            <v>SPE-1600R-2</v>
          </cell>
          <cell r="U833">
            <v>40568</v>
          </cell>
          <cell r="V833" t="str">
            <v>금형제조부</v>
          </cell>
          <cell r="X833" t="str">
            <v>계양리 J-3</v>
          </cell>
          <cell r="AC833" t="str">
            <v>,2017.05.24업체명변경(한림SJT-&gt;엑소더스)</v>
          </cell>
          <cell r="AD833">
            <v>0.85</v>
          </cell>
          <cell r="AE833">
            <v>80</v>
          </cell>
          <cell r="AF833">
            <v>4</v>
          </cell>
        </row>
        <row r="834">
          <cell r="A834" t="str">
            <v>SPC-6000</v>
          </cell>
          <cell r="B834" t="str">
            <v>SET</v>
          </cell>
          <cell r="C834">
            <v>4</v>
          </cell>
          <cell r="D834">
            <v>80</v>
          </cell>
          <cell r="E834">
            <v>210</v>
          </cell>
          <cell r="F834">
            <v>65</v>
          </cell>
          <cell r="G834" t="str">
            <v>B240NS</v>
          </cell>
          <cell r="H834">
            <v>10</v>
          </cell>
          <cell r="I834">
            <v>2</v>
          </cell>
          <cell r="J834" t="str">
            <v>엑소더스</v>
          </cell>
          <cell r="K834">
            <v>109</v>
          </cell>
          <cell r="L834">
            <v>111</v>
          </cell>
          <cell r="M834">
            <v>69</v>
          </cell>
          <cell r="N834">
            <v>72</v>
          </cell>
          <cell r="O834">
            <v>1260</v>
          </cell>
          <cell r="P834">
            <v>1360</v>
          </cell>
          <cell r="Q834">
            <v>200</v>
          </cell>
          <cell r="R834" t="str">
            <v>검정</v>
          </cell>
          <cell r="S834" t="str">
            <v>검정</v>
          </cell>
          <cell r="T834" t="str">
            <v>SPC-6000간이</v>
          </cell>
          <cell r="U834">
            <v>41023</v>
          </cell>
          <cell r="V834" t="str">
            <v>금형제조부</v>
          </cell>
          <cell r="W834" t="str">
            <v>두꺼운비닐로포장</v>
          </cell>
          <cell r="AC834" t="str">
            <v>장혁민사원, 2012.08.28 CAVITY추가(2*1-&gt;2*4) 및 개조,2016.08.24 수정,2017.05.24업체명변경(한림SJT-&gt;엑소더스)</v>
          </cell>
          <cell r="AD834">
            <v>0.85</v>
          </cell>
          <cell r="AE834">
            <v>80</v>
          </cell>
          <cell r="AF834">
            <v>4</v>
          </cell>
        </row>
        <row r="835">
          <cell r="A835" t="str">
            <v>SP2I</v>
          </cell>
          <cell r="B835" t="str">
            <v>SET</v>
          </cell>
          <cell r="C835">
            <v>2</v>
          </cell>
          <cell r="D835">
            <v>90</v>
          </cell>
          <cell r="E835">
            <v>1111</v>
          </cell>
          <cell r="F835">
            <v>70</v>
          </cell>
          <cell r="G835" t="str">
            <v>B240NS</v>
          </cell>
          <cell r="H835">
            <v>3</v>
          </cell>
          <cell r="I835">
            <v>2</v>
          </cell>
          <cell r="J835" t="str">
            <v>모트렉스</v>
          </cell>
          <cell r="K835">
            <v>184</v>
          </cell>
          <cell r="L835">
            <v>188</v>
          </cell>
          <cell r="M835">
            <v>184</v>
          </cell>
          <cell r="N835">
            <v>188</v>
          </cell>
          <cell r="P835">
            <v>1360</v>
          </cell>
          <cell r="Q835">
            <v>300</v>
          </cell>
          <cell r="R835" t="str">
            <v>노랑</v>
          </cell>
          <cell r="S835" t="str">
            <v>노랑</v>
          </cell>
          <cell r="U835">
            <v>43775</v>
          </cell>
          <cell r="V835" t="str">
            <v>금형제조부</v>
          </cell>
          <cell r="W835" t="str">
            <v>2번 건조</v>
          </cell>
          <cell r="Y835">
            <v>60</v>
          </cell>
          <cell r="Z835">
            <v>66627</v>
          </cell>
          <cell r="AC835" t="str">
            <v>최재학계장 , 보령금형제작, 191128 수정반출, 2020.09.04수정</v>
          </cell>
          <cell r="AD835">
            <v>0.85</v>
          </cell>
          <cell r="AE835">
            <v>80</v>
          </cell>
        </row>
        <row r="836">
          <cell r="A836" t="str">
            <v>SP2I</v>
          </cell>
          <cell r="B836" t="str">
            <v>SET</v>
          </cell>
          <cell r="C836">
            <v>2</v>
          </cell>
          <cell r="D836">
            <v>90</v>
          </cell>
          <cell r="E836">
            <v>1111</v>
          </cell>
          <cell r="F836">
            <v>70</v>
          </cell>
          <cell r="G836" t="str">
            <v>B240NS</v>
          </cell>
          <cell r="H836">
            <v>3</v>
          </cell>
          <cell r="I836">
            <v>2</v>
          </cell>
          <cell r="J836" t="str">
            <v>모트렉스</v>
          </cell>
          <cell r="K836">
            <v>184</v>
          </cell>
          <cell r="L836">
            <v>188</v>
          </cell>
          <cell r="M836">
            <v>184</v>
          </cell>
          <cell r="N836">
            <v>188</v>
          </cell>
          <cell r="P836">
            <v>1360</v>
          </cell>
          <cell r="Q836">
            <v>300</v>
          </cell>
          <cell r="R836" t="str">
            <v>노랑</v>
          </cell>
          <cell r="S836" t="str">
            <v>노랑</v>
          </cell>
          <cell r="U836">
            <v>43775</v>
          </cell>
          <cell r="V836" t="str">
            <v>금형제조부</v>
          </cell>
          <cell r="W836" t="str">
            <v>2번 건조</v>
          </cell>
          <cell r="Y836">
            <v>60</v>
          </cell>
          <cell r="Z836">
            <v>66627</v>
          </cell>
          <cell r="AC836" t="str">
            <v>최재학계장 , 보령금형제작, 191128 수정반출, 2020.09.04수정</v>
          </cell>
          <cell r="AD836">
            <v>0.85</v>
          </cell>
          <cell r="AE836">
            <v>80</v>
          </cell>
        </row>
        <row r="837">
          <cell r="A837" t="str">
            <v>SP2I</v>
          </cell>
          <cell r="B837" t="str">
            <v>SET</v>
          </cell>
          <cell r="C837">
            <v>2</v>
          </cell>
          <cell r="D837">
            <v>90</v>
          </cell>
          <cell r="E837">
            <v>1111</v>
          </cell>
          <cell r="F837">
            <v>70</v>
          </cell>
          <cell r="G837" t="str">
            <v>SG302AN</v>
          </cell>
          <cell r="H837">
            <v>3</v>
          </cell>
          <cell r="I837">
            <v>2</v>
          </cell>
          <cell r="J837" t="str">
            <v>모트렉스</v>
          </cell>
          <cell r="K837">
            <v>184</v>
          </cell>
          <cell r="L837">
            <v>188</v>
          </cell>
          <cell r="M837">
            <v>184</v>
          </cell>
          <cell r="N837">
            <v>188</v>
          </cell>
          <cell r="P837">
            <v>1360</v>
          </cell>
          <cell r="Q837">
            <v>300</v>
          </cell>
          <cell r="R837" t="str">
            <v>노랑</v>
          </cell>
          <cell r="S837" t="str">
            <v>노랑</v>
          </cell>
          <cell r="U837">
            <v>43775</v>
          </cell>
          <cell r="V837" t="str">
            <v>금형제조부</v>
          </cell>
          <cell r="W837" t="str">
            <v>2번 건조</v>
          </cell>
          <cell r="Y837">
            <v>60</v>
          </cell>
          <cell r="Z837">
            <v>66627</v>
          </cell>
          <cell r="AC837" t="str">
            <v>최재학계장 , 보령금형제작, 191128 수정반출, 2020.09.04수정</v>
          </cell>
          <cell r="AD837">
            <v>0.85</v>
          </cell>
          <cell r="AE837">
            <v>80</v>
          </cell>
        </row>
        <row r="838">
          <cell r="A838" t="str">
            <v>SOUP-BOX</v>
          </cell>
          <cell r="B838" t="str">
            <v>BOX</v>
          </cell>
          <cell r="C838">
            <v>4</v>
          </cell>
          <cell r="D838">
            <v>75</v>
          </cell>
          <cell r="E838">
            <v>152</v>
          </cell>
          <cell r="F838">
            <v>70</v>
          </cell>
          <cell r="G838" t="str">
            <v>B240NS</v>
          </cell>
          <cell r="H838">
            <v>10</v>
          </cell>
          <cell r="I838">
            <v>2</v>
          </cell>
          <cell r="J838" t="str">
            <v>삼일이노팩</v>
          </cell>
          <cell r="K838">
            <v>57</v>
          </cell>
          <cell r="L838">
            <v>61</v>
          </cell>
          <cell r="M838">
            <v>148</v>
          </cell>
          <cell r="N838">
            <v>152</v>
          </cell>
          <cell r="O838">
            <v>10</v>
          </cell>
          <cell r="P838">
            <v>1360</v>
          </cell>
          <cell r="Q838">
            <v>250</v>
          </cell>
          <cell r="S838">
            <v>0</v>
          </cell>
          <cell r="U838">
            <v>43108</v>
          </cell>
          <cell r="V838" t="str">
            <v>금형제조부</v>
          </cell>
          <cell r="W838" t="str">
            <v>SOUP-BOX 각인제거</v>
          </cell>
          <cell r="Y838">
            <v>60</v>
          </cell>
          <cell r="Z838">
            <v>9118</v>
          </cell>
          <cell r="AC838" t="str">
            <v>최재학계장, 기준중량변경(57-&gt;60)사용배율변경(62-&gt;68)</v>
          </cell>
          <cell r="AD838">
            <v>0.85</v>
          </cell>
          <cell r="AE838">
            <v>70</v>
          </cell>
          <cell r="AF838">
            <v>8</v>
          </cell>
        </row>
        <row r="839">
          <cell r="A839" t="str">
            <v>SNOW-PAD</v>
          </cell>
          <cell r="B839" t="str">
            <v>SET</v>
          </cell>
          <cell r="C839">
            <v>3</v>
          </cell>
          <cell r="D839">
            <v>90</v>
          </cell>
          <cell r="E839">
            <v>290</v>
          </cell>
          <cell r="F839">
            <v>58</v>
          </cell>
          <cell r="G839" t="str">
            <v>B240NS</v>
          </cell>
          <cell r="H839">
            <v>10</v>
          </cell>
          <cell r="I839">
            <v>2</v>
          </cell>
          <cell r="J839" t="str">
            <v>청호나이스</v>
          </cell>
          <cell r="K839">
            <v>98.5</v>
          </cell>
          <cell r="L839">
            <v>100.5</v>
          </cell>
          <cell r="M839">
            <v>98.5</v>
          </cell>
          <cell r="N839">
            <v>100.5</v>
          </cell>
          <cell r="O839">
            <v>1480</v>
          </cell>
          <cell r="P839">
            <v>1360</v>
          </cell>
          <cell r="Q839">
            <v>200</v>
          </cell>
          <cell r="R839" t="str">
            <v>보라</v>
          </cell>
          <cell r="S839" t="str">
            <v>보라</v>
          </cell>
          <cell r="T839" t="str">
            <v>SNOW-PAD,금형번호3874,62-0178-0/62-0179-0</v>
          </cell>
          <cell r="U839">
            <v>40857</v>
          </cell>
          <cell r="V839" t="str">
            <v>금형제조부</v>
          </cell>
          <cell r="W839" t="str">
            <v>L-62-0178-0/R-62-0179-0</v>
          </cell>
          <cell r="AC839" t="str">
            <v>석상준계장, 2011.11.30승인완료(320g-&gt;300g), 2012.01.03기준중량변경(300g-&gt;290g), 2012.02.28페인트작업 2013.11.20 묶음단위변경(10-&gt;20)</v>
          </cell>
          <cell r="AD839">
            <v>0.85</v>
          </cell>
          <cell r="AF839">
            <v>4</v>
          </cell>
        </row>
        <row r="840">
          <cell r="A840" t="str">
            <v>SNIPE-PLATINUM</v>
          </cell>
          <cell r="B840" t="str">
            <v>SET</v>
          </cell>
          <cell r="C840">
            <v>2</v>
          </cell>
          <cell r="D840">
            <v>100</v>
          </cell>
          <cell r="E840">
            <v>496</v>
          </cell>
          <cell r="F840">
            <v>58</v>
          </cell>
          <cell r="G840" t="str">
            <v>B240NS</v>
          </cell>
          <cell r="H840">
            <v>4</v>
          </cell>
          <cell r="I840">
            <v>2</v>
          </cell>
          <cell r="J840" t="str">
            <v>아이두잇</v>
          </cell>
          <cell r="K840">
            <v>106.6</v>
          </cell>
          <cell r="L840">
            <v>110.6</v>
          </cell>
          <cell r="M840">
            <v>149.4</v>
          </cell>
          <cell r="N840">
            <v>153.4</v>
          </cell>
          <cell r="P840">
            <v>1360</v>
          </cell>
          <cell r="Q840">
            <v>300</v>
          </cell>
          <cell r="R840" t="str">
            <v>노랑</v>
          </cell>
          <cell r="S840" t="str">
            <v>노랑</v>
          </cell>
          <cell r="U840">
            <v>44292</v>
          </cell>
          <cell r="V840" t="str">
            <v>금형사업부</v>
          </cell>
          <cell r="Y840">
            <v>50</v>
          </cell>
          <cell r="Z840">
            <v>24799</v>
          </cell>
          <cell r="AC840" t="str">
            <v>석상준과장, 2021.07.12 코팅</v>
          </cell>
          <cell r="AD840">
            <v>0.85</v>
          </cell>
          <cell r="AF840">
            <v>6</v>
          </cell>
        </row>
        <row r="841">
          <cell r="A841" t="str">
            <v>SNIPE-HANDY</v>
          </cell>
          <cell r="B841" t="str">
            <v>SET</v>
          </cell>
          <cell r="C841">
            <v>4</v>
          </cell>
          <cell r="D841">
            <v>100</v>
          </cell>
          <cell r="E841">
            <v>415</v>
          </cell>
          <cell r="F841">
            <v>65</v>
          </cell>
          <cell r="G841" t="str">
            <v>B240NS</v>
          </cell>
          <cell r="H841">
            <v>5</v>
          </cell>
          <cell r="I841">
            <v>1</v>
          </cell>
          <cell r="J841" t="str">
            <v>아이두잇</v>
          </cell>
          <cell r="K841">
            <v>203</v>
          </cell>
          <cell r="L841">
            <v>207</v>
          </cell>
          <cell r="P841">
            <v>1360</v>
          </cell>
          <cell r="Q841">
            <v>300</v>
          </cell>
          <cell r="R841" t="str">
            <v>오렌지</v>
          </cell>
          <cell r="U841">
            <v>43434</v>
          </cell>
          <cell r="V841" t="str">
            <v>금형제조부</v>
          </cell>
          <cell r="W841" t="str">
            <v>소자, 건조2번</v>
          </cell>
          <cell r="Y841">
            <v>50</v>
          </cell>
          <cell r="Z841">
            <v>20770</v>
          </cell>
          <cell r="AD841">
            <v>0.85</v>
          </cell>
          <cell r="AE841">
            <v>90</v>
          </cell>
          <cell r="AF841">
            <v>4</v>
          </cell>
        </row>
        <row r="842">
          <cell r="A842" t="str">
            <v>SNIPE-DOME</v>
          </cell>
          <cell r="B842" t="str">
            <v>SET</v>
          </cell>
          <cell r="C842">
            <v>1</v>
          </cell>
          <cell r="D842">
            <v>100</v>
          </cell>
          <cell r="E842">
            <v>1001</v>
          </cell>
          <cell r="F842">
            <v>58</v>
          </cell>
          <cell r="G842" t="str">
            <v>B240NS</v>
          </cell>
          <cell r="H842">
            <v>2</v>
          </cell>
          <cell r="I842">
            <v>1</v>
          </cell>
          <cell r="J842" t="str">
            <v>아이두잇</v>
          </cell>
          <cell r="K842">
            <v>346</v>
          </cell>
          <cell r="L842">
            <v>350</v>
          </cell>
          <cell r="P842">
            <v>1360</v>
          </cell>
          <cell r="Q842">
            <v>450</v>
          </cell>
          <cell r="R842" t="str">
            <v>녹색</v>
          </cell>
          <cell r="S842" t="str">
            <v>녹색</v>
          </cell>
          <cell r="U842">
            <v>44223</v>
          </cell>
          <cell r="V842" t="str">
            <v>금형사업부</v>
          </cell>
          <cell r="Y842">
            <v>50</v>
          </cell>
          <cell r="Z842">
            <v>50027</v>
          </cell>
          <cell r="AC842" t="str">
            <v>석상준과장</v>
          </cell>
          <cell r="AD842">
            <v>0.85</v>
          </cell>
          <cell r="AF842">
            <v>6</v>
          </cell>
        </row>
        <row r="843">
          <cell r="A843" t="str">
            <v>SNIPE4</v>
          </cell>
          <cell r="B843" t="str">
            <v>SET</v>
          </cell>
          <cell r="C843">
            <v>2</v>
          </cell>
          <cell r="D843">
            <v>100</v>
          </cell>
          <cell r="E843">
            <v>411</v>
          </cell>
          <cell r="F843">
            <v>70</v>
          </cell>
          <cell r="G843" t="str">
            <v>B240NS</v>
          </cell>
          <cell r="H843">
            <v>4</v>
          </cell>
          <cell r="I843">
            <v>2</v>
          </cell>
          <cell r="J843" t="str">
            <v>아이두잇</v>
          </cell>
          <cell r="K843">
            <v>173</v>
          </cell>
          <cell r="L843">
            <v>177</v>
          </cell>
          <cell r="M843">
            <v>149.4</v>
          </cell>
          <cell r="N843">
            <v>153.4</v>
          </cell>
          <cell r="P843">
            <v>1360</v>
          </cell>
          <cell r="Q843">
            <v>250</v>
          </cell>
          <cell r="R843" t="str">
            <v>파랑</v>
          </cell>
          <cell r="U843">
            <v>43864</v>
          </cell>
          <cell r="V843" t="str">
            <v>금형제조부</v>
          </cell>
          <cell r="W843" t="str">
            <v>꺼꾸로 조립</v>
          </cell>
          <cell r="Y843">
            <v>60</v>
          </cell>
          <cell r="Z843">
            <v>24684</v>
          </cell>
          <cell r="AC843" t="str">
            <v>석상준과장, 2020.05.08코팅 및 BURR수리</v>
          </cell>
          <cell r="AD843">
            <v>0.85</v>
          </cell>
          <cell r="AF843">
            <v>6</v>
          </cell>
        </row>
        <row r="844">
          <cell r="A844" t="str">
            <v>SMIC-BOX#2</v>
          </cell>
          <cell r="B844" t="str">
            <v>SET</v>
          </cell>
          <cell r="C844">
            <v>2</v>
          </cell>
          <cell r="D844">
            <v>80</v>
          </cell>
          <cell r="E844">
            <v>457</v>
          </cell>
          <cell r="F844">
            <v>50</v>
          </cell>
          <cell r="G844" t="str">
            <v>B240NS</v>
          </cell>
          <cell r="H844">
            <v>4</v>
          </cell>
          <cell r="I844">
            <v>2</v>
          </cell>
          <cell r="J844" t="str">
            <v>SMT KOREA</v>
          </cell>
          <cell r="K844">
            <v>33</v>
          </cell>
          <cell r="L844">
            <v>40</v>
          </cell>
          <cell r="M844">
            <v>202</v>
          </cell>
          <cell r="N844">
            <v>206</v>
          </cell>
          <cell r="O844">
            <v>2600</v>
          </cell>
          <cell r="P844">
            <v>1360</v>
          </cell>
          <cell r="Q844">
            <v>300</v>
          </cell>
          <cell r="R844" t="str">
            <v>빨강</v>
          </cell>
          <cell r="S844" t="str">
            <v>빨강</v>
          </cell>
          <cell r="T844" t="str">
            <v>SMICBOX#2</v>
          </cell>
          <cell r="U844">
            <v>45019</v>
          </cell>
          <cell r="V844" t="str">
            <v>금형사업부</v>
          </cell>
          <cell r="AD844">
            <v>0.85</v>
          </cell>
          <cell r="AF844">
            <v>12</v>
          </cell>
        </row>
        <row r="845">
          <cell r="A845" t="str">
            <v>SMIC-BOX#2</v>
          </cell>
          <cell r="B845" t="str">
            <v>SET</v>
          </cell>
          <cell r="C845">
            <v>2</v>
          </cell>
          <cell r="D845">
            <v>80</v>
          </cell>
          <cell r="E845">
            <v>457</v>
          </cell>
          <cell r="F845">
            <v>50</v>
          </cell>
          <cell r="G845" t="str">
            <v>B240NS</v>
          </cell>
          <cell r="H845">
            <v>4</v>
          </cell>
          <cell r="I845">
            <v>2</v>
          </cell>
          <cell r="J845" t="str">
            <v>SMT KOREA</v>
          </cell>
          <cell r="K845">
            <v>33</v>
          </cell>
          <cell r="L845">
            <v>40</v>
          </cell>
          <cell r="M845">
            <v>202</v>
          </cell>
          <cell r="N845">
            <v>206</v>
          </cell>
          <cell r="O845">
            <v>2600</v>
          </cell>
          <cell r="P845">
            <v>1360</v>
          </cell>
          <cell r="Q845">
            <v>300</v>
          </cell>
          <cell r="R845" t="str">
            <v>빨강</v>
          </cell>
          <cell r="S845" t="str">
            <v>빨강</v>
          </cell>
          <cell r="T845" t="str">
            <v>SMICBOX#2</v>
          </cell>
          <cell r="U845">
            <v>45019</v>
          </cell>
          <cell r="V845" t="str">
            <v>금형사업부</v>
          </cell>
          <cell r="AD845">
            <v>0.85</v>
          </cell>
        </row>
        <row r="846">
          <cell r="A846" t="str">
            <v>SMIC-BOX</v>
          </cell>
          <cell r="B846" t="str">
            <v>SET</v>
          </cell>
          <cell r="C846">
            <v>2</v>
          </cell>
          <cell r="D846">
            <v>80</v>
          </cell>
          <cell r="E846">
            <v>457</v>
          </cell>
          <cell r="F846">
            <v>50</v>
          </cell>
          <cell r="G846" t="str">
            <v>B240NS</v>
          </cell>
          <cell r="H846">
            <v>4</v>
          </cell>
          <cell r="I846">
            <v>2</v>
          </cell>
          <cell r="J846" t="str">
            <v>SMT KOREA</v>
          </cell>
          <cell r="K846">
            <v>33</v>
          </cell>
          <cell r="L846">
            <v>40</v>
          </cell>
          <cell r="M846">
            <v>202</v>
          </cell>
          <cell r="N846">
            <v>206</v>
          </cell>
          <cell r="O846">
            <v>2600</v>
          </cell>
          <cell r="P846">
            <v>1300</v>
          </cell>
          <cell r="Q846">
            <v>300</v>
          </cell>
          <cell r="R846" t="str">
            <v>빨강</v>
          </cell>
          <cell r="S846" t="str">
            <v>빨강</v>
          </cell>
          <cell r="T846" t="str">
            <v>SMICBOX#2</v>
          </cell>
          <cell r="U846">
            <v>38799</v>
          </cell>
          <cell r="V846" t="str">
            <v>삼일금형</v>
          </cell>
          <cell r="W846" t="str">
            <v>배율 53배--&gt;48배 확인(190220)</v>
          </cell>
          <cell r="X846" t="str">
            <v>D-0204</v>
          </cell>
          <cell r="AC846" t="str">
            <v>2*2</v>
          </cell>
          <cell r="AD846">
            <v>0.85</v>
          </cell>
          <cell r="AE846">
            <v>80</v>
          </cell>
          <cell r="AF846">
            <v>1</v>
          </cell>
        </row>
        <row r="847">
          <cell r="A847" t="str">
            <v>SMIC3</v>
          </cell>
          <cell r="B847" t="str">
            <v>SET</v>
          </cell>
          <cell r="C847">
            <v>2</v>
          </cell>
          <cell r="D847">
            <v>90</v>
          </cell>
          <cell r="E847">
            <v>490</v>
          </cell>
          <cell r="F847">
            <v>50</v>
          </cell>
          <cell r="G847" t="str">
            <v>B240NS</v>
          </cell>
          <cell r="H847">
            <v>8</v>
          </cell>
          <cell r="I847">
            <v>2</v>
          </cell>
          <cell r="J847" t="str">
            <v>SMIC</v>
          </cell>
          <cell r="K847">
            <v>38</v>
          </cell>
          <cell r="L847">
            <v>42</v>
          </cell>
          <cell r="M847">
            <v>208</v>
          </cell>
          <cell r="N847">
            <v>214</v>
          </cell>
          <cell r="O847">
            <v>2800</v>
          </cell>
          <cell r="P847">
            <v>1300</v>
          </cell>
          <cell r="Q847">
            <v>300</v>
          </cell>
          <cell r="R847" t="str">
            <v>검정</v>
          </cell>
          <cell r="S847" t="str">
            <v>검정</v>
          </cell>
          <cell r="T847" t="str">
            <v>SMIC#3</v>
          </cell>
          <cell r="U847">
            <v>39850</v>
          </cell>
          <cell r="V847" t="str">
            <v>삼일금형</v>
          </cell>
          <cell r="W847" t="str">
            <v>각인없음, 초물중량/건조중량 확인(배율변경)</v>
          </cell>
          <cell r="X847" t="str">
            <v>A-1103</v>
          </cell>
          <cell r="AC847" t="str">
            <v>2009.09.23 코아교체, 2009.10.06승인완료, 181116 배율 변경(53배 --&gt;48배)</v>
          </cell>
          <cell r="AD847">
            <v>0.85</v>
          </cell>
          <cell r="AE847">
            <v>85</v>
          </cell>
          <cell r="AF847">
            <v>8</v>
          </cell>
        </row>
        <row r="848">
          <cell r="A848" t="str">
            <v>SMCST</v>
          </cell>
          <cell r="B848" t="str">
            <v>SET</v>
          </cell>
          <cell r="C848">
            <v>8</v>
          </cell>
          <cell r="D848">
            <v>100</v>
          </cell>
          <cell r="E848">
            <v>69</v>
          </cell>
          <cell r="F848">
            <v>50</v>
          </cell>
          <cell r="G848" t="str">
            <v>SG400ASN</v>
          </cell>
          <cell r="I848">
            <v>1</v>
          </cell>
          <cell r="J848" t="str">
            <v>에이텍에이피</v>
          </cell>
          <cell r="P848">
            <v>1360</v>
          </cell>
          <cell r="Q848">
            <v>200</v>
          </cell>
          <cell r="U848">
            <v>43725</v>
          </cell>
          <cell r="V848" t="str">
            <v>보령금형</v>
          </cell>
          <cell r="W848" t="str">
            <v>롯데 SG400ASN 원료사용,리브충진확인!</v>
          </cell>
          <cell r="Y848">
            <v>40</v>
          </cell>
          <cell r="Z848">
            <v>2731</v>
          </cell>
          <cell r="AD848">
            <v>0.85</v>
          </cell>
          <cell r="AE848">
            <v>100</v>
          </cell>
          <cell r="AF848">
            <v>8</v>
          </cell>
        </row>
        <row r="849">
          <cell r="A849" t="str">
            <v>SLIMA/B</v>
          </cell>
          <cell r="B849" t="str">
            <v>SET</v>
          </cell>
          <cell r="C849">
            <v>6</v>
          </cell>
          <cell r="D849">
            <v>60</v>
          </cell>
          <cell r="E849">
            <v>75</v>
          </cell>
          <cell r="F849">
            <v>50</v>
          </cell>
          <cell r="G849" t="str">
            <v>B240NS</v>
          </cell>
          <cell r="H849">
            <v>24</v>
          </cell>
          <cell r="I849">
            <v>2</v>
          </cell>
          <cell r="J849" t="str">
            <v>릴테크</v>
          </cell>
          <cell r="K849">
            <v>56.3</v>
          </cell>
          <cell r="L849">
            <v>28.5</v>
          </cell>
          <cell r="O849">
            <v>530</v>
          </cell>
          <cell r="P849">
            <v>1300</v>
          </cell>
          <cell r="Q849">
            <v>150</v>
          </cell>
          <cell r="R849" t="str">
            <v>파랑</v>
          </cell>
          <cell r="S849" t="str">
            <v>파랑</v>
          </cell>
          <cell r="T849" t="str">
            <v>SLIM-PLATE-A/B(슬림A/B)</v>
          </cell>
          <cell r="U849">
            <v>39774</v>
          </cell>
          <cell r="V849" t="str">
            <v>삼일금형</v>
          </cell>
          <cell r="X849" t="str">
            <v>계양리 C-3</v>
          </cell>
          <cell r="AC849" t="str">
            <v>조</v>
          </cell>
          <cell r="AD849">
            <v>0.85</v>
          </cell>
          <cell r="AE849">
            <v>60</v>
          </cell>
          <cell r="AF849">
            <v>16</v>
          </cell>
        </row>
        <row r="850">
          <cell r="A850" t="str">
            <v>SLH</v>
          </cell>
          <cell r="B850" t="str">
            <v>SET</v>
          </cell>
          <cell r="C850">
            <v>2</v>
          </cell>
          <cell r="D850">
            <v>65</v>
          </cell>
          <cell r="E850">
            <v>205</v>
          </cell>
          <cell r="F850">
            <v>74</v>
          </cell>
          <cell r="G850" t="str">
            <v>B240NS</v>
          </cell>
          <cell r="H850">
            <v>10</v>
          </cell>
          <cell r="I850">
            <v>1</v>
          </cell>
          <cell r="J850" t="str">
            <v>하츠</v>
          </cell>
          <cell r="K850">
            <v>88</v>
          </cell>
          <cell r="L850">
            <v>92</v>
          </cell>
          <cell r="O850">
            <v>10</v>
          </cell>
          <cell r="P850">
            <v>1360</v>
          </cell>
          <cell r="Q850">
            <v>200</v>
          </cell>
          <cell r="R850" t="str">
            <v>노랑</v>
          </cell>
          <cell r="S850" t="str">
            <v>노랑</v>
          </cell>
          <cell r="U850">
            <v>43644</v>
          </cell>
          <cell r="V850" t="str">
            <v>하츠이동입고</v>
          </cell>
          <cell r="W850" t="str">
            <v>74배 초물중량(240g 내외)</v>
          </cell>
          <cell r="Y850">
            <v>50</v>
          </cell>
          <cell r="AC850" t="str">
            <v>인천EPS에서 이관 190628</v>
          </cell>
          <cell r="AD850">
            <v>0.83</v>
          </cell>
          <cell r="AE850">
            <v>70</v>
          </cell>
          <cell r="AF850">
            <v>0</v>
          </cell>
        </row>
        <row r="851">
          <cell r="A851" t="str">
            <v>SL4238ML-L2</v>
          </cell>
          <cell r="B851" t="str">
            <v>SET</v>
          </cell>
          <cell r="C851">
            <v>2</v>
          </cell>
          <cell r="D851">
            <v>100</v>
          </cell>
          <cell r="E851">
            <v>1088</v>
          </cell>
          <cell r="F851">
            <v>53</v>
          </cell>
          <cell r="G851" t="str">
            <v>B240NS</v>
          </cell>
          <cell r="H851">
            <v>1</v>
          </cell>
          <cell r="I851">
            <v>1</v>
          </cell>
          <cell r="J851" t="str">
            <v>STI</v>
          </cell>
          <cell r="K851">
            <v>202</v>
          </cell>
          <cell r="L851">
            <v>206</v>
          </cell>
          <cell r="O851">
            <v>8250</v>
          </cell>
          <cell r="P851">
            <v>1360</v>
          </cell>
          <cell r="Q851">
            <v>300</v>
          </cell>
          <cell r="R851" t="str">
            <v>보라</v>
          </cell>
          <cell r="S851" t="str">
            <v>보라</v>
          </cell>
          <cell r="T851" t="str">
            <v>SL4238ML-L2</v>
          </cell>
          <cell r="U851">
            <v>41208</v>
          </cell>
          <cell r="V851" t="str">
            <v>금형제조부</v>
          </cell>
          <cell r="X851" t="str">
            <v>T-0807</v>
          </cell>
          <cell r="AC851" t="str">
            <v>김길영계장, 2019.8.9 기준중량(2176--&gt;1088g, 2*1--&gt;1*2로 변경)</v>
          </cell>
          <cell r="AD851">
            <v>0.85</v>
          </cell>
          <cell r="AE851">
            <v>100</v>
          </cell>
          <cell r="AF851">
            <v>4</v>
          </cell>
        </row>
        <row r="852">
          <cell r="A852" t="str">
            <v>SL-3229ML</v>
          </cell>
          <cell r="B852" t="str">
            <v>SET</v>
          </cell>
          <cell r="C852">
            <v>2</v>
          </cell>
          <cell r="D852">
            <v>97</v>
          </cell>
          <cell r="E852">
            <v>500</v>
          </cell>
          <cell r="F852">
            <v>50</v>
          </cell>
          <cell r="G852" t="str">
            <v>B240NS</v>
          </cell>
          <cell r="H852">
            <v>5</v>
          </cell>
          <cell r="I852">
            <v>1</v>
          </cell>
          <cell r="J852" t="str">
            <v>STI</v>
          </cell>
          <cell r="K852">
            <v>140</v>
          </cell>
          <cell r="L852">
            <v>142</v>
          </cell>
          <cell r="O852">
            <v>3200</v>
          </cell>
          <cell r="P852">
            <v>1360</v>
          </cell>
          <cell r="Q852">
            <v>250</v>
          </cell>
          <cell r="R852" t="str">
            <v>검정</v>
          </cell>
          <cell r="S852" t="str">
            <v>검정</v>
          </cell>
          <cell r="T852" t="str">
            <v>SL-3229ML</v>
          </cell>
          <cell r="U852">
            <v>41170</v>
          </cell>
          <cell r="V852" t="str">
            <v>금형제조부</v>
          </cell>
          <cell r="X852" t="str">
            <v>B-1407</v>
          </cell>
          <cell r="AC852" t="str">
            <v>장혁민사원, 2012.09.27수정 및 기준중량 변경(1000-&gt;500)</v>
          </cell>
          <cell r="AD852">
            <v>0.85</v>
          </cell>
          <cell r="AE852">
            <v>97</v>
          </cell>
          <cell r="AF852">
            <v>12</v>
          </cell>
        </row>
        <row r="853">
          <cell r="A853" t="str">
            <v>SL2220ML</v>
          </cell>
          <cell r="B853" t="str">
            <v>SET</v>
          </cell>
          <cell r="C853">
            <v>2</v>
          </cell>
          <cell r="D853">
            <v>110</v>
          </cell>
          <cell r="E853">
            <v>432</v>
          </cell>
          <cell r="F853">
            <v>53</v>
          </cell>
          <cell r="G853" t="str">
            <v>B240NS</v>
          </cell>
          <cell r="H853">
            <v>5</v>
          </cell>
          <cell r="I853">
            <v>2</v>
          </cell>
          <cell r="J853" t="str">
            <v>STI</v>
          </cell>
          <cell r="K853">
            <v>96.5</v>
          </cell>
          <cell r="L853">
            <v>98.5</v>
          </cell>
          <cell r="M853">
            <v>96.5</v>
          </cell>
          <cell r="N853">
            <v>98.5</v>
          </cell>
          <cell r="O853">
            <v>2300</v>
          </cell>
          <cell r="P853">
            <v>1360</v>
          </cell>
          <cell r="Q853">
            <v>200</v>
          </cell>
          <cell r="R853" t="str">
            <v>흰색</v>
          </cell>
          <cell r="S853" t="str">
            <v>흰색</v>
          </cell>
          <cell r="T853" t="str">
            <v>SL2220ML</v>
          </cell>
          <cell r="U853">
            <v>40758</v>
          </cell>
          <cell r="V853" t="str">
            <v>금형제조부</v>
          </cell>
          <cell r="AC853" t="str">
            <v>2011.09.15승인완료</v>
          </cell>
          <cell r="AD853">
            <v>0.85</v>
          </cell>
          <cell r="AE853">
            <v>100</v>
          </cell>
          <cell r="AF853">
            <v>4</v>
          </cell>
        </row>
        <row r="854">
          <cell r="A854" t="str">
            <v>SKYLINE#2</v>
          </cell>
          <cell r="B854" t="str">
            <v>저발</v>
          </cell>
          <cell r="C854">
            <v>1</v>
          </cell>
          <cell r="D854">
            <v>500</v>
          </cell>
          <cell r="E854">
            <v>1200</v>
          </cell>
          <cell r="F854">
            <v>15</v>
          </cell>
          <cell r="G854" t="str">
            <v>B240NS</v>
          </cell>
          <cell r="H854">
            <v>8</v>
          </cell>
          <cell r="I854">
            <v>1</v>
          </cell>
          <cell r="J854" t="str">
            <v>RPGKOREA</v>
          </cell>
          <cell r="K854">
            <v>103</v>
          </cell>
          <cell r="L854">
            <v>107</v>
          </cell>
          <cell r="O854">
            <v>11000</v>
          </cell>
          <cell r="P854">
            <v>700</v>
          </cell>
          <cell r="R854" t="str">
            <v>박스</v>
          </cell>
          <cell r="S854" t="str">
            <v>박스</v>
          </cell>
          <cell r="T854" t="str">
            <v>SKY-LINE#2</v>
          </cell>
          <cell r="U854">
            <v>37845</v>
          </cell>
          <cell r="V854" t="str">
            <v>삼일금형</v>
          </cell>
          <cell r="W854" t="str">
            <v>1박스에 8개 포장</v>
          </cell>
          <cell r="AC854" t="str">
            <v>신작,2015.04.10 업체명 크라텍에서 RPGKOREA로 변경 재입고 / 18.01.19 금형코팅 및 점검 입고</v>
          </cell>
          <cell r="AD854">
            <v>0.9</v>
          </cell>
          <cell r="AE854">
            <v>500</v>
          </cell>
          <cell r="AF854">
            <v>3</v>
          </cell>
        </row>
        <row r="855">
          <cell r="A855" t="str">
            <v>SKYLINE</v>
          </cell>
          <cell r="B855" t="str">
            <v>저발</v>
          </cell>
          <cell r="C855">
            <v>1</v>
          </cell>
          <cell r="D855">
            <v>500</v>
          </cell>
          <cell r="E855">
            <v>1200</v>
          </cell>
          <cell r="F855">
            <v>15</v>
          </cell>
          <cell r="G855" t="str">
            <v>B240NS</v>
          </cell>
          <cell r="H855">
            <v>5</v>
          </cell>
          <cell r="I855">
            <v>1</v>
          </cell>
          <cell r="J855" t="str">
            <v>RPGKOREA</v>
          </cell>
          <cell r="K855">
            <v>104</v>
          </cell>
          <cell r="L855">
            <v>108</v>
          </cell>
          <cell r="O855">
            <v>8200</v>
          </cell>
          <cell r="P855">
            <v>700</v>
          </cell>
          <cell r="S855">
            <v>0</v>
          </cell>
          <cell r="U855">
            <v>42104</v>
          </cell>
          <cell r="W855" t="str">
            <v>SKY-LINE , 양산불가(후판휨)</v>
          </cell>
          <cell r="Y855" t="str">
            <v>크라탴</v>
          </cell>
          <cell r="AC855" t="str">
            <v>2014.04.10입고(이동측)</v>
          </cell>
          <cell r="AD855">
            <v>0.9</v>
          </cell>
          <cell r="AE855">
            <v>500</v>
          </cell>
          <cell r="AF855">
            <v>4</v>
          </cell>
        </row>
        <row r="856">
          <cell r="A856" t="str">
            <v>SKIN-대</v>
          </cell>
          <cell r="B856" t="str">
            <v>SET</v>
          </cell>
          <cell r="C856">
            <v>2</v>
          </cell>
          <cell r="D856">
            <v>100</v>
          </cell>
          <cell r="E856">
            <v>578</v>
          </cell>
          <cell r="F856">
            <v>50</v>
          </cell>
          <cell r="G856" t="str">
            <v>B240NS</v>
          </cell>
          <cell r="H856">
            <v>4</v>
          </cell>
          <cell r="I856">
            <v>2</v>
          </cell>
          <cell r="J856" t="str">
            <v>쓰리에스테크</v>
          </cell>
          <cell r="K856">
            <v>53</v>
          </cell>
          <cell r="L856">
            <v>57</v>
          </cell>
          <cell r="M856">
            <v>225</v>
          </cell>
          <cell r="N856">
            <v>229</v>
          </cell>
          <cell r="O856">
            <v>11000</v>
          </cell>
          <cell r="P856">
            <v>1360</v>
          </cell>
          <cell r="Q856">
            <v>350</v>
          </cell>
          <cell r="R856" t="str">
            <v>비닐</v>
          </cell>
          <cell r="S856" t="str">
            <v>비닐</v>
          </cell>
          <cell r="U856">
            <v>43789</v>
          </cell>
          <cell r="V856" t="str">
            <v>세일하이테크</v>
          </cell>
          <cell r="Y856">
            <v>36</v>
          </cell>
          <cell r="AC856" t="str">
            <v>2020.03.13 개조입고, 2021.11.15 중량변경 678 &gt; 578 , 배율변경 36 &gt; 50 2021.11.15, CAVITY 추가 (1*2) → 2*2</v>
          </cell>
          <cell r="AD856">
            <v>0.85</v>
          </cell>
          <cell r="AE856">
            <v>100</v>
          </cell>
          <cell r="AF856">
            <v>6</v>
          </cell>
        </row>
        <row r="857">
          <cell r="A857" t="str">
            <v>SK200-BOT</v>
          </cell>
          <cell r="B857" t="str">
            <v>회색</v>
          </cell>
          <cell r="C857">
            <v>4</v>
          </cell>
          <cell r="D857">
            <v>180</v>
          </cell>
          <cell r="E857">
            <v>810</v>
          </cell>
          <cell r="F857">
            <v>40</v>
          </cell>
          <cell r="G857" t="str">
            <v>ZP2500</v>
          </cell>
          <cell r="H857">
            <v>3</v>
          </cell>
          <cell r="I857">
            <v>1</v>
          </cell>
          <cell r="J857" t="str">
            <v>㈜탭스</v>
          </cell>
          <cell r="K857">
            <v>404</v>
          </cell>
          <cell r="L857">
            <v>408</v>
          </cell>
          <cell r="O857">
            <v>5856</v>
          </cell>
          <cell r="P857">
            <v>1600</v>
          </cell>
          <cell r="Q857">
            <v>500</v>
          </cell>
          <cell r="R857" t="str">
            <v>파랑</v>
          </cell>
          <cell r="T857" t="str">
            <v>SK200 BODY</v>
          </cell>
          <cell r="U857">
            <v>45267</v>
          </cell>
          <cell r="V857" t="str">
            <v>대양이동입고</v>
          </cell>
          <cell r="W857" t="str">
            <v>SK200 외피 몸통</v>
          </cell>
          <cell r="AD857">
            <v>0.85</v>
          </cell>
        </row>
        <row r="858">
          <cell r="A858" t="str">
            <v>SK200-BOT</v>
          </cell>
          <cell r="B858" t="str">
            <v>BOX</v>
          </cell>
          <cell r="C858">
            <v>4</v>
          </cell>
          <cell r="D858">
            <v>180</v>
          </cell>
          <cell r="E858">
            <v>810</v>
          </cell>
          <cell r="F858">
            <v>40</v>
          </cell>
          <cell r="G858" t="str">
            <v>ZP2500</v>
          </cell>
          <cell r="H858">
            <v>3</v>
          </cell>
          <cell r="I858">
            <v>1</v>
          </cell>
          <cell r="J858" t="str">
            <v>㈜탭스</v>
          </cell>
          <cell r="K858">
            <v>404</v>
          </cell>
          <cell r="L858">
            <v>408</v>
          </cell>
          <cell r="O858">
            <v>5856</v>
          </cell>
          <cell r="P858">
            <v>1600</v>
          </cell>
          <cell r="Q858">
            <v>500</v>
          </cell>
          <cell r="R858" t="str">
            <v>파랑</v>
          </cell>
          <cell r="T858" t="str">
            <v>SK200 BODY</v>
          </cell>
          <cell r="U858">
            <v>45267</v>
          </cell>
          <cell r="V858" t="str">
            <v>대양이동입고</v>
          </cell>
          <cell r="W858" t="str">
            <v>SK200 외피 몸통</v>
          </cell>
          <cell r="AD858">
            <v>0.85</v>
          </cell>
        </row>
        <row r="859">
          <cell r="A859" t="str">
            <v>SK200-BOT</v>
          </cell>
          <cell r="B859" t="str">
            <v>BOX</v>
          </cell>
          <cell r="C859">
            <v>4</v>
          </cell>
          <cell r="D859">
            <v>180</v>
          </cell>
          <cell r="E859">
            <v>810</v>
          </cell>
          <cell r="F859">
            <v>40</v>
          </cell>
          <cell r="G859" t="str">
            <v>ZP2500</v>
          </cell>
          <cell r="H859">
            <v>3</v>
          </cell>
          <cell r="I859">
            <v>1</v>
          </cell>
          <cell r="J859" t="str">
            <v>㈜탭스</v>
          </cell>
          <cell r="K859">
            <v>404</v>
          </cell>
          <cell r="L859">
            <v>408</v>
          </cell>
          <cell r="O859">
            <v>5856</v>
          </cell>
          <cell r="P859">
            <v>1600</v>
          </cell>
          <cell r="Q859">
            <v>500</v>
          </cell>
          <cell r="R859" t="str">
            <v>파랑</v>
          </cell>
          <cell r="T859" t="str">
            <v>SK200 BODY</v>
          </cell>
          <cell r="U859">
            <v>45267</v>
          </cell>
          <cell r="V859" t="str">
            <v>대양이동입고</v>
          </cell>
          <cell r="W859" t="str">
            <v>SK200 외피 몸통</v>
          </cell>
          <cell r="AD859">
            <v>0.85</v>
          </cell>
        </row>
        <row r="860">
          <cell r="A860" t="str">
            <v>SK200-BOT</v>
          </cell>
          <cell r="B860" t="str">
            <v>BOX</v>
          </cell>
          <cell r="D860">
            <v>100</v>
          </cell>
          <cell r="E860">
            <v>980</v>
          </cell>
          <cell r="F860">
            <v>40</v>
          </cell>
          <cell r="G860" t="str">
            <v>ZP2500</v>
          </cell>
          <cell r="J860" t="str">
            <v>㈜탭스</v>
          </cell>
          <cell r="T860" t="str">
            <v>SK200 BODY</v>
          </cell>
          <cell r="U860">
            <v>45267</v>
          </cell>
          <cell r="V860" t="str">
            <v>대양이동입고</v>
          </cell>
          <cell r="W860" t="str">
            <v>SK200 외피 몸통</v>
          </cell>
          <cell r="AD860">
            <v>0.85</v>
          </cell>
        </row>
        <row r="861">
          <cell r="A861" t="str">
            <v>SK200 Full-TOP</v>
          </cell>
          <cell r="B861" t="str">
            <v>회색</v>
          </cell>
          <cell r="C861">
            <v>2</v>
          </cell>
          <cell r="D861">
            <v>130</v>
          </cell>
          <cell r="E861">
            <v>470</v>
          </cell>
          <cell r="F861">
            <v>40</v>
          </cell>
          <cell r="G861" t="str">
            <v>ZP2500</v>
          </cell>
          <cell r="H861" t="str">
            <v>TOP1:10/TOP2:20</v>
          </cell>
          <cell r="I861">
            <v>2</v>
          </cell>
          <cell r="J861" t="str">
            <v>㈜탭스</v>
          </cell>
          <cell r="O861">
            <v>2113</v>
          </cell>
          <cell r="P861">
            <v>1600</v>
          </cell>
          <cell r="Q861">
            <v>200</v>
          </cell>
          <cell r="R861" t="str">
            <v>파랑</v>
          </cell>
          <cell r="T861" t="str">
            <v>SK200 TOP</v>
          </cell>
          <cell r="U861">
            <v>45267</v>
          </cell>
          <cell r="V861" t="str">
            <v>대양이동입고</v>
          </cell>
          <cell r="W861" t="str">
            <v>SK200 뚜껑</v>
          </cell>
          <cell r="AD861">
            <v>0.85</v>
          </cell>
        </row>
        <row r="862">
          <cell r="A862" t="str">
            <v>SK200 Full-TOP</v>
          </cell>
          <cell r="B862" t="str">
            <v>BOX</v>
          </cell>
          <cell r="C862">
            <v>2</v>
          </cell>
          <cell r="D862">
            <v>130</v>
          </cell>
          <cell r="E862">
            <v>470</v>
          </cell>
          <cell r="F862">
            <v>40</v>
          </cell>
          <cell r="G862" t="str">
            <v>ZP2500</v>
          </cell>
          <cell r="H862" t="str">
            <v>TOP1:10/TOP2:20</v>
          </cell>
          <cell r="I862">
            <v>2</v>
          </cell>
          <cell r="J862" t="str">
            <v>㈜탭스</v>
          </cell>
          <cell r="O862">
            <v>2113</v>
          </cell>
          <cell r="P862">
            <v>1600</v>
          </cell>
          <cell r="Q862">
            <v>200</v>
          </cell>
          <cell r="R862" t="str">
            <v>파랑</v>
          </cell>
          <cell r="T862" t="str">
            <v>SK200 TOP</v>
          </cell>
          <cell r="U862">
            <v>45267</v>
          </cell>
          <cell r="V862" t="str">
            <v>대양이동입고</v>
          </cell>
          <cell r="W862" t="str">
            <v>SK200 뚜껑</v>
          </cell>
          <cell r="AD862">
            <v>0.85</v>
          </cell>
        </row>
        <row r="863">
          <cell r="A863" t="str">
            <v>SK200 Full-TOP</v>
          </cell>
          <cell r="B863" t="str">
            <v>BOX</v>
          </cell>
          <cell r="C863">
            <v>2</v>
          </cell>
          <cell r="D863">
            <v>130</v>
          </cell>
          <cell r="E863">
            <v>470</v>
          </cell>
          <cell r="F863">
            <v>40</v>
          </cell>
          <cell r="G863" t="str">
            <v>ZP2500</v>
          </cell>
          <cell r="H863" t="str">
            <v>TOP1:10/TOP2:20</v>
          </cell>
          <cell r="I863">
            <v>2</v>
          </cell>
          <cell r="J863" t="str">
            <v>㈜탭스</v>
          </cell>
          <cell r="O863">
            <v>2113</v>
          </cell>
          <cell r="P863">
            <v>1600</v>
          </cell>
          <cell r="Q863">
            <v>200</v>
          </cell>
          <cell r="R863" t="str">
            <v>파랑</v>
          </cell>
          <cell r="T863" t="str">
            <v>SK200 TOP</v>
          </cell>
          <cell r="U863">
            <v>45267</v>
          </cell>
          <cell r="V863" t="str">
            <v>대양이동입고</v>
          </cell>
          <cell r="W863" t="str">
            <v>SK200 뚜껑</v>
          </cell>
          <cell r="AD863">
            <v>0.85</v>
          </cell>
        </row>
        <row r="864">
          <cell r="A864" t="str">
            <v>SK200 Full-TOP</v>
          </cell>
          <cell r="B864" t="str">
            <v>BOX</v>
          </cell>
          <cell r="D864">
            <v>100</v>
          </cell>
          <cell r="E864">
            <v>476</v>
          </cell>
          <cell r="F864">
            <v>40</v>
          </cell>
          <cell r="G864" t="str">
            <v>ZP2500</v>
          </cell>
          <cell r="J864" t="str">
            <v>㈜탭스</v>
          </cell>
          <cell r="T864" t="str">
            <v>SK200 TOP</v>
          </cell>
          <cell r="U864">
            <v>45267</v>
          </cell>
          <cell r="V864" t="str">
            <v>대양이동입고</v>
          </cell>
          <cell r="W864" t="str">
            <v>SK200 뚜껑</v>
          </cell>
          <cell r="AD864">
            <v>0.85</v>
          </cell>
        </row>
        <row r="865">
          <cell r="A865" t="str">
            <v>SK200 Full-BOT</v>
          </cell>
          <cell r="B865" t="str">
            <v>회색</v>
          </cell>
          <cell r="C865">
            <v>6</v>
          </cell>
          <cell r="D865">
            <v>180</v>
          </cell>
          <cell r="E865">
            <v>200</v>
          </cell>
          <cell r="F865">
            <v>40</v>
          </cell>
          <cell r="G865" t="str">
            <v>ZP2500</v>
          </cell>
          <cell r="H865">
            <v>12</v>
          </cell>
          <cell r="I865">
            <v>1</v>
          </cell>
          <cell r="J865" t="str">
            <v>㈜탭스</v>
          </cell>
          <cell r="K865">
            <v>295</v>
          </cell>
          <cell r="L865">
            <v>299</v>
          </cell>
          <cell r="O865">
            <v>2196</v>
          </cell>
          <cell r="P865">
            <v>1600</v>
          </cell>
          <cell r="Q865">
            <v>400</v>
          </cell>
          <cell r="R865" t="str">
            <v>파랑</v>
          </cell>
          <cell r="T865" t="str">
            <v>SK200 INNER</v>
          </cell>
          <cell r="U865">
            <v>45267</v>
          </cell>
          <cell r="V865" t="str">
            <v>대양이동입고</v>
          </cell>
          <cell r="W865" t="str">
            <v>SK200 내피몸통</v>
          </cell>
          <cell r="AD865">
            <v>0.85</v>
          </cell>
        </row>
        <row r="866">
          <cell r="A866" t="str">
            <v>SK200 Full-BOT</v>
          </cell>
          <cell r="B866" t="str">
            <v>BOX</v>
          </cell>
          <cell r="C866">
            <v>6</v>
          </cell>
          <cell r="D866">
            <v>180</v>
          </cell>
          <cell r="E866">
            <v>200</v>
          </cell>
          <cell r="F866">
            <v>40</v>
          </cell>
          <cell r="G866" t="str">
            <v>ZP2500</v>
          </cell>
          <cell r="H866">
            <v>12</v>
          </cell>
          <cell r="I866">
            <v>1</v>
          </cell>
          <cell r="J866" t="str">
            <v>㈜탭스</v>
          </cell>
          <cell r="K866">
            <v>295</v>
          </cell>
          <cell r="L866">
            <v>299</v>
          </cell>
          <cell r="O866">
            <v>2196</v>
          </cell>
          <cell r="P866">
            <v>1600</v>
          </cell>
          <cell r="Q866">
            <v>400</v>
          </cell>
          <cell r="R866" t="str">
            <v>파랑</v>
          </cell>
          <cell r="T866" t="str">
            <v>SK200 INNER</v>
          </cell>
          <cell r="U866">
            <v>45267</v>
          </cell>
          <cell r="V866" t="str">
            <v>대양이동입고</v>
          </cell>
          <cell r="W866" t="str">
            <v>SK200 내피몸통</v>
          </cell>
          <cell r="AD866">
            <v>0.85</v>
          </cell>
        </row>
        <row r="867">
          <cell r="A867" t="str">
            <v>SK200 Full-BOT</v>
          </cell>
          <cell r="B867" t="str">
            <v>BOX</v>
          </cell>
          <cell r="C867">
            <v>6</v>
          </cell>
          <cell r="D867">
            <v>180</v>
          </cell>
          <cell r="E867">
            <v>200</v>
          </cell>
          <cell r="F867">
            <v>40</v>
          </cell>
          <cell r="G867" t="str">
            <v>ZP2500</v>
          </cell>
          <cell r="H867">
            <v>12</v>
          </cell>
          <cell r="I867">
            <v>1</v>
          </cell>
          <cell r="J867" t="str">
            <v>㈜탭스</v>
          </cell>
          <cell r="K867">
            <v>295</v>
          </cell>
          <cell r="L867">
            <v>299</v>
          </cell>
          <cell r="O867">
            <v>2196</v>
          </cell>
          <cell r="P867">
            <v>1600</v>
          </cell>
          <cell r="Q867">
            <v>400</v>
          </cell>
          <cell r="R867" t="str">
            <v>파랑</v>
          </cell>
          <cell r="T867" t="str">
            <v>SK200 INNER</v>
          </cell>
          <cell r="U867">
            <v>45267</v>
          </cell>
          <cell r="V867" t="str">
            <v>대양이동입고</v>
          </cell>
          <cell r="W867" t="str">
            <v>SK200 내피몸통</v>
          </cell>
          <cell r="AD867">
            <v>0.85</v>
          </cell>
        </row>
        <row r="868">
          <cell r="A868" t="str">
            <v>SK200 Full-BOT</v>
          </cell>
          <cell r="B868" t="str">
            <v>BOX</v>
          </cell>
          <cell r="D868">
            <v>100</v>
          </cell>
          <cell r="E868">
            <v>410</v>
          </cell>
          <cell r="F868">
            <v>40</v>
          </cell>
          <cell r="G868" t="str">
            <v>ZP2500</v>
          </cell>
          <cell r="J868" t="str">
            <v>㈜탭스</v>
          </cell>
          <cell r="T868" t="str">
            <v>SK200 INNER</v>
          </cell>
          <cell r="U868">
            <v>45267</v>
          </cell>
          <cell r="V868" t="str">
            <v>대양이동입고</v>
          </cell>
          <cell r="W868" t="str">
            <v>SK200 내피몸통</v>
          </cell>
          <cell r="AD868">
            <v>0.85</v>
          </cell>
        </row>
        <row r="869">
          <cell r="A869" t="str">
            <v>SK100 Full-TOP</v>
          </cell>
          <cell r="B869" t="str">
            <v>회색</v>
          </cell>
          <cell r="C869">
            <v>4</v>
          </cell>
          <cell r="D869">
            <v>180</v>
          </cell>
          <cell r="E869">
            <v>190</v>
          </cell>
          <cell r="F869">
            <v>40</v>
          </cell>
          <cell r="G869" t="str">
            <v>ZP2500</v>
          </cell>
          <cell r="H869" t="str">
            <v>TOP1:40/TOP2:80</v>
          </cell>
          <cell r="I869">
            <v>8</v>
          </cell>
          <cell r="J869" t="str">
            <v>㈜탭스</v>
          </cell>
          <cell r="K869">
            <v>28</v>
          </cell>
          <cell r="L869">
            <v>32</v>
          </cell>
          <cell r="M869">
            <v>42</v>
          </cell>
          <cell r="N869">
            <v>46</v>
          </cell>
          <cell r="P869">
            <v>1600</v>
          </cell>
          <cell r="Q869">
            <v>200</v>
          </cell>
          <cell r="R869" t="str">
            <v>노랑</v>
          </cell>
          <cell r="T869" t="str">
            <v>SK100 TOP</v>
          </cell>
          <cell r="U869">
            <v>45264</v>
          </cell>
          <cell r="V869" t="str">
            <v>대양이동입고</v>
          </cell>
          <cell r="W869" t="str">
            <v>SK100 뚜껑</v>
          </cell>
          <cell r="AD869">
            <v>0.85</v>
          </cell>
        </row>
        <row r="870">
          <cell r="A870" t="str">
            <v>SK100 Full-TOP</v>
          </cell>
          <cell r="B870" t="str">
            <v>BOX</v>
          </cell>
          <cell r="C870">
            <v>4</v>
          </cell>
          <cell r="D870">
            <v>180</v>
          </cell>
          <cell r="E870">
            <v>190</v>
          </cell>
          <cell r="F870">
            <v>40</v>
          </cell>
          <cell r="G870" t="str">
            <v>ZP2500</v>
          </cell>
          <cell r="H870" t="str">
            <v>TOP1:40/TOP2:80</v>
          </cell>
          <cell r="I870">
            <v>8</v>
          </cell>
          <cell r="J870" t="str">
            <v>㈜탭스</v>
          </cell>
          <cell r="K870">
            <v>28</v>
          </cell>
          <cell r="L870">
            <v>32</v>
          </cell>
          <cell r="M870">
            <v>42</v>
          </cell>
          <cell r="N870">
            <v>46</v>
          </cell>
          <cell r="P870">
            <v>1600</v>
          </cell>
          <cell r="Q870">
            <v>200</v>
          </cell>
          <cell r="R870" t="str">
            <v>노랑</v>
          </cell>
          <cell r="T870" t="str">
            <v>SK100 TOP</v>
          </cell>
          <cell r="U870">
            <v>45264</v>
          </cell>
          <cell r="V870" t="str">
            <v>대양이동입고</v>
          </cell>
          <cell r="W870" t="str">
            <v>SK100 뚜껑</v>
          </cell>
          <cell r="AD870">
            <v>0.85</v>
          </cell>
        </row>
        <row r="871">
          <cell r="A871" t="str">
            <v>SK100 Full-BOT</v>
          </cell>
          <cell r="B871" t="str">
            <v>회색</v>
          </cell>
          <cell r="C871">
            <v>4</v>
          </cell>
          <cell r="D871">
            <v>180</v>
          </cell>
          <cell r="E871">
            <v>520</v>
          </cell>
          <cell r="F871">
            <v>40</v>
          </cell>
          <cell r="G871" t="str">
            <v>ZP2500</v>
          </cell>
          <cell r="H871" t="str">
            <v>BOT1:6/BOT2:16</v>
          </cell>
          <cell r="I871">
            <v>8</v>
          </cell>
          <cell r="J871" t="str">
            <v>㈜탭스</v>
          </cell>
          <cell r="K871">
            <v>252</v>
          </cell>
          <cell r="L871">
            <v>256</v>
          </cell>
          <cell r="M871">
            <v>362</v>
          </cell>
          <cell r="N871">
            <v>366</v>
          </cell>
          <cell r="P871">
            <v>1600</v>
          </cell>
          <cell r="Q871">
            <v>500</v>
          </cell>
          <cell r="R871" t="str">
            <v>노랑</v>
          </cell>
          <cell r="T871" t="str">
            <v>SK100 BODY</v>
          </cell>
          <cell r="U871">
            <v>45264</v>
          </cell>
          <cell r="V871" t="str">
            <v>대양이동입고</v>
          </cell>
          <cell r="W871" t="str">
            <v>SK100 몸통</v>
          </cell>
          <cell r="AD871">
            <v>0.85</v>
          </cell>
        </row>
        <row r="872">
          <cell r="A872" t="str">
            <v>SK100 Full-BOT</v>
          </cell>
          <cell r="B872" t="str">
            <v>BOX</v>
          </cell>
          <cell r="C872">
            <v>4</v>
          </cell>
          <cell r="D872">
            <v>180</v>
          </cell>
          <cell r="E872">
            <v>520</v>
          </cell>
          <cell r="F872">
            <v>40</v>
          </cell>
          <cell r="G872" t="str">
            <v>ZP2500</v>
          </cell>
          <cell r="H872" t="str">
            <v>BOT1:6/BOT2:16</v>
          </cell>
          <cell r="I872">
            <v>8</v>
          </cell>
          <cell r="J872" t="str">
            <v>㈜탭스</v>
          </cell>
          <cell r="K872">
            <v>252</v>
          </cell>
          <cell r="L872">
            <v>256</v>
          </cell>
          <cell r="M872">
            <v>362</v>
          </cell>
          <cell r="N872">
            <v>366</v>
          </cell>
          <cell r="P872">
            <v>1600</v>
          </cell>
          <cell r="Q872">
            <v>500</v>
          </cell>
          <cell r="R872" t="str">
            <v>노랑</v>
          </cell>
          <cell r="T872" t="str">
            <v>SK100 BODY</v>
          </cell>
          <cell r="U872">
            <v>45264</v>
          </cell>
          <cell r="V872" t="str">
            <v>대양이동입고</v>
          </cell>
          <cell r="W872" t="str">
            <v>SK100 몸통</v>
          </cell>
          <cell r="AD872">
            <v>0.85</v>
          </cell>
        </row>
        <row r="873">
          <cell r="A873" t="str">
            <v>SI바지락4K-TOP(55배)</v>
          </cell>
          <cell r="B873" t="str">
            <v>BOX</v>
          </cell>
          <cell r="C873">
            <v>8</v>
          </cell>
          <cell r="D873">
            <v>60</v>
          </cell>
          <cell r="E873">
            <v>53</v>
          </cell>
          <cell r="F873">
            <v>55</v>
          </cell>
          <cell r="G873" t="str">
            <v>SE2500M</v>
          </cell>
          <cell r="H873">
            <v>48</v>
          </cell>
          <cell r="I873">
            <v>1</v>
          </cell>
          <cell r="J873" t="str">
            <v>삼일이노팩</v>
          </cell>
          <cell r="K873">
            <v>38</v>
          </cell>
          <cell r="L873">
            <v>42</v>
          </cell>
          <cell r="O873">
            <v>260</v>
          </cell>
          <cell r="P873">
            <v>1360</v>
          </cell>
          <cell r="Q873">
            <v>150</v>
          </cell>
          <cell r="R873" t="str">
            <v>노랑</v>
          </cell>
          <cell r="S873" t="str">
            <v>노랑</v>
          </cell>
          <cell r="T873" t="str">
            <v>JB바지락4K-TOP</v>
          </cell>
          <cell r="U873">
            <v>42215</v>
          </cell>
          <cell r="V873" t="str">
            <v>금형제조부</v>
          </cell>
          <cell r="W873" t="str">
            <v>크라킹 3mm 이내</v>
          </cell>
          <cell r="AC873" t="str">
            <v>김창준과장2015.7.30입고, 181019~ SG400으로 변경(수율:78%)</v>
          </cell>
          <cell r="AD873">
            <v>0.85</v>
          </cell>
          <cell r="AE873">
            <v>60</v>
          </cell>
          <cell r="AF873">
            <v>4</v>
          </cell>
        </row>
        <row r="874">
          <cell r="A874" t="str">
            <v>SI바지락4K-TOP</v>
          </cell>
          <cell r="B874" t="str">
            <v>BOX</v>
          </cell>
          <cell r="C874">
            <v>8</v>
          </cell>
          <cell r="D874">
            <v>60</v>
          </cell>
          <cell r="E874">
            <v>45</v>
          </cell>
          <cell r="F874">
            <v>74</v>
          </cell>
          <cell r="G874" t="str">
            <v>SE2500M</v>
          </cell>
          <cell r="H874">
            <v>48</v>
          </cell>
          <cell r="I874">
            <v>1</v>
          </cell>
          <cell r="J874" t="str">
            <v>삼일이노팩</v>
          </cell>
          <cell r="K874">
            <v>38</v>
          </cell>
          <cell r="L874">
            <v>42</v>
          </cell>
          <cell r="O874">
            <v>260</v>
          </cell>
          <cell r="P874">
            <v>1360</v>
          </cell>
          <cell r="Q874">
            <v>150</v>
          </cell>
          <cell r="R874" t="str">
            <v>빨강</v>
          </cell>
          <cell r="S874" t="str">
            <v>빨강</v>
          </cell>
          <cell r="T874" t="str">
            <v>JB바지락4K-TOP</v>
          </cell>
          <cell r="U874">
            <v>42215</v>
          </cell>
          <cell r="V874" t="str">
            <v>금형제조부</v>
          </cell>
          <cell r="W874" t="str">
            <v>크라킹 3mm 이내</v>
          </cell>
          <cell r="AC874" t="str">
            <v>김창준과장2015.7.30입고, 181019~ SG400으로 변경(수율:78%)</v>
          </cell>
          <cell r="AD874">
            <v>0.85</v>
          </cell>
          <cell r="AE874">
            <v>60</v>
          </cell>
          <cell r="AF874">
            <v>8</v>
          </cell>
        </row>
        <row r="875">
          <cell r="A875" t="str">
            <v>SI바지락4K-BOT(55배)</v>
          </cell>
          <cell r="B875" t="str">
            <v>BOX</v>
          </cell>
          <cell r="C875">
            <v>12</v>
          </cell>
          <cell r="D875">
            <v>80</v>
          </cell>
          <cell r="E875">
            <v>139</v>
          </cell>
          <cell r="F875">
            <v>55</v>
          </cell>
          <cell r="G875" t="str">
            <v>SE2500M</v>
          </cell>
          <cell r="H875">
            <v>12</v>
          </cell>
          <cell r="I875">
            <v>1</v>
          </cell>
          <cell r="J875" t="str">
            <v>삼일이노팩</v>
          </cell>
          <cell r="K875">
            <v>182</v>
          </cell>
          <cell r="L875">
            <v>186</v>
          </cell>
          <cell r="O875">
            <v>620</v>
          </cell>
          <cell r="P875">
            <v>1700</v>
          </cell>
          <cell r="Q875">
            <v>300</v>
          </cell>
          <cell r="R875" t="str">
            <v>노랑</v>
          </cell>
          <cell r="S875" t="str">
            <v>노랑</v>
          </cell>
          <cell r="T875" t="str">
            <v>JB바지락4K-BOT</v>
          </cell>
          <cell r="U875">
            <v>42212</v>
          </cell>
          <cell r="V875" t="str">
            <v>세광케미칼이관</v>
          </cell>
          <cell r="W875" t="str">
            <v>17~21호기 생산,(멕시코후레임규격)</v>
          </cell>
          <cell r="Z875">
            <v>7625</v>
          </cell>
          <cell r="AC875" t="str">
            <v>최재학사원 2015.07.27 입고2015.7/30개조입고,2015.08.18배율변경70-&gt;65배,2016.11.14 기준중량변경(115 -&gt; 120)</v>
          </cell>
          <cell r="AD875">
            <v>0.85</v>
          </cell>
          <cell r="AE875">
            <v>75</v>
          </cell>
          <cell r="AF875">
            <v>2</v>
          </cell>
        </row>
        <row r="876">
          <cell r="A876" t="str">
            <v>SI바지락4K-BOT</v>
          </cell>
          <cell r="B876" t="str">
            <v>BOX</v>
          </cell>
          <cell r="C876">
            <v>12</v>
          </cell>
          <cell r="D876">
            <v>85</v>
          </cell>
          <cell r="E876">
            <v>120</v>
          </cell>
          <cell r="F876">
            <v>74</v>
          </cell>
          <cell r="G876" t="str">
            <v>SE2500M</v>
          </cell>
          <cell r="H876">
            <v>12</v>
          </cell>
          <cell r="I876">
            <v>1</v>
          </cell>
          <cell r="J876" t="str">
            <v>삼일이노팩</v>
          </cell>
          <cell r="K876">
            <v>182</v>
          </cell>
          <cell r="L876">
            <v>186</v>
          </cell>
          <cell r="O876">
            <v>620</v>
          </cell>
          <cell r="P876">
            <v>1700</v>
          </cell>
          <cell r="Q876">
            <v>300</v>
          </cell>
          <cell r="R876" t="str">
            <v>빨강</v>
          </cell>
          <cell r="S876" t="str">
            <v>빨강</v>
          </cell>
          <cell r="T876" t="str">
            <v>JB바지락4K-BOT</v>
          </cell>
          <cell r="U876">
            <v>42212</v>
          </cell>
          <cell r="V876" t="str">
            <v>세광케미칼이관</v>
          </cell>
          <cell r="W876" t="str">
            <v>17~21호기 생산,(멕시코후레임규격)</v>
          </cell>
          <cell r="Z876">
            <v>7625</v>
          </cell>
          <cell r="AC876" t="str">
            <v>최재학사원 2015.07.27 입고2015.7/30개조입고,2015.08.18배율변경70-&gt;65배,2016.11.14 기준중량변경(115 -&gt; 120)</v>
          </cell>
          <cell r="AD876">
            <v>0.85</v>
          </cell>
          <cell r="AE876">
            <v>70</v>
          </cell>
          <cell r="AF876">
            <v>8</v>
          </cell>
        </row>
        <row r="877">
          <cell r="A877" t="str">
            <v>SI다용도2(62배)</v>
          </cell>
          <cell r="B877" t="str">
            <v>BOX</v>
          </cell>
          <cell r="C877">
            <v>3</v>
          </cell>
          <cell r="D877">
            <v>73</v>
          </cell>
          <cell r="E877">
            <v>250</v>
          </cell>
          <cell r="F877">
            <v>70</v>
          </cell>
          <cell r="G877" t="str">
            <v>B240NS</v>
          </cell>
          <cell r="H877">
            <v>8</v>
          </cell>
          <cell r="I877">
            <v>2</v>
          </cell>
          <cell r="J877" t="str">
            <v>삼일이노팩</v>
          </cell>
          <cell r="K877">
            <v>36</v>
          </cell>
          <cell r="L877">
            <v>40</v>
          </cell>
          <cell r="M877">
            <v>233</v>
          </cell>
          <cell r="N877">
            <v>237</v>
          </cell>
          <cell r="O877">
            <v>10</v>
          </cell>
          <cell r="P877">
            <v>1360</v>
          </cell>
          <cell r="Q877">
            <v>350</v>
          </cell>
          <cell r="R877" t="str">
            <v>녹색</v>
          </cell>
          <cell r="S877" t="str">
            <v>녹색</v>
          </cell>
          <cell r="T877" t="str">
            <v>SI-다용도박스</v>
          </cell>
          <cell r="W877" t="str">
            <v>건조철저!(뚜껑덮지 마세요!)</v>
          </cell>
          <cell r="AC877" t="str">
            <v>금형없음.SI다용도동일금형,2016.08.08 포장단위변경(12-&gt;8)</v>
          </cell>
          <cell r="AD877">
            <v>0.9</v>
          </cell>
          <cell r="AE877">
            <v>70</v>
          </cell>
          <cell r="AF877">
            <v>6</v>
          </cell>
        </row>
        <row r="878">
          <cell r="A878" t="str">
            <v>SI다용도2</v>
          </cell>
          <cell r="B878" t="str">
            <v>BOX</v>
          </cell>
          <cell r="C878">
            <v>3</v>
          </cell>
          <cell r="D878">
            <v>90</v>
          </cell>
          <cell r="E878">
            <v>210</v>
          </cell>
          <cell r="F878">
            <v>74</v>
          </cell>
          <cell r="G878" t="str">
            <v>SE2500M</v>
          </cell>
          <cell r="H878">
            <v>8</v>
          </cell>
          <cell r="I878">
            <v>2</v>
          </cell>
          <cell r="J878" t="str">
            <v>삼일이노팩</v>
          </cell>
          <cell r="K878">
            <v>36</v>
          </cell>
          <cell r="L878">
            <v>40</v>
          </cell>
          <cell r="M878">
            <v>233</v>
          </cell>
          <cell r="N878">
            <v>237</v>
          </cell>
          <cell r="O878">
            <v>1450</v>
          </cell>
          <cell r="P878">
            <v>1360</v>
          </cell>
          <cell r="Q878">
            <v>350</v>
          </cell>
          <cell r="R878" t="str">
            <v>보라</v>
          </cell>
          <cell r="S878" t="str">
            <v>보라</v>
          </cell>
          <cell r="T878" t="str">
            <v>SI-다용도박스</v>
          </cell>
          <cell r="U878">
            <v>44529</v>
          </cell>
          <cell r="V878" t="str">
            <v>금형사업부</v>
          </cell>
          <cell r="W878" t="str">
            <v>뚜껑휨불량주의</v>
          </cell>
          <cell r="Y878">
            <v>64</v>
          </cell>
          <cell r="AC878" t="str">
            <v>석상준과장,코팅완료</v>
          </cell>
          <cell r="AD878">
            <v>0.85</v>
          </cell>
          <cell r="AE878">
            <v>75</v>
          </cell>
          <cell r="AF878">
            <v>12</v>
          </cell>
        </row>
        <row r="879">
          <cell r="A879" t="str">
            <v>SI다용도(48배)</v>
          </cell>
          <cell r="B879" t="str">
            <v>BOX</v>
          </cell>
          <cell r="C879">
            <v>3</v>
          </cell>
          <cell r="D879">
            <v>85</v>
          </cell>
          <cell r="E879">
            <v>385</v>
          </cell>
          <cell r="F879">
            <v>58</v>
          </cell>
          <cell r="G879" t="str">
            <v>B240NS</v>
          </cell>
          <cell r="H879">
            <v>12</v>
          </cell>
          <cell r="I879">
            <v>2</v>
          </cell>
          <cell r="J879" t="str">
            <v>삼일이노팩</v>
          </cell>
          <cell r="K879">
            <v>36</v>
          </cell>
          <cell r="L879">
            <v>40</v>
          </cell>
          <cell r="M879">
            <v>233</v>
          </cell>
          <cell r="N879">
            <v>237</v>
          </cell>
          <cell r="O879">
            <v>2000</v>
          </cell>
          <cell r="P879">
            <v>1360</v>
          </cell>
          <cell r="Q879">
            <v>350</v>
          </cell>
          <cell r="R879" t="str">
            <v>검정</v>
          </cell>
          <cell r="S879" t="str">
            <v>검정</v>
          </cell>
          <cell r="T879" t="str">
            <v>SI-다용도박스</v>
          </cell>
          <cell r="AC879" t="str">
            <v>금형없음.SI다용도동일금형</v>
          </cell>
          <cell r="AD879">
            <v>0.85</v>
          </cell>
          <cell r="AE879">
            <v>85</v>
          </cell>
          <cell r="AF879">
            <v>4</v>
          </cell>
        </row>
        <row r="880">
          <cell r="A880" t="str">
            <v>SI다용도(45배)</v>
          </cell>
          <cell r="B880" t="str">
            <v>BOX</v>
          </cell>
          <cell r="C880">
            <v>3</v>
          </cell>
          <cell r="D880">
            <v>100</v>
          </cell>
          <cell r="E880">
            <v>385</v>
          </cell>
          <cell r="F880">
            <v>58</v>
          </cell>
          <cell r="G880" t="str">
            <v>B240NS</v>
          </cell>
          <cell r="H880">
            <v>12</v>
          </cell>
          <cell r="I880">
            <v>2</v>
          </cell>
          <cell r="J880" t="str">
            <v>삼일이노팩</v>
          </cell>
          <cell r="K880">
            <v>36</v>
          </cell>
          <cell r="L880">
            <v>40</v>
          </cell>
          <cell r="M880">
            <v>233</v>
          </cell>
          <cell r="N880">
            <v>237</v>
          </cell>
          <cell r="O880">
            <v>2000</v>
          </cell>
          <cell r="P880">
            <v>1360</v>
          </cell>
          <cell r="Q880">
            <v>350</v>
          </cell>
          <cell r="R880" t="str">
            <v>파랑</v>
          </cell>
          <cell r="S880" t="str">
            <v>파랑</v>
          </cell>
          <cell r="T880" t="str">
            <v>SI-다용도박스</v>
          </cell>
          <cell r="AC880" t="str">
            <v>금형없음.SI다용도동일금형</v>
          </cell>
          <cell r="AD880">
            <v>0.85</v>
          </cell>
          <cell r="AE880">
            <v>75</v>
          </cell>
          <cell r="AF880">
            <v>1</v>
          </cell>
        </row>
        <row r="881">
          <cell r="A881" t="str">
            <v>SI다용도(40배)</v>
          </cell>
          <cell r="B881" t="str">
            <v>회색</v>
          </cell>
          <cell r="C881">
            <v>3</v>
          </cell>
          <cell r="D881">
            <v>85</v>
          </cell>
          <cell r="E881">
            <v>385</v>
          </cell>
          <cell r="F881">
            <v>48</v>
          </cell>
          <cell r="G881" t="str">
            <v>ZP2500</v>
          </cell>
          <cell r="H881">
            <v>12</v>
          </cell>
          <cell r="I881">
            <v>2</v>
          </cell>
          <cell r="J881" t="str">
            <v>삼일이노팩</v>
          </cell>
          <cell r="K881">
            <v>36</v>
          </cell>
          <cell r="L881">
            <v>40</v>
          </cell>
          <cell r="M881">
            <v>233</v>
          </cell>
          <cell r="N881">
            <v>237</v>
          </cell>
          <cell r="O881">
            <v>2600</v>
          </cell>
          <cell r="P881">
            <v>1360</v>
          </cell>
          <cell r="Q881">
            <v>350</v>
          </cell>
          <cell r="R881" t="str">
            <v>빨강</v>
          </cell>
          <cell r="S881" t="str">
            <v>빨강</v>
          </cell>
          <cell r="T881" t="str">
            <v>SI-다용도박스(흑색)</v>
          </cell>
          <cell r="AC881" t="str">
            <v>금형없음.SI다용도동일금형,네오폴원료사용. 성형가능기계(11,12호기)</v>
          </cell>
          <cell r="AD881">
            <v>0.85</v>
          </cell>
          <cell r="AE881">
            <v>80</v>
          </cell>
          <cell r="AF881">
            <v>1</v>
          </cell>
        </row>
        <row r="882">
          <cell r="A882" t="str">
            <v>SI다용도(36배)</v>
          </cell>
          <cell r="B882" t="str">
            <v>회색</v>
          </cell>
          <cell r="C882">
            <v>3</v>
          </cell>
          <cell r="D882">
            <v>85</v>
          </cell>
          <cell r="E882">
            <v>510</v>
          </cell>
          <cell r="F882">
            <v>40</v>
          </cell>
          <cell r="G882" t="str">
            <v>ZP2500</v>
          </cell>
          <cell r="H882">
            <v>12</v>
          </cell>
          <cell r="I882">
            <v>2</v>
          </cell>
          <cell r="J882" t="str">
            <v>삼일이노팩</v>
          </cell>
          <cell r="K882">
            <v>37</v>
          </cell>
          <cell r="L882">
            <v>39</v>
          </cell>
          <cell r="M882">
            <v>233</v>
          </cell>
          <cell r="N882">
            <v>237</v>
          </cell>
          <cell r="O882">
            <v>2600</v>
          </cell>
          <cell r="P882">
            <v>1360</v>
          </cell>
          <cell r="Q882">
            <v>350</v>
          </cell>
          <cell r="R882" t="str">
            <v>빨강</v>
          </cell>
          <cell r="S882" t="str">
            <v>빨강</v>
          </cell>
          <cell r="T882" t="str">
            <v>SI-다용도박스(흑색)</v>
          </cell>
          <cell r="AC882" t="str">
            <v>금형없음.SI다용도동일금형,네오폴원료사용. 성형가능기계(11,12호기)</v>
          </cell>
          <cell r="AD882">
            <v>0.9</v>
          </cell>
          <cell r="AE882">
            <v>95</v>
          </cell>
          <cell r="AF882">
            <v>2</v>
          </cell>
        </row>
        <row r="883">
          <cell r="A883" t="str">
            <v>SI다용도(33배)</v>
          </cell>
          <cell r="B883" t="str">
            <v>BOX</v>
          </cell>
          <cell r="C883">
            <v>3</v>
          </cell>
          <cell r="D883">
            <v>100</v>
          </cell>
          <cell r="E883">
            <v>500</v>
          </cell>
          <cell r="F883">
            <v>36</v>
          </cell>
          <cell r="G883" t="str">
            <v>B240NS</v>
          </cell>
          <cell r="H883">
            <v>12</v>
          </cell>
          <cell r="I883">
            <v>2</v>
          </cell>
          <cell r="J883" t="str">
            <v>삼일이노팩</v>
          </cell>
          <cell r="K883">
            <v>37</v>
          </cell>
          <cell r="L883">
            <v>39</v>
          </cell>
          <cell r="M883">
            <v>233</v>
          </cell>
          <cell r="N883">
            <v>237</v>
          </cell>
          <cell r="O883">
            <v>2400</v>
          </cell>
          <cell r="P883">
            <v>1360</v>
          </cell>
          <cell r="Q883">
            <v>350</v>
          </cell>
          <cell r="R883" t="str">
            <v>보라</v>
          </cell>
          <cell r="S883" t="str">
            <v>보라</v>
          </cell>
          <cell r="T883" t="str">
            <v>SI-다용도박스</v>
          </cell>
          <cell r="AC883" t="str">
            <v>금형없음.SI다용도동일금형,2011.07.25승인완료</v>
          </cell>
          <cell r="AD883">
            <v>0.89</v>
          </cell>
          <cell r="AE883">
            <v>75</v>
          </cell>
          <cell r="AF883">
            <v>2</v>
          </cell>
        </row>
        <row r="884">
          <cell r="A884" t="str">
            <v>SI-느타리2K(55배)</v>
          </cell>
          <cell r="B884" t="str">
            <v>BOX</v>
          </cell>
          <cell r="C884">
            <v>4</v>
          </cell>
          <cell r="D884">
            <v>70</v>
          </cell>
          <cell r="E884">
            <v>100</v>
          </cell>
          <cell r="F884">
            <v>70</v>
          </cell>
          <cell r="G884" t="str">
            <v>SF400</v>
          </cell>
          <cell r="H884" t="str">
            <v>몸통20뚜껑80</v>
          </cell>
          <cell r="I884">
            <v>2</v>
          </cell>
          <cell r="J884" t="str">
            <v>삼일이노팩</v>
          </cell>
          <cell r="K884">
            <v>21</v>
          </cell>
          <cell r="L884">
            <v>25</v>
          </cell>
          <cell r="M884">
            <v>126</v>
          </cell>
          <cell r="N884">
            <v>130</v>
          </cell>
          <cell r="O884">
            <v>0</v>
          </cell>
          <cell r="P884">
            <v>1500</v>
          </cell>
          <cell r="Q884">
            <v>200</v>
          </cell>
          <cell r="R884" t="str">
            <v>검정</v>
          </cell>
          <cell r="S884" t="str">
            <v>검정</v>
          </cell>
          <cell r="U884">
            <v>42835</v>
          </cell>
          <cell r="V884" t="str">
            <v>금형제조부</v>
          </cell>
          <cell r="W884" t="str">
            <v>크라킹5mm이내 생산 필!!!</v>
          </cell>
          <cell r="Y884">
            <v>55</v>
          </cell>
          <cell r="Z884">
            <v>5553</v>
          </cell>
          <cell r="AC884" t="str">
            <v>최재학계장,2018.02.27배율변경(74배-&gt;68배)</v>
          </cell>
          <cell r="AD884">
            <v>0.85</v>
          </cell>
          <cell r="AE884">
            <v>100</v>
          </cell>
          <cell r="AF884">
            <v>4</v>
          </cell>
        </row>
        <row r="885">
          <cell r="A885" t="str">
            <v>SI-느타리2K(40배)</v>
          </cell>
          <cell r="B885" t="str">
            <v>BOX</v>
          </cell>
          <cell r="C885">
            <v>4</v>
          </cell>
          <cell r="D885">
            <v>70</v>
          </cell>
          <cell r="E885">
            <v>139</v>
          </cell>
          <cell r="F885">
            <v>48</v>
          </cell>
          <cell r="G885" t="str">
            <v>SF400</v>
          </cell>
          <cell r="H885" t="str">
            <v>몸통20뚜껑80</v>
          </cell>
          <cell r="I885">
            <v>2</v>
          </cell>
          <cell r="J885" t="str">
            <v>삼일이노팩</v>
          </cell>
          <cell r="K885">
            <v>21</v>
          </cell>
          <cell r="L885">
            <v>25</v>
          </cell>
          <cell r="M885">
            <v>126</v>
          </cell>
          <cell r="N885">
            <v>130</v>
          </cell>
          <cell r="P885">
            <v>1500</v>
          </cell>
          <cell r="Q885">
            <v>200</v>
          </cell>
          <cell r="R885" t="str">
            <v>흰색</v>
          </cell>
          <cell r="S885" t="str">
            <v>흰색</v>
          </cell>
          <cell r="U885">
            <v>42835</v>
          </cell>
          <cell r="V885" t="str">
            <v>금형제조부</v>
          </cell>
          <cell r="W885" t="str">
            <v>크라킹5mm이내 생산 필!!!</v>
          </cell>
          <cell r="Y885">
            <v>40</v>
          </cell>
          <cell r="Z885">
            <v>5553</v>
          </cell>
          <cell r="AC885" t="str">
            <v>최재학계장,2018.02.27배율변경(74배-&gt;68배)</v>
          </cell>
          <cell r="AD885">
            <v>0.85</v>
          </cell>
          <cell r="AE885">
            <v>100</v>
          </cell>
          <cell r="AF885">
            <v>4</v>
          </cell>
        </row>
        <row r="886">
          <cell r="A886" t="str">
            <v>SI-느타리2K</v>
          </cell>
          <cell r="B886" t="str">
            <v>BOX</v>
          </cell>
          <cell r="C886">
            <v>4</v>
          </cell>
          <cell r="D886">
            <v>65</v>
          </cell>
          <cell r="E886">
            <v>87</v>
          </cell>
          <cell r="F886">
            <v>74</v>
          </cell>
          <cell r="G886" t="str">
            <v>SE2500M</v>
          </cell>
          <cell r="H886" t="str">
            <v>몸통20뚜껑80</v>
          </cell>
          <cell r="I886">
            <v>2</v>
          </cell>
          <cell r="J886" t="str">
            <v>삼일이노팩</v>
          </cell>
          <cell r="K886">
            <v>21</v>
          </cell>
          <cell r="L886">
            <v>25</v>
          </cell>
          <cell r="M886">
            <v>126</v>
          </cell>
          <cell r="N886">
            <v>130</v>
          </cell>
          <cell r="O886">
            <v>400</v>
          </cell>
          <cell r="P886">
            <v>1500</v>
          </cell>
          <cell r="Q886">
            <v>200</v>
          </cell>
          <cell r="R886" t="str">
            <v>파랑</v>
          </cell>
          <cell r="S886" t="str">
            <v>파랑</v>
          </cell>
          <cell r="U886">
            <v>42835</v>
          </cell>
          <cell r="V886" t="str">
            <v>금형제조부</v>
          </cell>
          <cell r="W886" t="str">
            <v>크라킹5mm이내 생산 필!!!</v>
          </cell>
          <cell r="Y886">
            <v>64</v>
          </cell>
          <cell r="Z886">
            <v>5553</v>
          </cell>
          <cell r="AC886" t="str">
            <v>최재학계장,2018.02.27배율변경(74배-&gt;68배)2026-02-25후판 자비 교체</v>
          </cell>
          <cell r="AD886">
            <v>0.85</v>
          </cell>
          <cell r="AE886">
            <v>70</v>
          </cell>
          <cell r="AF886">
            <v>4</v>
          </cell>
        </row>
        <row r="887">
          <cell r="A887" t="str">
            <v>SI꽃게박스</v>
          </cell>
          <cell r="B887" t="str">
            <v>BOX</v>
          </cell>
          <cell r="C887">
            <v>2</v>
          </cell>
          <cell r="D887">
            <v>80</v>
          </cell>
          <cell r="E887">
            <v>460</v>
          </cell>
          <cell r="F887">
            <v>65</v>
          </cell>
          <cell r="G887" t="str">
            <v>B240NS</v>
          </cell>
          <cell r="H887">
            <v>1</v>
          </cell>
          <cell r="I887">
            <v>2</v>
          </cell>
          <cell r="J887" t="str">
            <v>삼일이노팩</v>
          </cell>
          <cell r="K887">
            <v>38</v>
          </cell>
          <cell r="L887">
            <v>42</v>
          </cell>
          <cell r="M887">
            <v>198</v>
          </cell>
          <cell r="N887">
            <v>202</v>
          </cell>
          <cell r="O887">
            <v>1900</v>
          </cell>
          <cell r="P887">
            <v>1360</v>
          </cell>
          <cell r="Q887">
            <v>300</v>
          </cell>
          <cell r="S887">
            <v>0</v>
          </cell>
          <cell r="T887" t="str">
            <v>SI꽃게박스2(15K)</v>
          </cell>
          <cell r="U887">
            <v>39709</v>
          </cell>
          <cell r="V887" t="str">
            <v>삼일금형</v>
          </cell>
          <cell r="AD887">
            <v>0.85</v>
          </cell>
          <cell r="AE887">
            <v>70</v>
          </cell>
          <cell r="AF887">
            <v>2</v>
          </cell>
        </row>
        <row r="888">
          <cell r="A888" t="str">
            <v>SI꽃게12K(몸통/뚜껑)</v>
          </cell>
          <cell r="B888" t="str">
            <v>BOX</v>
          </cell>
          <cell r="C888">
            <v>2</v>
          </cell>
          <cell r="D888">
            <v>90</v>
          </cell>
          <cell r="E888">
            <v>339</v>
          </cell>
          <cell r="F888">
            <v>74</v>
          </cell>
          <cell r="G888" t="str">
            <v>B240NS</v>
          </cell>
          <cell r="H888" t="str">
            <v>몸통10뚜껑40</v>
          </cell>
          <cell r="I888">
            <v>2</v>
          </cell>
          <cell r="J888" t="str">
            <v>삼일이노팩</v>
          </cell>
          <cell r="K888">
            <v>38</v>
          </cell>
          <cell r="L888">
            <v>42</v>
          </cell>
          <cell r="M888">
            <v>198</v>
          </cell>
          <cell r="N888">
            <v>202</v>
          </cell>
          <cell r="O888">
            <v>1900</v>
          </cell>
          <cell r="P888">
            <v>1360</v>
          </cell>
          <cell r="Q888">
            <v>300</v>
          </cell>
          <cell r="R888" t="str">
            <v>파랑</v>
          </cell>
          <cell r="S888" t="str">
            <v>파랑</v>
          </cell>
          <cell r="T888" t="str">
            <v>SI꽃게12K</v>
          </cell>
          <cell r="U888">
            <v>39722</v>
          </cell>
          <cell r="V888" t="str">
            <v>삼일금형</v>
          </cell>
          <cell r="AC888" t="str">
            <v>2014.06.19배율변경(65-&gt;70)2015.0106인중량변경(420g-339g)</v>
          </cell>
          <cell r="AD888">
            <v>0.85</v>
          </cell>
          <cell r="AE888">
            <v>70</v>
          </cell>
          <cell r="AF888">
            <v>2</v>
          </cell>
        </row>
        <row r="889">
          <cell r="A889" t="str">
            <v>SI꽃게12K(60배)</v>
          </cell>
          <cell r="B889" t="str">
            <v>BOX</v>
          </cell>
          <cell r="C889">
            <v>2</v>
          </cell>
          <cell r="D889">
            <v>90</v>
          </cell>
          <cell r="E889">
            <v>361</v>
          </cell>
          <cell r="F889">
            <v>70</v>
          </cell>
          <cell r="G889" t="str">
            <v>B240NS</v>
          </cell>
          <cell r="H889">
            <v>5</v>
          </cell>
          <cell r="I889">
            <v>2</v>
          </cell>
          <cell r="J889" t="str">
            <v>삼일이노팩</v>
          </cell>
          <cell r="K889">
            <v>38</v>
          </cell>
          <cell r="L889">
            <v>42</v>
          </cell>
          <cell r="M889">
            <v>198</v>
          </cell>
          <cell r="N889">
            <v>202</v>
          </cell>
          <cell r="O889">
            <v>1900</v>
          </cell>
          <cell r="P889">
            <v>1360</v>
          </cell>
          <cell r="Q889">
            <v>300</v>
          </cell>
          <cell r="R889" t="str">
            <v>보라</v>
          </cell>
          <cell r="S889" t="str">
            <v>보라</v>
          </cell>
          <cell r="T889" t="str">
            <v>SI꽃게12K</v>
          </cell>
          <cell r="U889">
            <v>39722</v>
          </cell>
          <cell r="V889" t="str">
            <v>삼일금형</v>
          </cell>
          <cell r="AD889">
            <v>0.85</v>
          </cell>
          <cell r="AE889">
            <v>70</v>
          </cell>
          <cell r="AF889">
            <v>2</v>
          </cell>
        </row>
        <row r="890">
          <cell r="A890" t="str">
            <v>SI꽃게12K</v>
          </cell>
          <cell r="B890" t="str">
            <v>BOX</v>
          </cell>
          <cell r="C890">
            <v>2</v>
          </cell>
          <cell r="D890">
            <v>80</v>
          </cell>
          <cell r="E890">
            <v>339</v>
          </cell>
          <cell r="F890">
            <v>74</v>
          </cell>
          <cell r="G890" t="str">
            <v>SE2500M</v>
          </cell>
          <cell r="H890">
            <v>5</v>
          </cell>
          <cell r="I890">
            <v>2</v>
          </cell>
          <cell r="J890" t="str">
            <v>삼일이노팩</v>
          </cell>
          <cell r="K890">
            <v>38</v>
          </cell>
          <cell r="L890">
            <v>42</v>
          </cell>
          <cell r="M890">
            <v>198</v>
          </cell>
          <cell r="N890">
            <v>202</v>
          </cell>
          <cell r="O890">
            <v>1900</v>
          </cell>
          <cell r="P890">
            <v>1360</v>
          </cell>
          <cell r="Q890">
            <v>300</v>
          </cell>
          <cell r="R890" t="str">
            <v>흰색</v>
          </cell>
          <cell r="S890" t="str">
            <v>흰색</v>
          </cell>
          <cell r="T890" t="str">
            <v>SI꽃게12K</v>
          </cell>
          <cell r="U890">
            <v>39722</v>
          </cell>
          <cell r="V890" t="str">
            <v>삼일금형</v>
          </cell>
          <cell r="X890" t="str">
            <v>A-0805</v>
          </cell>
          <cell r="AC890" t="str">
            <v>2014.06.19배율변경(65-&gt;70)2015.0106인중량변경(420g-339g)</v>
          </cell>
          <cell r="AD890">
            <v>0.85</v>
          </cell>
          <cell r="AE890">
            <v>80</v>
          </cell>
          <cell r="AF890">
            <v>2</v>
          </cell>
        </row>
        <row r="891">
          <cell r="A891" t="str">
            <v>SI김치5K</v>
          </cell>
          <cell r="B891" t="str">
            <v>BOX</v>
          </cell>
          <cell r="C891">
            <v>4</v>
          </cell>
          <cell r="D891">
            <v>75</v>
          </cell>
          <cell r="E891">
            <v>140</v>
          </cell>
          <cell r="F891">
            <v>74</v>
          </cell>
          <cell r="G891" t="str">
            <v>B240NS</v>
          </cell>
          <cell r="H891">
            <v>16</v>
          </cell>
          <cell r="I891">
            <v>2</v>
          </cell>
          <cell r="J891" t="str">
            <v>삼일이노팩</v>
          </cell>
          <cell r="K891">
            <v>61</v>
          </cell>
          <cell r="L891">
            <v>65</v>
          </cell>
          <cell r="M891">
            <v>221</v>
          </cell>
          <cell r="N891">
            <v>225</v>
          </cell>
          <cell r="O891">
            <v>680</v>
          </cell>
          <cell r="P891">
            <v>1360</v>
          </cell>
          <cell r="Q891">
            <v>300</v>
          </cell>
          <cell r="R891" t="str">
            <v>파랑</v>
          </cell>
          <cell r="S891" t="str">
            <v>파랑</v>
          </cell>
          <cell r="T891" t="str">
            <v>SI김치5K</v>
          </cell>
          <cell r="U891">
            <v>42202</v>
          </cell>
          <cell r="V891" t="str">
            <v>금형제조부</v>
          </cell>
          <cell r="X891" t="str">
            <v>A-0703</v>
          </cell>
          <cell r="Y891">
            <v>65</v>
          </cell>
          <cell r="Z891">
            <v>8987</v>
          </cell>
          <cell r="AC891" t="str">
            <v>강윤호차장2015.7.17코팅입고,2016.12.20끈색변경(빨강/파랑-&gt;파랑)</v>
          </cell>
          <cell r="AD891">
            <v>0.85</v>
          </cell>
          <cell r="AE891">
            <v>70</v>
          </cell>
          <cell r="AF891">
            <v>8</v>
          </cell>
        </row>
        <row r="892">
          <cell r="A892" t="str">
            <v>SI김치15K(30배)</v>
          </cell>
          <cell r="B892" t="str">
            <v>BOX</v>
          </cell>
          <cell r="C892">
            <v>2</v>
          </cell>
          <cell r="D892">
            <v>100</v>
          </cell>
          <cell r="E892">
            <v>715</v>
          </cell>
          <cell r="F892">
            <v>36</v>
          </cell>
          <cell r="G892" t="str">
            <v>B240NS</v>
          </cell>
          <cell r="H892">
            <v>6</v>
          </cell>
          <cell r="I892">
            <v>2</v>
          </cell>
          <cell r="J892" t="str">
            <v>삼일이노팩</v>
          </cell>
          <cell r="K892">
            <v>101</v>
          </cell>
          <cell r="L892">
            <v>105</v>
          </cell>
          <cell r="M892">
            <v>215</v>
          </cell>
          <cell r="N892">
            <v>219</v>
          </cell>
          <cell r="O892">
            <v>3950</v>
          </cell>
          <cell r="P892">
            <v>1360</v>
          </cell>
          <cell r="Q892">
            <v>300</v>
          </cell>
          <cell r="R892" t="str">
            <v>노랑</v>
          </cell>
          <cell r="S892" t="str">
            <v>노랑</v>
          </cell>
          <cell r="T892" t="str">
            <v>SI김치15K</v>
          </cell>
          <cell r="U892">
            <v>42202</v>
          </cell>
          <cell r="V892" t="str">
            <v>금형제조부</v>
          </cell>
          <cell r="W892" t="str">
            <v>SI김치15K 동일금형, 융착철저</v>
          </cell>
          <cell r="X892" t="str">
            <v>A-0503</v>
          </cell>
          <cell r="Y892">
            <v>30</v>
          </cell>
          <cell r="Z892">
            <v>21444</v>
          </cell>
          <cell r="AD892">
            <v>0.85</v>
          </cell>
          <cell r="AE892">
            <v>80</v>
          </cell>
          <cell r="AF892">
            <v>4</v>
          </cell>
        </row>
        <row r="893">
          <cell r="A893" t="str">
            <v>SI김치15K</v>
          </cell>
          <cell r="B893" t="str">
            <v>BOX</v>
          </cell>
          <cell r="C893">
            <v>2</v>
          </cell>
          <cell r="D893">
            <v>75</v>
          </cell>
          <cell r="E893">
            <v>330</v>
          </cell>
          <cell r="F893">
            <v>74</v>
          </cell>
          <cell r="G893" t="str">
            <v>B240NS</v>
          </cell>
          <cell r="H893">
            <v>6</v>
          </cell>
          <cell r="I893">
            <v>2</v>
          </cell>
          <cell r="J893" t="str">
            <v>삼일이노팩</v>
          </cell>
          <cell r="K893">
            <v>101</v>
          </cell>
          <cell r="L893">
            <v>105</v>
          </cell>
          <cell r="M893">
            <v>215</v>
          </cell>
          <cell r="N893">
            <v>219</v>
          </cell>
          <cell r="O893">
            <v>1750</v>
          </cell>
          <cell r="P893">
            <v>1360</v>
          </cell>
          <cell r="Q893">
            <v>300</v>
          </cell>
          <cell r="R893" t="str">
            <v>녹색</v>
          </cell>
          <cell r="S893" t="str">
            <v>녹색</v>
          </cell>
          <cell r="T893" t="str">
            <v>SI김치15K</v>
          </cell>
          <cell r="U893">
            <v>42202</v>
          </cell>
          <cell r="V893" t="str">
            <v>금형제조부</v>
          </cell>
          <cell r="X893" t="str">
            <v>A-0503</v>
          </cell>
          <cell r="Y893">
            <v>65</v>
          </cell>
          <cell r="Z893">
            <v>21444</v>
          </cell>
          <cell r="AC893" t="str">
            <v>강윤호차장2015.7.17코팅입고,2016.11.23기준중량변경(335-&gt;330)</v>
          </cell>
          <cell r="AD893">
            <v>0.85</v>
          </cell>
          <cell r="AE893">
            <v>70</v>
          </cell>
          <cell r="AF893">
            <v>8</v>
          </cell>
        </row>
        <row r="894">
          <cell r="A894" t="str">
            <v>SI김치10K</v>
          </cell>
          <cell r="B894" t="str">
            <v>BOX</v>
          </cell>
          <cell r="C894">
            <v>4</v>
          </cell>
          <cell r="D894">
            <v>70</v>
          </cell>
          <cell r="E894">
            <v>239</v>
          </cell>
          <cell r="F894">
            <v>74</v>
          </cell>
          <cell r="G894" t="str">
            <v>B240NS</v>
          </cell>
          <cell r="H894">
            <v>6</v>
          </cell>
          <cell r="I894">
            <v>2</v>
          </cell>
          <cell r="J894" t="str">
            <v>삼일이노팩</v>
          </cell>
          <cell r="K894">
            <v>101</v>
          </cell>
          <cell r="L894">
            <v>105</v>
          </cell>
          <cell r="M894">
            <v>211</v>
          </cell>
          <cell r="N894">
            <v>215</v>
          </cell>
          <cell r="O894">
            <v>1100</v>
          </cell>
          <cell r="P894">
            <v>1360</v>
          </cell>
          <cell r="Q894">
            <v>300</v>
          </cell>
          <cell r="R894" t="str">
            <v>파랑</v>
          </cell>
          <cell r="S894" t="str">
            <v>파랑</v>
          </cell>
          <cell r="T894" t="str">
            <v>SI김치10K</v>
          </cell>
          <cell r="U894">
            <v>42202</v>
          </cell>
          <cell r="V894" t="str">
            <v>금형제조부</v>
          </cell>
          <cell r="Y894">
            <v>65</v>
          </cell>
          <cell r="Z894">
            <v>15530</v>
          </cell>
          <cell r="AC894" t="str">
            <v>강윤호차장2015.7.17코팅입고,2016.11.23기준중량변경(243-&gt;239)</v>
          </cell>
          <cell r="AD894">
            <v>0.85</v>
          </cell>
          <cell r="AE894">
            <v>70</v>
          </cell>
          <cell r="AF894">
            <v>8</v>
          </cell>
        </row>
        <row r="895">
          <cell r="A895" t="str">
            <v>SI-N4K(몸통/뚜껑)</v>
          </cell>
          <cell r="B895" t="str">
            <v>BOX</v>
          </cell>
          <cell r="C895">
            <v>3</v>
          </cell>
          <cell r="D895">
            <v>65</v>
          </cell>
          <cell r="E895">
            <v>193</v>
          </cell>
          <cell r="F895">
            <v>74</v>
          </cell>
          <cell r="G895" t="str">
            <v>SE2500M</v>
          </cell>
          <cell r="H895" t="str">
            <v>몸통12뚜껑36</v>
          </cell>
          <cell r="I895">
            <v>2</v>
          </cell>
          <cell r="J895" t="str">
            <v>삼일이노팩</v>
          </cell>
          <cell r="K895">
            <v>57</v>
          </cell>
          <cell r="L895">
            <v>61</v>
          </cell>
          <cell r="M895">
            <v>163</v>
          </cell>
          <cell r="N895">
            <v>167</v>
          </cell>
          <cell r="O895">
            <v>800</v>
          </cell>
          <cell r="P895">
            <v>1360</v>
          </cell>
          <cell r="Q895">
            <v>250</v>
          </cell>
          <cell r="R895" t="str">
            <v>흰색</v>
          </cell>
          <cell r="S895" t="str">
            <v>흰색</v>
          </cell>
          <cell r="T895" t="str">
            <v>SI-N4K동일금형</v>
          </cell>
          <cell r="U895">
            <v>42089</v>
          </cell>
          <cell r="V895" t="str">
            <v>금형제조부</v>
          </cell>
          <cell r="W895" t="str">
            <v>SI-4K동일금형</v>
          </cell>
          <cell r="X895" t="str">
            <v>A-0603</v>
          </cell>
          <cell r="Y895">
            <v>64</v>
          </cell>
          <cell r="AD895">
            <v>0.9</v>
          </cell>
          <cell r="AE895">
            <v>70</v>
          </cell>
          <cell r="AF895">
            <v>4</v>
          </cell>
        </row>
        <row r="896">
          <cell r="A896" t="str">
            <v>SI-N4K(58배분리)</v>
          </cell>
          <cell r="B896" t="str">
            <v>BOX</v>
          </cell>
          <cell r="C896">
            <v>3</v>
          </cell>
          <cell r="D896">
            <v>65</v>
          </cell>
          <cell r="E896">
            <v>214</v>
          </cell>
          <cell r="F896">
            <v>58</v>
          </cell>
          <cell r="G896" t="str">
            <v>SE2500M</v>
          </cell>
          <cell r="H896" t="str">
            <v>몸통12뚜껑36</v>
          </cell>
          <cell r="I896">
            <v>2</v>
          </cell>
          <cell r="J896" t="str">
            <v>삼일이노팩</v>
          </cell>
          <cell r="K896">
            <v>57</v>
          </cell>
          <cell r="L896">
            <v>61</v>
          </cell>
          <cell r="M896">
            <v>163</v>
          </cell>
          <cell r="N896">
            <v>167</v>
          </cell>
          <cell r="O896">
            <v>800</v>
          </cell>
          <cell r="P896">
            <v>1360</v>
          </cell>
          <cell r="Q896">
            <v>250</v>
          </cell>
          <cell r="R896" t="str">
            <v>검정</v>
          </cell>
          <cell r="S896" t="str">
            <v>검정</v>
          </cell>
          <cell r="T896" t="str">
            <v>SI-N4K동일금형</v>
          </cell>
          <cell r="U896">
            <v>42089</v>
          </cell>
          <cell r="V896" t="str">
            <v>금형제조부</v>
          </cell>
          <cell r="W896" t="str">
            <v>SI-4K동일금형</v>
          </cell>
          <cell r="X896" t="str">
            <v>A-0603</v>
          </cell>
          <cell r="Y896">
            <v>64</v>
          </cell>
          <cell r="AD896">
            <v>0.9</v>
          </cell>
          <cell r="AE896">
            <v>70</v>
          </cell>
          <cell r="AF896">
            <v>2</v>
          </cell>
        </row>
        <row r="897">
          <cell r="A897" t="str">
            <v>SI-N4K(50배)</v>
          </cell>
          <cell r="B897" t="str">
            <v>BOX</v>
          </cell>
          <cell r="C897">
            <v>3</v>
          </cell>
          <cell r="D897">
            <v>65</v>
          </cell>
          <cell r="E897">
            <v>248</v>
          </cell>
          <cell r="F897">
            <v>65</v>
          </cell>
          <cell r="G897" t="str">
            <v>SG320AN</v>
          </cell>
          <cell r="H897">
            <v>12</v>
          </cell>
          <cell r="I897">
            <v>2</v>
          </cell>
          <cell r="J897" t="str">
            <v>삼일이노팩</v>
          </cell>
          <cell r="K897">
            <v>57</v>
          </cell>
          <cell r="L897">
            <v>61</v>
          </cell>
          <cell r="M897">
            <v>163</v>
          </cell>
          <cell r="N897">
            <v>167</v>
          </cell>
          <cell r="O897">
            <v>1450</v>
          </cell>
          <cell r="P897">
            <v>1360</v>
          </cell>
          <cell r="Q897">
            <v>250</v>
          </cell>
          <cell r="R897" t="str">
            <v>보라</v>
          </cell>
          <cell r="S897" t="str">
            <v>보라</v>
          </cell>
          <cell r="T897" t="str">
            <v>SI-N4K</v>
          </cell>
          <cell r="U897">
            <v>42089</v>
          </cell>
          <cell r="V897" t="str">
            <v>금형제조부</v>
          </cell>
          <cell r="W897" t="str">
            <v>SI-4K동일금형</v>
          </cell>
          <cell r="X897" t="str">
            <v>A-0603</v>
          </cell>
          <cell r="Y897">
            <v>50</v>
          </cell>
          <cell r="Z897">
            <v>248</v>
          </cell>
          <cell r="AC897" t="str">
            <v>김일환계장 SI-4K동일금형개조2015.03.31묶음단위변경(6-&gt;12),2016.04.11포장단위변경(12-&gt;10),2016.07.05수정,191008 50배기준 248g</v>
          </cell>
          <cell r="AD897">
            <v>0.85</v>
          </cell>
          <cell r="AE897">
            <v>70</v>
          </cell>
          <cell r="AF897">
            <v>2</v>
          </cell>
        </row>
        <row r="898">
          <cell r="A898" t="str">
            <v>SI-N4K</v>
          </cell>
          <cell r="B898" t="str">
            <v>BOX</v>
          </cell>
          <cell r="C898">
            <v>3</v>
          </cell>
          <cell r="D898">
            <v>65</v>
          </cell>
          <cell r="E898">
            <v>193</v>
          </cell>
          <cell r="F898">
            <v>74</v>
          </cell>
          <cell r="G898" t="str">
            <v>SE2500M</v>
          </cell>
          <cell r="H898">
            <v>12</v>
          </cell>
          <cell r="I898">
            <v>2</v>
          </cell>
          <cell r="J898" t="str">
            <v>삼일이노팩</v>
          </cell>
          <cell r="K898">
            <v>57</v>
          </cell>
          <cell r="L898">
            <v>61</v>
          </cell>
          <cell r="M898">
            <v>162</v>
          </cell>
          <cell r="N898">
            <v>167</v>
          </cell>
          <cell r="O898">
            <v>800</v>
          </cell>
          <cell r="P898">
            <v>1360</v>
          </cell>
          <cell r="Q898">
            <v>250</v>
          </cell>
          <cell r="R898" t="str">
            <v>노랑</v>
          </cell>
          <cell r="T898" t="str">
            <v>SI-N4K</v>
          </cell>
          <cell r="U898">
            <v>42089</v>
          </cell>
          <cell r="V898" t="str">
            <v>금형제조부</v>
          </cell>
          <cell r="W898" t="str">
            <v>SI-4K동일금형</v>
          </cell>
          <cell r="X898" t="str">
            <v>A-0603</v>
          </cell>
          <cell r="Y898">
            <v>64</v>
          </cell>
          <cell r="Z898">
            <v>12385</v>
          </cell>
          <cell r="AC898" t="str">
            <v>김일환계장 SI-4K동일금형개조2015.03.31묶음단위변경(6-&gt;12),2016.04.11포장단위변경(12-&gt;10),2016.07.05수정</v>
          </cell>
          <cell r="AD898">
            <v>0.85</v>
          </cell>
          <cell r="AE898">
            <v>70</v>
          </cell>
          <cell r="AF898">
            <v>2</v>
          </cell>
        </row>
        <row r="899">
          <cell r="A899" t="str">
            <v>SI-N150(몸통/뚜껑)</v>
          </cell>
          <cell r="B899" t="str">
            <v>BOX</v>
          </cell>
          <cell r="C899">
            <v>2</v>
          </cell>
          <cell r="D899">
            <v>90</v>
          </cell>
          <cell r="E899">
            <v>279</v>
          </cell>
          <cell r="F899">
            <v>74</v>
          </cell>
          <cell r="G899" t="str">
            <v>SE2500M</v>
          </cell>
          <cell r="H899" t="str">
            <v>몸통12뚜껑48</v>
          </cell>
          <cell r="I899">
            <v>2</v>
          </cell>
          <cell r="J899" t="str">
            <v>삼일이노팩</v>
          </cell>
          <cell r="K899">
            <v>40</v>
          </cell>
          <cell r="L899">
            <v>44</v>
          </cell>
          <cell r="M899">
            <v>256</v>
          </cell>
          <cell r="N899">
            <v>260</v>
          </cell>
          <cell r="O899">
            <v>1470</v>
          </cell>
          <cell r="P899">
            <v>1360</v>
          </cell>
          <cell r="Q899">
            <v>350</v>
          </cell>
          <cell r="R899" t="str">
            <v>보라</v>
          </cell>
          <cell r="S899" t="str">
            <v>보라</v>
          </cell>
          <cell r="T899" t="str">
            <v>NEWSI-150</v>
          </cell>
          <cell r="U899">
            <v>39409</v>
          </cell>
          <cell r="V899" t="str">
            <v>삼일금형</v>
          </cell>
          <cell r="W899" t="str">
            <v>수축불량 주의</v>
          </cell>
          <cell r="X899" t="str">
            <v>A-1104</v>
          </cell>
          <cell r="Y899">
            <v>64</v>
          </cell>
          <cell r="Z899">
            <v>17821</v>
          </cell>
          <cell r="AC899" t="str">
            <v>금형없음, SI-N150 동일금형</v>
          </cell>
          <cell r="AD899">
            <v>0.85</v>
          </cell>
          <cell r="AE899">
            <v>70</v>
          </cell>
          <cell r="AF899">
            <v>2</v>
          </cell>
        </row>
        <row r="900">
          <cell r="A900" t="str">
            <v>SI-N150(58배)</v>
          </cell>
          <cell r="B900" t="str">
            <v>BOX</v>
          </cell>
          <cell r="C900">
            <v>2</v>
          </cell>
          <cell r="D900">
            <v>70</v>
          </cell>
          <cell r="E900">
            <v>307</v>
          </cell>
          <cell r="F900">
            <v>70</v>
          </cell>
          <cell r="G900" t="str">
            <v>SF400</v>
          </cell>
          <cell r="H900">
            <v>10</v>
          </cell>
          <cell r="I900">
            <v>2</v>
          </cell>
          <cell r="J900" t="str">
            <v>삼일이노팩</v>
          </cell>
          <cell r="K900">
            <v>40</v>
          </cell>
          <cell r="L900">
            <v>44</v>
          </cell>
          <cell r="M900">
            <v>256</v>
          </cell>
          <cell r="N900">
            <v>260</v>
          </cell>
          <cell r="O900">
            <v>2700</v>
          </cell>
          <cell r="P900">
            <v>1360</v>
          </cell>
          <cell r="Q900">
            <v>350</v>
          </cell>
          <cell r="R900" t="str">
            <v>빨강</v>
          </cell>
          <cell r="S900" t="str">
            <v>빨강</v>
          </cell>
          <cell r="T900" t="str">
            <v>NEWSI-150</v>
          </cell>
          <cell r="U900">
            <v>39409</v>
          </cell>
          <cell r="V900" t="str">
            <v>삼일금형</v>
          </cell>
          <cell r="W900" t="str">
            <v>SI-N150 동일금형, 건조철저/물기확인!</v>
          </cell>
          <cell r="Y900">
            <v>58</v>
          </cell>
          <cell r="Z900">
            <v>17821</v>
          </cell>
          <cell r="AC900" t="str">
            <v>190305(68배 양산배율)</v>
          </cell>
          <cell r="AD900">
            <v>0.85</v>
          </cell>
          <cell r="AE900">
            <v>70</v>
          </cell>
          <cell r="AF900">
            <v>2</v>
          </cell>
        </row>
        <row r="901">
          <cell r="A901" t="str">
            <v>SI-N150(43배)</v>
          </cell>
          <cell r="B901" t="str">
            <v>BOX</v>
          </cell>
          <cell r="C901">
            <v>2</v>
          </cell>
          <cell r="D901">
            <v>80</v>
          </cell>
          <cell r="E901">
            <v>415</v>
          </cell>
          <cell r="F901">
            <v>50</v>
          </cell>
          <cell r="G901" t="str">
            <v>SF400</v>
          </cell>
          <cell r="H901">
            <v>10</v>
          </cell>
          <cell r="I901">
            <v>2</v>
          </cell>
          <cell r="J901" t="str">
            <v>삼일이노팩</v>
          </cell>
          <cell r="K901">
            <v>40</v>
          </cell>
          <cell r="L901">
            <v>44</v>
          </cell>
          <cell r="M901">
            <v>256</v>
          </cell>
          <cell r="N901">
            <v>260</v>
          </cell>
          <cell r="O901">
            <v>2700</v>
          </cell>
          <cell r="P901">
            <v>1360</v>
          </cell>
          <cell r="Q901">
            <v>350</v>
          </cell>
          <cell r="R901" t="str">
            <v>노랑</v>
          </cell>
          <cell r="S901" t="str">
            <v>노랑</v>
          </cell>
          <cell r="T901" t="str">
            <v>NEWSI-150</v>
          </cell>
          <cell r="U901">
            <v>39409</v>
          </cell>
          <cell r="V901" t="str">
            <v>삼일금형</v>
          </cell>
          <cell r="W901" t="str">
            <v>SI-N150 동일금형</v>
          </cell>
          <cell r="Y901">
            <v>64</v>
          </cell>
          <cell r="Z901">
            <v>17821</v>
          </cell>
          <cell r="AC901" t="str">
            <v>SI-N150 동일금형,2016.09.03적용,,2016.11.23기준중량변경(397-&gt;415)</v>
          </cell>
          <cell r="AD901">
            <v>0.85</v>
          </cell>
          <cell r="AE901">
            <v>70</v>
          </cell>
          <cell r="AF901">
            <v>1</v>
          </cell>
        </row>
        <row r="902">
          <cell r="A902" t="str">
            <v>SI-N150(30배)</v>
          </cell>
          <cell r="B902" t="str">
            <v>BOX</v>
          </cell>
          <cell r="C902">
            <v>2</v>
          </cell>
          <cell r="D902">
            <v>80</v>
          </cell>
          <cell r="E902">
            <v>594</v>
          </cell>
          <cell r="F902">
            <v>36</v>
          </cell>
          <cell r="G902" t="str">
            <v>B240NS</v>
          </cell>
          <cell r="H902">
            <v>10</v>
          </cell>
          <cell r="I902">
            <v>2</v>
          </cell>
          <cell r="J902" t="str">
            <v>삼일이노팩</v>
          </cell>
          <cell r="K902">
            <v>40</v>
          </cell>
          <cell r="L902">
            <v>44</v>
          </cell>
          <cell r="M902">
            <v>256</v>
          </cell>
          <cell r="N902">
            <v>260</v>
          </cell>
          <cell r="O902">
            <v>2700</v>
          </cell>
          <cell r="P902">
            <v>1360</v>
          </cell>
          <cell r="Q902">
            <v>350</v>
          </cell>
          <cell r="R902" t="str">
            <v>밴딩</v>
          </cell>
          <cell r="S902" t="str">
            <v>밴딩</v>
          </cell>
          <cell r="T902" t="str">
            <v>NEWSI-150</v>
          </cell>
          <cell r="U902">
            <v>39409</v>
          </cell>
          <cell r="V902" t="str">
            <v>삼일금형</v>
          </cell>
          <cell r="W902" t="str">
            <v>SI-N150 동일금형</v>
          </cell>
          <cell r="Y902">
            <v>64</v>
          </cell>
          <cell r="Z902">
            <v>17821</v>
          </cell>
          <cell r="AC902" t="str">
            <v>SI-N150 동일금형,2016.09.03적용,,2016.11.23기준중량변경(397-&gt;415)</v>
          </cell>
          <cell r="AD902">
            <v>0.85</v>
          </cell>
          <cell r="AE902">
            <v>70</v>
          </cell>
          <cell r="AF902">
            <v>2</v>
          </cell>
        </row>
        <row r="903">
          <cell r="A903" t="str">
            <v>SI-N150</v>
          </cell>
          <cell r="B903" t="str">
            <v>BOX</v>
          </cell>
          <cell r="C903">
            <v>2</v>
          </cell>
          <cell r="D903">
            <v>90</v>
          </cell>
          <cell r="E903">
            <v>279</v>
          </cell>
          <cell r="F903">
            <v>74</v>
          </cell>
          <cell r="G903" t="str">
            <v>SE2500M</v>
          </cell>
          <cell r="H903">
            <v>10</v>
          </cell>
          <cell r="I903">
            <v>2</v>
          </cell>
          <cell r="J903" t="str">
            <v>삼일이노팩</v>
          </cell>
          <cell r="K903">
            <v>40</v>
          </cell>
          <cell r="L903">
            <v>44</v>
          </cell>
          <cell r="M903">
            <v>256</v>
          </cell>
          <cell r="N903">
            <v>260</v>
          </cell>
          <cell r="O903">
            <v>1470</v>
          </cell>
          <cell r="P903">
            <v>1360</v>
          </cell>
          <cell r="Q903">
            <v>350</v>
          </cell>
          <cell r="R903" t="str">
            <v>파랑</v>
          </cell>
          <cell r="S903" t="str">
            <v>파랑</v>
          </cell>
          <cell r="T903" t="str">
            <v>NEWSI-150</v>
          </cell>
          <cell r="U903">
            <v>39409</v>
          </cell>
          <cell r="V903" t="str">
            <v>삼일금형</v>
          </cell>
          <cell r="W903" t="str">
            <v>수축불량 주의</v>
          </cell>
          <cell r="X903" t="str">
            <v>A-1104</v>
          </cell>
          <cell r="Y903">
            <v>64</v>
          </cell>
          <cell r="Z903">
            <v>17821</v>
          </cell>
          <cell r="AC903" t="str">
            <v>2012.04.06배율변경(57-&gt;62), 2012.08.27기준배율변경(62-&gt;65),2013.03.28 TOP기준치수변경(41~43-&gt;41~46), 2014.05.21기준중량 및 배율변경(370-&gt;297)(65-&gt;70), 2014.09.20개조2014.11.20수정코팅완료2014.11.22기준중량,기준배율변경(297-265,64배)2014.12.23수정2015.0106인중량변경(265g-267g),2015.09.02묶음단위변경8-&gt;10,끈색상변경(녹색-&gt;파랑), 2016.01.19 포장단위변경(10-&gt;8),2016.11.23기준중량변경(267-&gt;279)</v>
          </cell>
          <cell r="AD903">
            <v>0.85</v>
          </cell>
          <cell r="AE903">
            <v>70</v>
          </cell>
          <cell r="AF903">
            <v>2</v>
          </cell>
        </row>
        <row r="904">
          <cell r="A904" t="str">
            <v>SI-9호(50배)</v>
          </cell>
          <cell r="B904" t="str">
            <v>BOX</v>
          </cell>
          <cell r="C904">
            <v>3</v>
          </cell>
          <cell r="D904">
            <v>100</v>
          </cell>
          <cell r="E904">
            <v>383</v>
          </cell>
          <cell r="F904">
            <v>58</v>
          </cell>
          <cell r="G904" t="str">
            <v>SE2500M</v>
          </cell>
          <cell r="H904">
            <v>10</v>
          </cell>
          <cell r="I904">
            <v>2</v>
          </cell>
          <cell r="J904" t="str">
            <v>삼일이노팩</v>
          </cell>
          <cell r="K904">
            <v>48</v>
          </cell>
          <cell r="L904">
            <v>52</v>
          </cell>
          <cell r="M904">
            <v>264</v>
          </cell>
          <cell r="N904">
            <v>268</v>
          </cell>
          <cell r="P904">
            <v>1500</v>
          </cell>
          <cell r="Q904">
            <v>350</v>
          </cell>
          <cell r="R904" t="str">
            <v>보라</v>
          </cell>
          <cell r="U904">
            <v>44329</v>
          </cell>
          <cell r="V904" t="str">
            <v>세일하이테크</v>
          </cell>
          <cell r="W904" t="str">
            <v>HK-백신</v>
          </cell>
          <cell r="Y904">
            <v>50</v>
          </cell>
          <cell r="Z904">
            <v>19125</v>
          </cell>
          <cell r="AC904" t="str">
            <v>금형없음 SI-9호 동일금형</v>
          </cell>
          <cell r="AD904">
            <v>0.85</v>
          </cell>
          <cell r="AE904">
            <v>70</v>
          </cell>
          <cell r="AF904">
            <v>0</v>
          </cell>
        </row>
        <row r="905">
          <cell r="A905" t="str">
            <v>SI-9호</v>
          </cell>
          <cell r="B905" t="str">
            <v>BOX</v>
          </cell>
          <cell r="C905">
            <v>3</v>
          </cell>
          <cell r="D905">
            <v>100</v>
          </cell>
          <cell r="E905">
            <v>299</v>
          </cell>
          <cell r="F905">
            <v>74</v>
          </cell>
          <cell r="G905" t="str">
            <v>SE2500M</v>
          </cell>
          <cell r="H905">
            <v>10</v>
          </cell>
          <cell r="I905">
            <v>2</v>
          </cell>
          <cell r="J905" t="str">
            <v>삼일이노팩</v>
          </cell>
          <cell r="K905">
            <v>48</v>
          </cell>
          <cell r="L905">
            <v>52</v>
          </cell>
          <cell r="M905">
            <v>264</v>
          </cell>
          <cell r="N905">
            <v>268</v>
          </cell>
          <cell r="P905">
            <v>1500</v>
          </cell>
          <cell r="Q905">
            <v>350</v>
          </cell>
          <cell r="R905" t="str">
            <v>주황</v>
          </cell>
          <cell r="U905">
            <v>44329</v>
          </cell>
          <cell r="V905" t="str">
            <v>세일하이테크</v>
          </cell>
          <cell r="W905" t="str">
            <v>HK-백신</v>
          </cell>
          <cell r="Y905">
            <v>64</v>
          </cell>
          <cell r="Z905">
            <v>19125</v>
          </cell>
          <cell r="AC905" t="str">
            <v>김영석사원, 2021.05.18 코팅</v>
          </cell>
          <cell r="AD905">
            <v>0.85</v>
          </cell>
          <cell r="AE905">
            <v>70</v>
          </cell>
          <cell r="AF905">
            <v>6</v>
          </cell>
        </row>
        <row r="906">
          <cell r="A906" t="str">
            <v>SI-8호</v>
          </cell>
          <cell r="B906" t="str">
            <v>BOX</v>
          </cell>
          <cell r="C906">
            <v>3</v>
          </cell>
          <cell r="D906">
            <v>100</v>
          </cell>
          <cell r="E906">
            <v>170</v>
          </cell>
          <cell r="F906">
            <v>74</v>
          </cell>
          <cell r="G906" t="str">
            <v>SE2500M</v>
          </cell>
          <cell r="H906" t="str">
            <v>T:32 B:16</v>
          </cell>
          <cell r="I906">
            <v>2</v>
          </cell>
          <cell r="J906" t="str">
            <v>용인공장</v>
          </cell>
          <cell r="P906">
            <v>1360</v>
          </cell>
          <cell r="R906" t="str">
            <v>빨강</v>
          </cell>
          <cell r="AD906">
            <v>0.85</v>
          </cell>
        </row>
        <row r="907">
          <cell r="A907" t="str">
            <v>SI-8K(55배)</v>
          </cell>
          <cell r="B907" t="str">
            <v>BOX</v>
          </cell>
          <cell r="C907">
            <v>3</v>
          </cell>
          <cell r="D907">
            <v>80</v>
          </cell>
          <cell r="E907">
            <v>219</v>
          </cell>
          <cell r="F907">
            <v>65</v>
          </cell>
          <cell r="G907" t="str">
            <v>B240NS</v>
          </cell>
          <cell r="H907">
            <v>8</v>
          </cell>
          <cell r="I907">
            <v>2</v>
          </cell>
          <cell r="J907" t="str">
            <v>삼일이노팩</v>
          </cell>
          <cell r="K907">
            <v>58</v>
          </cell>
          <cell r="L907">
            <v>62</v>
          </cell>
          <cell r="M907">
            <v>225</v>
          </cell>
          <cell r="N907">
            <v>229</v>
          </cell>
          <cell r="P907">
            <v>1360</v>
          </cell>
          <cell r="Q907">
            <v>300</v>
          </cell>
          <cell r="R907" t="str">
            <v>비닐</v>
          </cell>
          <cell r="S907" t="str">
            <v>비닐</v>
          </cell>
          <cell r="T907" t="str">
            <v>SI-8K</v>
          </cell>
          <cell r="U907">
            <v>39882</v>
          </cell>
          <cell r="V907" t="str">
            <v>삼일금형</v>
          </cell>
          <cell r="Y907">
            <v>55</v>
          </cell>
          <cell r="Z907">
            <v>12067</v>
          </cell>
          <cell r="AC907" t="str">
            <v>2015.06.17 배율변경 DATA 입력</v>
          </cell>
          <cell r="AD907">
            <v>0.85</v>
          </cell>
          <cell r="AE907">
            <v>70</v>
          </cell>
          <cell r="AF907">
            <v>2</v>
          </cell>
        </row>
        <row r="908">
          <cell r="A908" t="str">
            <v>SI-8K#3(55배)</v>
          </cell>
          <cell r="B908" t="str">
            <v>BOX</v>
          </cell>
          <cell r="C908">
            <v>4</v>
          </cell>
          <cell r="D908">
            <v>75</v>
          </cell>
          <cell r="E908">
            <v>219</v>
          </cell>
          <cell r="F908">
            <v>65</v>
          </cell>
          <cell r="G908" t="str">
            <v>B240NS</v>
          </cell>
          <cell r="H908">
            <v>8</v>
          </cell>
          <cell r="I908">
            <v>2</v>
          </cell>
          <cell r="J908" t="str">
            <v>삼일이노팩</v>
          </cell>
          <cell r="K908">
            <v>58</v>
          </cell>
          <cell r="L908">
            <v>62</v>
          </cell>
          <cell r="M908">
            <v>225</v>
          </cell>
          <cell r="N908">
            <v>229</v>
          </cell>
          <cell r="P908">
            <v>1360</v>
          </cell>
          <cell r="Q908">
            <v>350</v>
          </cell>
          <cell r="R908" t="str">
            <v>비닐</v>
          </cell>
          <cell r="S908" t="str">
            <v>비닐</v>
          </cell>
          <cell r="T908" t="str">
            <v>SI-8K, 꺼꾸로 조립 확인!</v>
          </cell>
          <cell r="U908">
            <v>44462</v>
          </cell>
          <cell r="V908" t="str">
            <v>금형사업부</v>
          </cell>
          <cell r="W908" t="str">
            <v>열십자 (十)로 묶을 것</v>
          </cell>
          <cell r="Y908">
            <v>55</v>
          </cell>
          <cell r="Z908">
            <v>12067</v>
          </cell>
          <cell r="AC908" t="str">
            <v>금형없음 SI-8K#3동일금형</v>
          </cell>
          <cell r="AD908">
            <v>0.85</v>
          </cell>
          <cell r="AE908">
            <v>75</v>
          </cell>
          <cell r="AF908">
            <v>4</v>
          </cell>
        </row>
        <row r="909">
          <cell r="A909" t="str">
            <v>SI-8K#3</v>
          </cell>
          <cell r="B909" t="str">
            <v>BOX</v>
          </cell>
          <cell r="C909">
            <v>4</v>
          </cell>
          <cell r="D909">
            <v>75</v>
          </cell>
          <cell r="E909">
            <v>189</v>
          </cell>
          <cell r="F909">
            <v>74</v>
          </cell>
          <cell r="G909" t="str">
            <v>SE2500M</v>
          </cell>
          <cell r="H909" t="str">
            <v>몸통12뚜껑36</v>
          </cell>
          <cell r="I909">
            <v>2</v>
          </cell>
          <cell r="J909" t="str">
            <v>삼일이노팩</v>
          </cell>
          <cell r="K909">
            <v>58</v>
          </cell>
          <cell r="L909">
            <v>62</v>
          </cell>
          <cell r="M909">
            <v>225</v>
          </cell>
          <cell r="N909">
            <v>229</v>
          </cell>
          <cell r="O909">
            <v>1300</v>
          </cell>
          <cell r="P909">
            <v>1360</v>
          </cell>
          <cell r="Q909">
            <v>350</v>
          </cell>
          <cell r="R909" t="str">
            <v>보라</v>
          </cell>
          <cell r="S909" t="str">
            <v>보라</v>
          </cell>
          <cell r="T909" t="str">
            <v>SI-8K, 꺼꾸로 조립 확인!</v>
          </cell>
          <cell r="U909">
            <v>44462</v>
          </cell>
          <cell r="V909" t="str">
            <v>금형사업부</v>
          </cell>
          <cell r="Y909">
            <v>64</v>
          </cell>
          <cell r="Z909">
            <v>12067</v>
          </cell>
          <cell r="AC909" t="str">
            <v>석상준과장,코팅완료</v>
          </cell>
          <cell r="AD909">
            <v>0.85</v>
          </cell>
          <cell r="AE909">
            <v>75</v>
          </cell>
          <cell r="AF909">
            <v>4</v>
          </cell>
        </row>
        <row r="910">
          <cell r="A910" t="str">
            <v>SI-7호-BOT</v>
          </cell>
          <cell r="B910" t="str">
            <v>BOX</v>
          </cell>
          <cell r="C910">
            <v>12</v>
          </cell>
          <cell r="D910">
            <v>100</v>
          </cell>
          <cell r="E910">
            <v>107</v>
          </cell>
          <cell r="F910">
            <v>58</v>
          </cell>
          <cell r="G910" t="str">
            <v>SE2500M</v>
          </cell>
          <cell r="H910">
            <v>20</v>
          </cell>
          <cell r="I910">
            <v>1</v>
          </cell>
          <cell r="J910" t="str">
            <v>삼일이노팩</v>
          </cell>
          <cell r="K910">
            <v>258</v>
          </cell>
          <cell r="L910">
            <v>262</v>
          </cell>
          <cell r="P910">
            <v>1500</v>
          </cell>
          <cell r="Q910">
            <v>350</v>
          </cell>
          <cell r="R910" t="str">
            <v>노란비닐</v>
          </cell>
          <cell r="S910" t="str">
            <v>파란</v>
          </cell>
          <cell r="U910">
            <v>44319</v>
          </cell>
          <cell r="V910" t="str">
            <v>경원 ENG</v>
          </cell>
          <cell r="W910" t="str">
            <v>이유식-7K-BOT 노란비닐포장 1150*2000 (열십자(十)로 묶을 것</v>
          </cell>
          <cell r="Y910">
            <v>52</v>
          </cell>
          <cell r="Z910">
            <v>5572</v>
          </cell>
          <cell r="AC910" t="str">
            <v xml:space="preserve">석상준과장 </v>
          </cell>
          <cell r="AD910">
            <v>0.85</v>
          </cell>
          <cell r="AE910">
            <v>70</v>
          </cell>
          <cell r="AF910">
            <v>6</v>
          </cell>
        </row>
        <row r="911">
          <cell r="A911" t="str">
            <v>SI-7.5K(57배)</v>
          </cell>
          <cell r="B911" t="str">
            <v>BOX</v>
          </cell>
          <cell r="C911">
            <v>2</v>
          </cell>
          <cell r="D911">
            <v>60</v>
          </cell>
          <cell r="E911">
            <v>236</v>
          </cell>
          <cell r="F911">
            <v>70</v>
          </cell>
          <cell r="G911" t="str">
            <v>B240NS</v>
          </cell>
          <cell r="H911">
            <v>8</v>
          </cell>
          <cell r="I911">
            <v>2</v>
          </cell>
          <cell r="J911" t="str">
            <v>삼일이노팩</v>
          </cell>
          <cell r="K911">
            <v>38</v>
          </cell>
          <cell r="L911">
            <v>42</v>
          </cell>
          <cell r="M911">
            <v>123</v>
          </cell>
          <cell r="N911">
            <v>127</v>
          </cell>
          <cell r="O911">
            <v>1200</v>
          </cell>
          <cell r="P911">
            <v>1360</v>
          </cell>
          <cell r="Q911">
            <v>200</v>
          </cell>
          <cell r="R911" t="str">
            <v>녹색</v>
          </cell>
          <cell r="S911" t="str">
            <v>녹색</v>
          </cell>
          <cell r="T911" t="str">
            <v>SI-7.5</v>
          </cell>
          <cell r="U911">
            <v>40100</v>
          </cell>
          <cell r="V911" t="str">
            <v>삼일금형</v>
          </cell>
          <cell r="W911" t="str">
            <v>중량 확인!</v>
          </cell>
          <cell r="Y911">
            <v>64</v>
          </cell>
          <cell r="Z911">
            <v>13461</v>
          </cell>
          <cell r="AD911">
            <v>0.85</v>
          </cell>
          <cell r="AE911">
            <v>70</v>
          </cell>
          <cell r="AF911">
            <v>2</v>
          </cell>
        </row>
        <row r="912">
          <cell r="A912" t="str">
            <v>SI-7.5K</v>
          </cell>
          <cell r="B912" t="str">
            <v>BOX</v>
          </cell>
          <cell r="C912">
            <v>2</v>
          </cell>
          <cell r="D912">
            <v>60</v>
          </cell>
          <cell r="E912">
            <v>210</v>
          </cell>
          <cell r="F912">
            <v>74</v>
          </cell>
          <cell r="G912" t="str">
            <v>SE2500M</v>
          </cell>
          <cell r="H912">
            <v>8</v>
          </cell>
          <cell r="I912">
            <v>2</v>
          </cell>
          <cell r="J912" t="str">
            <v>삼일이노팩</v>
          </cell>
          <cell r="K912">
            <v>38</v>
          </cell>
          <cell r="L912">
            <v>42</v>
          </cell>
          <cell r="M912">
            <v>123</v>
          </cell>
          <cell r="N912">
            <v>127</v>
          </cell>
          <cell r="O912">
            <v>1200</v>
          </cell>
          <cell r="P912">
            <v>1360</v>
          </cell>
          <cell r="Q912">
            <v>200</v>
          </cell>
          <cell r="R912" t="str">
            <v>검정</v>
          </cell>
          <cell r="S912" t="str">
            <v>검정</v>
          </cell>
          <cell r="T912" t="str">
            <v>SI-7.5</v>
          </cell>
          <cell r="U912">
            <v>40100</v>
          </cell>
          <cell r="V912" t="str">
            <v>삼일금형</v>
          </cell>
          <cell r="X912" t="str">
            <v>Q-0501</v>
          </cell>
          <cell r="Y912">
            <v>64</v>
          </cell>
          <cell r="Z912">
            <v>13461</v>
          </cell>
          <cell r="AC912" t="str">
            <v>2009.10.19승인완료, 2014.06.02기준중량변경(262-&gt;224, 62-&gt;70), 2014.10.20코팅2014.12.01기준중량,기준배율변경(224-210,60-64).2015.0106.인중량변경(224g-210g)</v>
          </cell>
          <cell r="AD912">
            <v>0.85</v>
          </cell>
          <cell r="AE912">
            <v>70</v>
          </cell>
          <cell r="AF912">
            <v>2</v>
          </cell>
        </row>
        <row r="913">
          <cell r="A913" t="str">
            <v>SI-6호-BOT</v>
          </cell>
          <cell r="B913" t="str">
            <v>BOX</v>
          </cell>
          <cell r="C913">
            <v>12</v>
          </cell>
          <cell r="D913">
            <v>100</v>
          </cell>
          <cell r="E913">
            <v>93</v>
          </cell>
          <cell r="F913">
            <v>58</v>
          </cell>
          <cell r="G913" t="str">
            <v>SE2500M</v>
          </cell>
          <cell r="H913">
            <v>20</v>
          </cell>
          <cell r="I913">
            <v>1</v>
          </cell>
          <cell r="J913" t="str">
            <v>삼일이노팩</v>
          </cell>
          <cell r="K913">
            <v>218</v>
          </cell>
          <cell r="L913">
            <v>222</v>
          </cell>
          <cell r="P913">
            <v>1500</v>
          </cell>
          <cell r="Q913">
            <v>300</v>
          </cell>
          <cell r="R913" t="str">
            <v>노란비닐</v>
          </cell>
          <cell r="S913" t="str">
            <v>보라</v>
          </cell>
          <cell r="U913">
            <v>44331</v>
          </cell>
          <cell r="V913" t="str">
            <v>금형사업부</v>
          </cell>
          <cell r="W913" t="str">
            <v>이유식-5K 노란비닐포장 1150*1800 (열십자(十)로 묶을 것</v>
          </cell>
          <cell r="Y913">
            <v>52</v>
          </cell>
          <cell r="Z913">
            <v>4854</v>
          </cell>
          <cell r="AC913" t="str">
            <v>석상준과장</v>
          </cell>
          <cell r="AD913">
            <v>0.85</v>
          </cell>
          <cell r="AE913">
            <v>70</v>
          </cell>
          <cell r="AF913">
            <v>0</v>
          </cell>
        </row>
        <row r="914">
          <cell r="A914" t="str">
            <v>SI-6.5K#2</v>
          </cell>
          <cell r="B914" t="str">
            <v>BOX</v>
          </cell>
          <cell r="C914">
            <v>2</v>
          </cell>
          <cell r="D914">
            <v>80</v>
          </cell>
          <cell r="E914">
            <v>180</v>
          </cell>
          <cell r="F914">
            <v>74</v>
          </cell>
          <cell r="G914" t="str">
            <v>SE2500M</v>
          </cell>
          <cell r="H914">
            <v>8</v>
          </cell>
          <cell r="I914">
            <v>2</v>
          </cell>
          <cell r="J914" t="str">
            <v>삼일이노팩</v>
          </cell>
          <cell r="K914">
            <v>38</v>
          </cell>
          <cell r="L914">
            <v>42</v>
          </cell>
          <cell r="M914">
            <v>106</v>
          </cell>
          <cell r="N914">
            <v>110</v>
          </cell>
          <cell r="O914">
            <v>1000</v>
          </cell>
          <cell r="P914">
            <v>1300</v>
          </cell>
          <cell r="Q914">
            <v>200</v>
          </cell>
          <cell r="R914" t="str">
            <v>파랑</v>
          </cell>
          <cell r="S914" t="str">
            <v>파랑</v>
          </cell>
          <cell r="T914" t="str">
            <v>SI-6.5K</v>
          </cell>
          <cell r="U914">
            <v>39924</v>
          </cell>
          <cell r="V914" t="str">
            <v>삼일금형</v>
          </cell>
          <cell r="X914" t="str">
            <v>P-0501</v>
          </cell>
          <cell r="Y914">
            <v>64</v>
          </cell>
          <cell r="Z914">
            <v>11520</v>
          </cell>
          <cell r="AC914" t="str">
            <v>2014.06.02기준중량변경(210-&gt;165, 62-&gt;70)2014.12.01기준중량,기준배율변경(165-155,60-64)20150106인중량변경(210g-155g),기준중량변경(155→180),2017.07.06묶음단위 및 끈색 변경 (10-&gt;8,노랑-&gt;파랑)</v>
          </cell>
          <cell r="AD914">
            <v>0.85</v>
          </cell>
          <cell r="AE914">
            <v>85</v>
          </cell>
          <cell r="AF914">
            <v>1</v>
          </cell>
        </row>
        <row r="915">
          <cell r="A915" t="str">
            <v>SI-5호-BOT</v>
          </cell>
          <cell r="B915" t="str">
            <v>BOX</v>
          </cell>
          <cell r="C915">
            <v>12</v>
          </cell>
          <cell r="D915">
            <v>100</v>
          </cell>
          <cell r="E915">
            <v>72</v>
          </cell>
          <cell r="F915">
            <v>58</v>
          </cell>
          <cell r="G915" t="str">
            <v>SE2500M</v>
          </cell>
          <cell r="H915">
            <v>20</v>
          </cell>
          <cell r="I915">
            <v>1</v>
          </cell>
          <cell r="J915" t="str">
            <v>삼일이노팩</v>
          </cell>
          <cell r="K915">
            <v>158</v>
          </cell>
          <cell r="L915">
            <v>162</v>
          </cell>
          <cell r="P915">
            <v>1500</v>
          </cell>
          <cell r="Q915">
            <v>250</v>
          </cell>
          <cell r="R915" t="str">
            <v>노란비닐</v>
          </cell>
          <cell r="S915" t="str">
            <v>주황</v>
          </cell>
          <cell r="U915">
            <v>44330</v>
          </cell>
          <cell r="V915" t="str">
            <v>금형사업부</v>
          </cell>
          <cell r="W915" t="str">
            <v>이유식-3K 노란비닐포장 1150*1500 (열십자(十)로 묶을 것</v>
          </cell>
          <cell r="Y915">
            <v>52</v>
          </cell>
          <cell r="Z915">
            <v>3767</v>
          </cell>
          <cell r="AC915" t="str">
            <v>석상준과장</v>
          </cell>
          <cell r="AD915">
            <v>0.85</v>
          </cell>
          <cell r="AE915">
            <v>70</v>
          </cell>
          <cell r="AF915">
            <v>0</v>
          </cell>
        </row>
        <row r="916">
          <cell r="A916" t="str">
            <v>SI-5K</v>
          </cell>
          <cell r="B916" t="str">
            <v>BOX</v>
          </cell>
          <cell r="C916">
            <v>3</v>
          </cell>
          <cell r="D916">
            <v>75</v>
          </cell>
          <cell r="E916">
            <v>191</v>
          </cell>
          <cell r="F916">
            <v>74</v>
          </cell>
          <cell r="G916" t="str">
            <v>SE2500M</v>
          </cell>
          <cell r="H916">
            <v>8</v>
          </cell>
          <cell r="I916">
            <v>2</v>
          </cell>
          <cell r="J916" t="str">
            <v>삼일이노팩</v>
          </cell>
          <cell r="K916">
            <v>43</v>
          </cell>
          <cell r="L916">
            <v>47</v>
          </cell>
          <cell r="M916">
            <v>241</v>
          </cell>
          <cell r="N916">
            <v>245</v>
          </cell>
          <cell r="O916">
            <v>1150</v>
          </cell>
          <cell r="P916">
            <v>1360</v>
          </cell>
          <cell r="Q916">
            <v>350</v>
          </cell>
          <cell r="R916" t="str">
            <v>노랑</v>
          </cell>
          <cell r="S916" t="str">
            <v>노랑</v>
          </cell>
          <cell r="T916" t="str">
            <v>신진5KTOP/BOT</v>
          </cell>
          <cell r="U916">
            <v>40229</v>
          </cell>
          <cell r="V916" t="str">
            <v>삼일금형</v>
          </cell>
          <cell r="W916" t="str">
            <v>포장 묶음 단위 8조 확인! TOP/BOT 형합확인!</v>
          </cell>
          <cell r="X916" t="str">
            <v>A-0705</v>
          </cell>
          <cell r="Y916">
            <v>64</v>
          </cell>
          <cell r="Z916">
            <v>12236</v>
          </cell>
          <cell r="AC916" t="str">
            <v>2010.03.03승인완료, 2014.06.02기준중량변경(270-&gt;228, 62-&gt;70)2014.11.06수정 및 코팅 중량 60배228-&gt;64배1962014.12.23수정2015.0106인중량변경(196g-191g)</v>
          </cell>
          <cell r="AD916">
            <v>0.85</v>
          </cell>
          <cell r="AE916">
            <v>75</v>
          </cell>
          <cell r="AF916">
            <v>4</v>
          </cell>
        </row>
        <row r="917">
          <cell r="A917" t="str">
            <v>SI-567-TOP</v>
          </cell>
          <cell r="B917" t="str">
            <v>BOX</v>
          </cell>
          <cell r="C917">
            <v>12</v>
          </cell>
          <cell r="D917">
            <v>100</v>
          </cell>
          <cell r="E917">
            <v>28</v>
          </cell>
          <cell r="F917">
            <v>65</v>
          </cell>
          <cell r="G917" t="str">
            <v>SE2500M</v>
          </cell>
          <cell r="H917">
            <v>100</v>
          </cell>
          <cell r="I917">
            <v>1</v>
          </cell>
          <cell r="J917" t="str">
            <v>삼일이노팩</v>
          </cell>
          <cell r="K917">
            <v>39</v>
          </cell>
          <cell r="L917">
            <v>43</v>
          </cell>
          <cell r="P917">
            <v>1500</v>
          </cell>
          <cell r="Q917">
            <v>150</v>
          </cell>
          <cell r="R917" t="str">
            <v>노란비닐</v>
          </cell>
          <cell r="S917" t="str">
            <v>하얀</v>
          </cell>
          <cell r="U917">
            <v>44328</v>
          </cell>
          <cell r="V917" t="str">
            <v>금형사업부</v>
          </cell>
          <cell r="W917" t="str">
            <v>이유식-TOP  노란비닐포장 1150*1500 (열십자(十)로 묶을 것</v>
          </cell>
          <cell r="Y917">
            <v>52</v>
          </cell>
          <cell r="Z917">
            <v>1458</v>
          </cell>
          <cell r="AC917" t="str">
            <v>석상준과장, 2021.07.30 사용배율 변경58-&gt;64</v>
          </cell>
          <cell r="AD917">
            <v>0.85</v>
          </cell>
          <cell r="AE917">
            <v>70</v>
          </cell>
          <cell r="AF917">
            <v>3</v>
          </cell>
        </row>
        <row r="918">
          <cell r="A918" t="str">
            <v>SI-4호(형합)</v>
          </cell>
          <cell r="B918" t="str">
            <v>BOX</v>
          </cell>
          <cell r="C918">
            <v>6</v>
          </cell>
          <cell r="D918">
            <v>80</v>
          </cell>
          <cell r="E918">
            <v>101</v>
          </cell>
          <cell r="F918">
            <v>74</v>
          </cell>
          <cell r="G918" t="str">
            <v>B240NS</v>
          </cell>
          <cell r="H918">
            <v>10</v>
          </cell>
          <cell r="I918">
            <v>2</v>
          </cell>
          <cell r="J918" t="str">
            <v>삼일이노팩</v>
          </cell>
          <cell r="K918">
            <v>58</v>
          </cell>
          <cell r="L918">
            <v>62</v>
          </cell>
          <cell r="M918">
            <v>149</v>
          </cell>
          <cell r="N918">
            <v>153</v>
          </cell>
          <cell r="P918">
            <v>1500</v>
          </cell>
          <cell r="Q918">
            <v>300</v>
          </cell>
          <cell r="R918" t="str">
            <v>녹색</v>
          </cell>
          <cell r="S918" t="str">
            <v>녹색</v>
          </cell>
          <cell r="U918">
            <v>44167</v>
          </cell>
          <cell r="V918" t="str">
            <v>세일하이테크</v>
          </cell>
          <cell r="Y918">
            <v>64</v>
          </cell>
          <cell r="Z918">
            <v>6939</v>
          </cell>
          <cell r="AC918" t="str">
            <v>금형없음, SI-4호 동일금형</v>
          </cell>
          <cell r="AD918">
            <v>0.85</v>
          </cell>
          <cell r="AE918">
            <v>70</v>
          </cell>
          <cell r="AF918">
            <v>6</v>
          </cell>
        </row>
        <row r="919">
          <cell r="A919" t="str">
            <v>SI-4호(55배)</v>
          </cell>
          <cell r="B919" t="str">
            <v>BOX</v>
          </cell>
          <cell r="C919">
            <v>6</v>
          </cell>
          <cell r="D919">
            <v>80</v>
          </cell>
          <cell r="E919">
            <v>126</v>
          </cell>
          <cell r="F919">
            <v>65</v>
          </cell>
          <cell r="G919" t="str">
            <v>B240NS</v>
          </cell>
          <cell r="H919">
            <v>10</v>
          </cell>
          <cell r="I919">
            <v>2</v>
          </cell>
          <cell r="J919" t="str">
            <v>삼일이노팩</v>
          </cell>
          <cell r="K919">
            <v>58</v>
          </cell>
          <cell r="L919">
            <v>62</v>
          </cell>
          <cell r="M919">
            <v>149</v>
          </cell>
          <cell r="N919">
            <v>153</v>
          </cell>
          <cell r="P919">
            <v>1500</v>
          </cell>
          <cell r="Q919">
            <v>300</v>
          </cell>
          <cell r="R919" t="str">
            <v>비닐</v>
          </cell>
          <cell r="S919" t="str">
            <v>비닐</v>
          </cell>
          <cell r="U919">
            <v>44167</v>
          </cell>
          <cell r="V919" t="str">
            <v>세일하이테크</v>
          </cell>
          <cell r="Y919">
            <v>55</v>
          </cell>
          <cell r="Z919">
            <v>6939</v>
          </cell>
          <cell r="AC919" t="str">
            <v>석상준과장, 2020.12.15재입고</v>
          </cell>
          <cell r="AD919">
            <v>0.85</v>
          </cell>
          <cell r="AE919">
            <v>70</v>
          </cell>
          <cell r="AF919">
            <v>4</v>
          </cell>
        </row>
        <row r="920">
          <cell r="A920" t="str">
            <v>SI-4호</v>
          </cell>
          <cell r="B920" t="str">
            <v>BOX</v>
          </cell>
          <cell r="C920">
            <v>6</v>
          </cell>
          <cell r="D920">
            <v>80</v>
          </cell>
          <cell r="E920">
            <v>101</v>
          </cell>
          <cell r="F920">
            <v>74</v>
          </cell>
          <cell r="G920" t="str">
            <v>B240NS</v>
          </cell>
          <cell r="H920" t="str">
            <v>몸통12뚜껑24</v>
          </cell>
          <cell r="I920">
            <v>2</v>
          </cell>
          <cell r="J920" t="str">
            <v>삼일이노팩</v>
          </cell>
          <cell r="K920">
            <v>58</v>
          </cell>
          <cell r="L920">
            <v>62</v>
          </cell>
          <cell r="M920">
            <v>149</v>
          </cell>
          <cell r="N920">
            <v>153</v>
          </cell>
          <cell r="P920">
            <v>1500</v>
          </cell>
          <cell r="Q920">
            <v>300</v>
          </cell>
          <cell r="R920" t="str">
            <v>녹색</v>
          </cell>
          <cell r="S920" t="str">
            <v>녹색</v>
          </cell>
          <cell r="U920">
            <v>44167</v>
          </cell>
          <cell r="V920" t="str">
            <v>세일하이테크</v>
          </cell>
          <cell r="W920" t="str">
            <v>융착,버(BURR)불량 확인할것!!</v>
          </cell>
          <cell r="Y920">
            <v>64</v>
          </cell>
          <cell r="Z920">
            <v>6939</v>
          </cell>
          <cell r="AC920" t="str">
            <v>석상준과장, 2020.12.15재입고, 2022.02.08코팅</v>
          </cell>
          <cell r="AD920">
            <v>0.85</v>
          </cell>
          <cell r="AE920">
            <v>70</v>
          </cell>
          <cell r="AF920">
            <v>4</v>
          </cell>
        </row>
        <row r="921">
          <cell r="A921" t="str">
            <v>SI-4K</v>
          </cell>
          <cell r="B921" t="str">
            <v>BOX</v>
          </cell>
          <cell r="C921">
            <v>2</v>
          </cell>
          <cell r="D921">
            <v>118</v>
          </cell>
          <cell r="E921">
            <v>150</v>
          </cell>
          <cell r="F921">
            <v>74</v>
          </cell>
          <cell r="G921" t="str">
            <v>B240NS</v>
          </cell>
          <cell r="H921">
            <v>3</v>
          </cell>
          <cell r="I921">
            <v>2</v>
          </cell>
          <cell r="J921" t="str">
            <v>LG생명과학</v>
          </cell>
          <cell r="K921">
            <v>55</v>
          </cell>
          <cell r="L921">
            <v>59</v>
          </cell>
          <cell r="M921">
            <v>292</v>
          </cell>
          <cell r="N921">
            <v>296</v>
          </cell>
          <cell r="O921">
            <v>2020</v>
          </cell>
          <cell r="P921">
            <v>1360</v>
          </cell>
          <cell r="Q921">
            <v>400</v>
          </cell>
          <cell r="R921" t="str">
            <v>비닐</v>
          </cell>
          <cell r="S921" t="str">
            <v>비닐</v>
          </cell>
          <cell r="T921" t="str">
            <v>LG3호박스</v>
          </cell>
          <cell r="U921">
            <v>39597</v>
          </cell>
          <cell r="V921" t="str">
            <v>삼일금형</v>
          </cell>
          <cell r="AA921">
            <v>41267</v>
          </cell>
          <cell r="AB921" t="str">
            <v>아산이피에스</v>
          </cell>
          <cell r="AC921" t="str">
            <v>아산EPS에서 제품입고</v>
          </cell>
          <cell r="AD921">
            <v>0.85</v>
          </cell>
          <cell r="AE921">
            <v>118</v>
          </cell>
          <cell r="AF921">
            <v>2</v>
          </cell>
        </row>
        <row r="922">
          <cell r="A922" t="str">
            <v>SI-4.5K(컬리)</v>
          </cell>
          <cell r="B922" t="str">
            <v>BOX</v>
          </cell>
          <cell r="C922">
            <v>3</v>
          </cell>
          <cell r="D922">
            <v>65</v>
          </cell>
          <cell r="E922">
            <v>196</v>
          </cell>
          <cell r="F922">
            <v>74</v>
          </cell>
          <cell r="G922" t="str">
            <v>SE2500M</v>
          </cell>
          <cell r="H922">
            <v>8</v>
          </cell>
          <cell r="I922">
            <v>2</v>
          </cell>
          <cell r="J922" t="str">
            <v>삼일이노팩</v>
          </cell>
          <cell r="K922">
            <v>36</v>
          </cell>
          <cell r="L922">
            <v>40</v>
          </cell>
          <cell r="M922">
            <v>196</v>
          </cell>
          <cell r="N922">
            <v>200</v>
          </cell>
          <cell r="O922">
            <v>950</v>
          </cell>
          <cell r="P922">
            <v>1360</v>
          </cell>
          <cell r="Q922">
            <v>300</v>
          </cell>
          <cell r="R922" t="str">
            <v>파랑</v>
          </cell>
          <cell r="S922" t="str">
            <v>파랑</v>
          </cell>
          <cell r="U922">
            <v>42026</v>
          </cell>
          <cell r="V922" t="str">
            <v>금형제조부</v>
          </cell>
          <cell r="W922" t="str">
            <v>SI-4.5K동일금형</v>
          </cell>
          <cell r="Y922">
            <v>64</v>
          </cell>
          <cell r="Z922">
            <v>12516</v>
          </cell>
          <cell r="AC922" t="str">
            <v>김일환계장2015.01.24수정2015.02.09수정,2016.11.23기준중량(170-&gt;196),2018.07.23끈색변경(녹색-&gt;파랑)</v>
          </cell>
          <cell r="AD922">
            <v>0.85</v>
          </cell>
          <cell r="AE922">
            <v>70</v>
          </cell>
          <cell r="AF922">
            <v>12</v>
          </cell>
        </row>
        <row r="923">
          <cell r="A923" t="str">
            <v>SI-4.5K#2(컬리58배분리)</v>
          </cell>
          <cell r="B923" t="str">
            <v>BOX</v>
          </cell>
          <cell r="C923">
            <v>3</v>
          </cell>
          <cell r="D923">
            <v>65</v>
          </cell>
          <cell r="E923">
            <v>216</v>
          </cell>
          <cell r="F923">
            <v>58</v>
          </cell>
          <cell r="G923" t="str">
            <v>SE2500M</v>
          </cell>
          <cell r="H923" t="str">
            <v>몸통12뚜껑36</v>
          </cell>
          <cell r="I923">
            <v>2</v>
          </cell>
          <cell r="J923" t="str">
            <v>삼일이노팩</v>
          </cell>
          <cell r="K923">
            <v>36</v>
          </cell>
          <cell r="L923">
            <v>40</v>
          </cell>
          <cell r="M923">
            <v>196</v>
          </cell>
          <cell r="N923">
            <v>200</v>
          </cell>
          <cell r="O923">
            <v>950</v>
          </cell>
          <cell r="P923">
            <v>1500</v>
          </cell>
          <cell r="Q923">
            <v>300</v>
          </cell>
          <cell r="R923" t="str">
            <v>노랑</v>
          </cell>
          <cell r="S923" t="str">
            <v>노랑</v>
          </cell>
          <cell r="U923">
            <v>44131</v>
          </cell>
          <cell r="V923" t="str">
            <v>금형사업부</v>
          </cell>
          <cell r="W923" t="str">
            <v>SI-4.5K동일금형</v>
          </cell>
          <cell r="Y923">
            <v>64</v>
          </cell>
          <cell r="Z923">
            <v>12516</v>
          </cell>
          <cell r="AD923">
            <v>0.85</v>
          </cell>
          <cell r="AE923">
            <v>70</v>
          </cell>
          <cell r="AF923">
            <v>8</v>
          </cell>
        </row>
        <row r="924">
          <cell r="A924" t="str">
            <v>SI-4.5K#2(컬리)-분리</v>
          </cell>
          <cell r="B924" t="str">
            <v>BOX</v>
          </cell>
          <cell r="C924">
            <v>3</v>
          </cell>
          <cell r="D924">
            <v>65</v>
          </cell>
          <cell r="E924">
            <v>196</v>
          </cell>
          <cell r="F924">
            <v>74</v>
          </cell>
          <cell r="G924" t="str">
            <v>SE2500M</v>
          </cell>
          <cell r="H924" t="str">
            <v>몸통12뚜껑36</v>
          </cell>
          <cell r="I924">
            <v>2</v>
          </cell>
          <cell r="J924" t="str">
            <v>삼일이노팩</v>
          </cell>
          <cell r="K924">
            <v>36</v>
          </cell>
          <cell r="L924">
            <v>40</v>
          </cell>
          <cell r="M924">
            <v>196</v>
          </cell>
          <cell r="N924">
            <v>200</v>
          </cell>
          <cell r="O924">
            <v>950</v>
          </cell>
          <cell r="P924">
            <v>1500</v>
          </cell>
          <cell r="Q924">
            <v>300</v>
          </cell>
          <cell r="R924" t="str">
            <v>빨강</v>
          </cell>
          <cell r="S924" t="str">
            <v>빨강</v>
          </cell>
          <cell r="U924">
            <v>44131</v>
          </cell>
          <cell r="V924" t="str">
            <v>금형사업부</v>
          </cell>
          <cell r="W924" t="str">
            <v>SI-4.5K동일금형</v>
          </cell>
          <cell r="Y924">
            <v>64</v>
          </cell>
          <cell r="Z924">
            <v>12516</v>
          </cell>
          <cell r="AD924">
            <v>0.85</v>
          </cell>
          <cell r="AE924">
            <v>70</v>
          </cell>
          <cell r="AF924">
            <v>24</v>
          </cell>
        </row>
        <row r="925">
          <cell r="A925" t="str">
            <v>SI-4.5K#2(컬리)</v>
          </cell>
          <cell r="B925" t="str">
            <v>BOX</v>
          </cell>
          <cell r="C925">
            <v>3</v>
          </cell>
          <cell r="D925">
            <v>65</v>
          </cell>
          <cell r="E925">
            <v>196</v>
          </cell>
          <cell r="F925">
            <v>74</v>
          </cell>
          <cell r="G925" t="str">
            <v>SE2500M</v>
          </cell>
          <cell r="H925">
            <v>8</v>
          </cell>
          <cell r="I925">
            <v>2</v>
          </cell>
          <cell r="J925" t="str">
            <v>삼일이노팩</v>
          </cell>
          <cell r="K925">
            <v>36</v>
          </cell>
          <cell r="L925">
            <v>40</v>
          </cell>
          <cell r="M925">
            <v>196</v>
          </cell>
          <cell r="N925">
            <v>200</v>
          </cell>
          <cell r="O925">
            <v>950</v>
          </cell>
          <cell r="P925">
            <v>1500</v>
          </cell>
          <cell r="Q925">
            <v>300</v>
          </cell>
          <cell r="R925" t="str">
            <v>파랑</v>
          </cell>
          <cell r="S925" t="str">
            <v>파랑</v>
          </cell>
          <cell r="U925">
            <v>44131</v>
          </cell>
          <cell r="V925" t="str">
            <v>금형사업부</v>
          </cell>
          <cell r="W925" t="str">
            <v>SI-4.5K동일금형</v>
          </cell>
          <cell r="Y925">
            <v>64</v>
          </cell>
          <cell r="Z925">
            <v>12516</v>
          </cell>
          <cell r="AD925">
            <v>0.85</v>
          </cell>
          <cell r="AE925">
            <v>70</v>
          </cell>
          <cell r="AF925">
            <v>4</v>
          </cell>
        </row>
        <row r="926">
          <cell r="A926" t="str">
            <v>SI-4.5K</v>
          </cell>
          <cell r="B926" t="str">
            <v>BOX</v>
          </cell>
          <cell r="C926">
            <v>3</v>
          </cell>
          <cell r="D926">
            <v>65</v>
          </cell>
          <cell r="E926">
            <v>196</v>
          </cell>
          <cell r="F926">
            <v>74</v>
          </cell>
          <cell r="G926" t="str">
            <v>SE2500M</v>
          </cell>
          <cell r="H926">
            <v>8</v>
          </cell>
          <cell r="I926">
            <v>2</v>
          </cell>
          <cell r="J926" t="str">
            <v>삼일이노팩</v>
          </cell>
          <cell r="K926">
            <v>36</v>
          </cell>
          <cell r="L926">
            <v>40</v>
          </cell>
          <cell r="M926">
            <v>196</v>
          </cell>
          <cell r="N926">
            <v>200</v>
          </cell>
          <cell r="O926">
            <v>880</v>
          </cell>
          <cell r="P926">
            <v>1360</v>
          </cell>
          <cell r="Q926">
            <v>300</v>
          </cell>
          <cell r="R926" t="str">
            <v>녹색</v>
          </cell>
          <cell r="S926" t="str">
            <v>녹색</v>
          </cell>
          <cell r="T926" t="str">
            <v>SI-4.5K</v>
          </cell>
          <cell r="U926">
            <v>42026</v>
          </cell>
          <cell r="V926" t="str">
            <v>금형제조부</v>
          </cell>
          <cell r="Y926">
            <v>64</v>
          </cell>
          <cell r="Z926">
            <v>12516</v>
          </cell>
          <cell r="AC926" t="str">
            <v>김일환계장2015.01.24수정2015.02.09수정,2016.11.23기준중량(170-&gt;196), 2020.04.14 BURR 수리, 2020.07.11재코팅</v>
          </cell>
          <cell r="AD926">
            <v>0.85</v>
          </cell>
          <cell r="AE926">
            <v>70</v>
          </cell>
          <cell r="AF926">
            <v>9</v>
          </cell>
        </row>
        <row r="927">
          <cell r="A927" t="str">
            <v>SI-3호(60배)</v>
          </cell>
          <cell r="B927" t="str">
            <v>BOX</v>
          </cell>
          <cell r="C927">
            <v>4</v>
          </cell>
          <cell r="D927">
            <v>80</v>
          </cell>
          <cell r="E927">
            <v>133</v>
          </cell>
          <cell r="F927">
            <v>68</v>
          </cell>
          <cell r="G927" t="str">
            <v>SE2500M</v>
          </cell>
          <cell r="H927" t="str">
            <v>T:40B:10</v>
          </cell>
          <cell r="I927">
            <v>2</v>
          </cell>
          <cell r="J927" t="str">
            <v>삼일이노팩</v>
          </cell>
          <cell r="K927">
            <v>38</v>
          </cell>
          <cell r="L927">
            <v>42</v>
          </cell>
          <cell r="M927">
            <v>188</v>
          </cell>
          <cell r="N927">
            <v>192</v>
          </cell>
          <cell r="P927">
            <v>1360</v>
          </cell>
          <cell r="Q927">
            <v>300</v>
          </cell>
          <cell r="R927" t="str">
            <v>보라</v>
          </cell>
          <cell r="U927">
            <v>44145</v>
          </cell>
          <cell r="V927" t="str">
            <v>금형사업부</v>
          </cell>
          <cell r="W927" t="str">
            <v>포장:필히 건조 확인 후 비닐포장</v>
          </cell>
          <cell r="Y927">
            <v>48</v>
          </cell>
          <cell r="AC927" t="str">
            <v>김영석사원</v>
          </cell>
          <cell r="AD927">
            <v>0.85</v>
          </cell>
          <cell r="AE927">
            <v>70</v>
          </cell>
          <cell r="AF927">
            <v>4</v>
          </cell>
        </row>
        <row r="928">
          <cell r="A928" t="str">
            <v>SI-3호(48배)</v>
          </cell>
          <cell r="B928" t="str">
            <v>BOX</v>
          </cell>
          <cell r="C928">
            <v>4</v>
          </cell>
          <cell r="D928">
            <v>80</v>
          </cell>
          <cell r="E928">
            <v>166</v>
          </cell>
          <cell r="F928">
            <v>58</v>
          </cell>
          <cell r="G928" t="str">
            <v>SE2500M</v>
          </cell>
          <cell r="H928">
            <v>10</v>
          </cell>
          <cell r="I928">
            <v>2</v>
          </cell>
          <cell r="J928" t="str">
            <v>삼일이노팩</v>
          </cell>
          <cell r="K928">
            <v>38</v>
          </cell>
          <cell r="L928">
            <v>42</v>
          </cell>
          <cell r="M928">
            <v>188</v>
          </cell>
          <cell r="N928">
            <v>192</v>
          </cell>
          <cell r="P928">
            <v>1360</v>
          </cell>
          <cell r="Q928">
            <v>300</v>
          </cell>
          <cell r="R928" t="str">
            <v>노랑</v>
          </cell>
          <cell r="S928" t="str">
            <v>노랑</v>
          </cell>
          <cell r="U928">
            <v>44145</v>
          </cell>
          <cell r="V928" t="str">
            <v>금형사업부</v>
          </cell>
          <cell r="W928" t="str">
            <v>포장:필히 건조 확인 후 비닐포장</v>
          </cell>
          <cell r="Y928">
            <v>48</v>
          </cell>
          <cell r="AC928" t="str">
            <v>김영석사원</v>
          </cell>
          <cell r="AD928">
            <v>0.85</v>
          </cell>
          <cell r="AE928">
            <v>70</v>
          </cell>
          <cell r="AF928">
            <v>4</v>
          </cell>
        </row>
        <row r="929">
          <cell r="A929" t="str">
            <v>SI-3호</v>
          </cell>
          <cell r="B929" t="str">
            <v>BOX</v>
          </cell>
          <cell r="C929">
            <v>4</v>
          </cell>
          <cell r="D929">
            <v>75</v>
          </cell>
          <cell r="E929">
            <v>124</v>
          </cell>
          <cell r="F929">
            <v>74</v>
          </cell>
          <cell r="G929" t="str">
            <v>SE2500M</v>
          </cell>
          <cell r="H929" t="str">
            <v>T:40B:10</v>
          </cell>
          <cell r="I929">
            <v>2</v>
          </cell>
          <cell r="J929" t="str">
            <v>삼일이노팩</v>
          </cell>
          <cell r="K929">
            <v>38</v>
          </cell>
          <cell r="L929">
            <v>42</v>
          </cell>
          <cell r="M929">
            <v>188</v>
          </cell>
          <cell r="N929">
            <v>192</v>
          </cell>
          <cell r="P929">
            <v>1360</v>
          </cell>
          <cell r="Q929">
            <v>300</v>
          </cell>
          <cell r="R929" t="str">
            <v>흰색</v>
          </cell>
          <cell r="U929">
            <v>44145</v>
          </cell>
          <cell r="V929" t="str">
            <v>금형사업부</v>
          </cell>
          <cell r="Y929">
            <v>64</v>
          </cell>
          <cell r="Z929">
            <v>7968</v>
          </cell>
          <cell r="AC929" t="str">
            <v>석상준과장, 2020.12.03코팅 및 BOT 휘다 2개소 추가</v>
          </cell>
          <cell r="AD929">
            <v>0.85</v>
          </cell>
          <cell r="AE929">
            <v>70</v>
          </cell>
          <cell r="AF929">
            <v>4</v>
          </cell>
        </row>
        <row r="930">
          <cell r="A930" t="str">
            <v>SI-2호</v>
          </cell>
          <cell r="B930" t="str">
            <v>SET</v>
          </cell>
          <cell r="C930">
            <v>3</v>
          </cell>
          <cell r="D930">
            <v>100</v>
          </cell>
          <cell r="E930">
            <v>270</v>
          </cell>
          <cell r="F930">
            <v>74</v>
          </cell>
          <cell r="G930" t="str">
            <v>B240NS</v>
          </cell>
          <cell r="H930">
            <v>6</v>
          </cell>
          <cell r="I930">
            <v>2</v>
          </cell>
          <cell r="J930" t="str">
            <v>한국이노팩</v>
          </cell>
          <cell r="O930">
            <v>1269</v>
          </cell>
          <cell r="P930">
            <v>1360</v>
          </cell>
          <cell r="Q930">
            <v>450</v>
          </cell>
          <cell r="R930" t="str">
            <v>검정</v>
          </cell>
          <cell r="U930">
            <v>43840</v>
          </cell>
          <cell r="V930" t="str">
            <v>금형제조부</v>
          </cell>
          <cell r="Y930">
            <v>64</v>
          </cell>
          <cell r="Z930">
            <v>17173</v>
          </cell>
          <cell r="AC930" t="str">
            <v>2020.01.22 모델명 각인추가 및 코팅완료</v>
          </cell>
          <cell r="AD930">
            <v>0.85</v>
          </cell>
          <cell r="AE930">
            <v>90</v>
          </cell>
          <cell r="AF930">
            <v>6</v>
          </cell>
        </row>
        <row r="931">
          <cell r="A931" t="str">
            <v>SI-25K(55배)</v>
          </cell>
          <cell r="B931" t="str">
            <v>BOX</v>
          </cell>
          <cell r="C931">
            <v>2</v>
          </cell>
          <cell r="D931">
            <v>90</v>
          </cell>
          <cell r="E931">
            <v>494</v>
          </cell>
          <cell r="F931">
            <v>65</v>
          </cell>
          <cell r="G931" t="str">
            <v>SE2500M</v>
          </cell>
          <cell r="H931" t="str">
            <v>몸통:3 뚜껑12</v>
          </cell>
          <cell r="I931">
            <v>2</v>
          </cell>
          <cell r="J931" t="str">
            <v>삼일이노팩</v>
          </cell>
          <cell r="K931">
            <v>48</v>
          </cell>
          <cell r="L931">
            <v>52</v>
          </cell>
          <cell r="M931">
            <v>283</v>
          </cell>
          <cell r="N931">
            <v>287</v>
          </cell>
          <cell r="O931">
            <v>5400</v>
          </cell>
          <cell r="P931">
            <v>1360</v>
          </cell>
          <cell r="Q931">
            <v>400</v>
          </cell>
          <cell r="R931" t="str">
            <v>보라</v>
          </cell>
          <cell r="S931" t="str">
            <v>보라</v>
          </cell>
          <cell r="U931">
            <v>44797</v>
          </cell>
          <cell r="V931" t="str">
            <v>금형사업부</v>
          </cell>
          <cell r="AC931" t="str">
            <v>김영석사원</v>
          </cell>
          <cell r="AD931">
            <v>0.85</v>
          </cell>
          <cell r="AE931">
            <v>80</v>
          </cell>
        </row>
        <row r="932">
          <cell r="A932" t="str">
            <v>SI-25K(55배)</v>
          </cell>
          <cell r="B932" t="str">
            <v>BOX</v>
          </cell>
          <cell r="C932">
            <v>2</v>
          </cell>
          <cell r="D932">
            <v>100</v>
          </cell>
          <cell r="E932">
            <v>494</v>
          </cell>
          <cell r="F932">
            <v>65</v>
          </cell>
          <cell r="G932" t="str">
            <v>SE2500M</v>
          </cell>
          <cell r="H932" t="str">
            <v>몸통:3 뚜껑12</v>
          </cell>
          <cell r="I932">
            <v>2</v>
          </cell>
          <cell r="J932" t="str">
            <v>삼일이노팩</v>
          </cell>
          <cell r="K932">
            <v>48</v>
          </cell>
          <cell r="L932">
            <v>52</v>
          </cell>
          <cell r="M932">
            <v>283</v>
          </cell>
          <cell r="N932">
            <v>287</v>
          </cell>
          <cell r="O932">
            <v>5400</v>
          </cell>
          <cell r="P932">
            <v>1360</v>
          </cell>
          <cell r="Q932">
            <v>400</v>
          </cell>
          <cell r="R932" t="str">
            <v>보라</v>
          </cell>
          <cell r="S932" t="str">
            <v>보라</v>
          </cell>
          <cell r="U932">
            <v>44797</v>
          </cell>
          <cell r="V932" t="str">
            <v>금형사업부</v>
          </cell>
          <cell r="AC932" t="str">
            <v>김영석사원</v>
          </cell>
          <cell r="AD932">
            <v>0.85</v>
          </cell>
        </row>
        <row r="933">
          <cell r="A933" t="str">
            <v>SI-25K(55배)</v>
          </cell>
          <cell r="B933" t="str">
            <v>BOX</v>
          </cell>
          <cell r="C933">
            <v>2</v>
          </cell>
          <cell r="D933">
            <v>100</v>
          </cell>
          <cell r="E933">
            <v>494</v>
          </cell>
          <cell r="F933">
            <v>65</v>
          </cell>
          <cell r="G933" t="str">
            <v>SE2500M</v>
          </cell>
          <cell r="H933" t="str">
            <v>몸통:3 뚜껑12</v>
          </cell>
          <cell r="I933">
            <v>2</v>
          </cell>
          <cell r="J933" t="str">
            <v>삼일이노팩</v>
          </cell>
          <cell r="K933">
            <v>48</v>
          </cell>
          <cell r="L933">
            <v>52</v>
          </cell>
          <cell r="M933">
            <v>283</v>
          </cell>
          <cell r="N933">
            <v>287</v>
          </cell>
          <cell r="O933">
            <v>5400</v>
          </cell>
          <cell r="P933">
            <v>1360</v>
          </cell>
          <cell r="Q933">
            <v>400</v>
          </cell>
          <cell r="R933" t="str">
            <v>보라</v>
          </cell>
          <cell r="S933" t="str">
            <v>보라</v>
          </cell>
          <cell r="U933">
            <v>44797</v>
          </cell>
          <cell r="V933" t="str">
            <v>금형사업부</v>
          </cell>
          <cell r="AC933" t="str">
            <v>김영석사원</v>
          </cell>
          <cell r="AD933">
            <v>0.85</v>
          </cell>
        </row>
        <row r="934">
          <cell r="A934" t="str">
            <v>SI-25K</v>
          </cell>
          <cell r="B934" t="str">
            <v>BOX</v>
          </cell>
          <cell r="C934">
            <v>3</v>
          </cell>
          <cell r="D934">
            <v>70</v>
          </cell>
          <cell r="E934">
            <v>404</v>
          </cell>
          <cell r="F934">
            <v>65</v>
          </cell>
          <cell r="G934" t="str">
            <v>SE2500M</v>
          </cell>
          <cell r="H934">
            <v>8</v>
          </cell>
          <cell r="I934">
            <v>2</v>
          </cell>
          <cell r="J934" t="str">
            <v>용인공장</v>
          </cell>
          <cell r="K934">
            <v>68</v>
          </cell>
          <cell r="L934">
            <v>72</v>
          </cell>
          <cell r="M934">
            <v>233</v>
          </cell>
          <cell r="N934">
            <v>237</v>
          </cell>
          <cell r="P934">
            <v>1700</v>
          </cell>
          <cell r="Q934">
            <v>350</v>
          </cell>
          <cell r="R934" t="str">
            <v>파랑</v>
          </cell>
          <cell r="U934">
            <v>45425</v>
          </cell>
          <cell r="V934" t="str">
            <v>금형사업부</v>
          </cell>
          <cell r="W934" t="str">
            <v>SK200 내피몸통</v>
          </cell>
          <cell r="AD934">
            <v>0.85</v>
          </cell>
        </row>
        <row r="935">
          <cell r="A935" t="str">
            <v>SI-1호#3(몸통/뚜껑)</v>
          </cell>
          <cell r="B935" t="str">
            <v>BOX</v>
          </cell>
          <cell r="C935">
            <v>3</v>
          </cell>
          <cell r="D935">
            <v>80</v>
          </cell>
          <cell r="E935">
            <v>186</v>
          </cell>
          <cell r="F935">
            <v>74</v>
          </cell>
          <cell r="G935" t="str">
            <v>SE2500M</v>
          </cell>
          <cell r="H935" t="str">
            <v>몸통8뚜껑48</v>
          </cell>
          <cell r="I935">
            <v>2</v>
          </cell>
          <cell r="J935" t="str">
            <v>삼일이노팩</v>
          </cell>
          <cell r="K935">
            <v>33</v>
          </cell>
          <cell r="L935">
            <v>37</v>
          </cell>
          <cell r="M935">
            <v>213</v>
          </cell>
          <cell r="N935">
            <v>217</v>
          </cell>
          <cell r="O935">
            <v>1100</v>
          </cell>
          <cell r="P935">
            <v>1360</v>
          </cell>
          <cell r="Q935">
            <v>350</v>
          </cell>
          <cell r="R935" t="str">
            <v>노랑</v>
          </cell>
          <cell r="S935" t="str">
            <v>노랑</v>
          </cell>
          <cell r="T935" t="str">
            <v>SI-1호#2(김치박스)</v>
          </cell>
          <cell r="U935">
            <v>44559</v>
          </cell>
          <cell r="V935" t="str">
            <v>금형사업부</v>
          </cell>
          <cell r="Y935">
            <v>64</v>
          </cell>
          <cell r="Z935">
            <v>11860</v>
          </cell>
          <cell r="AC935" t="str">
            <v>석상준과장금형없음, SI-1호#3 동일금형</v>
          </cell>
          <cell r="AD935">
            <v>0.85</v>
          </cell>
          <cell r="AE935">
            <v>75</v>
          </cell>
          <cell r="AF935">
            <v>6</v>
          </cell>
        </row>
        <row r="936">
          <cell r="A936" t="str">
            <v>SI-1호#3</v>
          </cell>
          <cell r="B936" t="str">
            <v>BOX</v>
          </cell>
          <cell r="C936">
            <v>3</v>
          </cell>
          <cell r="D936">
            <v>80</v>
          </cell>
          <cell r="E936">
            <v>186</v>
          </cell>
          <cell r="F936">
            <v>74</v>
          </cell>
          <cell r="G936" t="str">
            <v>SE2500M</v>
          </cell>
          <cell r="H936">
            <v>8</v>
          </cell>
          <cell r="I936">
            <v>2</v>
          </cell>
          <cell r="J936" t="str">
            <v>삼일이노팩</v>
          </cell>
          <cell r="K936">
            <v>33</v>
          </cell>
          <cell r="L936">
            <v>37</v>
          </cell>
          <cell r="M936">
            <v>213</v>
          </cell>
          <cell r="N936">
            <v>217</v>
          </cell>
          <cell r="O936">
            <v>1100</v>
          </cell>
          <cell r="P936">
            <v>1360</v>
          </cell>
          <cell r="Q936">
            <v>350</v>
          </cell>
          <cell r="R936" t="str">
            <v>주황</v>
          </cell>
          <cell r="S936" t="str">
            <v>주황</v>
          </cell>
          <cell r="T936" t="str">
            <v>SI-1호#2(김치박스)</v>
          </cell>
          <cell r="U936">
            <v>44559</v>
          </cell>
          <cell r="V936" t="str">
            <v>금형사업부</v>
          </cell>
          <cell r="Y936">
            <v>64</v>
          </cell>
          <cell r="Z936">
            <v>11860</v>
          </cell>
          <cell r="AC936" t="str">
            <v>석상준과장,코팅완료</v>
          </cell>
          <cell r="AD936">
            <v>0.85</v>
          </cell>
          <cell r="AE936">
            <v>75</v>
          </cell>
          <cell r="AF936">
            <v>6</v>
          </cell>
        </row>
        <row r="937">
          <cell r="A937" t="str">
            <v>SI-1호#2(27배)</v>
          </cell>
          <cell r="B937" t="str">
            <v>BOX</v>
          </cell>
          <cell r="C937">
            <v>3</v>
          </cell>
          <cell r="D937">
            <v>96</v>
          </cell>
          <cell r="E937">
            <v>480</v>
          </cell>
          <cell r="F937">
            <v>36</v>
          </cell>
          <cell r="G937" t="str">
            <v>B240NS</v>
          </cell>
          <cell r="H937">
            <v>6</v>
          </cell>
          <cell r="I937">
            <v>2</v>
          </cell>
          <cell r="J937" t="str">
            <v>삼일이노팩</v>
          </cell>
          <cell r="K937">
            <v>33</v>
          </cell>
          <cell r="L937">
            <v>37</v>
          </cell>
          <cell r="M937">
            <v>213</v>
          </cell>
          <cell r="N937">
            <v>217</v>
          </cell>
          <cell r="O937">
            <v>3000</v>
          </cell>
          <cell r="P937">
            <v>1300</v>
          </cell>
          <cell r="Q937">
            <v>300</v>
          </cell>
          <cell r="R937" t="str">
            <v>비닐</v>
          </cell>
          <cell r="S937" t="str">
            <v>비닐</v>
          </cell>
          <cell r="AC937" t="str">
            <v>SI-1호#2금형동일, 2012.08.09 포장단위변경(8조-&gt;6조) 및 묶음방법변경(보라색끈-&gt;비닐포장), 납품처-&gt;보령바이오,2015.10.05기준중량 변경(550-&gt;480)</v>
          </cell>
          <cell r="AD937">
            <v>0.89</v>
          </cell>
          <cell r="AE937">
            <v>80</v>
          </cell>
          <cell r="AF937">
            <v>6</v>
          </cell>
        </row>
        <row r="938">
          <cell r="A938" t="str">
            <v>SI-1K</v>
          </cell>
          <cell r="B938" t="str">
            <v>BOX</v>
          </cell>
          <cell r="C938">
            <v>4</v>
          </cell>
          <cell r="D938">
            <v>59</v>
          </cell>
          <cell r="E938">
            <v>52</v>
          </cell>
          <cell r="F938">
            <v>65</v>
          </cell>
          <cell r="G938" t="str">
            <v>SE2500M</v>
          </cell>
          <cell r="H938">
            <v>40</v>
          </cell>
          <cell r="I938">
            <v>2</v>
          </cell>
          <cell r="J938" t="str">
            <v>삼일이노팩</v>
          </cell>
          <cell r="K938">
            <v>13</v>
          </cell>
          <cell r="L938">
            <v>17</v>
          </cell>
          <cell r="M938">
            <v>63</v>
          </cell>
          <cell r="N938">
            <v>67</v>
          </cell>
          <cell r="O938">
            <v>350</v>
          </cell>
          <cell r="P938">
            <v>1300</v>
          </cell>
          <cell r="Q938">
            <v>150</v>
          </cell>
          <cell r="R938" t="str">
            <v>빨강</v>
          </cell>
          <cell r="T938" t="str">
            <v>1KG</v>
          </cell>
          <cell r="U938">
            <v>39883</v>
          </cell>
          <cell r="V938" t="str">
            <v>삼일금형</v>
          </cell>
          <cell r="W938" t="str">
            <v>융착,수축확인,중량확인, 정상 조립.</v>
          </cell>
          <cell r="X938" t="str">
            <v>Q-0902</v>
          </cell>
          <cell r="Y938">
            <v>50</v>
          </cell>
          <cell r="Z938">
            <v>2603</v>
          </cell>
          <cell r="AC938" t="str">
            <v>2014.09.27포장단위변경(30-&gt;40)2014.12.01기준중량,기준배율변경(70-32,60-62),2016.11.09배율변경70배-&gt;62배,2016.11.23기준중량변경(70-&gt;33),2017.05.18배율변경(62배-&gt;65배), 2020.06.09BURR 수리및 코팅, 2020.09.04끈색상변경(검정-&gt;빨강), 2020.09.07기준중량및기준배율변경 변경(33-&gt;36, 62-&gt;55), 2020.09.23 체적변경으로 기준중량변경(36-&gt;52)</v>
          </cell>
          <cell r="AD938">
            <v>0.85</v>
          </cell>
          <cell r="AE938">
            <v>70</v>
          </cell>
          <cell r="AF938">
            <v>2</v>
          </cell>
        </row>
        <row r="939">
          <cell r="A939" t="str">
            <v>SI-1B</v>
          </cell>
          <cell r="B939" t="str">
            <v>BOX</v>
          </cell>
          <cell r="C939">
            <v>6</v>
          </cell>
          <cell r="D939">
            <v>70</v>
          </cell>
          <cell r="E939">
            <v>87</v>
          </cell>
          <cell r="F939">
            <v>74</v>
          </cell>
          <cell r="G939" t="str">
            <v>SE2500M</v>
          </cell>
          <cell r="H939">
            <v>24</v>
          </cell>
          <cell r="I939">
            <v>2</v>
          </cell>
          <cell r="J939" t="str">
            <v>삼일이노팩</v>
          </cell>
          <cell r="K939">
            <v>33</v>
          </cell>
          <cell r="L939">
            <v>37</v>
          </cell>
          <cell r="M939">
            <v>153</v>
          </cell>
          <cell r="N939">
            <v>157</v>
          </cell>
          <cell r="O939">
            <v>550</v>
          </cell>
          <cell r="P939">
            <v>1360</v>
          </cell>
          <cell r="Q939">
            <v>250</v>
          </cell>
          <cell r="R939" t="str">
            <v>보라</v>
          </cell>
          <cell r="S939" t="str">
            <v>보라</v>
          </cell>
          <cell r="T939" t="str">
            <v>SI-1B</v>
          </cell>
          <cell r="U939">
            <v>40381</v>
          </cell>
          <cell r="V939" t="str">
            <v>금형제조부</v>
          </cell>
          <cell r="W939" t="str">
            <v>가운데핀 long(6~9호기 착형 지양)</v>
          </cell>
          <cell r="X939" t="str">
            <v>A-0906</v>
          </cell>
          <cell r="AC939" t="str">
            <v>2015.0106인중량변경(100g-87g)</v>
          </cell>
          <cell r="AD939">
            <v>0.9</v>
          </cell>
          <cell r="AE939">
            <v>70</v>
          </cell>
          <cell r="AF939">
            <v>4</v>
          </cell>
        </row>
        <row r="940">
          <cell r="A940" t="str">
            <v>SI-15K#4(몸통/뚜껑)</v>
          </cell>
          <cell r="B940" t="str">
            <v>BOX</v>
          </cell>
          <cell r="C940">
            <v>2</v>
          </cell>
          <cell r="D940">
            <v>80</v>
          </cell>
          <cell r="E940">
            <v>318</v>
          </cell>
          <cell r="F940">
            <v>74</v>
          </cell>
          <cell r="G940" t="str">
            <v>SE2500M</v>
          </cell>
          <cell r="H940" t="str">
            <v>몸통:4뚜껑:20</v>
          </cell>
          <cell r="I940">
            <v>2</v>
          </cell>
          <cell r="J940" t="str">
            <v>삼일이노팩</v>
          </cell>
          <cell r="K940">
            <v>48</v>
          </cell>
          <cell r="L940">
            <v>52</v>
          </cell>
          <cell r="M940">
            <v>238</v>
          </cell>
          <cell r="N940">
            <v>242</v>
          </cell>
          <cell r="O940">
            <v>1495</v>
          </cell>
          <cell r="P940">
            <v>1360</v>
          </cell>
          <cell r="Q940">
            <v>350</v>
          </cell>
          <cell r="R940" t="str">
            <v>노란비닐</v>
          </cell>
          <cell r="S940" t="str">
            <v>검정</v>
          </cell>
          <cell r="T940" t="str">
            <v>SI-15K</v>
          </cell>
          <cell r="U940">
            <v>43957</v>
          </cell>
          <cell r="V940" t="str">
            <v>금형제조부</v>
          </cell>
          <cell r="W940" t="str">
            <v xml:space="preserve">노란비닐포장 (1150*1800) 열십자十로 묶을 것 </v>
          </cell>
          <cell r="Y940">
            <v>64</v>
          </cell>
          <cell r="Z940">
            <v>20382</v>
          </cell>
          <cell r="AC940" t="str">
            <v>금형없음 SI-15K#4 동일금형</v>
          </cell>
          <cell r="AD940">
            <v>0.85</v>
          </cell>
          <cell r="AE940">
            <v>65</v>
          </cell>
          <cell r="AF940">
            <v>4</v>
          </cell>
        </row>
        <row r="941">
          <cell r="A941" t="str">
            <v>SI-15K#4(EPO)</v>
          </cell>
          <cell r="B941" t="str">
            <v>BOX</v>
          </cell>
          <cell r="C941">
            <v>2</v>
          </cell>
          <cell r="D941">
            <v>85</v>
          </cell>
          <cell r="E941">
            <v>680</v>
          </cell>
          <cell r="F941">
            <v>36</v>
          </cell>
          <cell r="G941" t="str">
            <v>PNSD30</v>
          </cell>
          <cell r="H941">
            <v>4</v>
          </cell>
          <cell r="I941">
            <v>2</v>
          </cell>
          <cell r="J941" t="str">
            <v>삼일이노팩</v>
          </cell>
          <cell r="K941">
            <v>48</v>
          </cell>
          <cell r="L941">
            <v>52</v>
          </cell>
          <cell r="M941">
            <v>238</v>
          </cell>
          <cell r="N941">
            <v>242</v>
          </cell>
          <cell r="O941">
            <v>2000</v>
          </cell>
          <cell r="P941">
            <v>1360</v>
          </cell>
          <cell r="Q941">
            <v>350</v>
          </cell>
          <cell r="R941" t="str">
            <v>흰색</v>
          </cell>
          <cell r="S941" t="str">
            <v>흰색</v>
          </cell>
          <cell r="T941" t="str">
            <v>SI-15K#2</v>
          </cell>
          <cell r="U941">
            <v>41858</v>
          </cell>
          <cell r="V941" t="str">
            <v>금형제조부</v>
          </cell>
          <cell r="X941" t="str">
            <v>B-0306</v>
          </cell>
          <cell r="Y941">
            <v>64</v>
          </cell>
          <cell r="Z941">
            <v>20382</v>
          </cell>
          <cell r="AC941" t="str">
            <v>2018.10.16. EPO 샘플(대상)</v>
          </cell>
          <cell r="AD941">
            <v>0.85</v>
          </cell>
          <cell r="AE941">
            <v>80</v>
          </cell>
          <cell r="AF941">
            <v>12</v>
          </cell>
        </row>
        <row r="942">
          <cell r="A942" t="str">
            <v>SI-15K#4(48배)</v>
          </cell>
          <cell r="B942" t="str">
            <v>BOX</v>
          </cell>
          <cell r="C942">
            <v>2</v>
          </cell>
          <cell r="D942">
            <v>90</v>
          </cell>
          <cell r="E942">
            <v>430</v>
          </cell>
          <cell r="F942">
            <v>65</v>
          </cell>
          <cell r="G942" t="str">
            <v>B240NS</v>
          </cell>
          <cell r="H942">
            <v>4</v>
          </cell>
          <cell r="I942">
            <v>2</v>
          </cell>
          <cell r="J942" t="str">
            <v>삼일이노팩</v>
          </cell>
          <cell r="K942">
            <v>48</v>
          </cell>
          <cell r="L942">
            <v>52</v>
          </cell>
          <cell r="M942">
            <v>238</v>
          </cell>
          <cell r="N942">
            <v>242</v>
          </cell>
          <cell r="O942">
            <v>2900</v>
          </cell>
          <cell r="P942">
            <v>1360</v>
          </cell>
          <cell r="Q942">
            <v>350</v>
          </cell>
          <cell r="R942" t="str">
            <v>파랑</v>
          </cell>
          <cell r="S942" t="str">
            <v>파랑</v>
          </cell>
          <cell r="T942" t="str">
            <v>SI-15K#4</v>
          </cell>
          <cell r="U942">
            <v>43957</v>
          </cell>
          <cell r="V942" t="str">
            <v>금형제조부</v>
          </cell>
          <cell r="Y942">
            <v>48</v>
          </cell>
          <cell r="Z942">
            <v>20382</v>
          </cell>
          <cell r="AC942" t="str">
            <v>금형없음, SI-15K#4 동일금형</v>
          </cell>
          <cell r="AD942">
            <v>0.85</v>
          </cell>
          <cell r="AE942">
            <v>85</v>
          </cell>
          <cell r="AF942">
            <v>2</v>
          </cell>
        </row>
        <row r="943">
          <cell r="A943" t="str">
            <v>SI-15K#4(40배)</v>
          </cell>
          <cell r="B943" t="str">
            <v>BOX</v>
          </cell>
          <cell r="C943">
            <v>2</v>
          </cell>
          <cell r="D943">
            <v>95</v>
          </cell>
          <cell r="E943">
            <v>510</v>
          </cell>
          <cell r="F943">
            <v>50</v>
          </cell>
          <cell r="G943" t="str">
            <v>SE2500M</v>
          </cell>
          <cell r="H943">
            <v>4</v>
          </cell>
          <cell r="I943">
            <v>2</v>
          </cell>
          <cell r="J943" t="str">
            <v>삼일이노팩</v>
          </cell>
          <cell r="K943">
            <v>48</v>
          </cell>
          <cell r="L943">
            <v>52</v>
          </cell>
          <cell r="M943">
            <v>238</v>
          </cell>
          <cell r="N943">
            <v>242</v>
          </cell>
          <cell r="O943">
            <v>2000</v>
          </cell>
          <cell r="P943">
            <v>1360</v>
          </cell>
          <cell r="Q943">
            <v>350</v>
          </cell>
          <cell r="R943" t="str">
            <v>빨강</v>
          </cell>
          <cell r="S943" t="str">
            <v>빨강</v>
          </cell>
          <cell r="T943" t="str">
            <v>SI-15K</v>
          </cell>
          <cell r="U943">
            <v>43957</v>
          </cell>
          <cell r="V943" t="str">
            <v>금형제조부</v>
          </cell>
          <cell r="Y943">
            <v>40</v>
          </cell>
          <cell r="Z943">
            <v>20382</v>
          </cell>
          <cell r="AC943" t="str">
            <v>금형없음, SI-15K#4 동일금형</v>
          </cell>
          <cell r="AD943">
            <v>0.85</v>
          </cell>
          <cell r="AE943">
            <v>65</v>
          </cell>
        </row>
        <row r="944">
          <cell r="A944" t="str">
            <v>SI-15K#4(30배)</v>
          </cell>
          <cell r="B944" t="str">
            <v>BOX</v>
          </cell>
          <cell r="C944">
            <v>2</v>
          </cell>
          <cell r="D944">
            <v>85</v>
          </cell>
          <cell r="E944">
            <v>680</v>
          </cell>
          <cell r="F944">
            <v>36</v>
          </cell>
          <cell r="G944" t="str">
            <v>B240NS</v>
          </cell>
          <cell r="H944">
            <v>4</v>
          </cell>
          <cell r="I944">
            <v>2</v>
          </cell>
          <cell r="J944" t="str">
            <v>삼일이노팩</v>
          </cell>
          <cell r="K944">
            <v>48</v>
          </cell>
          <cell r="L944">
            <v>52</v>
          </cell>
          <cell r="M944">
            <v>238</v>
          </cell>
          <cell r="N944">
            <v>242</v>
          </cell>
          <cell r="O944">
            <v>2000</v>
          </cell>
          <cell r="P944">
            <v>1360</v>
          </cell>
          <cell r="Q944">
            <v>350</v>
          </cell>
          <cell r="R944" t="str">
            <v>흰색</v>
          </cell>
          <cell r="S944" t="str">
            <v>흰색</v>
          </cell>
          <cell r="T944" t="str">
            <v>SI-15K#2</v>
          </cell>
          <cell r="U944">
            <v>41858</v>
          </cell>
          <cell r="V944" t="str">
            <v>금형제조부</v>
          </cell>
          <cell r="X944" t="str">
            <v>B-0306</v>
          </cell>
          <cell r="Y944">
            <v>64</v>
          </cell>
          <cell r="Z944">
            <v>20382</v>
          </cell>
          <cell r="AC944" t="str">
            <v>2018.10.16. 30배 샘플(대상)</v>
          </cell>
          <cell r="AD944">
            <v>0.85</v>
          </cell>
          <cell r="AE944">
            <v>80</v>
          </cell>
          <cell r="AF944">
            <v>4</v>
          </cell>
        </row>
        <row r="945">
          <cell r="A945" t="str">
            <v>SI-15K#4(20배)</v>
          </cell>
          <cell r="B945" t="str">
            <v>BOX</v>
          </cell>
          <cell r="C945">
            <v>2</v>
          </cell>
          <cell r="D945">
            <v>85</v>
          </cell>
          <cell r="E945">
            <v>1020</v>
          </cell>
          <cell r="F945">
            <v>24</v>
          </cell>
          <cell r="G945" t="str">
            <v>B240NS</v>
          </cell>
          <cell r="H945">
            <v>4</v>
          </cell>
          <cell r="I945">
            <v>2</v>
          </cell>
          <cell r="J945" t="str">
            <v>삼일이노팩</v>
          </cell>
          <cell r="K945">
            <v>48</v>
          </cell>
          <cell r="L945">
            <v>52</v>
          </cell>
          <cell r="M945">
            <v>238</v>
          </cell>
          <cell r="N945">
            <v>242</v>
          </cell>
          <cell r="O945">
            <v>2000</v>
          </cell>
          <cell r="P945">
            <v>1360</v>
          </cell>
          <cell r="Q945">
            <v>350</v>
          </cell>
          <cell r="R945" t="str">
            <v>흰색</v>
          </cell>
          <cell r="S945" t="str">
            <v>흰색</v>
          </cell>
          <cell r="T945" t="str">
            <v>SI-15K#2</v>
          </cell>
          <cell r="U945">
            <v>41858</v>
          </cell>
          <cell r="V945" t="str">
            <v>금형제조부</v>
          </cell>
          <cell r="X945" t="str">
            <v>B-0306</v>
          </cell>
          <cell r="Y945">
            <v>64</v>
          </cell>
          <cell r="Z945">
            <v>20382</v>
          </cell>
          <cell r="AC945" t="str">
            <v>2018.10.16. 20배 샘플(대상)</v>
          </cell>
          <cell r="AD945">
            <v>0.85</v>
          </cell>
          <cell r="AE945">
            <v>80</v>
          </cell>
          <cell r="AF945">
            <v>12</v>
          </cell>
        </row>
        <row r="946">
          <cell r="A946" t="str">
            <v>SI-15K#4</v>
          </cell>
          <cell r="B946" t="str">
            <v>BOX</v>
          </cell>
          <cell r="C946">
            <v>2</v>
          </cell>
          <cell r="D946">
            <v>80</v>
          </cell>
          <cell r="E946">
            <v>318</v>
          </cell>
          <cell r="F946">
            <v>74</v>
          </cell>
          <cell r="G946" t="str">
            <v>SE2500M</v>
          </cell>
          <cell r="H946">
            <v>4</v>
          </cell>
          <cell r="I946">
            <v>2</v>
          </cell>
          <cell r="J946" t="str">
            <v>삼일이노팩</v>
          </cell>
          <cell r="K946">
            <v>48</v>
          </cell>
          <cell r="L946">
            <v>52</v>
          </cell>
          <cell r="M946">
            <v>238</v>
          </cell>
          <cell r="N946">
            <v>242</v>
          </cell>
          <cell r="O946">
            <v>2000</v>
          </cell>
          <cell r="P946">
            <v>1360</v>
          </cell>
          <cell r="Q946">
            <v>350</v>
          </cell>
          <cell r="R946" t="str">
            <v>흰색</v>
          </cell>
          <cell r="S946" t="str">
            <v>흰색</v>
          </cell>
          <cell r="T946" t="str">
            <v>SI-15K</v>
          </cell>
          <cell r="U946">
            <v>43957</v>
          </cell>
          <cell r="V946" t="str">
            <v>금형제조부</v>
          </cell>
          <cell r="Y946">
            <v>64</v>
          </cell>
          <cell r="Z946">
            <v>20382</v>
          </cell>
          <cell r="AC946" t="str">
            <v>석상준 과장,코팅완료</v>
          </cell>
          <cell r="AD946">
            <v>0.85</v>
          </cell>
          <cell r="AE946">
            <v>65</v>
          </cell>
          <cell r="AF946">
            <v>4</v>
          </cell>
        </row>
        <row r="947">
          <cell r="A947" t="str">
            <v>SI-15K#3(60배)</v>
          </cell>
          <cell r="B947" t="str">
            <v>BOX</v>
          </cell>
          <cell r="C947">
            <v>2</v>
          </cell>
          <cell r="D947">
            <v>95</v>
          </cell>
          <cell r="E947">
            <v>340</v>
          </cell>
          <cell r="F947">
            <v>70</v>
          </cell>
          <cell r="G947" t="str">
            <v>B240NS</v>
          </cell>
          <cell r="H947">
            <v>4</v>
          </cell>
          <cell r="I947">
            <v>2</v>
          </cell>
          <cell r="J947" t="str">
            <v>삼일이노팩</v>
          </cell>
          <cell r="K947">
            <v>48</v>
          </cell>
          <cell r="L947">
            <v>52</v>
          </cell>
          <cell r="M947">
            <v>238</v>
          </cell>
          <cell r="N947">
            <v>242</v>
          </cell>
          <cell r="O947">
            <v>2900</v>
          </cell>
          <cell r="P947">
            <v>1360</v>
          </cell>
          <cell r="Q947">
            <v>350</v>
          </cell>
          <cell r="R947" t="str">
            <v>보라</v>
          </cell>
          <cell r="S947" t="str">
            <v>보라</v>
          </cell>
          <cell r="T947" t="str">
            <v>SI-15K#3</v>
          </cell>
          <cell r="Y947">
            <v>60</v>
          </cell>
          <cell r="Z947">
            <v>20382</v>
          </cell>
          <cell r="AC947" t="str">
            <v>2016.11.21모델등록(아산EPS납품전용),2017.07.03기준중량변경(390-&gt;340)</v>
          </cell>
          <cell r="AD947">
            <v>0.9</v>
          </cell>
          <cell r="AE947">
            <v>80</v>
          </cell>
          <cell r="AF947">
            <v>6</v>
          </cell>
        </row>
        <row r="948">
          <cell r="A948" t="str">
            <v>SI-15K#3(48배)</v>
          </cell>
          <cell r="B948" t="str">
            <v>BOX</v>
          </cell>
          <cell r="C948">
            <v>2</v>
          </cell>
          <cell r="D948">
            <v>90</v>
          </cell>
          <cell r="E948">
            <v>430</v>
          </cell>
          <cell r="F948">
            <v>65</v>
          </cell>
          <cell r="G948" t="str">
            <v>B240NS</v>
          </cell>
          <cell r="H948">
            <v>4</v>
          </cell>
          <cell r="I948">
            <v>2</v>
          </cell>
          <cell r="J948" t="str">
            <v>삼일이노팩</v>
          </cell>
          <cell r="K948">
            <v>48</v>
          </cell>
          <cell r="L948">
            <v>52</v>
          </cell>
          <cell r="M948">
            <v>238</v>
          </cell>
          <cell r="N948">
            <v>242</v>
          </cell>
          <cell r="O948">
            <v>2900</v>
          </cell>
          <cell r="P948">
            <v>1360</v>
          </cell>
          <cell r="Q948">
            <v>350</v>
          </cell>
          <cell r="R948" t="str">
            <v>파랑</v>
          </cell>
          <cell r="S948" t="str">
            <v>파랑</v>
          </cell>
          <cell r="T948" t="str">
            <v>SI-15K#3</v>
          </cell>
          <cell r="Y948">
            <v>48</v>
          </cell>
          <cell r="Z948">
            <v>20382</v>
          </cell>
          <cell r="AC948" t="str">
            <v>2015.05.29 기준중량,기준배율변경(특수업체용),2016.04.05기준배율변경(62-&gt;57),2017.07.03모델명변경(54배-&gt;48배)</v>
          </cell>
          <cell r="AD948">
            <v>0.74</v>
          </cell>
          <cell r="AE948">
            <v>75</v>
          </cell>
          <cell r="AF948">
            <v>1</v>
          </cell>
        </row>
        <row r="949">
          <cell r="A949" t="str">
            <v>SI-15K#3(40배)회색</v>
          </cell>
          <cell r="B949" t="str">
            <v>회색</v>
          </cell>
          <cell r="C949">
            <v>2</v>
          </cell>
          <cell r="D949">
            <v>100</v>
          </cell>
          <cell r="E949">
            <v>510</v>
          </cell>
          <cell r="F949">
            <v>48</v>
          </cell>
          <cell r="G949" t="str">
            <v>ZP2500</v>
          </cell>
          <cell r="H949">
            <v>4</v>
          </cell>
          <cell r="I949">
            <v>2</v>
          </cell>
          <cell r="J949" t="str">
            <v>삼일이노팩</v>
          </cell>
          <cell r="K949">
            <v>48</v>
          </cell>
          <cell r="L949">
            <v>52</v>
          </cell>
          <cell r="M949">
            <v>233</v>
          </cell>
          <cell r="N949">
            <v>237</v>
          </cell>
          <cell r="O949">
            <v>2900</v>
          </cell>
          <cell r="P949">
            <v>1360</v>
          </cell>
          <cell r="Q949">
            <v>350</v>
          </cell>
          <cell r="R949" t="str">
            <v>빨강</v>
          </cell>
          <cell r="S949" t="str">
            <v>빨강</v>
          </cell>
          <cell r="T949" t="str">
            <v>SI-15K#3</v>
          </cell>
          <cell r="Y949">
            <v>40</v>
          </cell>
          <cell r="Z949">
            <v>20382</v>
          </cell>
          <cell r="AC949" t="str">
            <v>SI-15K#2동일금형, 회색추가 (김철희부장요청) 2013.0510,2017.07.03모델명면경(SI-15K#3(48배)-&gt;SI-15K#3(40배),기준중량 변경(570-&gt;510)</v>
          </cell>
          <cell r="AD949">
            <v>0.74</v>
          </cell>
          <cell r="AE949">
            <v>80</v>
          </cell>
          <cell r="AF949">
            <v>4</v>
          </cell>
        </row>
        <row r="950">
          <cell r="A950" t="str">
            <v>SI-15K#3(40배)</v>
          </cell>
          <cell r="B950" t="str">
            <v>BOX</v>
          </cell>
          <cell r="C950">
            <v>2</v>
          </cell>
          <cell r="D950">
            <v>95</v>
          </cell>
          <cell r="E950">
            <v>510</v>
          </cell>
          <cell r="F950">
            <v>50</v>
          </cell>
          <cell r="G950" t="str">
            <v>SG-302</v>
          </cell>
          <cell r="H950">
            <v>4</v>
          </cell>
          <cell r="I950">
            <v>2</v>
          </cell>
          <cell r="J950" t="str">
            <v>삼일이노팩</v>
          </cell>
          <cell r="K950">
            <v>48</v>
          </cell>
          <cell r="L950">
            <v>52</v>
          </cell>
          <cell r="M950">
            <v>233</v>
          </cell>
          <cell r="N950">
            <v>237</v>
          </cell>
          <cell r="O950">
            <v>2900</v>
          </cell>
          <cell r="P950">
            <v>1360</v>
          </cell>
          <cell r="Q950">
            <v>350</v>
          </cell>
          <cell r="R950" t="str">
            <v>빨강</v>
          </cell>
          <cell r="S950" t="str">
            <v>빨강</v>
          </cell>
          <cell r="T950" t="str">
            <v>SI-15K#3</v>
          </cell>
          <cell r="Y950">
            <v>40</v>
          </cell>
          <cell r="Z950">
            <v>20382</v>
          </cell>
          <cell r="AC950" t="str">
            <v>2017.07.03모델명면경(SI-15K#3(48배)-&gt;SI-15K#3(40배),기준중량 변경(570-&gt;510)</v>
          </cell>
          <cell r="AD950">
            <v>0.85</v>
          </cell>
          <cell r="AE950">
            <v>85</v>
          </cell>
          <cell r="AF950">
            <v>4</v>
          </cell>
        </row>
        <row r="951">
          <cell r="A951" t="str">
            <v>SI-15K#3</v>
          </cell>
          <cell r="E951">
            <v>318</v>
          </cell>
          <cell r="J951" t="str">
            <v>삼일이노팩</v>
          </cell>
        </row>
        <row r="952">
          <cell r="A952" t="str">
            <v>SI-14호</v>
          </cell>
          <cell r="B952" t="str">
            <v>BOX</v>
          </cell>
          <cell r="C952">
            <v>3</v>
          </cell>
          <cell r="D952">
            <v>80</v>
          </cell>
          <cell r="E952">
            <v>221</v>
          </cell>
          <cell r="F952">
            <v>74</v>
          </cell>
          <cell r="G952" t="str">
            <v>B240NS</v>
          </cell>
          <cell r="H952" t="str">
            <v>몸통10뚜껑40</v>
          </cell>
          <cell r="I952">
            <v>2</v>
          </cell>
          <cell r="J952" t="str">
            <v>삼일이노팩</v>
          </cell>
          <cell r="K952">
            <v>54</v>
          </cell>
          <cell r="L952">
            <v>58</v>
          </cell>
          <cell r="M952">
            <v>209</v>
          </cell>
          <cell r="N952">
            <v>213</v>
          </cell>
          <cell r="O952">
            <v>10</v>
          </cell>
          <cell r="P952">
            <v>1360</v>
          </cell>
          <cell r="Q952">
            <v>300</v>
          </cell>
          <cell r="R952" t="str">
            <v>보라</v>
          </cell>
          <cell r="S952" t="str">
            <v>보라</v>
          </cell>
          <cell r="U952">
            <v>42611</v>
          </cell>
          <cell r="V952" t="str">
            <v>금형제조부</v>
          </cell>
          <cell r="Y952" t="str">
            <v>64</v>
          </cell>
          <cell r="Z952">
            <v>14163</v>
          </cell>
          <cell r="AC952" t="str">
            <v>최재학사원</v>
          </cell>
          <cell r="AD952">
            <v>0.85</v>
          </cell>
          <cell r="AE952">
            <v>70</v>
          </cell>
          <cell r="AF952">
            <v>4</v>
          </cell>
        </row>
        <row r="953">
          <cell r="A953" t="str">
            <v>SI-13호(60배)</v>
          </cell>
          <cell r="B953" t="str">
            <v>BOX</v>
          </cell>
          <cell r="C953">
            <v>3</v>
          </cell>
          <cell r="D953">
            <v>80</v>
          </cell>
          <cell r="E953">
            <v>224</v>
          </cell>
          <cell r="F953">
            <v>74</v>
          </cell>
          <cell r="G953" t="str">
            <v>B240NS</v>
          </cell>
          <cell r="H953" t="str">
            <v>몸통10뚜껑30</v>
          </cell>
          <cell r="I953">
            <v>2</v>
          </cell>
          <cell r="J953" t="str">
            <v>삼일이노팩</v>
          </cell>
          <cell r="K953">
            <v>57</v>
          </cell>
          <cell r="L953">
            <v>62</v>
          </cell>
          <cell r="M953">
            <v>213</v>
          </cell>
          <cell r="N953">
            <v>217</v>
          </cell>
          <cell r="O953">
            <v>10</v>
          </cell>
          <cell r="R953" t="str">
            <v>녹색</v>
          </cell>
          <cell r="S953" t="str">
            <v>녹색</v>
          </cell>
          <cell r="T953" t="str">
            <v>SI-13호</v>
          </cell>
          <cell r="U953">
            <v>42297</v>
          </cell>
          <cell r="V953" t="str">
            <v>금형제조부</v>
          </cell>
          <cell r="Y953">
            <v>60</v>
          </cell>
          <cell r="Z953">
            <v>13422</v>
          </cell>
          <cell r="AC953" t="str">
            <v>최재학사원,2016.12.21등록</v>
          </cell>
          <cell r="AD953">
            <v>0.85</v>
          </cell>
          <cell r="AE953">
            <v>75</v>
          </cell>
          <cell r="AF953">
            <v>4</v>
          </cell>
        </row>
        <row r="954">
          <cell r="A954" t="str">
            <v>SI-13호</v>
          </cell>
          <cell r="B954" t="str">
            <v>BOX</v>
          </cell>
          <cell r="C954">
            <v>3</v>
          </cell>
          <cell r="D954">
            <v>70</v>
          </cell>
          <cell r="E954">
            <v>210</v>
          </cell>
          <cell r="F954">
            <v>74</v>
          </cell>
          <cell r="G954" t="str">
            <v>SE2500M</v>
          </cell>
          <cell r="H954" t="str">
            <v>몸통10뚜껑30</v>
          </cell>
          <cell r="I954">
            <v>2</v>
          </cell>
          <cell r="J954" t="str">
            <v>삼일이노팩</v>
          </cell>
          <cell r="K954">
            <v>57</v>
          </cell>
          <cell r="L954">
            <v>62</v>
          </cell>
          <cell r="M954">
            <v>213</v>
          </cell>
          <cell r="N954">
            <v>217</v>
          </cell>
          <cell r="O954">
            <v>10</v>
          </cell>
          <cell r="P954">
            <v>1360</v>
          </cell>
          <cell r="Q954">
            <v>300</v>
          </cell>
          <cell r="R954" t="str">
            <v>주황</v>
          </cell>
          <cell r="S954" t="str">
            <v>주황</v>
          </cell>
          <cell r="T954" t="str">
            <v>SI-13호</v>
          </cell>
          <cell r="U954">
            <v>42297</v>
          </cell>
          <cell r="V954" t="str">
            <v>금형제조부</v>
          </cell>
          <cell r="Y954">
            <v>64</v>
          </cell>
          <cell r="Z954">
            <v>13422</v>
          </cell>
          <cell r="AC954" t="str">
            <v>최재학사원,2015.10.20 코팅입고, 2015.10.23 수정, 기준중량변경(210-&gt;204),2016.11.14 기준중량변경(204 -&gt;210),2017.04.19(포장단위변경(몸통10뚜껑40-&gt;8), 2021.03.15 수리</v>
          </cell>
          <cell r="AD954">
            <v>0.85</v>
          </cell>
          <cell r="AE954">
            <v>70</v>
          </cell>
          <cell r="AF954">
            <v>4</v>
          </cell>
        </row>
        <row r="955">
          <cell r="A955" t="str">
            <v>SI-13K</v>
          </cell>
          <cell r="B955" t="str">
            <v>BOX</v>
          </cell>
          <cell r="C955">
            <v>2</v>
          </cell>
          <cell r="D955">
            <v>118</v>
          </cell>
          <cell r="E955">
            <v>250</v>
          </cell>
          <cell r="F955">
            <v>74</v>
          </cell>
          <cell r="G955" t="str">
            <v>B240NS</v>
          </cell>
          <cell r="H955">
            <v>3</v>
          </cell>
          <cell r="I955">
            <v>2</v>
          </cell>
          <cell r="J955" t="str">
            <v>LG생명과학</v>
          </cell>
          <cell r="K955">
            <v>55</v>
          </cell>
          <cell r="L955">
            <v>59</v>
          </cell>
          <cell r="M955">
            <v>292</v>
          </cell>
          <cell r="N955">
            <v>296</v>
          </cell>
          <cell r="O955">
            <v>2020</v>
          </cell>
          <cell r="P955">
            <v>1360</v>
          </cell>
          <cell r="Q955">
            <v>400</v>
          </cell>
          <cell r="R955" t="str">
            <v>비닐</v>
          </cell>
          <cell r="S955" t="str">
            <v>비닐</v>
          </cell>
          <cell r="T955" t="str">
            <v>LG3호박스</v>
          </cell>
          <cell r="U955">
            <v>39597</v>
          </cell>
          <cell r="V955" t="str">
            <v>삼일금형</v>
          </cell>
          <cell r="AA955">
            <v>41267</v>
          </cell>
          <cell r="AB955" t="str">
            <v>아산이피에스</v>
          </cell>
          <cell r="AC955" t="str">
            <v>아산EPS에서 제품입고</v>
          </cell>
          <cell r="AD955">
            <v>0.85</v>
          </cell>
          <cell r="AE955">
            <v>118</v>
          </cell>
          <cell r="AF955">
            <v>2</v>
          </cell>
        </row>
        <row r="956">
          <cell r="A956" t="str">
            <v>SI-12호</v>
          </cell>
          <cell r="B956" t="str">
            <v>BOX</v>
          </cell>
          <cell r="C956">
            <v>3</v>
          </cell>
          <cell r="D956">
            <v>72</v>
          </cell>
          <cell r="E956">
            <v>236</v>
          </cell>
          <cell r="F956">
            <v>74</v>
          </cell>
          <cell r="G956" t="str">
            <v>SE2500M</v>
          </cell>
          <cell r="H956">
            <v>8</v>
          </cell>
          <cell r="I956">
            <v>2</v>
          </cell>
          <cell r="J956" t="str">
            <v>삼일이노팩</v>
          </cell>
          <cell r="K956">
            <v>41</v>
          </cell>
          <cell r="L956">
            <v>45</v>
          </cell>
          <cell r="M956">
            <v>238</v>
          </cell>
          <cell r="N956">
            <v>242</v>
          </cell>
          <cell r="O956">
            <v>1500</v>
          </cell>
          <cell r="P956">
            <v>1300</v>
          </cell>
          <cell r="Q956">
            <v>350</v>
          </cell>
          <cell r="R956" t="str">
            <v>빨강</v>
          </cell>
          <cell r="S956" t="str">
            <v>빨강</v>
          </cell>
          <cell r="T956" t="str">
            <v>SI-12호</v>
          </cell>
          <cell r="U956">
            <v>38549</v>
          </cell>
          <cell r="V956" t="str">
            <v>삼일금형</v>
          </cell>
          <cell r="X956" t="str">
            <v>A-1101</v>
          </cell>
          <cell r="Y956">
            <v>64</v>
          </cell>
          <cell r="Z956">
            <v>15094</v>
          </cell>
          <cell r="AC956" t="str">
            <v>금형은 당사 자산임. , 2012.06.18 금형수리, 2014.06.02기준중량변경(320-&gt;296, 62-&gt;70), 2014.06.19배율변경(62-&gt;70), 2014.09.04수정2014.11.15수정2014.11.17기준배율 및 중량 변경(60-64배)(320g~246g),2015.05.29 기준배율,기준중량 변경(특수업체용),2016.11.16기준중량변경(246-&gt;236)</v>
          </cell>
          <cell r="AD956">
            <v>0.85</v>
          </cell>
          <cell r="AE956">
            <v>70</v>
          </cell>
          <cell r="AF956">
            <v>2</v>
          </cell>
        </row>
        <row r="957">
          <cell r="A957" t="str">
            <v>SI-11호</v>
          </cell>
          <cell r="B957" t="str">
            <v>BOX</v>
          </cell>
          <cell r="C957">
            <v>3</v>
          </cell>
          <cell r="D957">
            <v>70</v>
          </cell>
          <cell r="E957">
            <v>184</v>
          </cell>
          <cell r="F957">
            <v>74</v>
          </cell>
          <cell r="G957" t="str">
            <v>SE2500M</v>
          </cell>
          <cell r="H957">
            <v>8</v>
          </cell>
          <cell r="I957">
            <v>2</v>
          </cell>
          <cell r="J957" t="str">
            <v>삼일이노팩</v>
          </cell>
          <cell r="K957">
            <v>48</v>
          </cell>
          <cell r="L957">
            <v>52</v>
          </cell>
          <cell r="M957">
            <v>206</v>
          </cell>
          <cell r="N957">
            <v>210</v>
          </cell>
          <cell r="O957">
            <v>970</v>
          </cell>
          <cell r="P957">
            <v>1360</v>
          </cell>
          <cell r="Q957">
            <v>300</v>
          </cell>
          <cell r="R957" t="str">
            <v>보라</v>
          </cell>
          <cell r="S957" t="str">
            <v>보라</v>
          </cell>
          <cell r="U957">
            <v>43328</v>
          </cell>
          <cell r="V957" t="str">
            <v>금형제조부</v>
          </cell>
          <cell r="W957" t="str">
            <v>추가 생산금지</v>
          </cell>
          <cell r="Y957">
            <v>64</v>
          </cell>
          <cell r="Z957">
            <v>11775</v>
          </cell>
          <cell r="AD957">
            <v>0.85</v>
          </cell>
          <cell r="AE957">
            <v>65</v>
          </cell>
          <cell r="AF957">
            <v>4</v>
          </cell>
        </row>
        <row r="958">
          <cell r="A958" t="str">
            <v>SI-10호(몸통/뚜껑)</v>
          </cell>
          <cell r="B958" t="str">
            <v>BOX</v>
          </cell>
          <cell r="C958">
            <v>3</v>
          </cell>
          <cell r="D958">
            <v>100</v>
          </cell>
          <cell r="E958">
            <v>181</v>
          </cell>
          <cell r="F958">
            <v>78</v>
          </cell>
          <cell r="G958" t="str">
            <v>B240NS</v>
          </cell>
          <cell r="H958" t="str">
            <v>TOP:48/BOT:12</v>
          </cell>
          <cell r="I958">
            <v>2</v>
          </cell>
          <cell r="J958" t="str">
            <v>용인공장</v>
          </cell>
          <cell r="P958">
            <v>1360</v>
          </cell>
          <cell r="Q958">
            <v>350</v>
          </cell>
          <cell r="R958" t="str">
            <v>보라</v>
          </cell>
          <cell r="U958">
            <v>45219</v>
          </cell>
          <cell r="V958" t="str">
            <v>삼일 용인(이관)</v>
          </cell>
          <cell r="AC958" t="str">
            <v>이동</v>
          </cell>
          <cell r="AD958">
            <v>0.85</v>
          </cell>
        </row>
        <row r="959">
          <cell r="A959" t="str">
            <v>SI-10호(몸통/뚜껑)</v>
          </cell>
          <cell r="B959" t="str">
            <v>BOX</v>
          </cell>
          <cell r="C959">
            <v>3</v>
          </cell>
          <cell r="D959">
            <v>100</v>
          </cell>
          <cell r="E959">
            <v>181</v>
          </cell>
          <cell r="F959">
            <v>78</v>
          </cell>
          <cell r="G959" t="str">
            <v>B240NS</v>
          </cell>
          <cell r="H959" t="str">
            <v>TOP:48/BOT:12</v>
          </cell>
          <cell r="I959">
            <v>2</v>
          </cell>
          <cell r="J959" t="str">
            <v>용인공장</v>
          </cell>
          <cell r="P959">
            <v>1360</v>
          </cell>
          <cell r="Q959">
            <v>350</v>
          </cell>
          <cell r="R959" t="str">
            <v>보라</v>
          </cell>
          <cell r="U959">
            <v>45219</v>
          </cell>
          <cell r="V959" t="str">
            <v>삼일 용인(이관)</v>
          </cell>
          <cell r="AC959" t="str">
            <v>이동</v>
          </cell>
          <cell r="AD959">
            <v>0.85</v>
          </cell>
        </row>
        <row r="960">
          <cell r="A960" t="str">
            <v>SI-10호(몸통/뚜껑)</v>
          </cell>
          <cell r="B960" t="str">
            <v>BOX</v>
          </cell>
          <cell r="C960">
            <v>3</v>
          </cell>
          <cell r="D960">
            <v>100</v>
          </cell>
          <cell r="E960">
            <v>181</v>
          </cell>
          <cell r="F960">
            <v>65</v>
          </cell>
          <cell r="G960" t="str">
            <v>SE2500M</v>
          </cell>
          <cell r="H960">
            <v>1</v>
          </cell>
          <cell r="I960">
            <v>2</v>
          </cell>
          <cell r="J960" t="str">
            <v>용인공장</v>
          </cell>
          <cell r="K960">
            <v>23</v>
          </cell>
          <cell r="L960">
            <v>27</v>
          </cell>
          <cell r="M960">
            <v>233</v>
          </cell>
          <cell r="N960">
            <v>237</v>
          </cell>
          <cell r="P960">
            <v>1360</v>
          </cell>
          <cell r="Q960">
            <v>300</v>
          </cell>
          <cell r="U960">
            <v>44749</v>
          </cell>
          <cell r="V960" t="str">
            <v>금형사업부</v>
          </cell>
          <cell r="AD960">
            <v>0.85</v>
          </cell>
        </row>
        <row r="961">
          <cell r="A961" t="str">
            <v>SI-10호(55배)</v>
          </cell>
          <cell r="B961" t="str">
            <v>BOX</v>
          </cell>
          <cell r="C961">
            <v>3</v>
          </cell>
          <cell r="D961">
            <v>100</v>
          </cell>
          <cell r="E961">
            <v>212</v>
          </cell>
          <cell r="F961">
            <v>58</v>
          </cell>
          <cell r="G961" t="str">
            <v>SE2500M</v>
          </cell>
          <cell r="H961">
            <v>1</v>
          </cell>
          <cell r="I961">
            <v>2</v>
          </cell>
          <cell r="J961" t="str">
            <v>용인공장</v>
          </cell>
          <cell r="K961">
            <v>23</v>
          </cell>
          <cell r="L961">
            <v>27</v>
          </cell>
          <cell r="M961">
            <v>233</v>
          </cell>
          <cell r="N961">
            <v>237</v>
          </cell>
          <cell r="P961">
            <v>1360</v>
          </cell>
          <cell r="Q961">
            <v>300</v>
          </cell>
          <cell r="U961">
            <v>44749</v>
          </cell>
          <cell r="V961" t="str">
            <v>금형사업부</v>
          </cell>
          <cell r="AD961">
            <v>0.85</v>
          </cell>
        </row>
        <row r="962">
          <cell r="A962" t="str">
            <v>SI-10호(55배)</v>
          </cell>
          <cell r="B962" t="str">
            <v>BOX</v>
          </cell>
          <cell r="C962">
            <v>3</v>
          </cell>
          <cell r="D962">
            <v>100</v>
          </cell>
          <cell r="E962">
            <v>212</v>
          </cell>
          <cell r="F962">
            <v>58</v>
          </cell>
          <cell r="G962" t="str">
            <v>SE2500M</v>
          </cell>
          <cell r="H962">
            <v>1</v>
          </cell>
          <cell r="I962">
            <v>2</v>
          </cell>
          <cell r="J962" t="str">
            <v>용인공장</v>
          </cell>
          <cell r="K962">
            <v>23</v>
          </cell>
          <cell r="L962">
            <v>27</v>
          </cell>
          <cell r="M962">
            <v>233</v>
          </cell>
          <cell r="N962">
            <v>237</v>
          </cell>
        </row>
        <row r="963">
          <cell r="A963" t="str">
            <v>SI-10K#2(57배)</v>
          </cell>
          <cell r="B963" t="str">
            <v>BOX</v>
          </cell>
          <cell r="C963">
            <v>2</v>
          </cell>
          <cell r="D963">
            <v>80</v>
          </cell>
          <cell r="E963">
            <v>311</v>
          </cell>
          <cell r="F963">
            <v>70</v>
          </cell>
          <cell r="G963" t="str">
            <v>B240NS</v>
          </cell>
          <cell r="H963">
            <v>6</v>
          </cell>
          <cell r="I963">
            <v>2</v>
          </cell>
          <cell r="J963" t="str">
            <v>삼일이노팩</v>
          </cell>
          <cell r="K963">
            <v>46</v>
          </cell>
          <cell r="L963">
            <v>50</v>
          </cell>
          <cell r="M963">
            <v>175</v>
          </cell>
          <cell r="N963">
            <v>179</v>
          </cell>
          <cell r="O963">
            <v>1650</v>
          </cell>
          <cell r="P963">
            <v>1360</v>
          </cell>
          <cell r="Q963">
            <v>250</v>
          </cell>
          <cell r="R963" t="str">
            <v>주황</v>
          </cell>
          <cell r="S963" t="str">
            <v>주황</v>
          </cell>
          <cell r="T963" t="str">
            <v>SI-10K</v>
          </cell>
          <cell r="U963">
            <v>39924</v>
          </cell>
          <cell r="V963" t="str">
            <v>삼일금형</v>
          </cell>
          <cell r="Y963">
            <v>64</v>
          </cell>
          <cell r="Z963">
            <v>16395</v>
          </cell>
          <cell r="AC963" t="str">
            <v>2016.11.24기준중량변경(311-&gt;288)</v>
          </cell>
          <cell r="AD963">
            <v>0.85</v>
          </cell>
          <cell r="AE963">
            <v>75</v>
          </cell>
          <cell r="AF963">
            <v>1</v>
          </cell>
        </row>
        <row r="964">
          <cell r="A964" t="str">
            <v>SI-10K#2(50배)</v>
          </cell>
          <cell r="B964" t="str">
            <v>BOX</v>
          </cell>
          <cell r="C964">
            <v>2</v>
          </cell>
          <cell r="D964">
            <v>80</v>
          </cell>
          <cell r="E964">
            <v>328</v>
          </cell>
          <cell r="F964">
            <v>65</v>
          </cell>
          <cell r="G964" t="str">
            <v>B240NS</v>
          </cell>
          <cell r="H964">
            <v>5</v>
          </cell>
          <cell r="I964">
            <v>2</v>
          </cell>
          <cell r="J964" t="str">
            <v>삼일이노팩</v>
          </cell>
          <cell r="K964">
            <v>46</v>
          </cell>
          <cell r="L964">
            <v>50</v>
          </cell>
          <cell r="M964">
            <v>175</v>
          </cell>
          <cell r="N964">
            <v>179</v>
          </cell>
          <cell r="O964">
            <v>1650</v>
          </cell>
          <cell r="P964">
            <v>1360</v>
          </cell>
          <cell r="Q964">
            <v>250</v>
          </cell>
          <cell r="R964" t="str">
            <v>파랑</v>
          </cell>
          <cell r="S964" t="str">
            <v>파랑</v>
          </cell>
          <cell r="T964" t="str">
            <v>SI-10K</v>
          </cell>
          <cell r="U964">
            <v>39924</v>
          </cell>
          <cell r="V964" t="str">
            <v>삼일금형</v>
          </cell>
          <cell r="Y964">
            <v>50</v>
          </cell>
          <cell r="Z964">
            <v>16395</v>
          </cell>
          <cell r="AC964" t="str">
            <v>2016.11.24기준중량변경(340-&gt;328)</v>
          </cell>
          <cell r="AD964">
            <v>0.85</v>
          </cell>
          <cell r="AE964">
            <v>75</v>
          </cell>
          <cell r="AF964">
            <v>2</v>
          </cell>
        </row>
        <row r="965">
          <cell r="A965" t="str">
            <v>SI-10K#2</v>
          </cell>
          <cell r="B965" t="str">
            <v>BOX</v>
          </cell>
          <cell r="C965">
            <v>2</v>
          </cell>
          <cell r="D965">
            <v>80</v>
          </cell>
          <cell r="E965">
            <v>257</v>
          </cell>
          <cell r="F965">
            <v>74</v>
          </cell>
          <cell r="G965" t="str">
            <v>SE2500M</v>
          </cell>
          <cell r="H965">
            <v>5</v>
          </cell>
          <cell r="I965">
            <v>2</v>
          </cell>
          <cell r="J965" t="str">
            <v>삼일이노팩</v>
          </cell>
          <cell r="K965">
            <v>46</v>
          </cell>
          <cell r="L965">
            <v>50</v>
          </cell>
          <cell r="M965">
            <v>175</v>
          </cell>
          <cell r="N965">
            <v>179</v>
          </cell>
          <cell r="O965">
            <v>1650</v>
          </cell>
          <cell r="P965">
            <v>1360</v>
          </cell>
          <cell r="Q965">
            <v>250</v>
          </cell>
          <cell r="R965" t="str">
            <v>빨강</v>
          </cell>
          <cell r="S965" t="str">
            <v>빨강</v>
          </cell>
          <cell r="T965" t="str">
            <v>SI-10K</v>
          </cell>
          <cell r="U965">
            <v>39924</v>
          </cell>
          <cell r="V965" t="str">
            <v>삼일금형</v>
          </cell>
          <cell r="X965" t="str">
            <v>A-0102</v>
          </cell>
          <cell r="Y965">
            <v>64</v>
          </cell>
          <cell r="Z965">
            <v>16395</v>
          </cell>
          <cell r="AC965" t="str">
            <v>2010.03.09고치수 변경(BOT 172~177), 2014.06.19배율변경(65-&gt;70),2014.07.11기준중량변경(340g-&gt;320g), 2014.10.21수정2014.11.15수정2014.11.17기준배율 및 중량변경(60-64배)(320g~270g).2015.0106인중량변경(270g-277g),2016.11.23 기준중량변경(277-&gt;257), 2020.03.27 BOT 휘다 2개소씩 추가, 2021.08.02 수리 및 이동각재 써포트 교체</v>
          </cell>
          <cell r="AD965">
            <v>0.85</v>
          </cell>
          <cell r="AE965">
            <v>75</v>
          </cell>
          <cell r="AF965">
            <v>2</v>
          </cell>
        </row>
        <row r="966">
          <cell r="A966" t="str">
            <v>SI-10K</v>
          </cell>
          <cell r="B966" t="str">
            <v>BOX</v>
          </cell>
          <cell r="C966">
            <v>3</v>
          </cell>
          <cell r="D966">
            <v>86</v>
          </cell>
          <cell r="E966">
            <v>180</v>
          </cell>
          <cell r="F966">
            <v>74</v>
          </cell>
          <cell r="G966" t="str">
            <v>B240NS</v>
          </cell>
          <cell r="H966">
            <v>10</v>
          </cell>
          <cell r="I966">
            <v>2</v>
          </cell>
          <cell r="J966" t="str">
            <v>LG생명과학</v>
          </cell>
          <cell r="K966">
            <v>55</v>
          </cell>
          <cell r="L966">
            <v>59</v>
          </cell>
          <cell r="M966">
            <v>171</v>
          </cell>
          <cell r="N966">
            <v>175</v>
          </cell>
          <cell r="O966">
            <v>780</v>
          </cell>
          <cell r="P966">
            <v>1360</v>
          </cell>
          <cell r="Q966">
            <v>300</v>
          </cell>
          <cell r="R966" t="str">
            <v>비닐</v>
          </cell>
          <cell r="S966" t="str">
            <v>비닐</v>
          </cell>
          <cell r="T966" t="str">
            <v>LG5호박스</v>
          </cell>
          <cell r="U966">
            <v>39591</v>
          </cell>
          <cell r="V966" t="str">
            <v>삼일금형</v>
          </cell>
          <cell r="AA966">
            <v>41263</v>
          </cell>
          <cell r="AB966" t="str">
            <v>아산이피에스</v>
          </cell>
          <cell r="AC966" t="str">
            <v>아산EPS에서 제품입고2014.03.14 묶음단위변경 (8-&gt;10)변경</v>
          </cell>
          <cell r="AD966">
            <v>0.85</v>
          </cell>
          <cell r="AE966">
            <v>86</v>
          </cell>
          <cell r="AF966">
            <v>3</v>
          </cell>
        </row>
        <row r="967">
          <cell r="A967" t="str">
            <v>SI-10.5K(몸통,뚜껑따로)</v>
          </cell>
          <cell r="B967" t="str">
            <v>BOX</v>
          </cell>
          <cell r="C967">
            <v>2</v>
          </cell>
          <cell r="D967">
            <v>70</v>
          </cell>
          <cell r="E967">
            <v>271</v>
          </cell>
          <cell r="F967">
            <v>74</v>
          </cell>
          <cell r="G967" t="str">
            <v>B240NS</v>
          </cell>
          <cell r="H967" t="str">
            <v>몸통6뚜껑24</v>
          </cell>
          <cell r="I967">
            <v>2</v>
          </cell>
          <cell r="J967" t="str">
            <v>삼일이노팩</v>
          </cell>
          <cell r="K967">
            <v>33</v>
          </cell>
          <cell r="L967">
            <v>37</v>
          </cell>
          <cell r="M967">
            <v>168</v>
          </cell>
          <cell r="N967">
            <v>172</v>
          </cell>
          <cell r="O967">
            <v>1274</v>
          </cell>
          <cell r="P967">
            <v>1360</v>
          </cell>
          <cell r="Q967">
            <v>300</v>
          </cell>
          <cell r="R967" t="str">
            <v>오렌지</v>
          </cell>
          <cell r="S967" t="str">
            <v>오렌지</v>
          </cell>
          <cell r="T967" t="str">
            <v>팀플레시박스</v>
          </cell>
          <cell r="U967">
            <v>43885</v>
          </cell>
          <cell r="V967" t="str">
            <v>금형제조부</v>
          </cell>
          <cell r="Y967">
            <v>64</v>
          </cell>
          <cell r="Z967">
            <v>17371</v>
          </cell>
          <cell r="AC967" t="str">
            <v>석상준과장, 2020.03.06 각인추가, 핀 추가, 코팅완료</v>
          </cell>
          <cell r="AD967">
            <v>0.85</v>
          </cell>
          <cell r="AE967">
            <v>70</v>
          </cell>
          <cell r="AF967">
            <v>8</v>
          </cell>
        </row>
        <row r="968">
          <cell r="A968" t="str">
            <v>SI-10.5K</v>
          </cell>
          <cell r="B968" t="str">
            <v>BOX</v>
          </cell>
          <cell r="C968">
            <v>2</v>
          </cell>
          <cell r="D968">
            <v>100</v>
          </cell>
          <cell r="E968">
            <v>271</v>
          </cell>
          <cell r="F968">
            <v>74</v>
          </cell>
          <cell r="G968" t="str">
            <v>B240NS</v>
          </cell>
          <cell r="H968">
            <v>5</v>
          </cell>
          <cell r="I968">
            <v>2</v>
          </cell>
          <cell r="J968" t="str">
            <v>삼일이노팩</v>
          </cell>
          <cell r="K968">
            <v>33</v>
          </cell>
          <cell r="L968">
            <v>37</v>
          </cell>
          <cell r="M968">
            <v>168</v>
          </cell>
          <cell r="N968">
            <v>172</v>
          </cell>
          <cell r="O968">
            <v>1274</v>
          </cell>
          <cell r="P968">
            <v>1360</v>
          </cell>
          <cell r="Q968">
            <v>300</v>
          </cell>
          <cell r="R968" t="str">
            <v>노랑</v>
          </cell>
          <cell r="T968" t="str">
            <v>팀플레시박스</v>
          </cell>
          <cell r="U968">
            <v>43885</v>
          </cell>
          <cell r="V968" t="str">
            <v>금형제조부</v>
          </cell>
          <cell r="Y968">
            <v>64</v>
          </cell>
          <cell r="Z968">
            <v>17371</v>
          </cell>
          <cell r="AC968" t="str">
            <v>석상준과장, 2020.03.06 각인추가, 핀 추가, 코팅완료</v>
          </cell>
          <cell r="AD968">
            <v>0.85</v>
          </cell>
          <cell r="AE968">
            <v>70</v>
          </cell>
          <cell r="AF968">
            <v>6</v>
          </cell>
        </row>
        <row r="969">
          <cell r="A969" t="str">
            <v>SI-10.5K</v>
          </cell>
          <cell r="B969" t="str">
            <v>BOX</v>
          </cell>
          <cell r="C969">
            <v>3</v>
          </cell>
          <cell r="D969">
            <v>100</v>
          </cell>
          <cell r="E969">
            <v>271</v>
          </cell>
          <cell r="F969">
            <v>74</v>
          </cell>
          <cell r="G969" t="str">
            <v>SG302AN</v>
          </cell>
          <cell r="H969">
            <v>1</v>
          </cell>
          <cell r="I969">
            <v>2</v>
          </cell>
          <cell r="J969" t="str">
            <v xml:space="preserve">삼일이노팩 </v>
          </cell>
          <cell r="K969">
            <v>33</v>
          </cell>
          <cell r="L969">
            <v>37</v>
          </cell>
          <cell r="M969">
            <v>168</v>
          </cell>
          <cell r="N969">
            <v>172</v>
          </cell>
          <cell r="P969">
            <v>1360</v>
          </cell>
          <cell r="Q969">
            <v>300</v>
          </cell>
          <cell r="U969">
            <v>43885</v>
          </cell>
          <cell r="V969" t="str">
            <v>금형사업부</v>
          </cell>
          <cell r="Y969">
            <v>64</v>
          </cell>
          <cell r="Z969">
            <v>17371</v>
          </cell>
          <cell r="AC969" t="str">
            <v>석상준과장</v>
          </cell>
        </row>
        <row r="970">
          <cell r="A970" t="str">
            <v>SI-0.5K#2</v>
          </cell>
          <cell r="B970" t="str">
            <v>BOX</v>
          </cell>
          <cell r="C970">
            <v>6</v>
          </cell>
          <cell r="D970">
            <v>60</v>
          </cell>
          <cell r="E970">
            <v>53</v>
          </cell>
          <cell r="F970">
            <v>70</v>
          </cell>
          <cell r="G970" t="str">
            <v>SE2500M</v>
          </cell>
          <cell r="H970">
            <v>28</v>
          </cell>
          <cell r="I970">
            <v>2</v>
          </cell>
          <cell r="J970" t="str">
            <v>삼일이노팩</v>
          </cell>
          <cell r="K970">
            <v>21</v>
          </cell>
          <cell r="L970">
            <v>25</v>
          </cell>
          <cell r="M970">
            <v>118</v>
          </cell>
          <cell r="N970">
            <v>122</v>
          </cell>
          <cell r="O970">
            <v>350</v>
          </cell>
          <cell r="P970">
            <v>1360</v>
          </cell>
          <cell r="Q970">
            <v>250</v>
          </cell>
          <cell r="R970" t="str">
            <v>노랑</v>
          </cell>
          <cell r="S970" t="str">
            <v>노랑</v>
          </cell>
          <cell r="T970" t="str">
            <v>SI-0.5KG</v>
          </cell>
          <cell r="U970">
            <v>45468</v>
          </cell>
          <cell r="V970" t="str">
            <v>금형사업부</v>
          </cell>
          <cell r="W970" t="str">
            <v>중량확인,거꾸로조립</v>
          </cell>
          <cell r="X970" t="str">
            <v>E-0902</v>
          </cell>
          <cell r="Y970">
            <v>55</v>
          </cell>
          <cell r="Z970">
            <v>2930</v>
          </cell>
          <cell r="AC970" t="str">
            <v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v>
          </cell>
          <cell r="AD970">
            <v>0.85</v>
          </cell>
          <cell r="AE970">
            <v>65</v>
          </cell>
        </row>
        <row r="971">
          <cell r="A971" t="str">
            <v>SI-0.5K#2</v>
          </cell>
          <cell r="B971" t="str">
            <v>BOX</v>
          </cell>
          <cell r="C971">
            <v>6</v>
          </cell>
          <cell r="D971">
            <v>60</v>
          </cell>
          <cell r="E971">
            <v>53</v>
          </cell>
          <cell r="F971">
            <v>70</v>
          </cell>
          <cell r="G971" t="str">
            <v>SE2500M</v>
          </cell>
          <cell r="H971">
            <v>28</v>
          </cell>
          <cell r="I971">
            <v>2</v>
          </cell>
          <cell r="J971" t="str">
            <v>삼일이노팩</v>
          </cell>
          <cell r="K971">
            <v>21</v>
          </cell>
          <cell r="L971">
            <v>25</v>
          </cell>
          <cell r="M971">
            <v>118</v>
          </cell>
          <cell r="N971">
            <v>122</v>
          </cell>
          <cell r="O971">
            <v>350</v>
          </cell>
          <cell r="P971">
            <v>1360</v>
          </cell>
          <cell r="Q971">
            <v>250</v>
          </cell>
          <cell r="R971" t="str">
            <v>노랑</v>
          </cell>
          <cell r="S971" t="str">
            <v>노랑</v>
          </cell>
          <cell r="T971" t="str">
            <v>SI-0.5KG</v>
          </cell>
          <cell r="U971">
            <v>45468</v>
          </cell>
          <cell r="V971" t="str">
            <v>금형사업부</v>
          </cell>
          <cell r="W971" t="str">
            <v>중량확인,거꾸로조립</v>
          </cell>
          <cell r="X971" t="str">
            <v>E-0902</v>
          </cell>
          <cell r="Y971">
            <v>55</v>
          </cell>
          <cell r="Z971">
            <v>2930</v>
          </cell>
          <cell r="AC971" t="str">
            <v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v>
          </cell>
          <cell r="AD971">
            <v>0.85</v>
          </cell>
          <cell r="AE971">
            <v>65</v>
          </cell>
          <cell r="AF971">
            <v>12</v>
          </cell>
        </row>
        <row r="972">
          <cell r="A972" t="str">
            <v>SI-0.5K</v>
          </cell>
          <cell r="B972" t="str">
            <v>BOX</v>
          </cell>
          <cell r="C972">
            <v>6</v>
          </cell>
          <cell r="D972">
            <v>60</v>
          </cell>
          <cell r="E972">
            <v>53</v>
          </cell>
          <cell r="F972">
            <v>70</v>
          </cell>
          <cell r="G972" t="str">
            <v>SE2500M</v>
          </cell>
          <cell r="H972">
            <v>28</v>
          </cell>
          <cell r="I972">
            <v>2</v>
          </cell>
          <cell r="J972" t="str">
            <v>삼일이노팩</v>
          </cell>
          <cell r="K972">
            <v>21</v>
          </cell>
          <cell r="L972">
            <v>25</v>
          </cell>
          <cell r="M972">
            <v>118</v>
          </cell>
          <cell r="N972">
            <v>122</v>
          </cell>
          <cell r="O972">
            <v>350</v>
          </cell>
          <cell r="P972">
            <v>1360</v>
          </cell>
          <cell r="Q972">
            <v>200</v>
          </cell>
          <cell r="R972" t="str">
            <v>노랑</v>
          </cell>
          <cell r="S972" t="str">
            <v>노랑</v>
          </cell>
          <cell r="T972" t="str">
            <v>SI-0.5KG</v>
          </cell>
          <cell r="U972">
            <v>40260</v>
          </cell>
          <cell r="V972" t="str">
            <v>삼일금형</v>
          </cell>
          <cell r="W972" t="str">
            <v>중량확인,거꾸로조립</v>
          </cell>
          <cell r="X972" t="str">
            <v>E-0902</v>
          </cell>
          <cell r="Y972">
            <v>55</v>
          </cell>
          <cell r="Z972">
            <v>2930</v>
          </cell>
          <cell r="AC972" t="str">
            <v>2010.03.30수정, 2010.08.30승인완료, 2014.06.02기준중량변경(58-&gt;49, 62-&gt;70)2014.12.01기준중량,기준배율변경(49-45,60-64).2015.0106인중량변경(49g-45g),2015.0115승인중량,기준배율변경(45g-53g)(64-&gt;55배),2016.11.09배율변경70배-&gt;62배,2018.01.25 TOP 치수변경(20-&gt;23), 2020.06.10 BURR 수리및 코팅</v>
          </cell>
          <cell r="AD972">
            <v>0.85</v>
          </cell>
          <cell r="AE972">
            <v>65</v>
          </cell>
          <cell r="AF972">
            <v>4</v>
          </cell>
        </row>
        <row r="973">
          <cell r="A973" t="str">
            <v>SG501</v>
          </cell>
          <cell r="B973" t="str">
            <v>발포립</v>
          </cell>
          <cell r="D973">
            <v>250</v>
          </cell>
          <cell r="E973">
            <v>800</v>
          </cell>
          <cell r="G973" t="str">
            <v>SG501</v>
          </cell>
          <cell r="J973" t="str">
            <v>다우</v>
          </cell>
          <cell r="O973">
            <v>2600</v>
          </cell>
          <cell r="S973">
            <v>0</v>
          </cell>
          <cell r="T973" t="str">
            <v>생원료</v>
          </cell>
          <cell r="AD973">
            <v>0.89</v>
          </cell>
          <cell r="AE973">
            <v>250</v>
          </cell>
          <cell r="AF973">
            <v>2</v>
          </cell>
        </row>
        <row r="974">
          <cell r="A974" t="str">
            <v>SF-1K</v>
          </cell>
          <cell r="B974" t="str">
            <v>BOX</v>
          </cell>
          <cell r="C974">
            <v>1</v>
          </cell>
          <cell r="D974">
            <v>65</v>
          </cell>
          <cell r="E974">
            <v>159</v>
          </cell>
          <cell r="F974">
            <v>70</v>
          </cell>
          <cell r="G974" t="str">
            <v>B240NS</v>
          </cell>
          <cell r="I974">
            <v>1</v>
          </cell>
          <cell r="J974" t="str">
            <v>삼일이노팩</v>
          </cell>
          <cell r="P974">
            <v>1360</v>
          </cell>
          <cell r="Q974">
            <v>150</v>
          </cell>
          <cell r="U974">
            <v>43615</v>
          </cell>
          <cell r="V974" t="str">
            <v>세일하이테크</v>
          </cell>
          <cell r="Y974">
            <v>60</v>
          </cell>
          <cell r="Z974">
            <v>9510</v>
          </cell>
          <cell r="AD974">
            <v>0.85</v>
          </cell>
          <cell r="AE974">
            <v>65</v>
          </cell>
          <cell r="AF974">
            <v>4</v>
          </cell>
        </row>
        <row r="975">
          <cell r="A975" t="str">
            <v>SET(회색20배)</v>
          </cell>
          <cell r="B975" t="str">
            <v>회색</v>
          </cell>
          <cell r="C975">
            <v>2</v>
          </cell>
          <cell r="D975">
            <v>80</v>
          </cell>
          <cell r="E975">
            <v>1057</v>
          </cell>
          <cell r="F975">
            <v>74</v>
          </cell>
          <cell r="G975" t="str">
            <v>ZP2500</v>
          </cell>
          <cell r="H975">
            <v>4</v>
          </cell>
          <cell r="I975">
            <v>2</v>
          </cell>
          <cell r="J975" t="str">
            <v>현대로지스틱</v>
          </cell>
          <cell r="K975">
            <v>34</v>
          </cell>
          <cell r="L975">
            <v>38</v>
          </cell>
          <cell r="M975">
            <v>203</v>
          </cell>
          <cell r="N975">
            <v>207</v>
          </cell>
          <cell r="O975">
            <v>2050</v>
          </cell>
          <cell r="P975">
            <v>1360</v>
          </cell>
          <cell r="Q975">
            <v>300</v>
          </cell>
          <cell r="T975" t="str">
            <v>SET</v>
          </cell>
          <cell r="U975">
            <v>40070</v>
          </cell>
          <cell r="V975" t="str">
            <v>삼일금형</v>
          </cell>
          <cell r="W975" t="str">
            <v>회색 20배</v>
          </cell>
          <cell r="X975" t="str">
            <v>A-0303</v>
          </cell>
          <cell r="Y975">
            <v>64</v>
          </cell>
          <cell r="Z975">
            <v>21136</v>
          </cell>
          <cell r="AC975" t="str">
            <v>2009.09.15승인완료, 2014.06.02기준중량변경(470-&gt;352, 57-&gt;70)2014.12.01기준중량,기준배율변경(352-330,60-64)2015.0106인중량변경(352g-330g)</v>
          </cell>
          <cell r="AD975">
            <v>0.85</v>
          </cell>
          <cell r="AE975">
            <v>80</v>
          </cell>
          <cell r="AF975">
            <v>6</v>
          </cell>
        </row>
        <row r="976">
          <cell r="A976" t="str">
            <v>SET(50배)</v>
          </cell>
          <cell r="B976" t="str">
            <v>BOX</v>
          </cell>
          <cell r="C976">
            <v>2</v>
          </cell>
          <cell r="D976">
            <v>85</v>
          </cell>
          <cell r="E976">
            <v>423</v>
          </cell>
          <cell r="F976">
            <v>65</v>
          </cell>
          <cell r="G976" t="str">
            <v>B240NS</v>
          </cell>
          <cell r="H976">
            <v>4</v>
          </cell>
          <cell r="I976">
            <v>2</v>
          </cell>
          <cell r="J976" t="str">
            <v>현대로지스틱</v>
          </cell>
          <cell r="K976">
            <v>34</v>
          </cell>
          <cell r="L976">
            <v>38</v>
          </cell>
          <cell r="M976">
            <v>203</v>
          </cell>
          <cell r="N976">
            <v>207</v>
          </cell>
          <cell r="P976">
            <v>1360</v>
          </cell>
          <cell r="Q976">
            <v>300</v>
          </cell>
          <cell r="R976" t="str">
            <v>녹색</v>
          </cell>
          <cell r="S976" t="str">
            <v>녹색</v>
          </cell>
          <cell r="T976" t="str">
            <v>SET</v>
          </cell>
          <cell r="U976">
            <v>40070</v>
          </cell>
          <cell r="V976" t="str">
            <v>삼일금형</v>
          </cell>
          <cell r="W976" t="str">
            <v>융착확인철저!!</v>
          </cell>
          <cell r="X976" t="str">
            <v>A-0303</v>
          </cell>
          <cell r="Y976">
            <v>40</v>
          </cell>
          <cell r="Z976">
            <v>21136</v>
          </cell>
          <cell r="AC976" t="str">
            <v>2018.12.13 신규</v>
          </cell>
          <cell r="AD976">
            <v>0.85</v>
          </cell>
          <cell r="AE976">
            <v>90</v>
          </cell>
          <cell r="AF976">
            <v>4</v>
          </cell>
        </row>
        <row r="977">
          <cell r="A977" t="str">
            <v>SET</v>
          </cell>
          <cell r="B977" t="str">
            <v>BOX</v>
          </cell>
          <cell r="C977">
            <v>2</v>
          </cell>
          <cell r="D977">
            <v>80</v>
          </cell>
          <cell r="E977">
            <v>330</v>
          </cell>
          <cell r="F977">
            <v>74</v>
          </cell>
          <cell r="G977" t="str">
            <v>B240NS</v>
          </cell>
          <cell r="H977">
            <v>4</v>
          </cell>
          <cell r="I977">
            <v>2</v>
          </cell>
          <cell r="J977" t="str">
            <v>현대로지스틱</v>
          </cell>
          <cell r="K977">
            <v>34</v>
          </cell>
          <cell r="L977">
            <v>38</v>
          </cell>
          <cell r="M977">
            <v>203</v>
          </cell>
          <cell r="N977">
            <v>207</v>
          </cell>
          <cell r="O977">
            <v>2050</v>
          </cell>
          <cell r="P977">
            <v>1360</v>
          </cell>
          <cell r="Q977">
            <v>300</v>
          </cell>
          <cell r="R977" t="str">
            <v>빨강</v>
          </cell>
          <cell r="S977" t="str">
            <v>빨강</v>
          </cell>
          <cell r="T977" t="str">
            <v>SET</v>
          </cell>
          <cell r="U977">
            <v>40070</v>
          </cell>
          <cell r="V977" t="str">
            <v>삼일금형</v>
          </cell>
          <cell r="X977" t="str">
            <v>A-0303</v>
          </cell>
          <cell r="Y977">
            <v>64</v>
          </cell>
          <cell r="Z977">
            <v>21136</v>
          </cell>
          <cell r="AC977" t="str">
            <v>2009.09.15승인완료, 2014.06.02기준중량변경(470-&gt;352, 57-&gt;70)2014.12.01기준중량,기준배율변경(352-330,60-64)2015.0106인중량변경(352g-330g)</v>
          </cell>
          <cell r="AD977">
            <v>0.85</v>
          </cell>
          <cell r="AE977">
            <v>80</v>
          </cell>
          <cell r="AF977">
            <v>6</v>
          </cell>
        </row>
        <row r="978">
          <cell r="A978" t="str">
            <v>SE380</v>
          </cell>
          <cell r="B978" t="str">
            <v>회색</v>
          </cell>
          <cell r="C978">
            <v>2</v>
          </cell>
          <cell r="D978">
            <v>180</v>
          </cell>
          <cell r="E978">
            <v>1964</v>
          </cell>
          <cell r="F978">
            <v>40</v>
          </cell>
          <cell r="G978" t="str">
            <v>ZP2500</v>
          </cell>
          <cell r="H978">
            <v>1</v>
          </cell>
          <cell r="I978">
            <v>2</v>
          </cell>
          <cell r="J978" t="str">
            <v>㈜탭스</v>
          </cell>
          <cell r="O978">
            <v>12483</v>
          </cell>
          <cell r="P978">
            <v>1550</v>
          </cell>
          <cell r="Q978">
            <v>500</v>
          </cell>
          <cell r="T978" t="str">
            <v>SE380</v>
          </cell>
          <cell r="U978">
            <v>45267</v>
          </cell>
          <cell r="V978" t="str">
            <v>대양이동입고</v>
          </cell>
          <cell r="AD978">
            <v>0.85</v>
          </cell>
        </row>
        <row r="979">
          <cell r="A979" t="str">
            <v>SE380</v>
          </cell>
          <cell r="B979" t="str">
            <v>BOX</v>
          </cell>
          <cell r="C979">
            <v>2</v>
          </cell>
          <cell r="D979">
            <v>180</v>
          </cell>
          <cell r="E979">
            <v>1964</v>
          </cell>
          <cell r="F979">
            <v>40</v>
          </cell>
          <cell r="G979" t="str">
            <v>ZP2500</v>
          </cell>
          <cell r="H979">
            <v>1</v>
          </cell>
          <cell r="I979">
            <v>2</v>
          </cell>
          <cell r="J979" t="str">
            <v>㈜탭스</v>
          </cell>
          <cell r="O979">
            <v>12483</v>
          </cell>
          <cell r="P979">
            <v>1550</v>
          </cell>
          <cell r="Q979">
            <v>500</v>
          </cell>
          <cell r="T979" t="str">
            <v>SE380</v>
          </cell>
          <cell r="U979">
            <v>45267</v>
          </cell>
          <cell r="V979" t="str">
            <v>대양이동입고</v>
          </cell>
          <cell r="AD979">
            <v>0.85</v>
          </cell>
        </row>
        <row r="980">
          <cell r="A980" t="str">
            <v>SE380</v>
          </cell>
          <cell r="B980" t="str">
            <v>BOX</v>
          </cell>
          <cell r="C980">
            <v>2</v>
          </cell>
          <cell r="D980">
            <v>180</v>
          </cell>
          <cell r="E980">
            <v>1964</v>
          </cell>
          <cell r="F980">
            <v>40</v>
          </cell>
          <cell r="G980" t="str">
            <v>ZP2500</v>
          </cell>
          <cell r="H980">
            <v>1</v>
          </cell>
          <cell r="I980">
            <v>2</v>
          </cell>
          <cell r="J980" t="str">
            <v>㈜탭스</v>
          </cell>
          <cell r="O980">
            <v>12483</v>
          </cell>
          <cell r="P980">
            <v>1550</v>
          </cell>
          <cell r="Q980">
            <v>500</v>
          </cell>
          <cell r="T980" t="str">
            <v>SE380</v>
          </cell>
          <cell r="U980">
            <v>45267</v>
          </cell>
          <cell r="V980" t="str">
            <v>대양이동입고</v>
          </cell>
          <cell r="AD980">
            <v>0.85</v>
          </cell>
        </row>
        <row r="981">
          <cell r="A981" t="str">
            <v>SE380</v>
          </cell>
          <cell r="B981" t="str">
            <v>BOX</v>
          </cell>
          <cell r="D981">
            <v>100</v>
          </cell>
          <cell r="E981">
            <v>1964</v>
          </cell>
          <cell r="F981">
            <v>40</v>
          </cell>
          <cell r="G981" t="str">
            <v>ZP2500</v>
          </cell>
          <cell r="J981" t="str">
            <v>㈜탭스</v>
          </cell>
          <cell r="T981" t="str">
            <v>SE380</v>
          </cell>
          <cell r="U981">
            <v>45267</v>
          </cell>
          <cell r="V981" t="str">
            <v>대양이동입고</v>
          </cell>
          <cell r="AD981">
            <v>0.85</v>
          </cell>
        </row>
        <row r="982">
          <cell r="A982" t="str">
            <v>SD4-대(백색)</v>
          </cell>
          <cell r="B982" t="str">
            <v>SET</v>
          </cell>
          <cell r="C982">
            <v>2</v>
          </cell>
          <cell r="D982">
            <v>65</v>
          </cell>
          <cell r="E982">
            <v>224</v>
          </cell>
          <cell r="F982">
            <v>65</v>
          </cell>
          <cell r="G982" t="str">
            <v>B240NS</v>
          </cell>
          <cell r="H982">
            <v>12</v>
          </cell>
          <cell r="I982">
            <v>2</v>
          </cell>
          <cell r="J982" t="str">
            <v>한국TPS</v>
          </cell>
          <cell r="O982">
            <v>10</v>
          </cell>
          <cell r="P982">
            <v>1300</v>
          </cell>
          <cell r="Q982">
            <v>200</v>
          </cell>
          <cell r="R982" t="str">
            <v>빨강</v>
          </cell>
          <cell r="S982" t="str">
            <v>빨강</v>
          </cell>
          <cell r="U982">
            <v>42741</v>
          </cell>
          <cell r="V982" t="str">
            <v>인천EPS이동입고</v>
          </cell>
          <cell r="W982" t="str">
            <v>SD4-대 CAVITY동일 CORE 별도</v>
          </cell>
          <cell r="AC982" t="str">
            <v>최재학계장, 180821 250g--&gt;224g 변경(TPS 발주서180820)</v>
          </cell>
          <cell r="AD982">
            <v>0.85</v>
          </cell>
          <cell r="AE982">
            <v>70</v>
          </cell>
          <cell r="AF982">
            <v>8</v>
          </cell>
        </row>
        <row r="983">
          <cell r="A983" t="str">
            <v>SD4-대</v>
          </cell>
          <cell r="B983" t="str">
            <v>회색</v>
          </cell>
          <cell r="C983">
            <v>2</v>
          </cell>
          <cell r="D983">
            <v>65</v>
          </cell>
          <cell r="E983">
            <v>270</v>
          </cell>
          <cell r="F983">
            <v>48</v>
          </cell>
          <cell r="G983" t="str">
            <v>ZP2500</v>
          </cell>
          <cell r="H983">
            <v>12</v>
          </cell>
          <cell r="I983">
            <v>2</v>
          </cell>
          <cell r="J983" t="str">
            <v>한국TPS</v>
          </cell>
          <cell r="O983">
            <v>1350</v>
          </cell>
          <cell r="P983">
            <v>1300</v>
          </cell>
          <cell r="Q983">
            <v>200</v>
          </cell>
          <cell r="R983" t="str">
            <v>빨강</v>
          </cell>
          <cell r="S983" t="str">
            <v>빨강</v>
          </cell>
          <cell r="U983">
            <v>42590</v>
          </cell>
          <cell r="V983" t="str">
            <v>인천EPS이동입고</v>
          </cell>
          <cell r="W983" t="str">
            <v>비닐묶음 부위에 표시용 끈 묶을것(13mm낮은거)</v>
          </cell>
          <cell r="AC983" t="str">
            <v>최재학사원,2017.01.11 포장단위변경(8-&gt;6)</v>
          </cell>
          <cell r="AD983">
            <v>0.85</v>
          </cell>
          <cell r="AE983">
            <v>70</v>
          </cell>
        </row>
        <row r="984">
          <cell r="A984" t="str">
            <v>SD-3</v>
          </cell>
          <cell r="B984" t="str">
            <v>BOX</v>
          </cell>
          <cell r="E984">
            <v>173</v>
          </cell>
          <cell r="J984" t="str">
            <v>삼일이노팩</v>
          </cell>
        </row>
        <row r="985">
          <cell r="A985" t="str">
            <v>SC-50A40</v>
          </cell>
          <cell r="B985" t="str">
            <v>SET</v>
          </cell>
          <cell r="C985">
            <v>4</v>
          </cell>
          <cell r="D985">
            <v>80</v>
          </cell>
          <cell r="E985">
            <v>102</v>
          </cell>
          <cell r="F985">
            <v>70</v>
          </cell>
          <cell r="G985" t="str">
            <v>B240NS</v>
          </cell>
          <cell r="H985">
            <v>16</v>
          </cell>
          <cell r="I985">
            <v>2</v>
          </cell>
          <cell r="J985" t="str">
            <v>청호나이스</v>
          </cell>
          <cell r="K985">
            <v>118</v>
          </cell>
          <cell r="L985">
            <v>122</v>
          </cell>
          <cell r="M985">
            <v>128</v>
          </cell>
          <cell r="N985">
            <v>132</v>
          </cell>
          <cell r="O985">
            <v>10</v>
          </cell>
          <cell r="P985">
            <v>1360</v>
          </cell>
          <cell r="Q985">
            <v>250</v>
          </cell>
          <cell r="R985" t="str">
            <v>검정</v>
          </cell>
          <cell r="S985" t="str">
            <v>검정</v>
          </cell>
          <cell r="T985" t="str">
            <v>64-0088-0 / 64-0089-0,금형번호3879</v>
          </cell>
          <cell r="U985">
            <v>43111</v>
          </cell>
          <cell r="V985" t="str">
            <v>금형제조부</v>
          </cell>
          <cell r="Y985">
            <v>60</v>
          </cell>
          <cell r="Z985">
            <v>6166</v>
          </cell>
          <cell r="AC985" t="str">
            <v>최재학계장</v>
          </cell>
          <cell r="AD985">
            <v>0.85</v>
          </cell>
          <cell r="AE985">
            <v>80</v>
          </cell>
          <cell r="AF985">
            <v>1</v>
          </cell>
        </row>
        <row r="986">
          <cell r="A986" t="str">
            <v>S-BOT</v>
          </cell>
          <cell r="B986" t="str">
            <v>SET</v>
          </cell>
          <cell r="C986">
            <v>1</v>
          </cell>
          <cell r="D986">
            <v>62</v>
          </cell>
          <cell r="E986">
            <v>197</v>
          </cell>
          <cell r="F986">
            <v>53</v>
          </cell>
          <cell r="G986" t="str">
            <v>B240NS</v>
          </cell>
          <cell r="H986">
            <v>10</v>
          </cell>
          <cell r="I986">
            <v>1</v>
          </cell>
          <cell r="J986" t="str">
            <v>SK매직</v>
          </cell>
          <cell r="K986">
            <v>71</v>
          </cell>
          <cell r="L986">
            <v>73</v>
          </cell>
          <cell r="O986">
            <v>951</v>
          </cell>
          <cell r="P986">
            <v>1300</v>
          </cell>
          <cell r="Q986">
            <v>150</v>
          </cell>
          <cell r="R986" t="str">
            <v>밴딩</v>
          </cell>
          <cell r="S986" t="str">
            <v>밴딩</v>
          </cell>
          <cell r="T986" t="str">
            <v>BOTTOM PAD-F</v>
          </cell>
          <cell r="U986">
            <v>39751</v>
          </cell>
          <cell r="V986" t="str">
            <v>삼일금형</v>
          </cell>
          <cell r="X986" t="str">
            <v>계양리 J-1</v>
          </cell>
          <cell r="AC986" t="str">
            <v>09.02.18 승인완료, 2012.06.08각인추가</v>
          </cell>
          <cell r="AD986">
            <v>0.85</v>
          </cell>
          <cell r="AE986">
            <v>62</v>
          </cell>
          <cell r="AF986">
            <v>1</v>
          </cell>
        </row>
        <row r="987">
          <cell r="A987" t="str">
            <v>SB-7</v>
          </cell>
          <cell r="B987" t="str">
            <v>SET</v>
          </cell>
          <cell r="C987">
            <v>2</v>
          </cell>
          <cell r="D987">
            <v>100</v>
          </cell>
          <cell r="F987">
            <v>65</v>
          </cell>
          <cell r="G987" t="str">
            <v>B240NS</v>
          </cell>
          <cell r="H987">
            <v>1</v>
          </cell>
          <cell r="I987">
            <v>2</v>
          </cell>
          <cell r="J987" t="str">
            <v>현대MIB</v>
          </cell>
          <cell r="O987">
            <v>10</v>
          </cell>
          <cell r="P987">
            <v>1300</v>
          </cell>
          <cell r="Q987">
            <v>200</v>
          </cell>
          <cell r="S987">
            <v>0</v>
          </cell>
          <cell r="U987">
            <v>42886</v>
          </cell>
          <cell r="V987" t="str">
            <v>이관금형</v>
          </cell>
          <cell r="AC987" t="str">
            <v>최재학계장</v>
          </cell>
          <cell r="AD987">
            <v>0.85</v>
          </cell>
          <cell r="AE987">
            <v>80</v>
          </cell>
          <cell r="AF987">
            <v>4</v>
          </cell>
        </row>
        <row r="988">
          <cell r="A988" t="str">
            <v>SB-5000</v>
          </cell>
          <cell r="B988" t="str">
            <v>SET</v>
          </cell>
          <cell r="C988">
            <v>1</v>
          </cell>
          <cell r="D988">
            <v>128</v>
          </cell>
          <cell r="E988">
            <v>1219</v>
          </cell>
          <cell r="F988">
            <v>74</v>
          </cell>
          <cell r="G988" t="str">
            <v>B240NS</v>
          </cell>
          <cell r="H988">
            <v>2</v>
          </cell>
          <cell r="I988">
            <v>4</v>
          </cell>
          <cell r="J988" t="str">
            <v>현대MIB</v>
          </cell>
          <cell r="O988">
            <v>10</v>
          </cell>
          <cell r="P988">
            <v>1300</v>
          </cell>
          <cell r="Q988">
            <v>300</v>
          </cell>
          <cell r="R988" t="str">
            <v>녹색</v>
          </cell>
          <cell r="U988">
            <v>42886</v>
          </cell>
          <cell r="V988" t="str">
            <v>이관금형</v>
          </cell>
          <cell r="AC988" t="str">
            <v>최재학계장</v>
          </cell>
          <cell r="AD988">
            <v>0.85</v>
          </cell>
          <cell r="AE988">
            <v>90</v>
          </cell>
          <cell r="AF988">
            <v>6</v>
          </cell>
        </row>
        <row r="989">
          <cell r="A989" t="str">
            <v>SB-3000MID</v>
          </cell>
          <cell r="B989" t="str">
            <v>PAD</v>
          </cell>
          <cell r="E989">
            <v>180</v>
          </cell>
          <cell r="J989" t="str">
            <v>현대MIB</v>
          </cell>
          <cell r="O989">
            <v>3000</v>
          </cell>
        </row>
        <row r="990">
          <cell r="A990" t="str">
            <v>SB-3000MID</v>
          </cell>
          <cell r="B990" t="str">
            <v>PAD</v>
          </cell>
          <cell r="E990">
            <v>180</v>
          </cell>
          <cell r="J990" t="str">
            <v>현대MIB</v>
          </cell>
          <cell r="O990">
            <v>3000</v>
          </cell>
        </row>
        <row r="991">
          <cell r="A991" t="str">
            <v>SB-3000</v>
          </cell>
          <cell r="B991" t="str">
            <v>SET</v>
          </cell>
          <cell r="C991">
            <v>2</v>
          </cell>
          <cell r="D991">
            <v>90</v>
          </cell>
          <cell r="E991">
            <v>530</v>
          </cell>
          <cell r="F991">
            <v>74</v>
          </cell>
          <cell r="G991" t="str">
            <v>B240NS</v>
          </cell>
          <cell r="H991">
            <v>3</v>
          </cell>
          <cell r="I991">
            <v>2</v>
          </cell>
          <cell r="J991" t="str">
            <v>현대MIB</v>
          </cell>
          <cell r="K991">
            <v>158</v>
          </cell>
          <cell r="L991">
            <v>162</v>
          </cell>
          <cell r="M991">
            <v>185</v>
          </cell>
          <cell r="N991">
            <v>189</v>
          </cell>
          <cell r="O991">
            <v>10</v>
          </cell>
          <cell r="P991">
            <v>1300</v>
          </cell>
          <cell r="Q991">
            <v>250</v>
          </cell>
          <cell r="R991" t="str">
            <v>검정</v>
          </cell>
          <cell r="S991" t="str">
            <v>검정</v>
          </cell>
          <cell r="U991">
            <v>42886</v>
          </cell>
          <cell r="V991" t="str">
            <v>이관금형</v>
          </cell>
          <cell r="AC991" t="str">
            <v>최재학계장</v>
          </cell>
          <cell r="AD991">
            <v>0.85</v>
          </cell>
          <cell r="AE991">
            <v>90</v>
          </cell>
        </row>
        <row r="992">
          <cell r="A992" t="str">
            <v>SB-1000</v>
          </cell>
          <cell r="B992" t="str">
            <v>SET</v>
          </cell>
          <cell r="C992">
            <v>2</v>
          </cell>
          <cell r="D992">
            <v>90</v>
          </cell>
          <cell r="E992">
            <v>348</v>
          </cell>
          <cell r="F992">
            <v>74</v>
          </cell>
          <cell r="G992" t="str">
            <v>B240NS</v>
          </cell>
          <cell r="H992">
            <v>5</v>
          </cell>
          <cell r="I992">
            <v>2</v>
          </cell>
          <cell r="J992" t="str">
            <v>현대MIB</v>
          </cell>
          <cell r="K992">
            <v>116</v>
          </cell>
          <cell r="L992">
            <v>118</v>
          </cell>
          <cell r="M992">
            <v>116</v>
          </cell>
          <cell r="N992">
            <v>118</v>
          </cell>
          <cell r="O992">
            <v>10</v>
          </cell>
          <cell r="P992">
            <v>1300</v>
          </cell>
          <cell r="Q992">
            <v>200</v>
          </cell>
          <cell r="R992" t="str">
            <v>주황</v>
          </cell>
          <cell r="S992" t="str">
            <v>주황</v>
          </cell>
          <cell r="U992">
            <v>42886</v>
          </cell>
          <cell r="V992" t="str">
            <v>이관금형</v>
          </cell>
          <cell r="AC992" t="str">
            <v>최재학계장</v>
          </cell>
          <cell r="AD992">
            <v>0.85</v>
          </cell>
          <cell r="AE992">
            <v>100</v>
          </cell>
          <cell r="AF992">
            <v>6</v>
          </cell>
        </row>
        <row r="993">
          <cell r="A993" t="str">
            <v>S60</v>
          </cell>
          <cell r="B993" t="str">
            <v>SET</v>
          </cell>
          <cell r="C993">
            <v>4</v>
          </cell>
          <cell r="D993">
            <v>80</v>
          </cell>
          <cell r="E993">
            <v>100</v>
          </cell>
          <cell r="F993">
            <v>65</v>
          </cell>
          <cell r="G993" t="str">
            <v>B240NS</v>
          </cell>
          <cell r="H993">
            <v>30</v>
          </cell>
          <cell r="I993">
            <v>2</v>
          </cell>
          <cell r="J993" t="str">
            <v>하츠</v>
          </cell>
          <cell r="K993">
            <v>58</v>
          </cell>
          <cell r="L993">
            <v>62</v>
          </cell>
          <cell r="M993">
            <v>58</v>
          </cell>
          <cell r="N993">
            <v>62</v>
          </cell>
          <cell r="O993">
            <v>10</v>
          </cell>
          <cell r="P993">
            <v>1300</v>
          </cell>
          <cell r="Q993">
            <v>150</v>
          </cell>
          <cell r="R993" t="str">
            <v>노랑</v>
          </cell>
          <cell r="S993" t="str">
            <v>빨강</v>
          </cell>
          <cell r="U993">
            <v>43644</v>
          </cell>
          <cell r="V993" t="str">
            <v>하츠이동입고</v>
          </cell>
          <cell r="W993" t="str">
            <v>수냉1초 이하, 고치수 확인(60mm),117g, 2차건조실 건조</v>
          </cell>
          <cell r="Y993">
            <v>60</v>
          </cell>
          <cell r="AC993" t="str">
            <v>인천EPS에서 이관 190628 기준뱅율변경(70-&gt;64)</v>
          </cell>
          <cell r="AD993">
            <v>0.83</v>
          </cell>
          <cell r="AE993">
            <v>80</v>
          </cell>
          <cell r="AF993">
            <v>4</v>
          </cell>
        </row>
        <row r="994">
          <cell r="A994" t="str">
            <v>S30B</v>
          </cell>
          <cell r="B994" t="str">
            <v>SET</v>
          </cell>
          <cell r="C994">
            <v>1</v>
          </cell>
          <cell r="D994">
            <v>65</v>
          </cell>
          <cell r="E994">
            <v>509</v>
          </cell>
          <cell r="F994">
            <v>50</v>
          </cell>
          <cell r="G994" t="str">
            <v>B240NS</v>
          </cell>
          <cell r="H994">
            <v>10</v>
          </cell>
          <cell r="I994">
            <v>2</v>
          </cell>
          <cell r="J994" t="str">
            <v>SK매직</v>
          </cell>
          <cell r="K994">
            <v>88</v>
          </cell>
          <cell r="L994">
            <v>91</v>
          </cell>
          <cell r="M994">
            <v>53</v>
          </cell>
          <cell r="N994">
            <v>55</v>
          </cell>
          <cell r="O994">
            <v>2784</v>
          </cell>
          <cell r="P994">
            <v>1300</v>
          </cell>
          <cell r="Q994">
            <v>200</v>
          </cell>
          <cell r="R994" t="str">
            <v>밴딩</v>
          </cell>
          <cell r="S994" t="str">
            <v>밴딩</v>
          </cell>
          <cell r="T994" t="str">
            <v>GRA-30B30</v>
          </cell>
          <cell r="U994">
            <v>41222</v>
          </cell>
          <cell r="V994" t="str">
            <v>금형제조부</v>
          </cell>
          <cell r="W994" t="str">
            <v>50558-30,29</v>
          </cell>
          <cell r="X994" t="str">
            <v>계양리 Q-1</v>
          </cell>
          <cell r="AC994" t="str">
            <v>석상준계장,2012.11.19수정,2012.11.27수정,2012.12.17수정,2013.01.08수정, 2013.01.11기준중량변경(449-&gt;509),2013.01.24수정,2013.02.25코팅</v>
          </cell>
          <cell r="AD994">
            <v>0.85</v>
          </cell>
          <cell r="AE994">
            <v>65</v>
          </cell>
          <cell r="AF994">
            <v>8</v>
          </cell>
        </row>
        <row r="995">
          <cell r="A995" t="str">
            <v>S27WLL</v>
          </cell>
          <cell r="B995" t="str">
            <v>SET</v>
          </cell>
          <cell r="C995">
            <v>1</v>
          </cell>
          <cell r="D995">
            <v>100</v>
          </cell>
          <cell r="E995">
            <v>1600</v>
          </cell>
          <cell r="F995">
            <v>52</v>
          </cell>
          <cell r="G995" t="str">
            <v>B240NS</v>
          </cell>
          <cell r="H995">
            <v>1</v>
          </cell>
          <cell r="I995">
            <v>1</v>
          </cell>
          <cell r="J995" t="str">
            <v>PN</v>
          </cell>
          <cell r="O995">
            <v>10</v>
          </cell>
          <cell r="P995">
            <v>1360</v>
          </cell>
          <cell r="Q995">
            <v>350</v>
          </cell>
          <cell r="S995">
            <v>0</v>
          </cell>
          <cell r="U995">
            <v>43329</v>
          </cell>
          <cell r="V995" t="str">
            <v>금형제조부</v>
          </cell>
          <cell r="W995" t="str">
            <v>포장 시 건조 확인 철저</v>
          </cell>
          <cell r="Y995">
            <v>45</v>
          </cell>
          <cell r="Z995">
            <v>71640</v>
          </cell>
          <cell r="AC995" t="str">
            <v>최재학계장, 건조철저</v>
          </cell>
          <cell r="AD995">
            <v>0.85</v>
          </cell>
          <cell r="AE995">
            <v>110</v>
          </cell>
          <cell r="AF995">
            <v>2</v>
          </cell>
        </row>
        <row r="996">
          <cell r="A996" t="str">
            <v>S23WLL</v>
          </cell>
          <cell r="B996" t="str">
            <v>SET</v>
          </cell>
          <cell r="C996">
            <v>1</v>
          </cell>
          <cell r="D996">
            <v>120</v>
          </cell>
          <cell r="E996">
            <v>1040</v>
          </cell>
          <cell r="F996">
            <v>74</v>
          </cell>
          <cell r="G996" t="str">
            <v>B240NS</v>
          </cell>
          <cell r="H996">
            <v>1</v>
          </cell>
          <cell r="I996">
            <v>1</v>
          </cell>
          <cell r="J996" t="str">
            <v>PN</v>
          </cell>
          <cell r="K996">
            <v>217</v>
          </cell>
          <cell r="L996">
            <v>221</v>
          </cell>
          <cell r="O996">
            <v>10</v>
          </cell>
          <cell r="P996">
            <v>1360</v>
          </cell>
          <cell r="Q996">
            <v>350</v>
          </cell>
          <cell r="R996" t="str">
            <v>비닐</v>
          </cell>
          <cell r="U996">
            <v>43230</v>
          </cell>
          <cell r="V996" t="str">
            <v>금형제조부</v>
          </cell>
          <cell r="W996" t="str">
            <v>포장 시 건조 확인 철저</v>
          </cell>
          <cell r="Y996">
            <v>60</v>
          </cell>
          <cell r="AC996" t="str">
            <v>최재학계장, 건조철저, 2020.06.09 개조입고</v>
          </cell>
          <cell r="AD996">
            <v>0.85</v>
          </cell>
          <cell r="AE996">
            <v>130</v>
          </cell>
          <cell r="AF996">
            <v>3</v>
          </cell>
        </row>
        <row r="997">
          <cell r="A997" t="str">
            <v>S1-REAR</v>
          </cell>
          <cell r="B997" t="str">
            <v>SET</v>
          </cell>
          <cell r="C997">
            <v>1</v>
          </cell>
          <cell r="D997">
            <v>100</v>
          </cell>
          <cell r="E997">
            <v>2989</v>
          </cell>
          <cell r="F997">
            <v>70</v>
          </cell>
          <cell r="G997" t="str">
            <v>B240NS</v>
          </cell>
          <cell r="H997">
            <v>1</v>
          </cell>
          <cell r="I997">
            <v>2</v>
          </cell>
          <cell r="J997" t="str">
            <v>오스템임플란트</v>
          </cell>
          <cell r="O997">
            <v>15400</v>
          </cell>
          <cell r="P997">
            <v>1360</v>
          </cell>
          <cell r="Q997">
            <v>500</v>
          </cell>
          <cell r="S997">
            <v>0</v>
          </cell>
          <cell r="T997" t="str">
            <v>S1-REAR</v>
          </cell>
          <cell r="U997">
            <v>42788</v>
          </cell>
          <cell r="V997" t="str">
            <v>금형제조부</v>
          </cell>
          <cell r="Z997">
            <v>164378</v>
          </cell>
          <cell r="AC997" t="str">
            <v>김길영대리,후레임일체형</v>
          </cell>
          <cell r="AD997">
            <v>0.85</v>
          </cell>
          <cell r="AE997">
            <v>100</v>
          </cell>
          <cell r="AF997">
            <v>8</v>
          </cell>
        </row>
        <row r="998">
          <cell r="A998" t="str">
            <v>S1-FRONT</v>
          </cell>
          <cell r="B998" t="str">
            <v>SET</v>
          </cell>
          <cell r="C998">
            <v>1</v>
          </cell>
          <cell r="D998">
            <v>100</v>
          </cell>
          <cell r="E998">
            <v>3325</v>
          </cell>
          <cell r="F998">
            <v>70</v>
          </cell>
          <cell r="G998" t="str">
            <v>B240NS</v>
          </cell>
          <cell r="H998">
            <v>1</v>
          </cell>
          <cell r="I998">
            <v>3</v>
          </cell>
          <cell r="J998" t="str">
            <v>오스템임플란트</v>
          </cell>
          <cell r="O998">
            <v>17000</v>
          </cell>
          <cell r="P998">
            <v>1600</v>
          </cell>
          <cell r="Q998">
            <v>500</v>
          </cell>
          <cell r="S998">
            <v>0</v>
          </cell>
          <cell r="T998" t="str">
            <v>S1-FRONT</v>
          </cell>
          <cell r="U998">
            <v>42788</v>
          </cell>
          <cell r="V998" t="str">
            <v>금형제조부</v>
          </cell>
          <cell r="Z998">
            <v>182863</v>
          </cell>
          <cell r="AC998" t="str">
            <v>김길영대리,후레임일체형(삼성VD폐기금형BN69-09726A프레임사용)</v>
          </cell>
          <cell r="AD998">
            <v>0.85</v>
          </cell>
          <cell r="AE998">
            <v>100</v>
          </cell>
          <cell r="AF998">
            <v>8</v>
          </cell>
        </row>
        <row r="999">
          <cell r="A999" t="str">
            <v>RS300-1</v>
          </cell>
          <cell r="B999" t="str">
            <v>SET</v>
          </cell>
          <cell r="C999">
            <v>4</v>
          </cell>
          <cell r="D999">
            <v>100</v>
          </cell>
          <cell r="E999">
            <v>156</v>
          </cell>
          <cell r="F999">
            <v>70</v>
          </cell>
          <cell r="G999" t="str">
            <v>B240NS</v>
          </cell>
          <cell r="H999">
            <v>20</v>
          </cell>
          <cell r="I999">
            <v>2</v>
          </cell>
          <cell r="J999" t="str">
            <v>에브리봇</v>
          </cell>
          <cell r="O999">
            <v>811</v>
          </cell>
          <cell r="P999">
            <v>1360</v>
          </cell>
          <cell r="R999" t="str">
            <v>검정</v>
          </cell>
          <cell r="S999" t="str">
            <v>빨강</v>
          </cell>
          <cell r="U999">
            <v>44630</v>
          </cell>
          <cell r="V999" t="str">
            <v>이관금형</v>
          </cell>
          <cell r="Y999">
            <v>64</v>
          </cell>
          <cell r="AC999" t="str">
            <v>김영석사원</v>
          </cell>
          <cell r="AD999">
            <v>0.85</v>
          </cell>
        </row>
        <row r="1000">
          <cell r="A1000" t="str">
            <v>RS300-1</v>
          </cell>
          <cell r="B1000" t="str">
            <v>SET</v>
          </cell>
          <cell r="C1000">
            <v>4</v>
          </cell>
          <cell r="D1000">
            <v>100</v>
          </cell>
          <cell r="E1000">
            <v>156</v>
          </cell>
          <cell r="F1000">
            <v>70</v>
          </cell>
          <cell r="G1000" t="str">
            <v>B240NS</v>
          </cell>
          <cell r="H1000">
            <v>20</v>
          </cell>
          <cell r="I1000">
            <v>2</v>
          </cell>
          <cell r="J1000" t="str">
            <v>에브리봇</v>
          </cell>
          <cell r="O1000">
            <v>811</v>
          </cell>
          <cell r="P1000">
            <v>1360</v>
          </cell>
          <cell r="R1000" t="str">
            <v>검정</v>
          </cell>
          <cell r="S1000" t="str">
            <v>빨강</v>
          </cell>
          <cell r="U1000">
            <v>44630</v>
          </cell>
          <cell r="V1000" t="str">
            <v>이관금형</v>
          </cell>
          <cell r="Y1000">
            <v>64</v>
          </cell>
          <cell r="AC1000" t="str">
            <v>김영석사원</v>
          </cell>
          <cell r="AD1000">
            <v>0.85</v>
          </cell>
        </row>
        <row r="1001">
          <cell r="A1001" t="str">
            <v>RK-5K(몸통/뚜껑)</v>
          </cell>
          <cell r="B1001" t="str">
            <v>BOX</v>
          </cell>
          <cell r="C1001">
            <v>3</v>
          </cell>
          <cell r="D1001">
            <v>100</v>
          </cell>
          <cell r="E1001">
            <v>215</v>
          </cell>
          <cell r="F1001">
            <v>74</v>
          </cell>
          <cell r="G1001" t="str">
            <v>SE2500M</v>
          </cell>
          <cell r="H1001" t="str">
            <v>T48 B12</v>
          </cell>
          <cell r="I1001">
            <v>2</v>
          </cell>
          <cell r="J1001" t="str">
            <v>삼일이노팩</v>
          </cell>
          <cell r="K1001">
            <v>33</v>
          </cell>
          <cell r="L1001">
            <v>37</v>
          </cell>
          <cell r="M1001">
            <v>253</v>
          </cell>
          <cell r="N1001">
            <v>257</v>
          </cell>
          <cell r="P1001">
            <v>1360</v>
          </cell>
          <cell r="Q1001">
            <v>350</v>
          </cell>
          <cell r="R1001" t="str">
            <v>주황</v>
          </cell>
          <cell r="U1001">
            <v>44432</v>
          </cell>
          <cell r="V1001" t="str">
            <v>세일하이테크</v>
          </cell>
          <cell r="Y1001">
            <v>64</v>
          </cell>
          <cell r="Z1001">
            <v>14079</v>
          </cell>
          <cell r="AC1001" t="str">
            <v>석상준과장, 코팅완료, 2021.09.03 기준중량변경(220-&gt;215)</v>
          </cell>
          <cell r="AD1001">
            <v>0.85</v>
          </cell>
          <cell r="AE1001">
            <v>70</v>
          </cell>
          <cell r="AF1001">
            <v>4</v>
          </cell>
        </row>
        <row r="1002">
          <cell r="A1002" t="str">
            <v>RK-5K#2</v>
          </cell>
          <cell r="B1002" t="str">
            <v>BOX</v>
          </cell>
          <cell r="C1002">
            <v>3</v>
          </cell>
          <cell r="D1002">
            <v>100</v>
          </cell>
          <cell r="E1002">
            <v>215</v>
          </cell>
          <cell r="F1002">
            <v>74</v>
          </cell>
          <cell r="G1002" t="str">
            <v>SE2500M</v>
          </cell>
          <cell r="H1002">
            <v>1</v>
          </cell>
          <cell r="I1002">
            <v>2</v>
          </cell>
          <cell r="J1002" t="str">
            <v>삼일이노팩</v>
          </cell>
          <cell r="K1002">
            <v>33</v>
          </cell>
          <cell r="L1002">
            <v>37</v>
          </cell>
          <cell r="M1002">
            <v>253</v>
          </cell>
          <cell r="N1002">
            <v>257</v>
          </cell>
          <cell r="P1002">
            <v>1360</v>
          </cell>
          <cell r="Q1002">
            <v>350</v>
          </cell>
          <cell r="T1002" t="str">
            <v>용인</v>
          </cell>
          <cell r="U1002">
            <v>44439</v>
          </cell>
          <cell r="V1002" t="str">
            <v>세일하이테크</v>
          </cell>
          <cell r="Y1002">
            <v>64</v>
          </cell>
          <cell r="Z1002">
            <v>14079</v>
          </cell>
          <cell r="AC1002" t="str">
            <v>석상준과장, 코팅완료, 2021.09.03 기준중량변경(220-&gt;215)</v>
          </cell>
          <cell r="AD1002">
            <v>0.85</v>
          </cell>
          <cell r="AE1002">
            <v>70</v>
          </cell>
        </row>
        <row r="1003">
          <cell r="A1003" t="str">
            <v>RK-5K</v>
          </cell>
          <cell r="B1003" t="str">
            <v>BOX</v>
          </cell>
          <cell r="C1003">
            <v>3</v>
          </cell>
          <cell r="D1003">
            <v>100</v>
          </cell>
          <cell r="E1003">
            <v>215</v>
          </cell>
          <cell r="F1003">
            <v>74</v>
          </cell>
          <cell r="G1003" t="str">
            <v>SE2500M</v>
          </cell>
          <cell r="H1003">
            <v>1</v>
          </cell>
          <cell r="I1003">
            <v>2</v>
          </cell>
          <cell r="J1003" t="str">
            <v>삼일이노팩</v>
          </cell>
          <cell r="K1003">
            <v>33</v>
          </cell>
          <cell r="L1003">
            <v>37</v>
          </cell>
          <cell r="M1003">
            <v>253</v>
          </cell>
          <cell r="N1003">
            <v>257</v>
          </cell>
          <cell r="P1003">
            <v>1360</v>
          </cell>
          <cell r="Q1003">
            <v>350</v>
          </cell>
          <cell r="T1003" t="str">
            <v>삼일</v>
          </cell>
          <cell r="U1003">
            <v>44439</v>
          </cell>
          <cell r="V1003" t="str">
            <v>세일하이테크</v>
          </cell>
          <cell r="AD1003">
            <v>0.85</v>
          </cell>
          <cell r="AE1003">
            <v>70</v>
          </cell>
        </row>
        <row r="1004">
          <cell r="A1004" t="str">
            <v>RK-3K(몸통/뚜껑)</v>
          </cell>
          <cell r="B1004" t="str">
            <v>BOX</v>
          </cell>
          <cell r="C1004">
            <v>4</v>
          </cell>
          <cell r="D1004">
            <v>100</v>
          </cell>
          <cell r="E1004">
            <v>176</v>
          </cell>
          <cell r="F1004">
            <v>74</v>
          </cell>
          <cell r="G1004" t="str">
            <v>SE2500M</v>
          </cell>
          <cell r="H1004" t="str">
            <v>T48 B12</v>
          </cell>
          <cell r="I1004">
            <v>2</v>
          </cell>
          <cell r="J1004" t="str">
            <v>삼일이노팩</v>
          </cell>
          <cell r="K1004">
            <v>36</v>
          </cell>
          <cell r="L1004">
            <v>40</v>
          </cell>
          <cell r="M1004">
            <v>213</v>
          </cell>
          <cell r="N1004">
            <v>217</v>
          </cell>
          <cell r="P1004">
            <v>1500</v>
          </cell>
          <cell r="Q1004">
            <v>350</v>
          </cell>
          <cell r="R1004" t="str">
            <v>빨강</v>
          </cell>
          <cell r="U1004">
            <v>44432</v>
          </cell>
          <cell r="V1004" t="str">
            <v>세일하이테크</v>
          </cell>
          <cell r="Y1004">
            <v>64</v>
          </cell>
          <cell r="Z1004">
            <v>11298</v>
          </cell>
          <cell r="AC1004" t="str">
            <v>석상준과장, 코팅완료, 2021.09.03 기준중량변경(177-&gt;155)</v>
          </cell>
          <cell r="AD1004">
            <v>0.85</v>
          </cell>
          <cell r="AE1004">
            <v>70</v>
          </cell>
          <cell r="AF1004">
            <v>6</v>
          </cell>
        </row>
        <row r="1005">
          <cell r="A1005" t="str">
            <v>RK-3K#2</v>
          </cell>
          <cell r="B1005" t="str">
            <v>BOX</v>
          </cell>
          <cell r="C1005">
            <v>4</v>
          </cell>
          <cell r="D1005">
            <v>100</v>
          </cell>
          <cell r="E1005">
            <v>176</v>
          </cell>
          <cell r="F1005">
            <v>74</v>
          </cell>
          <cell r="G1005" t="str">
            <v>SE2500M</v>
          </cell>
          <cell r="H1005">
            <v>1</v>
          </cell>
          <cell r="I1005">
            <v>2</v>
          </cell>
          <cell r="J1005" t="str">
            <v>삼일이노팩</v>
          </cell>
          <cell r="K1005">
            <v>36</v>
          </cell>
          <cell r="L1005">
            <v>40</v>
          </cell>
          <cell r="M1005">
            <v>213</v>
          </cell>
          <cell r="N1005">
            <v>217</v>
          </cell>
          <cell r="P1005">
            <v>1500</v>
          </cell>
          <cell r="Q1005">
            <v>350</v>
          </cell>
          <cell r="T1005" t="str">
            <v>용인</v>
          </cell>
          <cell r="U1005">
            <v>44441</v>
          </cell>
          <cell r="V1005" t="str">
            <v>세일하이테크</v>
          </cell>
          <cell r="Y1005">
            <v>64</v>
          </cell>
          <cell r="Z1005">
            <v>11298</v>
          </cell>
          <cell r="AC1005" t="str">
            <v>석상준과장, 코팅완료, 2021.09.03 기준중량변경(177-&gt;155)</v>
          </cell>
          <cell r="AD1005">
            <v>0.85</v>
          </cell>
          <cell r="AE1005">
            <v>70</v>
          </cell>
        </row>
        <row r="1006">
          <cell r="A1006" t="str">
            <v>RK-3K</v>
          </cell>
          <cell r="B1006" t="str">
            <v>BOX</v>
          </cell>
          <cell r="C1006">
            <v>4</v>
          </cell>
          <cell r="D1006">
            <v>100</v>
          </cell>
          <cell r="E1006">
            <v>176</v>
          </cell>
          <cell r="F1006">
            <v>74</v>
          </cell>
          <cell r="G1006" t="str">
            <v>SE2500M</v>
          </cell>
          <cell r="H1006">
            <v>1</v>
          </cell>
          <cell r="I1006">
            <v>2</v>
          </cell>
          <cell r="J1006" t="str">
            <v>삼일이노팩</v>
          </cell>
          <cell r="K1006">
            <v>36</v>
          </cell>
          <cell r="L1006">
            <v>40</v>
          </cell>
          <cell r="M1006">
            <v>213</v>
          </cell>
          <cell r="N1006">
            <v>217</v>
          </cell>
          <cell r="P1006">
            <v>1500</v>
          </cell>
          <cell r="Q1006">
            <v>350</v>
          </cell>
          <cell r="T1006" t="str">
            <v>용인</v>
          </cell>
          <cell r="U1006">
            <v>44441</v>
          </cell>
          <cell r="V1006" t="str">
            <v>세일하이테크</v>
          </cell>
          <cell r="AD1006">
            <v>0.85</v>
          </cell>
          <cell r="AE1006">
            <v>70</v>
          </cell>
        </row>
        <row r="1007">
          <cell r="A1007" t="str">
            <v>RK-1K</v>
          </cell>
          <cell r="B1007" t="str">
            <v>BOX</v>
          </cell>
          <cell r="C1007">
            <v>6</v>
          </cell>
          <cell r="D1007">
            <v>100</v>
          </cell>
          <cell r="E1007">
            <v>104</v>
          </cell>
          <cell r="F1007">
            <v>74</v>
          </cell>
          <cell r="G1007" t="str">
            <v>SE2500M</v>
          </cell>
          <cell r="H1007">
            <v>1</v>
          </cell>
          <cell r="I1007">
            <v>2</v>
          </cell>
          <cell r="J1007" t="str">
            <v>삼일이노팩</v>
          </cell>
          <cell r="K1007">
            <v>38.5</v>
          </cell>
          <cell r="L1007">
            <v>42.5</v>
          </cell>
          <cell r="M1007">
            <v>225.5</v>
          </cell>
          <cell r="N1007">
            <v>229.5</v>
          </cell>
          <cell r="P1007">
            <v>1500</v>
          </cell>
          <cell r="Q1007">
            <v>350</v>
          </cell>
          <cell r="U1007">
            <v>44432</v>
          </cell>
          <cell r="V1007" t="str">
            <v>세일하이테크</v>
          </cell>
          <cell r="Y1007">
            <v>64</v>
          </cell>
          <cell r="Z1007">
            <v>7090</v>
          </cell>
          <cell r="AC1007" t="str">
            <v>석상준과장, 코팅완료, 2021.09.03 기준중량변경(111-&gt;105)</v>
          </cell>
          <cell r="AD1007">
            <v>0.85</v>
          </cell>
          <cell r="AE1007">
            <v>70</v>
          </cell>
          <cell r="AF1007">
            <v>6</v>
          </cell>
        </row>
        <row r="1008">
          <cell r="A1008" t="str">
            <v>RK-10K(소)</v>
          </cell>
          <cell r="B1008" t="str">
            <v>BOX</v>
          </cell>
          <cell r="C1008">
            <v>3</v>
          </cell>
          <cell r="D1008">
            <v>100</v>
          </cell>
          <cell r="E1008">
            <v>316</v>
          </cell>
          <cell r="F1008">
            <v>74</v>
          </cell>
          <cell r="G1008" t="str">
            <v>SE2500M</v>
          </cell>
          <cell r="H1008">
            <v>1</v>
          </cell>
          <cell r="I1008">
            <v>2</v>
          </cell>
          <cell r="J1008" t="str">
            <v>삼일이노팩</v>
          </cell>
          <cell r="K1008">
            <v>34</v>
          </cell>
          <cell r="L1008">
            <v>38</v>
          </cell>
          <cell r="M1008">
            <v>267</v>
          </cell>
          <cell r="N1008">
            <v>271</v>
          </cell>
          <cell r="P1008">
            <v>1500</v>
          </cell>
          <cell r="Q1008">
            <v>400</v>
          </cell>
          <cell r="U1008">
            <v>44432</v>
          </cell>
          <cell r="V1008" t="str">
            <v>금형사업부</v>
          </cell>
          <cell r="Y1008">
            <v>64</v>
          </cell>
          <cell r="Z1008">
            <v>21519</v>
          </cell>
          <cell r="AC1008" t="str">
            <v>석상준과장, 코팅완료, 2021.09.03 기준중량변경(336-&gt;330)</v>
          </cell>
          <cell r="AD1008">
            <v>0.85</v>
          </cell>
          <cell r="AE1008">
            <v>75</v>
          </cell>
        </row>
        <row r="1009">
          <cell r="A1009" t="str">
            <v>RK-10K(대)</v>
          </cell>
          <cell r="B1009" t="str">
            <v>BOX</v>
          </cell>
          <cell r="C1009">
            <v>2</v>
          </cell>
          <cell r="D1009">
            <v>100</v>
          </cell>
          <cell r="E1009">
            <v>426</v>
          </cell>
          <cell r="F1009">
            <v>74</v>
          </cell>
          <cell r="G1009" t="str">
            <v>SE2500M</v>
          </cell>
          <cell r="H1009">
            <v>1</v>
          </cell>
          <cell r="I1009">
            <v>2</v>
          </cell>
          <cell r="J1009" t="str">
            <v>삼일이노팩</v>
          </cell>
          <cell r="K1009">
            <v>38</v>
          </cell>
          <cell r="L1009">
            <v>42</v>
          </cell>
          <cell r="M1009">
            <v>303</v>
          </cell>
          <cell r="N1009">
            <v>307</v>
          </cell>
          <cell r="P1009">
            <v>1360</v>
          </cell>
          <cell r="Q1009">
            <v>400</v>
          </cell>
          <cell r="U1009">
            <v>44432</v>
          </cell>
          <cell r="V1009" t="str">
            <v>금형사업부</v>
          </cell>
          <cell r="Y1009">
            <v>64</v>
          </cell>
          <cell r="Z1009">
            <v>28981</v>
          </cell>
          <cell r="AC1009" t="str">
            <v>석상준과장, 코팅완료, 2021.09.03 기준중량변경(453-&gt;440)</v>
          </cell>
          <cell r="AD1009">
            <v>0.85</v>
          </cell>
          <cell r="AE1009">
            <v>75</v>
          </cell>
        </row>
        <row r="1010">
          <cell r="A1010" t="str">
            <v>REFLECT</v>
          </cell>
          <cell r="B1010" t="str">
            <v>저발</v>
          </cell>
          <cell r="C1010">
            <v>1</v>
          </cell>
          <cell r="D1010">
            <v>100</v>
          </cell>
          <cell r="E1010">
            <v>160</v>
          </cell>
          <cell r="F1010">
            <v>12</v>
          </cell>
          <cell r="G1010" t="str">
            <v>B240NS</v>
          </cell>
          <cell r="H1010">
            <v>1</v>
          </cell>
          <cell r="I1010">
            <v>1</v>
          </cell>
          <cell r="J1010" t="str">
            <v>삼성전자</v>
          </cell>
          <cell r="P1010">
            <v>700</v>
          </cell>
          <cell r="S1010">
            <v>0</v>
          </cell>
          <cell r="U1010">
            <v>42328</v>
          </cell>
          <cell r="V1010" t="str">
            <v>금형제조부</v>
          </cell>
          <cell r="AC1010" t="str">
            <v xml:space="preserve">최재학사원 </v>
          </cell>
          <cell r="AD1010">
            <v>0.9</v>
          </cell>
          <cell r="AE1010">
            <v>100</v>
          </cell>
          <cell r="AF1010">
            <v>1</v>
          </cell>
        </row>
        <row r="1011">
          <cell r="A1011" t="str">
            <v>RBI</v>
          </cell>
          <cell r="B1011" t="str">
            <v>SET</v>
          </cell>
          <cell r="C1011">
            <v>2</v>
          </cell>
          <cell r="D1011">
            <v>80</v>
          </cell>
          <cell r="E1011">
            <v>430</v>
          </cell>
          <cell r="F1011">
            <v>74</v>
          </cell>
          <cell r="G1011" t="str">
            <v>B240NS</v>
          </cell>
          <cell r="H1011">
            <v>5</v>
          </cell>
          <cell r="I1011">
            <v>2</v>
          </cell>
          <cell r="J1011" t="str">
            <v>모트렉스</v>
          </cell>
          <cell r="O1011">
            <v>2600</v>
          </cell>
          <cell r="P1011">
            <v>1360</v>
          </cell>
          <cell r="Q1011">
            <v>200</v>
          </cell>
          <cell r="R1011" t="str">
            <v>보라</v>
          </cell>
          <cell r="S1011" t="str">
            <v>보라</v>
          </cell>
          <cell r="T1011" t="str">
            <v>RBI(595*485*255)</v>
          </cell>
          <cell r="U1011">
            <v>43243</v>
          </cell>
          <cell r="V1011" t="str">
            <v>이관금형</v>
          </cell>
          <cell r="W1011" t="str">
            <v>2번 건조, 생성예정(D)</v>
          </cell>
          <cell r="Y1011">
            <v>64</v>
          </cell>
          <cell r="AC1011" t="str">
            <v>최재학계장, 190102 아산대여, 191127 CAVITY 1EA 파손수리.</v>
          </cell>
          <cell r="AD1011">
            <v>0.85</v>
          </cell>
          <cell r="AE1011">
            <v>80</v>
          </cell>
        </row>
        <row r="1012">
          <cell r="A1012" t="str">
            <v>RBI</v>
          </cell>
          <cell r="B1012" t="str">
            <v>SET</v>
          </cell>
          <cell r="C1012">
            <v>2</v>
          </cell>
          <cell r="D1012">
            <v>80</v>
          </cell>
          <cell r="E1012">
            <v>430</v>
          </cell>
          <cell r="F1012">
            <v>74</v>
          </cell>
          <cell r="G1012" t="str">
            <v>B240NS</v>
          </cell>
          <cell r="H1012">
            <v>5</v>
          </cell>
          <cell r="I1012">
            <v>2</v>
          </cell>
          <cell r="J1012" t="str">
            <v>모트렉스</v>
          </cell>
          <cell r="O1012">
            <v>2600</v>
          </cell>
          <cell r="P1012">
            <v>1360</v>
          </cell>
          <cell r="Q1012">
            <v>200</v>
          </cell>
          <cell r="R1012" t="str">
            <v>보라</v>
          </cell>
          <cell r="S1012" t="str">
            <v>보라</v>
          </cell>
          <cell r="T1012" t="str">
            <v>RBI(595*485*255)</v>
          </cell>
          <cell r="U1012">
            <v>43243</v>
          </cell>
          <cell r="V1012" t="str">
            <v>이관금형</v>
          </cell>
          <cell r="W1012" t="str">
            <v>2번 건조, 생성예정(D)</v>
          </cell>
          <cell r="Y1012">
            <v>64</v>
          </cell>
          <cell r="AC1012" t="str">
            <v>최재학계장, 190102 아산대여, 191127 CAVITY 1EA 파손수리.</v>
          </cell>
          <cell r="AD1012">
            <v>0.85</v>
          </cell>
          <cell r="AE1012">
            <v>80</v>
          </cell>
          <cell r="AF1012">
            <v>4</v>
          </cell>
        </row>
        <row r="1013">
          <cell r="A1013" t="str">
            <v>RBI</v>
          </cell>
          <cell r="B1013" t="str">
            <v>SET</v>
          </cell>
          <cell r="C1013">
            <v>2</v>
          </cell>
          <cell r="D1013">
            <v>80</v>
          </cell>
          <cell r="E1013">
            <v>430</v>
          </cell>
          <cell r="F1013">
            <v>74</v>
          </cell>
          <cell r="G1013" t="str">
            <v>SG302AN</v>
          </cell>
          <cell r="H1013">
            <v>5</v>
          </cell>
          <cell r="I1013">
            <v>2</v>
          </cell>
          <cell r="J1013" t="str">
            <v>모트렉스</v>
          </cell>
          <cell r="O1013">
            <v>2600</v>
          </cell>
          <cell r="P1013">
            <v>1360</v>
          </cell>
          <cell r="Q1013">
            <v>200</v>
          </cell>
          <cell r="R1013" t="str">
            <v>보라</v>
          </cell>
          <cell r="S1013" t="str">
            <v>보라</v>
          </cell>
          <cell r="T1013" t="str">
            <v>RBI(595*485*255)</v>
          </cell>
          <cell r="U1013">
            <v>43243</v>
          </cell>
          <cell r="V1013" t="str">
            <v>이관금형</v>
          </cell>
          <cell r="W1013" t="str">
            <v>2번 건조, 생성예정(D)</v>
          </cell>
          <cell r="Y1013">
            <v>64</v>
          </cell>
          <cell r="AC1013" t="str">
            <v>최재학계장, 190102 아산대여, 191127 CAVITY 1EA 파손수리.</v>
          </cell>
          <cell r="AD1013">
            <v>0.85</v>
          </cell>
          <cell r="AE1013">
            <v>80</v>
          </cell>
          <cell r="AF1013">
            <v>4</v>
          </cell>
        </row>
        <row r="1014">
          <cell r="A1014" t="str">
            <v>RBI</v>
          </cell>
          <cell r="B1014" t="str">
            <v>SET</v>
          </cell>
          <cell r="C1014">
            <v>2</v>
          </cell>
          <cell r="D1014">
            <v>80</v>
          </cell>
          <cell r="E1014">
            <v>430</v>
          </cell>
          <cell r="F1014">
            <v>74</v>
          </cell>
          <cell r="G1014" t="str">
            <v>SG302AN</v>
          </cell>
          <cell r="H1014">
            <v>5</v>
          </cell>
          <cell r="I1014">
            <v>2</v>
          </cell>
          <cell r="J1014" t="str">
            <v>모트렉스</v>
          </cell>
          <cell r="O1014">
            <v>2600</v>
          </cell>
          <cell r="P1014">
            <v>1360</v>
          </cell>
          <cell r="Q1014">
            <v>200</v>
          </cell>
          <cell r="R1014" t="str">
            <v>보라</v>
          </cell>
          <cell r="S1014" t="str">
            <v>보라</v>
          </cell>
          <cell r="T1014" t="str">
            <v>RBI(595*485*255)</v>
          </cell>
          <cell r="U1014">
            <v>43243</v>
          </cell>
          <cell r="V1014" t="str">
            <v>이관금형</v>
          </cell>
          <cell r="W1014" t="str">
            <v>2번 건조, 생성예정(D)</v>
          </cell>
          <cell r="Y1014">
            <v>64</v>
          </cell>
          <cell r="AC1014" t="str">
            <v>최재학계장, 190102 아산대여, 191127 CAVITY 1EA 파손수리.</v>
          </cell>
          <cell r="AD1014">
            <v>0.85</v>
          </cell>
          <cell r="AE1014">
            <v>80</v>
          </cell>
          <cell r="AF1014">
            <v>4</v>
          </cell>
        </row>
        <row r="1015">
          <cell r="A1015" t="str">
            <v>RACK</v>
          </cell>
          <cell r="J1015" t="str">
            <v>새롬수지</v>
          </cell>
        </row>
        <row r="1016">
          <cell r="A1016" t="str">
            <v>QRN-830S</v>
          </cell>
          <cell r="B1016" t="str">
            <v>SET</v>
          </cell>
          <cell r="C1016">
            <v>16</v>
          </cell>
          <cell r="D1016">
            <v>100</v>
          </cell>
          <cell r="E1016">
            <v>27</v>
          </cell>
          <cell r="F1016">
            <v>50</v>
          </cell>
          <cell r="G1016" t="str">
            <v>B240NS</v>
          </cell>
          <cell r="H1016">
            <v>45</v>
          </cell>
          <cell r="I1016">
            <v>1</v>
          </cell>
          <cell r="J1016" t="str">
            <v>한화테크윈</v>
          </cell>
          <cell r="K1016">
            <v>60</v>
          </cell>
          <cell r="L1016">
            <v>62</v>
          </cell>
          <cell r="P1016">
            <v>1360</v>
          </cell>
          <cell r="Q1016">
            <v>150</v>
          </cell>
          <cell r="R1016" t="str">
            <v>오렌지</v>
          </cell>
          <cell r="U1016">
            <v>45217</v>
          </cell>
          <cell r="V1016" t="str">
            <v>금형사업부</v>
          </cell>
          <cell r="AD1016">
            <v>0.85</v>
          </cell>
        </row>
        <row r="1017">
          <cell r="A1017" t="str">
            <v>QRN-830S</v>
          </cell>
          <cell r="B1017" t="str">
            <v>SET</v>
          </cell>
          <cell r="C1017">
            <v>16</v>
          </cell>
          <cell r="D1017">
            <v>100</v>
          </cell>
          <cell r="E1017">
            <v>27</v>
          </cell>
          <cell r="F1017">
            <v>50</v>
          </cell>
          <cell r="G1017" t="str">
            <v>B240NS</v>
          </cell>
          <cell r="H1017">
            <v>45</v>
          </cell>
          <cell r="I1017">
            <v>1</v>
          </cell>
          <cell r="J1017" t="str">
            <v>한화테크윈</v>
          </cell>
          <cell r="P1017">
            <v>1360</v>
          </cell>
          <cell r="Q1017">
            <v>150</v>
          </cell>
          <cell r="R1017" t="str">
            <v>오렌지</v>
          </cell>
          <cell r="U1017">
            <v>45217</v>
          </cell>
          <cell r="V1017" t="str">
            <v>금형사업부</v>
          </cell>
          <cell r="AD1017">
            <v>0.85</v>
          </cell>
        </row>
        <row r="1018">
          <cell r="A1018" t="str">
            <v>QNP-6320H</v>
          </cell>
          <cell r="B1018" t="str">
            <v>SET</v>
          </cell>
          <cell r="C1018">
            <v>6</v>
          </cell>
          <cell r="D1018">
            <v>100</v>
          </cell>
          <cell r="E1018">
            <v>73</v>
          </cell>
          <cell r="F1018">
            <v>70</v>
          </cell>
          <cell r="G1018" t="str">
            <v>B240NS</v>
          </cell>
          <cell r="H1018">
            <v>10</v>
          </cell>
          <cell r="I1018">
            <v>2</v>
          </cell>
          <cell r="J1018" t="str">
            <v>한화테크윈</v>
          </cell>
          <cell r="P1018">
            <v>1360</v>
          </cell>
          <cell r="Q1018">
            <v>0</v>
          </cell>
          <cell r="R1018" t="str">
            <v>빨강</v>
          </cell>
          <cell r="U1018">
            <v>44685</v>
          </cell>
          <cell r="V1018" t="str">
            <v>금형사업부</v>
          </cell>
          <cell r="Y1018">
            <v>60</v>
          </cell>
          <cell r="AC1018" t="str">
            <v>김영석사원</v>
          </cell>
          <cell r="AD1018">
            <v>0.85</v>
          </cell>
        </row>
        <row r="1019">
          <cell r="A1019" t="str">
            <v>QNP-6320H</v>
          </cell>
          <cell r="B1019" t="str">
            <v>SET</v>
          </cell>
          <cell r="C1019">
            <v>6</v>
          </cell>
          <cell r="D1019">
            <v>100</v>
          </cell>
          <cell r="E1019">
            <v>73</v>
          </cell>
          <cell r="F1019">
            <v>70</v>
          </cell>
          <cell r="G1019" t="str">
            <v>B240NS</v>
          </cell>
          <cell r="H1019">
            <v>20</v>
          </cell>
          <cell r="I1019">
            <v>2</v>
          </cell>
          <cell r="J1019" t="str">
            <v>한화테크윈</v>
          </cell>
          <cell r="P1019">
            <v>1360</v>
          </cell>
          <cell r="U1019">
            <v>44685</v>
          </cell>
          <cell r="V1019" t="str">
            <v>금형사업부</v>
          </cell>
          <cell r="Y1019">
            <v>60</v>
          </cell>
          <cell r="AC1019" t="str">
            <v>김영석사원</v>
          </cell>
          <cell r="AD1019">
            <v>0.85</v>
          </cell>
        </row>
        <row r="1020">
          <cell r="A1020" t="str">
            <v>QNP-6320</v>
          </cell>
          <cell r="B1020" t="str">
            <v>SET</v>
          </cell>
          <cell r="C1020">
            <v>6</v>
          </cell>
          <cell r="D1020">
            <v>100</v>
          </cell>
          <cell r="E1020">
            <v>48</v>
          </cell>
          <cell r="F1020">
            <v>70</v>
          </cell>
          <cell r="G1020" t="str">
            <v>B240NS</v>
          </cell>
          <cell r="H1020">
            <v>20</v>
          </cell>
          <cell r="I1020">
            <v>2</v>
          </cell>
          <cell r="J1020" t="str">
            <v>한화테크윈</v>
          </cell>
          <cell r="P1020">
            <v>1360</v>
          </cell>
          <cell r="Q1020">
            <v>0</v>
          </cell>
          <cell r="R1020" t="str">
            <v>노랑</v>
          </cell>
          <cell r="U1020">
            <v>44685</v>
          </cell>
          <cell r="V1020" t="str">
            <v>금형사업부</v>
          </cell>
          <cell r="Y1020">
            <v>60</v>
          </cell>
          <cell r="AC1020" t="str">
            <v>김영석사원</v>
          </cell>
          <cell r="AD1020">
            <v>0.85</v>
          </cell>
        </row>
        <row r="1021">
          <cell r="A1021" t="str">
            <v>QNP-6320</v>
          </cell>
          <cell r="B1021" t="str">
            <v>SET</v>
          </cell>
          <cell r="C1021">
            <v>6</v>
          </cell>
          <cell r="D1021">
            <v>100</v>
          </cell>
          <cell r="E1021">
            <v>48</v>
          </cell>
          <cell r="F1021">
            <v>70</v>
          </cell>
          <cell r="G1021" t="str">
            <v>B240NS</v>
          </cell>
          <cell r="H1021">
            <v>20</v>
          </cell>
          <cell r="I1021">
            <v>2</v>
          </cell>
          <cell r="J1021" t="str">
            <v>한화테크윈</v>
          </cell>
          <cell r="P1021">
            <v>1360</v>
          </cell>
          <cell r="U1021">
            <v>44685</v>
          </cell>
          <cell r="V1021" t="str">
            <v>금형사업부</v>
          </cell>
          <cell r="Y1021">
            <v>60</v>
          </cell>
          <cell r="AC1021" t="str">
            <v>김영석사원</v>
          </cell>
          <cell r="AD1021">
            <v>0.85</v>
          </cell>
        </row>
        <row r="1022">
          <cell r="A1022" t="str">
            <v>QNO-6082R</v>
          </cell>
          <cell r="B1022" t="str">
            <v>SET</v>
          </cell>
          <cell r="C1022">
            <v>6</v>
          </cell>
          <cell r="D1022">
            <v>100</v>
          </cell>
          <cell r="E1022">
            <v>37</v>
          </cell>
          <cell r="F1022">
            <v>60</v>
          </cell>
          <cell r="G1022" t="str">
            <v>B240NS</v>
          </cell>
          <cell r="H1022">
            <v>40</v>
          </cell>
          <cell r="I1022">
            <v>2</v>
          </cell>
          <cell r="J1022" t="str">
            <v>한화테크윈</v>
          </cell>
          <cell r="K1022">
            <v>39.200000000000003</v>
          </cell>
          <cell r="L1022">
            <v>40.799999999999997</v>
          </cell>
          <cell r="M1022">
            <v>49.2</v>
          </cell>
          <cell r="N1022">
            <v>50.8</v>
          </cell>
          <cell r="P1022">
            <v>1360</v>
          </cell>
          <cell r="Q1022">
            <v>200</v>
          </cell>
          <cell r="R1022" t="str">
            <v>보라</v>
          </cell>
          <cell r="U1022">
            <v>45401</v>
          </cell>
          <cell r="V1022" t="str">
            <v>금형사업부</v>
          </cell>
          <cell r="W1022" t="str">
            <v>PM02-007008A,PM02-007009A</v>
          </cell>
          <cell r="AD1022">
            <v>0.85</v>
          </cell>
        </row>
        <row r="1023">
          <cell r="A1023" t="str">
            <v>QNO-6082R</v>
          </cell>
          <cell r="B1023" t="str">
            <v>SET</v>
          </cell>
          <cell r="C1023">
            <v>1</v>
          </cell>
          <cell r="D1023">
            <v>100</v>
          </cell>
          <cell r="E1023">
            <v>37</v>
          </cell>
          <cell r="F1023">
            <v>60</v>
          </cell>
          <cell r="G1023" t="str">
            <v>B240NS</v>
          </cell>
          <cell r="H1023">
            <v>40</v>
          </cell>
          <cell r="I1023">
            <v>1</v>
          </cell>
          <cell r="J1023" t="str">
            <v>한화테크윈</v>
          </cell>
          <cell r="P1023">
            <v>1360</v>
          </cell>
          <cell r="Q1023">
            <v>200</v>
          </cell>
          <cell r="U1023">
            <v>45401</v>
          </cell>
          <cell r="V1023" t="str">
            <v>금형사업부</v>
          </cell>
          <cell r="W1023" t="str">
            <v>PM02-007008A,PM02-007009A</v>
          </cell>
          <cell r="AD1023">
            <v>0.85</v>
          </cell>
        </row>
        <row r="1024">
          <cell r="A1024" t="str">
            <v>QNO-6082R</v>
          </cell>
          <cell r="B1024" t="str">
            <v>SET</v>
          </cell>
          <cell r="C1024">
            <v>1</v>
          </cell>
          <cell r="D1024">
            <v>100</v>
          </cell>
          <cell r="E1024">
            <v>37</v>
          </cell>
          <cell r="F1024">
            <v>60</v>
          </cell>
          <cell r="G1024" t="str">
            <v>B240NS</v>
          </cell>
          <cell r="H1024">
            <v>10</v>
          </cell>
          <cell r="I1024">
            <v>1</v>
          </cell>
          <cell r="J1024" t="str">
            <v>한화테크윈</v>
          </cell>
          <cell r="P1024">
            <v>1360</v>
          </cell>
          <cell r="Q1024">
            <v>200</v>
          </cell>
          <cell r="U1024">
            <v>45401</v>
          </cell>
          <cell r="V1024" t="str">
            <v>금형사업부</v>
          </cell>
          <cell r="W1024" t="str">
            <v>PM02-007008A,PM02-007009A</v>
          </cell>
          <cell r="AD1024">
            <v>0.85</v>
          </cell>
        </row>
        <row r="1025">
          <cell r="A1025" t="str">
            <v>QLPE</v>
          </cell>
          <cell r="B1025" t="str">
            <v>SET</v>
          </cell>
          <cell r="C1025">
            <v>2</v>
          </cell>
          <cell r="D1025">
            <v>80</v>
          </cell>
          <cell r="E1025">
            <v>435</v>
          </cell>
          <cell r="F1025">
            <v>74</v>
          </cell>
          <cell r="G1025" t="str">
            <v>B240NS</v>
          </cell>
          <cell r="H1025">
            <v>5</v>
          </cell>
          <cell r="I1025">
            <v>2</v>
          </cell>
          <cell r="J1025" t="str">
            <v>모트렉스</v>
          </cell>
          <cell r="O1025">
            <v>2200</v>
          </cell>
          <cell r="P1025">
            <v>1360</v>
          </cell>
          <cell r="Q1025">
            <v>200</v>
          </cell>
          <cell r="R1025" t="str">
            <v>주황</v>
          </cell>
          <cell r="S1025" t="str">
            <v>주황</v>
          </cell>
          <cell r="T1025" t="str">
            <v>스티로폼(QL/CKD/584*476*195)</v>
          </cell>
          <cell r="U1025">
            <v>43243</v>
          </cell>
          <cell r="V1025" t="str">
            <v>이관금형</v>
          </cell>
          <cell r="W1025" t="str">
            <v>2번 건조, SC721011A</v>
          </cell>
          <cell r="Y1025">
            <v>64</v>
          </cell>
          <cell r="AC1025" t="str">
            <v>최재학계장, 190102 아산대여</v>
          </cell>
          <cell r="AD1025">
            <v>0.85</v>
          </cell>
          <cell r="AE1025">
            <v>75</v>
          </cell>
          <cell r="AF1025">
            <v>2</v>
          </cell>
        </row>
        <row r="1026">
          <cell r="A1026" t="str">
            <v>QBPE</v>
          </cell>
          <cell r="B1026" t="str">
            <v>SET</v>
          </cell>
          <cell r="C1026">
            <v>2</v>
          </cell>
          <cell r="D1026">
            <v>80</v>
          </cell>
          <cell r="E1026">
            <v>380</v>
          </cell>
          <cell r="F1026">
            <v>74</v>
          </cell>
          <cell r="G1026" t="str">
            <v>B240NS</v>
          </cell>
          <cell r="H1026">
            <v>1</v>
          </cell>
          <cell r="I1026">
            <v>2</v>
          </cell>
          <cell r="J1026" t="str">
            <v>모트렉스</v>
          </cell>
          <cell r="O1026">
            <v>1980</v>
          </cell>
          <cell r="P1026">
            <v>1360</v>
          </cell>
          <cell r="Q1026">
            <v>200</v>
          </cell>
          <cell r="S1026">
            <v>0</v>
          </cell>
          <cell r="T1026" t="str">
            <v>스티로폼(QBPE/CKD/584*476*185)</v>
          </cell>
          <cell r="U1026">
            <v>43243</v>
          </cell>
          <cell r="V1026" t="str">
            <v>이관금형</v>
          </cell>
          <cell r="W1026" t="str">
            <v>2번 건조, SC721016A</v>
          </cell>
          <cell r="Y1026">
            <v>64</v>
          </cell>
          <cell r="AC1026" t="str">
            <v>최재학계장</v>
          </cell>
          <cell r="AD1026">
            <v>0.85</v>
          </cell>
          <cell r="AE1026">
            <v>80</v>
          </cell>
          <cell r="AF1026">
            <v>8</v>
          </cell>
        </row>
        <row r="1027">
          <cell r="A1027" t="str">
            <v>Q900</v>
          </cell>
          <cell r="B1027" t="str">
            <v>SET</v>
          </cell>
          <cell r="C1027">
            <v>4</v>
          </cell>
          <cell r="D1027">
            <v>150</v>
          </cell>
          <cell r="E1027">
            <v>392</v>
          </cell>
          <cell r="F1027">
            <v>65</v>
          </cell>
          <cell r="G1027" t="str">
            <v>B240NS</v>
          </cell>
          <cell r="H1027">
            <v>4</v>
          </cell>
          <cell r="I1027">
            <v>1</v>
          </cell>
          <cell r="J1027" t="str">
            <v>삼성전자</v>
          </cell>
          <cell r="K1027">
            <v>384</v>
          </cell>
          <cell r="L1027">
            <v>388</v>
          </cell>
          <cell r="P1027">
            <v>1500</v>
          </cell>
          <cell r="Q1027">
            <v>500</v>
          </cell>
          <cell r="R1027" t="str">
            <v>주황</v>
          </cell>
          <cell r="U1027">
            <v>43899</v>
          </cell>
          <cell r="V1027" t="str">
            <v>세일하이테크</v>
          </cell>
          <cell r="X1027">
            <v>392.34</v>
          </cell>
          <cell r="Y1027">
            <v>50</v>
          </cell>
          <cell r="Z1027">
            <v>19617</v>
          </cell>
          <cell r="AC1027" t="str">
            <v>석상준과장, FRAME(CORE,CAVITY)</v>
          </cell>
          <cell r="AD1027">
            <v>0.85</v>
          </cell>
          <cell r="AF1027">
            <v>8</v>
          </cell>
        </row>
        <row r="1028">
          <cell r="A1028" t="str">
            <v>Q3포장재</v>
          </cell>
          <cell r="B1028" t="str">
            <v>SET</v>
          </cell>
          <cell r="C1028">
            <v>3</v>
          </cell>
          <cell r="D1028">
            <v>100</v>
          </cell>
          <cell r="E1028">
            <v>138</v>
          </cell>
          <cell r="F1028">
            <v>58</v>
          </cell>
          <cell r="G1028" t="str">
            <v>B240NS</v>
          </cell>
          <cell r="H1028" t="str">
            <v>T:15 B:15</v>
          </cell>
          <cell r="I1028">
            <v>2</v>
          </cell>
          <cell r="J1028" t="str">
            <v>하이필</v>
          </cell>
          <cell r="K1028">
            <v>58</v>
          </cell>
          <cell r="L1028">
            <v>62</v>
          </cell>
          <cell r="M1028">
            <v>58</v>
          </cell>
          <cell r="N1028">
            <v>62</v>
          </cell>
          <cell r="P1028">
            <v>1360</v>
          </cell>
          <cell r="Q1028">
            <v>150</v>
          </cell>
          <cell r="R1028" t="str">
            <v>파랑</v>
          </cell>
          <cell r="S1028" t="str">
            <v>검정</v>
          </cell>
          <cell r="U1028">
            <v>44140</v>
          </cell>
          <cell r="V1028" t="str">
            <v>금형사업부</v>
          </cell>
          <cell r="Y1028">
            <v>50</v>
          </cell>
          <cell r="Z1028">
            <v>6932</v>
          </cell>
          <cell r="AC1028" t="str">
            <v>2021.01.14코팅완료, 2021.08.11 측면각인 추가</v>
          </cell>
          <cell r="AD1028">
            <v>0.85</v>
          </cell>
          <cell r="AF1028">
            <v>6</v>
          </cell>
        </row>
        <row r="1029">
          <cell r="A1029" t="str">
            <v>Q3공용</v>
          </cell>
          <cell r="B1029" t="str">
            <v>SET</v>
          </cell>
          <cell r="C1029">
            <v>6</v>
          </cell>
          <cell r="D1029">
            <v>100</v>
          </cell>
          <cell r="E1029">
            <v>91</v>
          </cell>
          <cell r="F1029">
            <v>50</v>
          </cell>
          <cell r="G1029" t="str">
            <v>B240NS</v>
          </cell>
          <cell r="H1029">
            <v>20</v>
          </cell>
          <cell r="I1029">
            <v>2</v>
          </cell>
          <cell r="J1029" t="str">
            <v>하이필</v>
          </cell>
          <cell r="P1029">
            <v>1360</v>
          </cell>
          <cell r="R1029" t="str">
            <v>빨강</v>
          </cell>
          <cell r="S1029" t="str">
            <v>빨강</v>
          </cell>
          <cell r="U1029">
            <v>44253</v>
          </cell>
          <cell r="V1029" t="str">
            <v>금형사업부</v>
          </cell>
          <cell r="AC1029" t="str">
            <v>석상준과장,코팅완료, 2021.07.30수정</v>
          </cell>
          <cell r="AD1029">
            <v>0.85</v>
          </cell>
          <cell r="AF1029">
            <v>6</v>
          </cell>
        </row>
        <row r="1030">
          <cell r="A1030" t="str">
            <v>Q3-UP/LOW</v>
          </cell>
          <cell r="B1030" t="str">
            <v>SET</v>
          </cell>
          <cell r="C1030">
            <v>6</v>
          </cell>
          <cell r="D1030">
            <v>100</v>
          </cell>
          <cell r="E1030">
            <v>98</v>
          </cell>
          <cell r="F1030">
            <v>50</v>
          </cell>
          <cell r="G1030" t="str">
            <v>B240NS</v>
          </cell>
          <cell r="H1030">
            <v>10</v>
          </cell>
          <cell r="I1030">
            <v>2</v>
          </cell>
          <cell r="J1030" t="str">
            <v>하이필</v>
          </cell>
          <cell r="K1030">
            <v>184</v>
          </cell>
          <cell r="L1030">
            <v>186</v>
          </cell>
          <cell r="M1030">
            <v>48</v>
          </cell>
          <cell r="N1030">
            <v>51</v>
          </cell>
          <cell r="O1030">
            <v>500</v>
          </cell>
          <cell r="P1030">
            <v>1360</v>
          </cell>
          <cell r="Q1030">
            <v>300</v>
          </cell>
          <cell r="R1030" t="str">
            <v>주황</v>
          </cell>
          <cell r="S1030" t="str">
            <v>주황</v>
          </cell>
          <cell r="U1030">
            <v>44084</v>
          </cell>
          <cell r="V1030" t="str">
            <v>세일하이테크</v>
          </cell>
          <cell r="Y1030">
            <v>40</v>
          </cell>
          <cell r="Z1030">
            <v>3928</v>
          </cell>
          <cell r="AC1030" t="str">
            <v>석상준과장, 2020.10.13 BURR 및 코팅완료, 2021.01.14 수정</v>
          </cell>
          <cell r="AD1030">
            <v>0.85</v>
          </cell>
          <cell r="AF1030">
            <v>9</v>
          </cell>
        </row>
        <row r="1031">
          <cell r="A1031" t="str">
            <v>Q250하드탑</v>
          </cell>
          <cell r="B1031" t="str">
            <v>SET</v>
          </cell>
          <cell r="C1031">
            <v>2</v>
          </cell>
          <cell r="D1031">
            <v>125</v>
          </cell>
          <cell r="E1031">
            <v>239</v>
          </cell>
          <cell r="F1031">
            <v>74</v>
          </cell>
          <cell r="G1031" t="str">
            <v>SE2500M</v>
          </cell>
          <cell r="H1031">
            <v>8</v>
          </cell>
          <cell r="I1031">
            <v>2</v>
          </cell>
          <cell r="J1031" t="str">
            <v>시노피</v>
          </cell>
          <cell r="K1031">
            <v>119</v>
          </cell>
          <cell r="L1031">
            <v>121</v>
          </cell>
          <cell r="M1031">
            <v>119</v>
          </cell>
          <cell r="N1031">
            <v>121</v>
          </cell>
          <cell r="O1031">
            <v>1380</v>
          </cell>
          <cell r="P1031">
            <v>1360</v>
          </cell>
          <cell r="Q1031">
            <v>250</v>
          </cell>
          <cell r="R1031" t="str">
            <v>검정</v>
          </cell>
          <cell r="S1031" t="str">
            <v>검정</v>
          </cell>
          <cell r="U1031">
            <v>43172</v>
          </cell>
          <cell r="V1031" t="str">
            <v>금형제조부</v>
          </cell>
          <cell r="W1031" t="str">
            <v>Q200하드탑과 끈색깔 다름(검정색)</v>
          </cell>
          <cell r="Y1031">
            <v>64</v>
          </cell>
          <cell r="Z1031">
            <v>15317</v>
          </cell>
          <cell r="AC1031" t="str">
            <v>최재학계장</v>
          </cell>
          <cell r="AD1031">
            <v>0.85</v>
          </cell>
          <cell r="AE1031">
            <v>110</v>
          </cell>
          <cell r="AF1031">
            <v>2</v>
          </cell>
        </row>
        <row r="1032">
          <cell r="A1032" t="str">
            <v>Q200하드탑</v>
          </cell>
          <cell r="B1032" t="str">
            <v>저발</v>
          </cell>
          <cell r="C1032">
            <v>1</v>
          </cell>
          <cell r="D1032">
            <v>110</v>
          </cell>
          <cell r="E1032">
            <v>239</v>
          </cell>
          <cell r="F1032">
            <v>74</v>
          </cell>
          <cell r="G1032" t="str">
            <v>B240NS</v>
          </cell>
          <cell r="H1032">
            <v>8</v>
          </cell>
          <cell r="I1032">
            <v>2</v>
          </cell>
          <cell r="J1032" t="str">
            <v>진보공업</v>
          </cell>
          <cell r="K1032">
            <v>119</v>
          </cell>
          <cell r="L1032">
            <v>121</v>
          </cell>
          <cell r="M1032">
            <v>119</v>
          </cell>
          <cell r="N1032">
            <v>121</v>
          </cell>
          <cell r="O1032">
            <v>10</v>
          </cell>
          <cell r="P1032">
            <v>700</v>
          </cell>
          <cell r="R1032" t="str">
            <v>녹색</v>
          </cell>
          <cell r="S1032" t="str">
            <v>녹색</v>
          </cell>
          <cell r="U1032">
            <v>43069</v>
          </cell>
          <cell r="V1032" t="str">
            <v>금형제조부</v>
          </cell>
          <cell r="Y1032">
            <v>64</v>
          </cell>
          <cell r="Z1032">
            <v>15317</v>
          </cell>
          <cell r="AC1032" t="str">
            <v>최재학계장</v>
          </cell>
          <cell r="AD1032">
            <v>0.85</v>
          </cell>
          <cell r="AE1032">
            <v>110</v>
          </cell>
          <cell r="AF1032">
            <v>8</v>
          </cell>
        </row>
        <row r="1033">
          <cell r="A1033" t="str">
            <v>Q200REAR</v>
          </cell>
          <cell r="B1033" t="str">
            <v>저발</v>
          </cell>
          <cell r="C1033">
            <v>1</v>
          </cell>
          <cell r="D1033">
            <v>110</v>
          </cell>
          <cell r="E1033">
            <v>278</v>
          </cell>
          <cell r="F1033">
            <v>74</v>
          </cell>
          <cell r="G1033" t="str">
            <v>B240NS</v>
          </cell>
          <cell r="H1033">
            <v>8</v>
          </cell>
          <cell r="I1033">
            <v>2</v>
          </cell>
          <cell r="J1033" t="str">
            <v>진보공업</v>
          </cell>
          <cell r="K1033">
            <v>139</v>
          </cell>
          <cell r="L1033">
            <v>141</v>
          </cell>
          <cell r="M1033">
            <v>139</v>
          </cell>
          <cell r="N1033">
            <v>141</v>
          </cell>
          <cell r="O1033">
            <v>10</v>
          </cell>
          <cell r="P1033">
            <v>700</v>
          </cell>
          <cell r="R1033" t="str">
            <v>녹색</v>
          </cell>
          <cell r="S1033" t="str">
            <v>녹색</v>
          </cell>
          <cell r="U1033">
            <v>43199</v>
          </cell>
          <cell r="V1033" t="str">
            <v>금형제조부</v>
          </cell>
          <cell r="Y1033">
            <v>60</v>
          </cell>
          <cell r="Z1033">
            <v>16698</v>
          </cell>
          <cell r="AC1033" t="str">
            <v>최재학계장, 21.02.04 BURR 수리 및 코팅</v>
          </cell>
          <cell r="AD1033">
            <v>0.85</v>
          </cell>
          <cell r="AE1033">
            <v>70</v>
          </cell>
          <cell r="AF1033">
            <v>8</v>
          </cell>
        </row>
        <row r="1034">
          <cell r="A1034" t="str">
            <v>PU-PAD3</v>
          </cell>
          <cell r="B1034" t="str">
            <v>PAD</v>
          </cell>
          <cell r="E1034">
            <v>0</v>
          </cell>
          <cell r="J1034" t="str">
            <v>쥴릭</v>
          </cell>
          <cell r="O1034">
            <v>1400</v>
          </cell>
          <cell r="P1034" t="str">
            <v>320*320*50T</v>
          </cell>
        </row>
        <row r="1035">
          <cell r="A1035" t="str">
            <v>PU-PAD3</v>
          </cell>
          <cell r="B1035" t="str">
            <v>PAD</v>
          </cell>
          <cell r="E1035">
            <v>0</v>
          </cell>
          <cell r="J1035" t="str">
            <v>쥴릭</v>
          </cell>
          <cell r="O1035">
            <v>1400</v>
          </cell>
          <cell r="P1035" t="str">
            <v>320*320*50T</v>
          </cell>
        </row>
        <row r="1036">
          <cell r="A1036" t="str">
            <v>PST-90</v>
          </cell>
          <cell r="B1036" t="str">
            <v>SET</v>
          </cell>
          <cell r="C1036">
            <v>1</v>
          </cell>
          <cell r="D1036">
            <v>100</v>
          </cell>
          <cell r="E1036">
            <v>691</v>
          </cell>
          <cell r="F1036">
            <v>58</v>
          </cell>
          <cell r="G1036" t="str">
            <v>B240NS</v>
          </cell>
          <cell r="H1036">
            <v>5</v>
          </cell>
          <cell r="I1036">
            <v>2</v>
          </cell>
          <cell r="J1036" t="str">
            <v>하츠</v>
          </cell>
          <cell r="K1036">
            <v>98</v>
          </cell>
          <cell r="L1036">
            <v>102</v>
          </cell>
          <cell r="M1036">
            <v>98</v>
          </cell>
          <cell r="N1036">
            <v>102</v>
          </cell>
          <cell r="P1036">
            <v>1500</v>
          </cell>
          <cell r="Q1036">
            <v>200</v>
          </cell>
          <cell r="R1036" t="str">
            <v>검정</v>
          </cell>
          <cell r="U1036" t="str">
            <v>2022.10.24</v>
          </cell>
          <cell r="V1036" t="str">
            <v>금형사업부</v>
          </cell>
          <cell r="AC1036" t="str">
            <v>김영석사원</v>
          </cell>
          <cell r="AD1036">
            <v>0.85</v>
          </cell>
        </row>
        <row r="1037">
          <cell r="A1037" t="str">
            <v>PST-90</v>
          </cell>
          <cell r="B1037" t="str">
            <v>SET</v>
          </cell>
          <cell r="C1037">
            <v>1</v>
          </cell>
          <cell r="D1037">
            <v>100</v>
          </cell>
          <cell r="E1037">
            <v>691</v>
          </cell>
          <cell r="F1037">
            <v>58</v>
          </cell>
          <cell r="G1037" t="str">
            <v>B240NS</v>
          </cell>
          <cell r="H1037">
            <v>1</v>
          </cell>
          <cell r="I1037">
            <v>2</v>
          </cell>
          <cell r="J1037" t="str">
            <v>하츠</v>
          </cell>
          <cell r="P1037">
            <v>1500</v>
          </cell>
          <cell r="Q1037">
            <v>200</v>
          </cell>
          <cell r="U1037" t="str">
            <v>2022.10.24</v>
          </cell>
          <cell r="V1037" t="str">
            <v>금형사업부</v>
          </cell>
          <cell r="AC1037" t="str">
            <v>김영석사원</v>
          </cell>
          <cell r="AD1037">
            <v>0.85</v>
          </cell>
        </row>
        <row r="1038">
          <cell r="A1038" t="str">
            <v>PST-90</v>
          </cell>
          <cell r="B1038" t="str">
            <v>SET</v>
          </cell>
          <cell r="C1038">
            <v>1</v>
          </cell>
          <cell r="D1038">
            <v>100</v>
          </cell>
          <cell r="E1038">
            <v>691</v>
          </cell>
          <cell r="F1038">
            <v>58</v>
          </cell>
          <cell r="G1038" t="str">
            <v>B240NS</v>
          </cell>
          <cell r="H1038">
            <v>1</v>
          </cell>
          <cell r="I1038">
            <v>2</v>
          </cell>
          <cell r="J1038" t="str">
            <v>하츠</v>
          </cell>
          <cell r="P1038">
            <v>1500</v>
          </cell>
          <cell r="Q1038">
            <v>200</v>
          </cell>
          <cell r="U1038" t="str">
            <v>2022.10.24</v>
          </cell>
          <cell r="V1038" t="str">
            <v>금형사업부</v>
          </cell>
          <cell r="AC1038" t="str">
            <v>김영석사원</v>
          </cell>
          <cell r="AD1038">
            <v>0.85</v>
          </cell>
        </row>
        <row r="1039">
          <cell r="A1039" t="str">
            <v>PSPE</v>
          </cell>
          <cell r="B1039" t="str">
            <v>SET</v>
          </cell>
          <cell r="C1039">
            <v>1</v>
          </cell>
          <cell r="D1039">
            <v>85</v>
          </cell>
          <cell r="E1039">
            <v>710</v>
          </cell>
          <cell r="F1039">
            <v>65</v>
          </cell>
          <cell r="G1039" t="str">
            <v>B240NS</v>
          </cell>
          <cell r="H1039">
            <v>5</v>
          </cell>
          <cell r="I1039">
            <v>2</v>
          </cell>
          <cell r="J1039" t="str">
            <v>모트렉스</v>
          </cell>
          <cell r="K1039">
            <v>96.5</v>
          </cell>
          <cell r="L1039">
            <v>98.5</v>
          </cell>
          <cell r="M1039">
            <v>96.5</v>
          </cell>
          <cell r="N1039">
            <v>98.5</v>
          </cell>
          <cell r="O1039">
            <v>3600</v>
          </cell>
          <cell r="P1039">
            <v>1500</v>
          </cell>
          <cell r="Q1039">
            <v>200</v>
          </cell>
          <cell r="R1039" t="str">
            <v>파랑</v>
          </cell>
          <cell r="S1039" t="str">
            <v>파랑</v>
          </cell>
          <cell r="T1039" t="str">
            <v>스티로폼(PSPE/CKD)</v>
          </cell>
          <cell r="U1039">
            <v>42608</v>
          </cell>
          <cell r="V1039" t="str">
            <v>제일EPS</v>
          </cell>
          <cell r="W1039" t="str">
            <v>2번 건조, SC721009A</v>
          </cell>
          <cell r="AC1039" t="str">
            <v>최재학사원</v>
          </cell>
          <cell r="AD1039">
            <v>0.85</v>
          </cell>
          <cell r="AE1039">
            <v>85</v>
          </cell>
          <cell r="AF1039">
            <v>1</v>
          </cell>
        </row>
        <row r="1040">
          <cell r="A1040" t="str">
            <v>PS-CASE</v>
          </cell>
          <cell r="B1040" t="str">
            <v>SET</v>
          </cell>
          <cell r="C1040">
            <v>12</v>
          </cell>
          <cell r="D1040">
            <v>55</v>
          </cell>
          <cell r="E1040">
            <v>30</v>
          </cell>
          <cell r="F1040">
            <v>50</v>
          </cell>
          <cell r="G1040" t="str">
            <v>B240NS</v>
          </cell>
          <cell r="H1040">
            <v>120</v>
          </cell>
          <cell r="I1040">
            <v>1</v>
          </cell>
          <cell r="J1040" t="str">
            <v>릴테크</v>
          </cell>
          <cell r="K1040">
            <v>42</v>
          </cell>
          <cell r="L1040">
            <v>44</v>
          </cell>
          <cell r="O1040">
            <v>270</v>
          </cell>
          <cell r="P1040">
            <v>1300</v>
          </cell>
          <cell r="Q1040">
            <v>150</v>
          </cell>
          <cell r="R1040" t="str">
            <v>빨강</v>
          </cell>
          <cell r="S1040" t="str">
            <v>빨강</v>
          </cell>
          <cell r="T1040" t="str">
            <v>PS-CASE(피에스케이스)</v>
          </cell>
          <cell r="U1040">
            <v>39798</v>
          </cell>
          <cell r="V1040" t="str">
            <v>삼일금형</v>
          </cell>
          <cell r="W1040" t="str">
            <v>캐비티전체생산확인</v>
          </cell>
          <cell r="X1040" t="str">
            <v>Q-0401</v>
          </cell>
          <cell r="AC1040" t="str">
            <v>개</v>
          </cell>
          <cell r="AD1040">
            <v>0.85</v>
          </cell>
          <cell r="AE1040">
            <v>65</v>
          </cell>
          <cell r="AF1040">
            <v>4</v>
          </cell>
        </row>
        <row r="1041">
          <cell r="A1041" t="str">
            <v>PS68-TOP</v>
          </cell>
          <cell r="B1041" t="str">
            <v>회색</v>
          </cell>
          <cell r="C1041">
            <v>1</v>
          </cell>
          <cell r="D1041">
            <v>230</v>
          </cell>
          <cell r="E1041">
            <v>1010</v>
          </cell>
          <cell r="F1041">
            <v>48</v>
          </cell>
          <cell r="G1041" t="str">
            <v>ZP2500</v>
          </cell>
          <cell r="H1041">
            <v>5</v>
          </cell>
          <cell r="I1041">
            <v>2</v>
          </cell>
          <cell r="J1041" t="str">
            <v>이노크린</v>
          </cell>
          <cell r="K1041">
            <v>34</v>
          </cell>
          <cell r="L1041">
            <v>36</v>
          </cell>
          <cell r="M1041">
            <v>104</v>
          </cell>
          <cell r="N1041">
            <v>106</v>
          </cell>
          <cell r="O1041">
            <v>5850</v>
          </cell>
          <cell r="P1041">
            <v>1500</v>
          </cell>
          <cell r="Q1041">
            <v>200</v>
          </cell>
          <cell r="R1041" t="str">
            <v>비닐</v>
          </cell>
          <cell r="S1041" t="str">
            <v>비닐</v>
          </cell>
          <cell r="U1041">
            <v>42935</v>
          </cell>
          <cell r="V1041" t="str">
            <v>대원금형</v>
          </cell>
          <cell r="Y1041">
            <v>40</v>
          </cell>
          <cell r="Z1041">
            <v>40404</v>
          </cell>
          <cell r="AC1041" t="str">
            <v>최재학계장, 2017.08.09수정입고, 180901 56배--&gt;48배 배율변경</v>
          </cell>
          <cell r="AD1041">
            <v>0.85</v>
          </cell>
          <cell r="AE1041">
            <v>230</v>
          </cell>
          <cell r="AF1041">
            <v>8</v>
          </cell>
        </row>
        <row r="1042">
          <cell r="A1042" t="str">
            <v>PS68-BOT</v>
          </cell>
          <cell r="B1042" t="str">
            <v>회색</v>
          </cell>
          <cell r="C1042">
            <v>1</v>
          </cell>
          <cell r="D1042">
            <v>300</v>
          </cell>
          <cell r="E1042">
            <v>2911</v>
          </cell>
          <cell r="F1042">
            <v>48</v>
          </cell>
          <cell r="G1042" t="str">
            <v>ZP2500</v>
          </cell>
          <cell r="H1042">
            <v>2</v>
          </cell>
          <cell r="I1042">
            <v>2</v>
          </cell>
          <cell r="J1042" t="str">
            <v>이노크린</v>
          </cell>
          <cell r="K1042">
            <v>338</v>
          </cell>
          <cell r="L1042">
            <v>342</v>
          </cell>
          <cell r="M1042">
            <v>453</v>
          </cell>
          <cell r="N1042">
            <v>457</v>
          </cell>
          <cell r="O1042">
            <v>16400</v>
          </cell>
          <cell r="P1042">
            <v>1500</v>
          </cell>
          <cell r="Q1042">
            <v>550</v>
          </cell>
          <cell r="R1042" t="str">
            <v>비닐</v>
          </cell>
          <cell r="S1042" t="str">
            <v>비닐</v>
          </cell>
          <cell r="U1042">
            <v>42935</v>
          </cell>
          <cell r="V1042" t="str">
            <v>대원금형</v>
          </cell>
          <cell r="W1042" t="str">
            <v>후레임일체(고정측후레임입고)</v>
          </cell>
          <cell r="Y1042">
            <v>40</v>
          </cell>
          <cell r="Z1042">
            <v>116421</v>
          </cell>
          <cell r="AC1042" t="str">
            <v>최재학계장, 후레임일체(고정측후레임입고), 2017.08.09수정입고, 180901 56배--&gt;48배 배율변경</v>
          </cell>
          <cell r="AD1042">
            <v>0.85</v>
          </cell>
          <cell r="AE1042">
            <v>270</v>
          </cell>
          <cell r="AF1042">
            <v>12</v>
          </cell>
        </row>
        <row r="1043">
          <cell r="A1043" t="str">
            <v>PS-014</v>
          </cell>
          <cell r="B1043" t="str">
            <v>BOX</v>
          </cell>
          <cell r="C1043">
            <v>8</v>
          </cell>
          <cell r="D1043">
            <v>80</v>
          </cell>
          <cell r="E1043">
            <v>75</v>
          </cell>
          <cell r="F1043">
            <v>60</v>
          </cell>
          <cell r="G1043" t="str">
            <v>B240NS</v>
          </cell>
          <cell r="H1043">
            <v>24</v>
          </cell>
          <cell r="I1043">
            <v>2</v>
          </cell>
          <cell r="J1043" t="str">
            <v>㈜탭스</v>
          </cell>
          <cell r="K1043">
            <v>50</v>
          </cell>
          <cell r="L1043">
            <v>52</v>
          </cell>
          <cell r="M1043">
            <v>124</v>
          </cell>
          <cell r="N1043">
            <v>128</v>
          </cell>
          <cell r="O1043">
            <v>597</v>
          </cell>
          <cell r="P1043">
            <v>1600</v>
          </cell>
          <cell r="Q1043">
            <v>200</v>
          </cell>
          <cell r="R1043" t="str">
            <v>빨강</v>
          </cell>
          <cell r="T1043" t="str">
            <v>PS-014(딸기)</v>
          </cell>
          <cell r="U1043">
            <v>45267</v>
          </cell>
          <cell r="V1043" t="str">
            <v>대양이동입고</v>
          </cell>
          <cell r="W1043" t="str">
            <v>ST INNER BOX</v>
          </cell>
          <cell r="AC1043" t="str">
            <v>PS-014(녹십자) 딸기</v>
          </cell>
          <cell r="AD1043">
            <v>0.85</v>
          </cell>
        </row>
        <row r="1044">
          <cell r="A1044" t="str">
            <v>PS-014</v>
          </cell>
          <cell r="B1044" t="str">
            <v>BOX</v>
          </cell>
          <cell r="C1044">
            <v>8</v>
          </cell>
          <cell r="D1044">
            <v>80</v>
          </cell>
          <cell r="E1044">
            <v>75</v>
          </cell>
          <cell r="F1044">
            <v>60</v>
          </cell>
          <cell r="G1044" t="str">
            <v>B240NS</v>
          </cell>
          <cell r="H1044">
            <v>24</v>
          </cell>
          <cell r="I1044">
            <v>2</v>
          </cell>
          <cell r="J1044" t="str">
            <v>㈜탭스</v>
          </cell>
          <cell r="K1044">
            <v>50</v>
          </cell>
          <cell r="L1044">
            <v>52</v>
          </cell>
          <cell r="M1044">
            <v>124</v>
          </cell>
          <cell r="N1044">
            <v>128</v>
          </cell>
          <cell r="O1044">
            <v>597</v>
          </cell>
          <cell r="P1044">
            <v>1600</v>
          </cell>
          <cell r="Q1044">
            <v>200</v>
          </cell>
          <cell r="R1044" t="str">
            <v>빨강</v>
          </cell>
          <cell r="T1044" t="str">
            <v>PS-014(딸기)</v>
          </cell>
          <cell r="U1044">
            <v>45267</v>
          </cell>
          <cell r="V1044" t="str">
            <v>대양이동입고</v>
          </cell>
          <cell r="W1044" t="str">
            <v>ST INNER BOX</v>
          </cell>
          <cell r="AC1044" t="str">
            <v>PS-014(녹십자) 딸기</v>
          </cell>
          <cell r="AD1044">
            <v>0.85</v>
          </cell>
        </row>
        <row r="1045">
          <cell r="A1045" t="str">
            <v>PS-014</v>
          </cell>
          <cell r="B1045" t="str">
            <v>BOX</v>
          </cell>
          <cell r="C1045">
            <v>8</v>
          </cell>
          <cell r="D1045">
            <v>80</v>
          </cell>
          <cell r="E1045">
            <v>75</v>
          </cell>
          <cell r="F1045">
            <v>60</v>
          </cell>
          <cell r="G1045" t="str">
            <v>B240NS</v>
          </cell>
          <cell r="H1045">
            <v>24</v>
          </cell>
          <cell r="I1045">
            <v>2</v>
          </cell>
          <cell r="J1045" t="str">
            <v>㈜탭스</v>
          </cell>
          <cell r="K1045">
            <v>50</v>
          </cell>
          <cell r="L1045">
            <v>52</v>
          </cell>
          <cell r="M1045">
            <v>124</v>
          </cell>
          <cell r="N1045">
            <v>128</v>
          </cell>
          <cell r="O1045">
            <v>597</v>
          </cell>
          <cell r="P1045">
            <v>1600</v>
          </cell>
          <cell r="Q1045">
            <v>200</v>
          </cell>
          <cell r="R1045" t="str">
            <v>빨강</v>
          </cell>
          <cell r="T1045" t="str">
            <v>PS-014(딸기)</v>
          </cell>
          <cell r="U1045">
            <v>45267</v>
          </cell>
          <cell r="V1045" t="str">
            <v>대양이동입고</v>
          </cell>
          <cell r="W1045" t="str">
            <v>ST INNER BOX</v>
          </cell>
          <cell r="AC1045" t="str">
            <v>PS-014(녹십자) 딸기</v>
          </cell>
          <cell r="AD1045">
            <v>0.85</v>
          </cell>
        </row>
        <row r="1046">
          <cell r="A1046" t="str">
            <v>PS-014</v>
          </cell>
          <cell r="B1046" t="str">
            <v>BOX</v>
          </cell>
          <cell r="D1046">
            <v>100</v>
          </cell>
          <cell r="E1046">
            <v>75</v>
          </cell>
          <cell r="F1046">
            <v>60</v>
          </cell>
          <cell r="G1046" t="str">
            <v>B240NS</v>
          </cell>
          <cell r="J1046" t="str">
            <v>㈜탭스</v>
          </cell>
          <cell r="T1046" t="str">
            <v>PS-014</v>
          </cell>
          <cell r="U1046">
            <v>45267</v>
          </cell>
          <cell r="V1046" t="str">
            <v>대양이동입고</v>
          </cell>
          <cell r="W1046" t="str">
            <v>ST INNER BOX</v>
          </cell>
          <cell r="AD1046">
            <v>0.85</v>
          </cell>
        </row>
        <row r="1047">
          <cell r="A1047" t="str">
            <v>PRIME</v>
          </cell>
          <cell r="B1047" t="str">
            <v>SET</v>
          </cell>
          <cell r="C1047">
            <v>2</v>
          </cell>
          <cell r="D1047">
            <v>135</v>
          </cell>
          <cell r="E1047">
            <v>500</v>
          </cell>
          <cell r="F1047">
            <v>50</v>
          </cell>
          <cell r="G1047" t="str">
            <v>B240NS</v>
          </cell>
          <cell r="H1047">
            <v>5</v>
          </cell>
          <cell r="I1047">
            <v>2</v>
          </cell>
          <cell r="J1047" t="str">
            <v>위닉스</v>
          </cell>
          <cell r="K1047">
            <v>128</v>
          </cell>
          <cell r="L1047">
            <v>131</v>
          </cell>
          <cell r="M1047">
            <v>173.4</v>
          </cell>
          <cell r="N1047">
            <v>175.4</v>
          </cell>
          <cell r="P1047">
            <v>1360</v>
          </cell>
          <cell r="Q1047">
            <v>250</v>
          </cell>
          <cell r="R1047" t="str">
            <v>검정</v>
          </cell>
          <cell r="S1047" t="str">
            <v>흰색</v>
          </cell>
          <cell r="T1047" t="str">
            <v>2710-0197-00</v>
          </cell>
          <cell r="U1047">
            <v>45842</v>
          </cell>
          <cell r="V1047" t="str">
            <v>둔포 이관</v>
          </cell>
          <cell r="W1047" t="str">
            <v>융착,버,치수(BURR)불량 확인할것!!</v>
          </cell>
          <cell r="AD1047">
            <v>0.85</v>
          </cell>
          <cell r="AE1047">
            <v>80</v>
          </cell>
        </row>
        <row r="1048">
          <cell r="A1048" t="str">
            <v>PRIME</v>
          </cell>
          <cell r="B1048" t="str">
            <v>SET</v>
          </cell>
          <cell r="C1048">
            <v>2</v>
          </cell>
          <cell r="D1048">
            <v>135</v>
          </cell>
          <cell r="E1048">
            <v>500</v>
          </cell>
          <cell r="F1048">
            <v>50</v>
          </cell>
          <cell r="G1048" t="str">
            <v>B240NS</v>
          </cell>
          <cell r="H1048">
            <v>5</v>
          </cell>
          <cell r="I1048">
            <v>2</v>
          </cell>
          <cell r="J1048" t="str">
            <v>위닉스</v>
          </cell>
          <cell r="K1048">
            <v>128</v>
          </cell>
          <cell r="L1048">
            <v>131</v>
          </cell>
          <cell r="M1048">
            <v>173.4</v>
          </cell>
          <cell r="N1048">
            <v>175.4</v>
          </cell>
          <cell r="P1048">
            <v>1360</v>
          </cell>
          <cell r="Q1048">
            <v>250</v>
          </cell>
          <cell r="R1048" t="str">
            <v>검정</v>
          </cell>
          <cell r="S1048" t="str">
            <v>흰색</v>
          </cell>
          <cell r="T1048" t="str">
            <v>2710-0197-00</v>
          </cell>
          <cell r="U1048">
            <v>45842</v>
          </cell>
          <cell r="V1048" t="str">
            <v>둔포 이관</v>
          </cell>
          <cell r="W1048" t="str">
            <v>융착,버,치수(BURR)불량 확인할것!!</v>
          </cell>
          <cell r="AD1048">
            <v>0.85</v>
          </cell>
          <cell r="AE1048">
            <v>80</v>
          </cell>
        </row>
        <row r="1049">
          <cell r="A1049" t="str">
            <v>PR-BOX</v>
          </cell>
          <cell r="B1049" t="str">
            <v>BOX</v>
          </cell>
          <cell r="C1049">
            <v>1</v>
          </cell>
          <cell r="D1049">
            <v>120</v>
          </cell>
          <cell r="E1049">
            <v>660</v>
          </cell>
          <cell r="F1049">
            <v>65</v>
          </cell>
          <cell r="G1049" t="str">
            <v>B240NS</v>
          </cell>
          <cell r="H1049">
            <v>2</v>
          </cell>
          <cell r="I1049">
            <v>1</v>
          </cell>
          <cell r="J1049" t="str">
            <v>DCT</v>
          </cell>
          <cell r="K1049">
            <v>181</v>
          </cell>
          <cell r="L1049">
            <v>183</v>
          </cell>
          <cell r="M1049">
            <v>212</v>
          </cell>
          <cell r="N1049">
            <v>216</v>
          </cell>
          <cell r="O1049">
            <v>10</v>
          </cell>
          <cell r="P1049">
            <v>1300</v>
          </cell>
          <cell r="Q1049">
            <v>300</v>
          </cell>
          <cell r="R1049" t="str">
            <v>보라</v>
          </cell>
          <cell r="S1049">
            <v>0</v>
          </cell>
          <cell r="U1049">
            <v>45883</v>
          </cell>
          <cell r="V1049" t="str">
            <v>금형제조부</v>
          </cell>
          <cell r="Y1049">
            <v>50</v>
          </cell>
          <cell r="Z1049">
            <v>32939</v>
          </cell>
          <cell r="AA1049">
            <v>45722</v>
          </cell>
          <cell r="AC1049" t="str">
            <v>최재학계장</v>
          </cell>
          <cell r="AD1049">
            <v>0.85</v>
          </cell>
          <cell r="AE1049">
            <v>100</v>
          </cell>
        </row>
        <row r="1050">
          <cell r="A1050" t="str">
            <v>PR-BOX</v>
          </cell>
          <cell r="B1050" t="str">
            <v>BOX</v>
          </cell>
          <cell r="C1050">
            <v>1</v>
          </cell>
          <cell r="D1050">
            <v>120</v>
          </cell>
          <cell r="E1050">
            <v>660</v>
          </cell>
          <cell r="F1050">
            <v>65</v>
          </cell>
          <cell r="G1050" t="str">
            <v>B240NS</v>
          </cell>
          <cell r="H1050">
            <v>2</v>
          </cell>
          <cell r="I1050">
            <v>1</v>
          </cell>
          <cell r="J1050" t="str">
            <v>DCT</v>
          </cell>
          <cell r="K1050">
            <v>181</v>
          </cell>
          <cell r="L1050">
            <v>183</v>
          </cell>
          <cell r="M1050">
            <v>212</v>
          </cell>
          <cell r="N1050">
            <v>216</v>
          </cell>
          <cell r="O1050">
            <v>10</v>
          </cell>
          <cell r="P1050">
            <v>1300</v>
          </cell>
          <cell r="Q1050">
            <v>300</v>
          </cell>
          <cell r="R1050" t="str">
            <v>보라</v>
          </cell>
          <cell r="S1050">
            <v>0</v>
          </cell>
          <cell r="U1050">
            <v>45883</v>
          </cell>
          <cell r="V1050" t="str">
            <v>금형제조부</v>
          </cell>
          <cell r="Y1050">
            <v>50</v>
          </cell>
          <cell r="Z1050">
            <v>32939</v>
          </cell>
          <cell r="AA1050">
            <v>45722</v>
          </cell>
          <cell r="AC1050" t="str">
            <v>최재학계장</v>
          </cell>
          <cell r="AD1050">
            <v>0.85</v>
          </cell>
          <cell r="AE1050">
            <v>100</v>
          </cell>
        </row>
        <row r="1051">
          <cell r="A1051" t="str">
            <v>POWER-PLATE</v>
          </cell>
          <cell r="B1051" t="str">
            <v>SET</v>
          </cell>
          <cell r="C1051">
            <v>9</v>
          </cell>
          <cell r="D1051">
            <v>65</v>
          </cell>
          <cell r="E1051">
            <v>75</v>
          </cell>
          <cell r="F1051">
            <v>50</v>
          </cell>
          <cell r="G1051" t="str">
            <v>B240NS</v>
          </cell>
          <cell r="H1051">
            <v>40</v>
          </cell>
          <cell r="I1051">
            <v>1</v>
          </cell>
          <cell r="J1051" t="str">
            <v>릴테크</v>
          </cell>
          <cell r="K1051">
            <v>50</v>
          </cell>
          <cell r="L1051">
            <v>52</v>
          </cell>
          <cell r="O1051">
            <v>530</v>
          </cell>
          <cell r="P1051">
            <v>1300</v>
          </cell>
          <cell r="Q1051">
            <v>150</v>
          </cell>
          <cell r="R1051" t="str">
            <v>파랑</v>
          </cell>
          <cell r="S1051" t="str">
            <v>파랑</v>
          </cell>
          <cell r="T1051" t="str">
            <v>POWER-PLATE(파워플레이트)</v>
          </cell>
          <cell r="U1051">
            <v>39777</v>
          </cell>
          <cell r="V1051" t="str">
            <v>삼일금형</v>
          </cell>
          <cell r="X1051" t="str">
            <v>계양리 M-3</v>
          </cell>
          <cell r="AC1051" t="str">
            <v>개</v>
          </cell>
          <cell r="AD1051">
            <v>0.85</v>
          </cell>
          <cell r="AE1051">
            <v>65</v>
          </cell>
          <cell r="AF1051">
            <v>8</v>
          </cell>
        </row>
        <row r="1052">
          <cell r="A1052" t="str">
            <v>PORTABLE</v>
          </cell>
          <cell r="B1052" t="str">
            <v>SET</v>
          </cell>
          <cell r="C1052">
            <v>4</v>
          </cell>
          <cell r="D1052">
            <v>90</v>
          </cell>
          <cell r="E1052">
            <v>424</v>
          </cell>
          <cell r="F1052">
            <v>65</v>
          </cell>
          <cell r="G1052" t="str">
            <v>B240NS</v>
          </cell>
          <cell r="H1052">
            <v>5</v>
          </cell>
          <cell r="I1052">
            <v>1</v>
          </cell>
          <cell r="J1052" t="str">
            <v>아이두잇</v>
          </cell>
          <cell r="K1052">
            <v>203</v>
          </cell>
          <cell r="L1052">
            <v>207</v>
          </cell>
          <cell r="P1052">
            <v>1360</v>
          </cell>
          <cell r="Q1052">
            <v>300</v>
          </cell>
          <cell r="R1052" t="str">
            <v>녹색</v>
          </cell>
          <cell r="S1052">
            <v>0</v>
          </cell>
          <cell r="U1052">
            <v>43441</v>
          </cell>
          <cell r="V1052" t="str">
            <v>금형제조부</v>
          </cell>
          <cell r="W1052" t="str">
            <v>대자, 건조2번</v>
          </cell>
          <cell r="Y1052">
            <v>50</v>
          </cell>
          <cell r="AD1052">
            <v>0.85</v>
          </cell>
          <cell r="AE1052">
            <v>140</v>
          </cell>
          <cell r="AF1052">
            <v>4</v>
          </cell>
        </row>
        <row r="1053">
          <cell r="A1053" t="str">
            <v>PNV-A9082RZ</v>
          </cell>
          <cell r="B1053" t="str">
            <v>SET</v>
          </cell>
          <cell r="C1053">
            <v>1</v>
          </cell>
          <cell r="D1053">
            <v>86</v>
          </cell>
          <cell r="E1053">
            <v>118</v>
          </cell>
          <cell r="F1053">
            <v>60</v>
          </cell>
          <cell r="G1053" t="str">
            <v>B240NS</v>
          </cell>
          <cell r="H1053">
            <v>10</v>
          </cell>
          <cell r="I1053">
            <v>3</v>
          </cell>
          <cell r="J1053" t="str">
            <v>한화테크윈</v>
          </cell>
          <cell r="K1053" t="str">
            <v>74~76</v>
          </cell>
          <cell r="L1053" t="str">
            <v>94~96</v>
          </cell>
          <cell r="M1053" t="str">
            <v>38.7~40.7</v>
          </cell>
          <cell r="P1053">
            <v>1360</v>
          </cell>
          <cell r="R1053" t="str">
            <v>빨강</v>
          </cell>
          <cell r="U1053">
            <v>45462</v>
          </cell>
          <cell r="V1053" t="str">
            <v>금형사업부</v>
          </cell>
          <cell r="W1053" t="str">
            <v>PM02-007012A,13A,46A</v>
          </cell>
          <cell r="AD1053">
            <v>0.85</v>
          </cell>
          <cell r="AF1053">
            <v>6</v>
          </cell>
        </row>
        <row r="1054">
          <cell r="A1054" t="str">
            <v>PNV-A9082RZ</v>
          </cell>
          <cell r="B1054" t="str">
            <v>SET</v>
          </cell>
          <cell r="C1054">
            <v>1</v>
          </cell>
          <cell r="D1054">
            <v>86</v>
          </cell>
          <cell r="E1054">
            <v>118</v>
          </cell>
          <cell r="F1054">
            <v>60</v>
          </cell>
          <cell r="G1054" t="str">
            <v>B240NS</v>
          </cell>
          <cell r="H1054">
            <v>10</v>
          </cell>
          <cell r="I1054">
            <v>3</v>
          </cell>
          <cell r="J1054" t="str">
            <v>한화테크윈</v>
          </cell>
          <cell r="K1054" t="str">
            <v>74~76</v>
          </cell>
          <cell r="L1054" t="str">
            <v>94~96</v>
          </cell>
          <cell r="M1054" t="str">
            <v>38.7~40.7</v>
          </cell>
          <cell r="P1054">
            <v>1360</v>
          </cell>
          <cell r="R1054" t="str">
            <v>빨강</v>
          </cell>
          <cell r="U1054">
            <v>45462</v>
          </cell>
          <cell r="V1054" t="str">
            <v>금형사업부</v>
          </cell>
          <cell r="W1054" t="str">
            <v>PM02-007012A,13A,46A</v>
          </cell>
        </row>
        <row r="1055">
          <cell r="A1055" t="str">
            <v>PNO-A9311R</v>
          </cell>
          <cell r="B1055" t="str">
            <v>SET</v>
          </cell>
          <cell r="C1055">
            <v>1</v>
          </cell>
          <cell r="D1055">
            <v>100</v>
          </cell>
          <cell r="E1055">
            <v>285</v>
          </cell>
          <cell r="F1055">
            <v>60</v>
          </cell>
          <cell r="G1055" t="str">
            <v>B240NS</v>
          </cell>
          <cell r="H1055">
            <v>1</v>
          </cell>
          <cell r="I1055">
            <v>1</v>
          </cell>
          <cell r="J1055" t="str">
            <v>한화테크윈</v>
          </cell>
          <cell r="K1055">
            <v>105.8</v>
          </cell>
          <cell r="L1055">
            <v>107.8</v>
          </cell>
          <cell r="M1055">
            <v>105.8</v>
          </cell>
          <cell r="N1055">
            <v>107.8</v>
          </cell>
          <cell r="P1055">
            <v>1360</v>
          </cell>
          <cell r="Q1055">
            <v>200</v>
          </cell>
          <cell r="R1055" t="str">
            <v>빨강</v>
          </cell>
          <cell r="T1055" t="str">
            <v>2305-066</v>
          </cell>
          <cell r="U1055" t="str">
            <v>2023.06.07</v>
          </cell>
          <cell r="V1055" t="str">
            <v>금형사업부</v>
          </cell>
          <cell r="AD1055">
            <v>0.85</v>
          </cell>
        </row>
        <row r="1056">
          <cell r="A1056" t="str">
            <v>PNO-A9311R</v>
          </cell>
          <cell r="B1056" t="str">
            <v>SET</v>
          </cell>
          <cell r="C1056">
            <v>1</v>
          </cell>
          <cell r="D1056">
            <v>100</v>
          </cell>
          <cell r="E1056">
            <v>285</v>
          </cell>
          <cell r="F1056">
            <v>60</v>
          </cell>
          <cell r="G1056" t="str">
            <v>B240NS</v>
          </cell>
          <cell r="H1056">
            <v>1</v>
          </cell>
          <cell r="I1056">
            <v>1</v>
          </cell>
          <cell r="J1056" t="str">
            <v>한화테크윈</v>
          </cell>
          <cell r="K1056">
            <v>105.8</v>
          </cell>
          <cell r="L1056">
            <v>107.8</v>
          </cell>
          <cell r="M1056">
            <v>105.8</v>
          </cell>
          <cell r="N1056">
            <v>107.8</v>
          </cell>
          <cell r="P1056">
            <v>1360</v>
          </cell>
          <cell r="Q1056">
            <v>200</v>
          </cell>
          <cell r="R1056" t="str">
            <v>빨강</v>
          </cell>
          <cell r="T1056" t="str">
            <v>2305-066</v>
          </cell>
          <cell r="U1056" t="str">
            <v>2023.06.07</v>
          </cell>
          <cell r="V1056" t="str">
            <v>금형사업부</v>
          </cell>
          <cell r="AD1056">
            <v>0.85</v>
          </cell>
        </row>
        <row r="1057">
          <cell r="A1057" t="str">
            <v>PNM-C34404RQPZ</v>
          </cell>
          <cell r="B1057" t="str">
            <v>SET</v>
          </cell>
          <cell r="C1057">
            <v>2</v>
          </cell>
          <cell r="D1057">
            <v>100</v>
          </cell>
          <cell r="E1057">
            <v>480</v>
          </cell>
          <cell r="F1057">
            <v>70</v>
          </cell>
          <cell r="G1057" t="str">
            <v>B240NS</v>
          </cell>
          <cell r="H1057">
            <v>2</v>
          </cell>
          <cell r="I1057">
            <v>2</v>
          </cell>
          <cell r="J1057" t="str">
            <v>한화테크윈</v>
          </cell>
          <cell r="K1057">
            <v>172</v>
          </cell>
          <cell r="L1057">
            <v>174</v>
          </cell>
          <cell r="M1057">
            <v>180</v>
          </cell>
          <cell r="N1057">
            <v>182</v>
          </cell>
          <cell r="P1057">
            <v>1360</v>
          </cell>
          <cell r="Q1057">
            <v>300</v>
          </cell>
          <cell r="R1057" t="str">
            <v>파랑</v>
          </cell>
          <cell r="T1057" t="str">
            <v>포장단위 SET 기준</v>
          </cell>
          <cell r="U1057">
            <v>44958</v>
          </cell>
          <cell r="V1057" t="str">
            <v>금형사업부</v>
          </cell>
          <cell r="Y1057">
            <v>60</v>
          </cell>
          <cell r="AC1057" t="str">
            <v>김영석계장</v>
          </cell>
          <cell r="AD1057">
            <v>0.85</v>
          </cell>
        </row>
        <row r="1058">
          <cell r="A1058" t="str">
            <v>PNM-C34404RQPZ</v>
          </cell>
          <cell r="B1058" t="str">
            <v>SET</v>
          </cell>
          <cell r="C1058">
            <v>2</v>
          </cell>
          <cell r="D1058">
            <v>100</v>
          </cell>
          <cell r="E1058">
            <v>480</v>
          </cell>
          <cell r="F1058">
            <v>70</v>
          </cell>
          <cell r="G1058" t="str">
            <v>B240NS</v>
          </cell>
          <cell r="H1058">
            <v>2</v>
          </cell>
          <cell r="I1058">
            <v>2</v>
          </cell>
          <cell r="J1058" t="str">
            <v>한화테크윈</v>
          </cell>
          <cell r="K1058">
            <v>172</v>
          </cell>
          <cell r="L1058">
            <v>174</v>
          </cell>
          <cell r="M1058">
            <v>180</v>
          </cell>
          <cell r="N1058">
            <v>182</v>
          </cell>
          <cell r="P1058">
            <v>1360</v>
          </cell>
          <cell r="Q1058">
            <v>300</v>
          </cell>
          <cell r="R1058" t="str">
            <v>파랑</v>
          </cell>
          <cell r="T1058" t="str">
            <v>포장단위 SET 기준</v>
          </cell>
          <cell r="U1058">
            <v>44958</v>
          </cell>
          <cell r="V1058" t="str">
            <v>금형사업부</v>
          </cell>
          <cell r="Y1058">
            <v>60</v>
          </cell>
          <cell r="AC1058" t="str">
            <v>김영석계장</v>
          </cell>
          <cell r="AD1058">
            <v>0.85</v>
          </cell>
        </row>
        <row r="1059">
          <cell r="A1059" t="str">
            <v>PNM-C32084RQZ</v>
          </cell>
          <cell r="B1059" t="str">
            <v>SET</v>
          </cell>
          <cell r="C1059">
            <v>1</v>
          </cell>
          <cell r="D1059">
            <v>86</v>
          </cell>
          <cell r="E1059">
            <v>197</v>
          </cell>
          <cell r="F1059">
            <v>60</v>
          </cell>
          <cell r="G1059" t="str">
            <v>B240NS</v>
          </cell>
          <cell r="H1059">
            <v>5</v>
          </cell>
          <cell r="I1059">
            <v>1</v>
          </cell>
          <cell r="J1059" t="str">
            <v>한화테크윈</v>
          </cell>
          <cell r="K1059">
            <v>149</v>
          </cell>
          <cell r="L1059">
            <v>153</v>
          </cell>
          <cell r="M1059">
            <v>119</v>
          </cell>
          <cell r="N1059">
            <v>113</v>
          </cell>
          <cell r="P1059">
            <v>1360</v>
          </cell>
          <cell r="Q1059">
            <v>200</v>
          </cell>
          <cell r="R1059" t="str">
            <v>빨강</v>
          </cell>
          <cell r="U1059">
            <v>45320</v>
          </cell>
          <cell r="V1059" t="str">
            <v>금형사업부</v>
          </cell>
          <cell r="W1059" t="str">
            <v>T101.6g,b88.6</v>
          </cell>
          <cell r="AD1059">
            <v>0.85</v>
          </cell>
        </row>
        <row r="1060">
          <cell r="A1060" t="str">
            <v>PNM-C32084RQZ</v>
          </cell>
          <cell r="B1060" t="str">
            <v>SET</v>
          </cell>
          <cell r="C1060">
            <v>1</v>
          </cell>
          <cell r="D1060">
            <v>86</v>
          </cell>
          <cell r="E1060">
            <v>197</v>
          </cell>
          <cell r="F1060">
            <v>60</v>
          </cell>
          <cell r="G1060" t="str">
            <v>B240NS</v>
          </cell>
          <cell r="H1060">
            <v>5</v>
          </cell>
          <cell r="I1060">
            <v>1</v>
          </cell>
          <cell r="J1060" t="str">
            <v>한화테크윈</v>
          </cell>
          <cell r="P1060">
            <v>1360</v>
          </cell>
          <cell r="Q1060">
            <v>200</v>
          </cell>
          <cell r="R1060" t="str">
            <v>빨강</v>
          </cell>
          <cell r="U1060">
            <v>45320</v>
          </cell>
          <cell r="V1060" t="str">
            <v>금형사업부</v>
          </cell>
          <cell r="W1060" t="str">
            <v>T101.6g,b88.6</v>
          </cell>
          <cell r="AD1060">
            <v>0.85</v>
          </cell>
        </row>
        <row r="1061">
          <cell r="A1061" t="str">
            <v>PNM-C32084RQZ</v>
          </cell>
          <cell r="B1061" t="str">
            <v>SET</v>
          </cell>
          <cell r="C1061">
            <v>1</v>
          </cell>
          <cell r="D1061">
            <v>86</v>
          </cell>
          <cell r="E1061">
            <v>197</v>
          </cell>
          <cell r="F1061">
            <v>60</v>
          </cell>
          <cell r="G1061" t="str">
            <v>B240NS</v>
          </cell>
          <cell r="H1061">
            <v>1</v>
          </cell>
          <cell r="I1061">
            <v>1</v>
          </cell>
          <cell r="J1061" t="str">
            <v>한화테크윈</v>
          </cell>
          <cell r="P1061">
            <v>1360</v>
          </cell>
          <cell r="Q1061">
            <v>200</v>
          </cell>
          <cell r="U1061">
            <v>45320</v>
          </cell>
          <cell r="V1061" t="str">
            <v>금형사업부</v>
          </cell>
          <cell r="W1061" t="str">
            <v>T101.6g,b88.6</v>
          </cell>
          <cell r="AD1061">
            <v>0.85</v>
          </cell>
        </row>
        <row r="1062">
          <cell r="A1062" t="str">
            <v>PNM-C28X2TDR</v>
          </cell>
          <cell r="B1062" t="str">
            <v>SET</v>
          </cell>
          <cell r="C1062">
            <v>2</v>
          </cell>
          <cell r="D1062">
            <v>70</v>
          </cell>
          <cell r="E1062">
            <v>23</v>
          </cell>
          <cell r="F1062">
            <v>70</v>
          </cell>
          <cell r="G1062" t="str">
            <v>B240NS</v>
          </cell>
          <cell r="H1062">
            <v>40</v>
          </cell>
          <cell r="I1062">
            <v>1</v>
          </cell>
          <cell r="J1062" t="str">
            <v>한화테크윈</v>
          </cell>
          <cell r="K1062">
            <v>75.2</v>
          </cell>
          <cell r="L1062">
            <v>76.8</v>
          </cell>
          <cell r="P1062">
            <v>1360</v>
          </cell>
          <cell r="Q1062">
            <v>150</v>
          </cell>
          <cell r="R1062" t="str">
            <v>주황</v>
          </cell>
          <cell r="T1062" t="str">
            <v>pm02-007191a,214472</v>
          </cell>
          <cell r="U1062">
            <v>45588</v>
          </cell>
          <cell r="V1062" t="str">
            <v>세일하이테크</v>
          </cell>
          <cell r="AD1062">
            <v>0.83</v>
          </cell>
          <cell r="AE1062">
            <v>80</v>
          </cell>
        </row>
        <row r="1063">
          <cell r="A1063" t="str">
            <v>PNM-C19183RVTP</v>
          </cell>
          <cell r="B1063" t="str">
            <v>SET</v>
          </cell>
          <cell r="C1063">
            <v>3</v>
          </cell>
          <cell r="D1063">
            <v>70</v>
          </cell>
          <cell r="E1063">
            <v>315</v>
          </cell>
          <cell r="F1063">
            <v>70</v>
          </cell>
          <cell r="G1063" t="str">
            <v>B240NS</v>
          </cell>
          <cell r="H1063">
            <v>6</v>
          </cell>
          <cell r="I1063">
            <v>2</v>
          </cell>
          <cell r="J1063" t="str">
            <v>한화테크윈</v>
          </cell>
          <cell r="K1063">
            <v>252</v>
          </cell>
          <cell r="L1063">
            <v>256</v>
          </cell>
          <cell r="M1063">
            <v>93.8</v>
          </cell>
          <cell r="N1063">
            <v>96.2</v>
          </cell>
          <cell r="P1063">
            <v>1360</v>
          </cell>
          <cell r="Q1063">
            <v>350</v>
          </cell>
          <cell r="R1063" t="str">
            <v>파랑</v>
          </cell>
          <cell r="U1063">
            <v>45638</v>
          </cell>
          <cell r="V1063" t="str">
            <v>세일하이테크</v>
          </cell>
          <cell r="AD1063">
            <v>0.83</v>
          </cell>
          <cell r="AE1063">
            <v>80</v>
          </cell>
        </row>
        <row r="1064">
          <cell r="A1064" t="str">
            <v>PNM-A7083RVD</v>
          </cell>
          <cell r="B1064" t="str">
            <v>SET</v>
          </cell>
          <cell r="C1064">
            <v>6</v>
          </cell>
          <cell r="D1064">
            <v>100</v>
          </cell>
          <cell r="E1064">
            <v>80</v>
          </cell>
          <cell r="F1064">
            <v>70</v>
          </cell>
          <cell r="G1064" t="str">
            <v>SG302</v>
          </cell>
          <cell r="H1064">
            <v>20</v>
          </cell>
          <cell r="I1064">
            <v>2</v>
          </cell>
          <cell r="J1064" t="str">
            <v>한화테크윈</v>
          </cell>
          <cell r="K1064">
            <v>99.5</v>
          </cell>
          <cell r="L1064">
            <v>103.5</v>
          </cell>
          <cell r="M1064">
            <v>82.5</v>
          </cell>
          <cell r="N1064">
            <v>86.5</v>
          </cell>
          <cell r="P1064">
            <v>1360</v>
          </cell>
          <cell r="Q1064">
            <v>200</v>
          </cell>
          <cell r="R1064" t="str">
            <v>파랑</v>
          </cell>
          <cell r="S1064" t="str">
            <v>파랑</v>
          </cell>
          <cell r="U1064">
            <v>44534</v>
          </cell>
          <cell r="V1064" t="str">
            <v>세일하이테크</v>
          </cell>
          <cell r="Y1064">
            <v>60</v>
          </cell>
          <cell r="Z1064">
            <v>4800</v>
          </cell>
          <cell r="AC1064" t="str">
            <v>석상준과장, 2022.01.11 개조</v>
          </cell>
          <cell r="AD1064">
            <v>0.85</v>
          </cell>
          <cell r="AF1064">
            <v>6</v>
          </cell>
        </row>
        <row r="1065">
          <cell r="A1065" t="str">
            <v>PNM-9320VQ</v>
          </cell>
          <cell r="B1065" t="str">
            <v>SET</v>
          </cell>
          <cell r="C1065">
            <v>2</v>
          </cell>
          <cell r="D1065">
            <v>100</v>
          </cell>
          <cell r="E1065">
            <v>449</v>
          </cell>
          <cell r="F1065">
            <v>70</v>
          </cell>
          <cell r="G1065" t="str">
            <v>B240NS</v>
          </cell>
          <cell r="H1065" t="str">
            <v>T:4 B:4</v>
          </cell>
          <cell r="I1065">
            <v>2</v>
          </cell>
          <cell r="J1065" t="str">
            <v>한화테크윈</v>
          </cell>
          <cell r="K1065">
            <v>177</v>
          </cell>
          <cell r="L1065">
            <v>179</v>
          </cell>
          <cell r="M1065">
            <v>179</v>
          </cell>
          <cell r="N1065">
            <v>181</v>
          </cell>
          <cell r="P1065">
            <v>1360</v>
          </cell>
          <cell r="Q1065">
            <v>300</v>
          </cell>
          <cell r="R1065" t="str">
            <v>흰색</v>
          </cell>
          <cell r="U1065">
            <v>43938</v>
          </cell>
          <cell r="V1065" t="str">
            <v>금형제조부</v>
          </cell>
          <cell r="W1065" t="str">
            <v>1층 창고 적재PM02-005605A/ PM02-005607A</v>
          </cell>
          <cell r="Y1065">
            <v>60</v>
          </cell>
          <cell r="Z1065">
            <v>26943</v>
          </cell>
          <cell r="AC1065" t="str">
            <v>석상준과장, 2020.05.07 핀추가 및 외형틀 R값--&gt;C값 변경, 2020.06.02 CAVITY추가(2*1-&gt;2*2) 및 코팅</v>
          </cell>
          <cell r="AD1065">
            <v>0.85</v>
          </cell>
        </row>
        <row r="1066">
          <cell r="A1066" t="str">
            <v>PNM-9084RQZ</v>
          </cell>
          <cell r="B1066" t="str">
            <v>SET</v>
          </cell>
          <cell r="C1066">
            <v>3</v>
          </cell>
          <cell r="D1066">
            <v>90</v>
          </cell>
          <cell r="E1066">
            <v>155</v>
          </cell>
          <cell r="F1066">
            <v>70</v>
          </cell>
          <cell r="G1066" t="str">
            <v>B240NS</v>
          </cell>
          <cell r="H1066">
            <v>10</v>
          </cell>
          <cell r="I1066">
            <v>2</v>
          </cell>
          <cell r="J1066" t="str">
            <v>한화테크윈</v>
          </cell>
          <cell r="K1066">
            <v>109</v>
          </cell>
          <cell r="L1066">
            <v>111</v>
          </cell>
          <cell r="M1066">
            <v>109</v>
          </cell>
          <cell r="N1066">
            <v>111</v>
          </cell>
          <cell r="P1066">
            <v>1700</v>
          </cell>
          <cell r="Q1066">
            <v>200</v>
          </cell>
          <cell r="R1066" t="str">
            <v>주황</v>
          </cell>
          <cell r="U1066">
            <v>43990</v>
          </cell>
          <cell r="V1066" t="str">
            <v>세일하이테크</v>
          </cell>
          <cell r="W1066" t="str">
            <v>PNM-9084, PM02-005667A/ PM02-005668A</v>
          </cell>
          <cell r="Y1066">
            <v>60</v>
          </cell>
          <cell r="Z1066">
            <v>48797</v>
          </cell>
          <cell r="AC1066" t="str">
            <v>석상준과장 간이금형, 2020.07.17CAVITY추가(2*1-&gt;2*3), 2020.07.31 코팅완료</v>
          </cell>
          <cell r="AD1066">
            <v>0.85</v>
          </cell>
          <cell r="AF1066">
            <v>8</v>
          </cell>
        </row>
        <row r="1067">
          <cell r="A1067" t="str">
            <v>PNM-9080</v>
          </cell>
          <cell r="B1067" t="str">
            <v>SET</v>
          </cell>
          <cell r="C1067">
            <v>2</v>
          </cell>
          <cell r="D1067">
            <v>100</v>
          </cell>
          <cell r="E1067">
            <v>172</v>
          </cell>
          <cell r="F1067">
            <v>70</v>
          </cell>
          <cell r="G1067" t="str">
            <v>B240NS</v>
          </cell>
          <cell r="H1067">
            <v>5</v>
          </cell>
          <cell r="I1067">
            <v>2</v>
          </cell>
          <cell r="J1067" t="str">
            <v>한화테크윈</v>
          </cell>
          <cell r="K1067">
            <v>104</v>
          </cell>
          <cell r="L1067">
            <v>106</v>
          </cell>
          <cell r="M1067">
            <v>114</v>
          </cell>
          <cell r="N1067">
            <v>116</v>
          </cell>
          <cell r="P1067">
            <v>1360</v>
          </cell>
          <cell r="Q1067">
            <v>200</v>
          </cell>
          <cell r="R1067" t="str">
            <v>빨강</v>
          </cell>
          <cell r="U1067">
            <v>43924</v>
          </cell>
          <cell r="V1067" t="str">
            <v>금형제조부</v>
          </cell>
          <cell r="W1067" t="str">
            <v>PM02-005591A/ PM02-005592A</v>
          </cell>
          <cell r="Y1067">
            <v>60</v>
          </cell>
          <cell r="Z1067">
            <v>10314</v>
          </cell>
          <cell r="AC1067" t="str">
            <v>석상준과장,간이금형, 2020.05.07 CAVITY추가 2*1-&gt;2*2)</v>
          </cell>
          <cell r="AD1067">
            <v>0.85</v>
          </cell>
          <cell r="AF1067">
            <v>4</v>
          </cell>
        </row>
        <row r="1068">
          <cell r="A1068" t="str">
            <v>PNM-9022VQ</v>
          </cell>
          <cell r="B1068" t="str">
            <v>SET</v>
          </cell>
          <cell r="C1068">
            <v>4</v>
          </cell>
          <cell r="D1068">
            <v>100</v>
          </cell>
          <cell r="E1068">
            <v>132</v>
          </cell>
          <cell r="F1068">
            <v>70</v>
          </cell>
          <cell r="G1068" t="str">
            <v>B240NS</v>
          </cell>
          <cell r="H1068">
            <v>10</v>
          </cell>
          <cell r="I1068">
            <v>2</v>
          </cell>
          <cell r="J1068" t="str">
            <v>한화테크윈</v>
          </cell>
          <cell r="K1068">
            <v>135</v>
          </cell>
          <cell r="L1068">
            <v>139</v>
          </cell>
          <cell r="M1068">
            <v>83.5</v>
          </cell>
          <cell r="N1068">
            <v>87.5</v>
          </cell>
          <cell r="P1068">
            <v>1360</v>
          </cell>
          <cell r="Q1068">
            <v>250</v>
          </cell>
          <cell r="R1068" t="str">
            <v>검정</v>
          </cell>
          <cell r="S1068" t="str">
            <v>검정</v>
          </cell>
          <cell r="U1068">
            <v>44085</v>
          </cell>
          <cell r="V1068" t="str">
            <v>금형사업부</v>
          </cell>
          <cell r="Y1068">
            <v>60</v>
          </cell>
          <cell r="Z1068">
            <v>7903.9</v>
          </cell>
          <cell r="AC1068" t="str">
            <v>석상준과장 간이, 2020.11.24 CAVITY추가(2*1-&gt;2*4) 및 코팅</v>
          </cell>
          <cell r="AD1068">
            <v>0.85</v>
          </cell>
          <cell r="AF1068">
            <v>2</v>
          </cell>
        </row>
        <row r="1069">
          <cell r="A1069" t="str">
            <v>PNM-9000VQ</v>
          </cell>
          <cell r="B1069" t="str">
            <v>SET</v>
          </cell>
          <cell r="C1069">
            <v>4</v>
          </cell>
          <cell r="D1069">
            <v>90</v>
          </cell>
          <cell r="E1069">
            <v>89</v>
          </cell>
          <cell r="F1069">
            <v>70</v>
          </cell>
          <cell r="G1069" t="str">
            <v>B240NS</v>
          </cell>
          <cell r="H1069">
            <v>10</v>
          </cell>
          <cell r="I1069">
            <v>2</v>
          </cell>
          <cell r="J1069" t="str">
            <v>한화테크윈</v>
          </cell>
          <cell r="K1069">
            <v>83.5</v>
          </cell>
          <cell r="L1069">
            <v>87.5</v>
          </cell>
          <cell r="M1069">
            <v>83.5</v>
          </cell>
          <cell r="N1069">
            <v>87.5</v>
          </cell>
          <cell r="P1069">
            <v>1360</v>
          </cell>
          <cell r="Q1069">
            <v>200</v>
          </cell>
          <cell r="R1069" t="str">
            <v>녹색</v>
          </cell>
          <cell r="U1069">
            <v>43990</v>
          </cell>
          <cell r="V1069" t="str">
            <v>삼일이노팩</v>
          </cell>
          <cell r="W1069" t="str">
            <v>PM02-005626A/ PM02-005627A</v>
          </cell>
          <cell r="Y1069">
            <v>60</v>
          </cell>
          <cell r="Z1069">
            <v>5345</v>
          </cell>
          <cell r="AC1069" t="str">
            <v>석상준과장 간이금형, 2020.07.17CAVITY추가(2*1-&gt;2*4), 2020.09.18코팅완료</v>
          </cell>
          <cell r="AD1069">
            <v>0.85</v>
          </cell>
          <cell r="AF1069">
            <v>6</v>
          </cell>
        </row>
        <row r="1070">
          <cell r="A1070" t="str">
            <v>PND-A9082RV</v>
          </cell>
          <cell r="B1070" t="str">
            <v>SET</v>
          </cell>
          <cell r="C1070">
            <v>1</v>
          </cell>
          <cell r="D1070">
            <v>100</v>
          </cell>
          <cell r="E1070">
            <v>124</v>
          </cell>
          <cell r="F1070">
            <v>60</v>
          </cell>
          <cell r="G1070" t="str">
            <v>B240NS</v>
          </cell>
          <cell r="H1070">
            <v>10</v>
          </cell>
          <cell r="I1070">
            <v>3</v>
          </cell>
          <cell r="J1070" t="str">
            <v>한화테크윈</v>
          </cell>
          <cell r="K1070" t="str">
            <v>74~76</v>
          </cell>
          <cell r="L1070" t="str">
            <v>94~96</v>
          </cell>
          <cell r="M1070" t="str">
            <v>38.7~40.7</v>
          </cell>
          <cell r="P1070">
            <v>1360</v>
          </cell>
          <cell r="R1070" t="str">
            <v>파랑</v>
          </cell>
          <cell r="U1070">
            <v>45503</v>
          </cell>
          <cell r="V1070" t="str">
            <v>외주</v>
          </cell>
          <cell r="W1070" t="str">
            <v>PM02-007090A,91A,46A,T58G,B64G,D2</v>
          </cell>
          <cell r="AD1070">
            <v>0.85</v>
          </cell>
        </row>
        <row r="1071">
          <cell r="A1071" t="str">
            <v>PND-A9082RV</v>
          </cell>
          <cell r="B1071" t="str">
            <v>SET</v>
          </cell>
          <cell r="C1071">
            <v>1</v>
          </cell>
          <cell r="D1071">
            <v>100</v>
          </cell>
          <cell r="E1071">
            <v>124</v>
          </cell>
          <cell r="F1071">
            <v>60</v>
          </cell>
          <cell r="G1071" t="str">
            <v>B240NS</v>
          </cell>
          <cell r="H1071">
            <v>10</v>
          </cell>
          <cell r="I1071">
            <v>3</v>
          </cell>
          <cell r="J1071" t="str">
            <v>한화테크윈</v>
          </cell>
          <cell r="P1071">
            <v>1360</v>
          </cell>
          <cell r="U1071">
            <v>45503</v>
          </cell>
          <cell r="V1071" t="str">
            <v>외주</v>
          </cell>
          <cell r="W1071" t="str">
            <v>PM02-007090A,91A,46A,T58G,B64G,D2</v>
          </cell>
        </row>
        <row r="1072">
          <cell r="A1072" t="str">
            <v>PLC-BOX</v>
          </cell>
          <cell r="B1072" t="str">
            <v>BOX</v>
          </cell>
          <cell r="C1072">
            <v>2</v>
          </cell>
          <cell r="D1072">
            <v>150</v>
          </cell>
          <cell r="E1072">
            <v>630</v>
          </cell>
          <cell r="F1072">
            <v>70</v>
          </cell>
          <cell r="G1072" t="str">
            <v>B240NS</v>
          </cell>
          <cell r="H1072">
            <v>2</v>
          </cell>
          <cell r="I1072">
            <v>3</v>
          </cell>
          <cell r="J1072" t="str">
            <v>드봅</v>
          </cell>
          <cell r="K1072">
            <v>18</v>
          </cell>
          <cell r="L1072">
            <v>22</v>
          </cell>
          <cell r="M1072">
            <v>133</v>
          </cell>
          <cell r="N1072">
            <v>137</v>
          </cell>
          <cell r="P1072">
            <v>1600</v>
          </cell>
          <cell r="Q1072">
            <v>300</v>
          </cell>
          <cell r="R1072" t="str">
            <v>비닐</v>
          </cell>
          <cell r="S1072" t="str">
            <v>비닐</v>
          </cell>
          <cell r="U1072">
            <v>44188</v>
          </cell>
          <cell r="V1072" t="str">
            <v>금형사업부</v>
          </cell>
          <cell r="Y1072">
            <v>60</v>
          </cell>
          <cell r="Z1072">
            <v>38297</v>
          </cell>
          <cell r="AC1072" t="str">
            <v>석상준과장, 2021.01.21모델명변경(PLC-BOX-&gt;PCL-BOX), 코팅완료</v>
          </cell>
          <cell r="AD1072">
            <v>0.85</v>
          </cell>
          <cell r="AF1072">
            <v>6</v>
          </cell>
        </row>
        <row r="1073">
          <cell r="A1073" t="str">
            <v>PJT-A</v>
          </cell>
          <cell r="B1073" t="str">
            <v>SET</v>
          </cell>
          <cell r="C1073">
            <v>10</v>
          </cell>
          <cell r="D1073">
            <v>100</v>
          </cell>
          <cell r="E1073">
            <v>20</v>
          </cell>
          <cell r="F1073">
            <v>65</v>
          </cell>
          <cell r="G1073" t="str">
            <v>B240NS</v>
          </cell>
          <cell r="H1073">
            <v>40</v>
          </cell>
          <cell r="I1073">
            <v>1</v>
          </cell>
          <cell r="J1073" t="str">
            <v>오비오</v>
          </cell>
          <cell r="O1073">
            <v>280</v>
          </cell>
          <cell r="P1073">
            <v>1300</v>
          </cell>
          <cell r="R1073" t="str">
            <v>녹색</v>
          </cell>
          <cell r="U1073">
            <v>44662</v>
          </cell>
          <cell r="V1073" t="str">
            <v>이관금형</v>
          </cell>
          <cell r="W1073" t="str">
            <v>A60100004, 반드시 15개(한묶음) 포장</v>
          </cell>
          <cell r="Y1073">
            <v>50</v>
          </cell>
          <cell r="AC1073" t="str">
            <v>김영석사원</v>
          </cell>
          <cell r="AD1073">
            <v>0.85</v>
          </cell>
        </row>
        <row r="1074">
          <cell r="A1074" t="str">
            <v>PJT-A</v>
          </cell>
          <cell r="B1074" t="str">
            <v>SET</v>
          </cell>
          <cell r="C1074">
            <v>10</v>
          </cell>
          <cell r="D1074">
            <v>100</v>
          </cell>
          <cell r="E1074">
            <v>20</v>
          </cell>
          <cell r="F1074">
            <v>58</v>
          </cell>
          <cell r="G1074" t="str">
            <v>B240NS</v>
          </cell>
          <cell r="H1074">
            <v>40</v>
          </cell>
          <cell r="I1074">
            <v>1</v>
          </cell>
          <cell r="J1074" t="str">
            <v>오비오</v>
          </cell>
          <cell r="O1074">
            <v>280</v>
          </cell>
          <cell r="P1074">
            <v>1300</v>
          </cell>
          <cell r="R1074" t="str">
            <v>녹색</v>
          </cell>
          <cell r="U1074">
            <v>44662</v>
          </cell>
          <cell r="V1074" t="str">
            <v>이관금형</v>
          </cell>
          <cell r="W1074" t="str">
            <v>A60100004, 반드시 15개(한묶음) 포장</v>
          </cell>
          <cell r="Y1074">
            <v>50</v>
          </cell>
          <cell r="AC1074" t="str">
            <v>김영석사원</v>
          </cell>
          <cell r="AD1074">
            <v>0.85</v>
          </cell>
        </row>
        <row r="1075">
          <cell r="A1075" t="str">
            <v>PI종이박스(소)</v>
          </cell>
          <cell r="E1075">
            <v>0</v>
          </cell>
          <cell r="J1075" t="str">
            <v>아드마텍</v>
          </cell>
          <cell r="O1075">
            <v>2145</v>
          </cell>
        </row>
        <row r="1076">
          <cell r="A1076" t="str">
            <v>PI종이박스(소)</v>
          </cell>
          <cell r="E1076">
            <v>0</v>
          </cell>
          <cell r="J1076" t="str">
            <v>아드마텍</v>
          </cell>
          <cell r="O1076">
            <v>2145</v>
          </cell>
        </row>
        <row r="1077">
          <cell r="A1077" t="str">
            <v>PI종이박스(대)</v>
          </cell>
          <cell r="E1077">
            <v>0</v>
          </cell>
          <cell r="J1077" t="str">
            <v>아드마텍</v>
          </cell>
          <cell r="O1077">
            <v>2250</v>
          </cell>
          <cell r="T1077" t="str">
            <v>850*300*26T</v>
          </cell>
          <cell r="U1077">
            <v>41374</v>
          </cell>
        </row>
        <row r="1078">
          <cell r="A1078" t="str">
            <v>PI종이박스(대)</v>
          </cell>
          <cell r="J1078" t="str">
            <v>NCK</v>
          </cell>
        </row>
        <row r="1079">
          <cell r="A1079" t="str">
            <v>PI종이박스(대)</v>
          </cell>
          <cell r="E1079">
            <v>0</v>
          </cell>
          <cell r="J1079" t="str">
            <v>아드마텍</v>
          </cell>
          <cell r="O1079">
            <v>2250</v>
          </cell>
        </row>
        <row r="1080">
          <cell r="A1080" t="str">
            <v>PETBOB</v>
          </cell>
          <cell r="B1080" t="str">
            <v>SET</v>
          </cell>
          <cell r="C1080">
            <v>2</v>
          </cell>
          <cell r="D1080">
            <v>125</v>
          </cell>
          <cell r="E1080">
            <v>340</v>
          </cell>
          <cell r="F1080">
            <v>50</v>
          </cell>
          <cell r="G1080" t="str">
            <v>B240NS</v>
          </cell>
          <cell r="H1080" t="str">
            <v>5조</v>
          </cell>
          <cell r="I1080">
            <v>2</v>
          </cell>
          <cell r="J1080" t="str">
            <v>제이월드텍</v>
          </cell>
          <cell r="P1080">
            <v>1360</v>
          </cell>
          <cell r="R1080" t="str">
            <v>주황</v>
          </cell>
          <cell r="U1080">
            <v>45446</v>
          </cell>
          <cell r="V1080" t="str">
            <v>금형사업부</v>
          </cell>
          <cell r="AD1080">
            <v>0.85</v>
          </cell>
        </row>
        <row r="1081">
          <cell r="A1081" t="str">
            <v>PETBOB</v>
          </cell>
          <cell r="B1081" t="str">
            <v>SET</v>
          </cell>
          <cell r="C1081">
            <v>2</v>
          </cell>
          <cell r="D1081">
            <v>100</v>
          </cell>
          <cell r="E1081">
            <v>340</v>
          </cell>
          <cell r="F1081">
            <v>50</v>
          </cell>
          <cell r="G1081" t="str">
            <v>B240NS</v>
          </cell>
          <cell r="H1081" t="str">
            <v>5조</v>
          </cell>
          <cell r="I1081">
            <v>2</v>
          </cell>
          <cell r="J1081" t="str">
            <v>제이월드텍</v>
          </cell>
          <cell r="P1081">
            <v>1360</v>
          </cell>
          <cell r="R1081" t="str">
            <v>주황</v>
          </cell>
          <cell r="U1081">
            <v>45446</v>
          </cell>
          <cell r="V1081" t="str">
            <v>금형사업부</v>
          </cell>
        </row>
        <row r="1082">
          <cell r="A1082" t="str">
            <v>PEPE-DRY</v>
          </cell>
          <cell r="B1082" t="str">
            <v>SET</v>
          </cell>
          <cell r="C1082">
            <v>2</v>
          </cell>
          <cell r="D1082">
            <v>100</v>
          </cell>
          <cell r="E1082">
            <v>490</v>
          </cell>
          <cell r="F1082">
            <v>60</v>
          </cell>
          <cell r="G1082" t="str">
            <v>B240NS</v>
          </cell>
          <cell r="H1082">
            <v>3</v>
          </cell>
          <cell r="I1082">
            <v>1</v>
          </cell>
          <cell r="J1082" t="str">
            <v>페페</v>
          </cell>
          <cell r="K1082">
            <v>159</v>
          </cell>
          <cell r="L1082">
            <v>161</v>
          </cell>
          <cell r="M1082">
            <v>149</v>
          </cell>
          <cell r="N1082">
            <v>151</v>
          </cell>
          <cell r="P1082">
            <v>1360</v>
          </cell>
          <cell r="Q1082">
            <v>250</v>
          </cell>
          <cell r="R1082" t="str">
            <v>빨강</v>
          </cell>
          <cell r="T1082" t="str">
            <v>2303-046</v>
          </cell>
          <cell r="U1082">
            <v>45033</v>
          </cell>
          <cell r="V1082" t="str">
            <v>금형사업부</v>
          </cell>
          <cell r="AD1082">
            <v>0.85</v>
          </cell>
        </row>
        <row r="1083">
          <cell r="A1083" t="str">
            <v>PEPE-DRY</v>
          </cell>
          <cell r="B1083" t="str">
            <v>SET</v>
          </cell>
          <cell r="C1083">
            <v>2</v>
          </cell>
          <cell r="D1083">
            <v>100</v>
          </cell>
          <cell r="E1083">
            <v>490</v>
          </cell>
          <cell r="F1083">
            <v>60</v>
          </cell>
          <cell r="G1083" t="str">
            <v>B240NS</v>
          </cell>
          <cell r="H1083">
            <v>3</v>
          </cell>
          <cell r="I1083">
            <v>1</v>
          </cell>
          <cell r="J1083" t="str">
            <v>페페</v>
          </cell>
          <cell r="K1083">
            <v>159</v>
          </cell>
          <cell r="L1083">
            <v>161</v>
          </cell>
          <cell r="M1083">
            <v>149</v>
          </cell>
          <cell r="N1083">
            <v>151</v>
          </cell>
          <cell r="P1083">
            <v>1360</v>
          </cell>
          <cell r="Q1083">
            <v>250</v>
          </cell>
          <cell r="R1083" t="str">
            <v>빨강</v>
          </cell>
          <cell r="T1083" t="str">
            <v>2303-046</v>
          </cell>
          <cell r="U1083">
            <v>45033</v>
          </cell>
          <cell r="V1083" t="str">
            <v>금형사업부</v>
          </cell>
          <cell r="AD1083">
            <v>0.85</v>
          </cell>
        </row>
        <row r="1084">
          <cell r="A1084" t="str">
            <v>PE-PAD2</v>
          </cell>
          <cell r="B1084" t="str">
            <v>PAD</v>
          </cell>
          <cell r="E1084">
            <v>0</v>
          </cell>
          <cell r="J1084" t="str">
            <v>쥴릭</v>
          </cell>
          <cell r="O1084">
            <v>220</v>
          </cell>
          <cell r="P1084" t="str">
            <v>680*290*3T(35배)-양면테이프작업/폭20mm)</v>
          </cell>
        </row>
        <row r="1085">
          <cell r="A1085" t="str">
            <v>PE-PAD2</v>
          </cell>
          <cell r="B1085" t="str">
            <v>PAD</v>
          </cell>
          <cell r="E1085">
            <v>0</v>
          </cell>
          <cell r="J1085" t="str">
            <v>쥴릭</v>
          </cell>
          <cell r="O1085">
            <v>220</v>
          </cell>
          <cell r="P1085" t="str">
            <v>680*290*3T(35배)-양면테이프작업/폭20mm)</v>
          </cell>
        </row>
        <row r="1086">
          <cell r="A1086" t="str">
            <v>PE-PAD1</v>
          </cell>
          <cell r="B1086" t="str">
            <v>PAD</v>
          </cell>
          <cell r="E1086">
            <v>0</v>
          </cell>
          <cell r="J1086" t="str">
            <v>쥴릭</v>
          </cell>
          <cell r="O1086">
            <v>100</v>
          </cell>
          <cell r="P1086" t="str">
            <v>320*300*3T(35배)</v>
          </cell>
        </row>
        <row r="1087">
          <cell r="A1087" t="str">
            <v>PE-PAD1</v>
          </cell>
          <cell r="B1087" t="str">
            <v>PAD</v>
          </cell>
          <cell r="E1087">
            <v>0</v>
          </cell>
          <cell r="J1087" t="str">
            <v>쥴릭</v>
          </cell>
          <cell r="O1087">
            <v>100</v>
          </cell>
          <cell r="P1087" t="str">
            <v>320*300*3T(35배)</v>
          </cell>
        </row>
        <row r="1088">
          <cell r="A1088" t="str">
            <v>PE-PAD</v>
          </cell>
          <cell r="B1088" t="str">
            <v>PAD</v>
          </cell>
          <cell r="E1088">
            <v>0</v>
          </cell>
          <cell r="J1088" t="str">
            <v>삼성반도체</v>
          </cell>
          <cell r="O1088">
            <v>20</v>
          </cell>
        </row>
        <row r="1089">
          <cell r="A1089" t="str">
            <v>PE PAD#3</v>
          </cell>
          <cell r="B1089" t="str">
            <v>PAD</v>
          </cell>
          <cell r="E1089">
            <v>0</v>
          </cell>
          <cell r="F1089">
            <v>27</v>
          </cell>
          <cell r="J1089" t="str">
            <v>바이오파마</v>
          </cell>
          <cell r="O1089">
            <v>350</v>
          </cell>
          <cell r="P1089" t="str">
            <v>340*230*5T</v>
          </cell>
        </row>
        <row r="1090">
          <cell r="A1090" t="str">
            <v>PE PAD#2</v>
          </cell>
          <cell r="B1090" t="str">
            <v>PAD</v>
          </cell>
          <cell r="E1090">
            <v>0</v>
          </cell>
          <cell r="F1090">
            <v>27</v>
          </cell>
          <cell r="J1090" t="str">
            <v>바이오파마</v>
          </cell>
          <cell r="O1090">
            <v>350</v>
          </cell>
          <cell r="P1090" t="str">
            <v>300*260*5T</v>
          </cell>
        </row>
        <row r="1091">
          <cell r="A1091" t="str">
            <v>PE PAD#1</v>
          </cell>
          <cell r="B1091" t="str">
            <v>PAD</v>
          </cell>
          <cell r="E1091">
            <v>0</v>
          </cell>
          <cell r="F1091">
            <v>27</v>
          </cell>
          <cell r="J1091" t="str">
            <v>바이오파마</v>
          </cell>
          <cell r="O1091">
            <v>350</v>
          </cell>
          <cell r="P1091" t="str">
            <v>350*350*5T</v>
          </cell>
        </row>
        <row r="1092">
          <cell r="A1092" t="str">
            <v>PD84E-M</v>
          </cell>
          <cell r="B1092" t="str">
            <v>SET</v>
          </cell>
          <cell r="C1092">
            <v>1</v>
          </cell>
          <cell r="D1092">
            <v>250</v>
          </cell>
          <cell r="E1092">
            <v>3325</v>
          </cell>
          <cell r="F1092">
            <v>70</v>
          </cell>
          <cell r="G1092" t="str">
            <v>B240NS</v>
          </cell>
          <cell r="H1092">
            <v>1</v>
          </cell>
          <cell r="I1092">
            <v>1</v>
          </cell>
          <cell r="J1092" t="str">
            <v>뉴옵틱스</v>
          </cell>
          <cell r="K1092">
            <v>646</v>
          </cell>
          <cell r="L1092">
            <v>650</v>
          </cell>
          <cell r="O1092">
            <v>26000</v>
          </cell>
          <cell r="P1092">
            <v>1360</v>
          </cell>
          <cell r="Q1092">
            <v>750</v>
          </cell>
          <cell r="S1092">
            <v>0</v>
          </cell>
          <cell r="U1092">
            <v>42248</v>
          </cell>
          <cell r="V1092" t="str">
            <v>제일EPS</v>
          </cell>
          <cell r="AC1092" t="str">
            <v>최재학사원</v>
          </cell>
          <cell r="AD1092">
            <v>0.85</v>
          </cell>
          <cell r="AE1092">
            <v>250</v>
          </cell>
          <cell r="AF1092">
            <v>2</v>
          </cell>
        </row>
        <row r="1093">
          <cell r="A1093" t="str">
            <v>PD84D-M</v>
          </cell>
          <cell r="B1093" t="str">
            <v>SET</v>
          </cell>
          <cell r="C1093">
            <v>1</v>
          </cell>
          <cell r="D1093">
            <v>210</v>
          </cell>
          <cell r="E1093">
            <v>3284</v>
          </cell>
          <cell r="F1093">
            <v>70</v>
          </cell>
          <cell r="G1093" t="str">
            <v>B240NS</v>
          </cell>
          <cell r="H1093">
            <v>1</v>
          </cell>
          <cell r="I1093">
            <v>1</v>
          </cell>
          <cell r="J1093" t="str">
            <v>뉴옵틱스</v>
          </cell>
          <cell r="K1093">
            <v>646</v>
          </cell>
          <cell r="L1093">
            <v>650</v>
          </cell>
          <cell r="O1093">
            <v>25000</v>
          </cell>
          <cell r="P1093">
            <v>1360</v>
          </cell>
          <cell r="Q1093">
            <v>750</v>
          </cell>
          <cell r="S1093">
            <v>0</v>
          </cell>
          <cell r="U1093">
            <v>42242</v>
          </cell>
          <cell r="V1093" t="str">
            <v>제일EPS</v>
          </cell>
          <cell r="AC1093" t="str">
            <v>최재학사원,2015.09.07 수정입고</v>
          </cell>
          <cell r="AD1093">
            <v>0.85</v>
          </cell>
          <cell r="AE1093">
            <v>210</v>
          </cell>
          <cell r="AF1093">
            <v>2</v>
          </cell>
        </row>
        <row r="1094">
          <cell r="A1094" t="str">
            <v>PCS90</v>
          </cell>
          <cell r="B1094" t="str">
            <v>SET</v>
          </cell>
          <cell r="C1094">
            <v>1</v>
          </cell>
          <cell r="D1094">
            <v>100</v>
          </cell>
          <cell r="E1094">
            <v>792</v>
          </cell>
          <cell r="F1094" t="str">
            <v>65</v>
          </cell>
          <cell r="G1094" t="str">
            <v>B240NS</v>
          </cell>
          <cell r="H1094" t="str">
            <v>5</v>
          </cell>
          <cell r="I1094">
            <v>2</v>
          </cell>
          <cell r="J1094" t="str">
            <v>하츠</v>
          </cell>
          <cell r="K1094">
            <v>113</v>
          </cell>
          <cell r="L1094">
            <v>117</v>
          </cell>
          <cell r="M1094">
            <v>113</v>
          </cell>
          <cell r="N1094">
            <v>117</v>
          </cell>
          <cell r="P1094">
            <v>1500</v>
          </cell>
          <cell r="Q1094">
            <v>250</v>
          </cell>
          <cell r="R1094" t="str">
            <v>빨강</v>
          </cell>
          <cell r="U1094">
            <v>44371</v>
          </cell>
          <cell r="V1094" t="str">
            <v>금형사업부</v>
          </cell>
          <cell r="W1094" t="str">
            <v>비닐포장 X</v>
          </cell>
          <cell r="Y1094">
            <v>50</v>
          </cell>
          <cell r="Z1094">
            <v>39572.400000000001</v>
          </cell>
          <cell r="AC1094" t="str">
            <v>김영석사원, 2021.07.16 코팅,2022.02.8 모델명 변경DCS90→PCS90</v>
          </cell>
          <cell r="AD1094">
            <v>0.85</v>
          </cell>
          <cell r="AF1094">
            <v>8</v>
          </cell>
        </row>
        <row r="1095">
          <cell r="A1095" t="str">
            <v>PARCEL-TS(EPO)</v>
          </cell>
          <cell r="E1095">
            <v>201</v>
          </cell>
          <cell r="J1095" t="str">
            <v>쓰리에스테크</v>
          </cell>
        </row>
        <row r="1096">
          <cell r="A1096" t="str">
            <v>PARCEL-TS</v>
          </cell>
          <cell r="B1096" t="str">
            <v>SET</v>
          </cell>
          <cell r="C1096">
            <v>1</v>
          </cell>
          <cell r="D1096">
            <v>100</v>
          </cell>
          <cell r="E1096">
            <v>132</v>
          </cell>
          <cell r="F1096">
            <v>74</v>
          </cell>
          <cell r="G1096" t="str">
            <v>SE2500M</v>
          </cell>
          <cell r="H1096">
            <v>1</v>
          </cell>
          <cell r="I1096">
            <v>2</v>
          </cell>
          <cell r="J1096" t="str">
            <v>쓰리에스테크</v>
          </cell>
          <cell r="K1096">
            <v>73.7</v>
          </cell>
          <cell r="L1096">
            <v>75.7</v>
          </cell>
          <cell r="M1096">
            <v>44</v>
          </cell>
          <cell r="N1096">
            <v>46</v>
          </cell>
          <cell r="O1096">
            <v>2600</v>
          </cell>
          <cell r="P1096">
            <v>1360</v>
          </cell>
          <cell r="Q1096">
            <v>200</v>
          </cell>
          <cell r="U1096">
            <v>44021</v>
          </cell>
          <cell r="V1096" t="str">
            <v>세일하이테크</v>
          </cell>
          <cell r="Y1096">
            <v>64</v>
          </cell>
          <cell r="Z1096">
            <v>8474</v>
          </cell>
          <cell r="AC1096" t="str">
            <v>석상준과장, 간이금형</v>
          </cell>
          <cell r="AD1096">
            <v>0.85</v>
          </cell>
        </row>
        <row r="1097">
          <cell r="A1097" t="str">
            <v>PARCEL2(EPO)</v>
          </cell>
          <cell r="E1097">
            <v>240</v>
          </cell>
          <cell r="J1097" t="str">
            <v>쓰리에스테크</v>
          </cell>
        </row>
        <row r="1098">
          <cell r="A1098" t="str">
            <v>PARCEL2</v>
          </cell>
          <cell r="B1098" t="str">
            <v>SET</v>
          </cell>
          <cell r="C1098">
            <v>3</v>
          </cell>
          <cell r="D1098">
            <v>100</v>
          </cell>
          <cell r="E1098">
            <v>158</v>
          </cell>
          <cell r="F1098">
            <v>74</v>
          </cell>
          <cell r="G1098" t="str">
            <v>SE2500M</v>
          </cell>
          <cell r="H1098">
            <v>1</v>
          </cell>
          <cell r="I1098">
            <v>2</v>
          </cell>
          <cell r="J1098" t="str">
            <v>쓰리에스테크</v>
          </cell>
          <cell r="K1098">
            <v>38</v>
          </cell>
          <cell r="L1098">
            <v>42</v>
          </cell>
          <cell r="M1098">
            <v>177</v>
          </cell>
          <cell r="N1098">
            <v>181</v>
          </cell>
          <cell r="O1098">
            <v>820</v>
          </cell>
          <cell r="P1098">
            <v>1360</v>
          </cell>
          <cell r="Q1098">
            <v>250</v>
          </cell>
          <cell r="U1098">
            <v>44021</v>
          </cell>
          <cell r="V1098" t="str">
            <v>세일하이테크</v>
          </cell>
          <cell r="Y1098">
            <v>64</v>
          </cell>
          <cell r="Z1098">
            <v>10082</v>
          </cell>
          <cell r="AC1098" t="str">
            <v>석상준과장</v>
          </cell>
          <cell r="AD1098">
            <v>0.85</v>
          </cell>
          <cell r="AF1098">
            <v>6</v>
          </cell>
        </row>
        <row r="1099">
          <cell r="A1099" t="str">
            <v>PARCEL(EPO)</v>
          </cell>
          <cell r="E1099">
            <v>330</v>
          </cell>
          <cell r="J1099" t="str">
            <v>쓰리에스테크</v>
          </cell>
        </row>
        <row r="1100">
          <cell r="A1100" t="str">
            <v>PANEL40</v>
          </cell>
          <cell r="B1100" t="str">
            <v>SET</v>
          </cell>
          <cell r="C1100">
            <v>1</v>
          </cell>
          <cell r="D1100">
            <v>172</v>
          </cell>
          <cell r="E1100">
            <v>375</v>
          </cell>
          <cell r="F1100">
            <v>65</v>
          </cell>
          <cell r="G1100" t="str">
            <v>B240NS</v>
          </cell>
          <cell r="H1100">
            <v>4</v>
          </cell>
          <cell r="I1100">
            <v>2</v>
          </cell>
          <cell r="J1100" t="str">
            <v>삼성전자</v>
          </cell>
          <cell r="K1100">
            <v>119</v>
          </cell>
          <cell r="L1100">
            <v>121</v>
          </cell>
          <cell r="M1100">
            <v>149</v>
          </cell>
          <cell r="N1100">
            <v>151</v>
          </cell>
          <cell r="P1100">
            <v>1300</v>
          </cell>
          <cell r="Q1100">
            <v>300</v>
          </cell>
          <cell r="R1100" t="str">
            <v>비닐</v>
          </cell>
          <cell r="S1100" t="str">
            <v>비닐</v>
          </cell>
          <cell r="T1100" t="str">
            <v>PANEL40</v>
          </cell>
          <cell r="U1100">
            <v>39308</v>
          </cell>
          <cell r="V1100" t="str">
            <v>ELCKOREA</v>
          </cell>
          <cell r="W1100" t="str">
            <v>PANEL40</v>
          </cell>
          <cell r="AD1100">
            <v>0.85</v>
          </cell>
          <cell r="AE1100">
            <v>172</v>
          </cell>
          <cell r="AF1100">
            <v>1</v>
          </cell>
        </row>
        <row r="1101">
          <cell r="A1101" t="str">
            <v>PA-M07C</v>
          </cell>
          <cell r="B1101" t="str">
            <v>SET</v>
          </cell>
          <cell r="C1101">
            <v>1</v>
          </cell>
          <cell r="D1101">
            <v>120</v>
          </cell>
          <cell r="E1101">
            <v>765</v>
          </cell>
          <cell r="F1101">
            <v>74</v>
          </cell>
          <cell r="G1101" t="str">
            <v>B240NS</v>
          </cell>
          <cell r="H1101">
            <v>4</v>
          </cell>
          <cell r="I1101">
            <v>2</v>
          </cell>
          <cell r="J1101" t="str">
            <v>파람</v>
          </cell>
          <cell r="K1101">
            <v>154</v>
          </cell>
          <cell r="L1101">
            <v>156</v>
          </cell>
          <cell r="M1101">
            <v>115</v>
          </cell>
          <cell r="N1101">
            <v>117</v>
          </cell>
          <cell r="O1101">
            <v>10</v>
          </cell>
          <cell r="P1101">
            <v>1360</v>
          </cell>
          <cell r="Q1101">
            <v>250</v>
          </cell>
          <cell r="R1101" t="str">
            <v>녹색</v>
          </cell>
          <cell r="S1101" t="str">
            <v>녹색</v>
          </cell>
          <cell r="U1101">
            <v>42877</v>
          </cell>
          <cell r="V1101" t="str">
            <v>금형제조부</v>
          </cell>
          <cell r="AC1101" t="str">
            <v>최재학계장</v>
          </cell>
          <cell r="AD1101">
            <v>0.85</v>
          </cell>
          <cell r="AE1101">
            <v>80</v>
          </cell>
          <cell r="AF1101">
            <v>6</v>
          </cell>
        </row>
        <row r="1102">
          <cell r="A1102" t="str">
            <v>P32E</v>
          </cell>
          <cell r="B1102" t="str">
            <v>SET</v>
          </cell>
          <cell r="C1102">
            <v>1</v>
          </cell>
          <cell r="D1102">
            <v>125</v>
          </cell>
          <cell r="E1102">
            <v>700</v>
          </cell>
          <cell r="F1102">
            <v>36</v>
          </cell>
          <cell r="G1102" t="str">
            <v>B240NS</v>
          </cell>
          <cell r="H1102">
            <v>12</v>
          </cell>
          <cell r="I1102">
            <v>4</v>
          </cell>
          <cell r="J1102" t="str">
            <v>인알파코리아</v>
          </cell>
          <cell r="K1102">
            <v>95.5</v>
          </cell>
          <cell r="L1102">
            <v>97.5</v>
          </cell>
          <cell r="M1102">
            <v>96</v>
          </cell>
          <cell r="N1102">
            <v>98</v>
          </cell>
          <cell r="O1102">
            <v>5510</v>
          </cell>
          <cell r="P1102">
            <v>1360</v>
          </cell>
          <cell r="Q1102">
            <v>200</v>
          </cell>
          <cell r="R1102" t="str">
            <v>검정</v>
          </cell>
          <cell r="S1102" t="str">
            <v>검정</v>
          </cell>
          <cell r="U1102">
            <v>42402</v>
          </cell>
          <cell r="V1102" t="str">
            <v>금형제조부</v>
          </cell>
          <cell r="W1102" t="str">
            <v>휨불량 주의</v>
          </cell>
          <cell r="Z1102">
            <v>20760</v>
          </cell>
          <cell r="AC1102" t="str">
            <v>,2016.03.30포장단위변경(6-&gt;12)</v>
          </cell>
          <cell r="AD1102">
            <v>0.95</v>
          </cell>
          <cell r="AE1102">
            <v>785</v>
          </cell>
          <cell r="AF1102">
            <v>6</v>
          </cell>
        </row>
        <row r="1103">
          <cell r="A1103" t="str">
            <v>P-2210N</v>
          </cell>
          <cell r="B1103" t="str">
            <v>SET</v>
          </cell>
          <cell r="C1103">
            <v>4</v>
          </cell>
          <cell r="D1103">
            <v>125</v>
          </cell>
          <cell r="E1103">
            <v>63</v>
          </cell>
          <cell r="F1103">
            <v>60</v>
          </cell>
          <cell r="G1103" t="str">
            <v>B240NS</v>
          </cell>
          <cell r="H1103" t="str">
            <v>UP:주황10 LOW:파랑10</v>
          </cell>
          <cell r="I1103">
            <v>2</v>
          </cell>
          <cell r="J1103" t="str">
            <v>코웨이</v>
          </cell>
          <cell r="K1103">
            <v>67</v>
          </cell>
          <cell r="L1103">
            <v>73</v>
          </cell>
          <cell r="M1103">
            <v>67</v>
          </cell>
          <cell r="N1103">
            <v>73</v>
          </cell>
          <cell r="P1103">
            <v>1360</v>
          </cell>
          <cell r="Q1103">
            <v>200</v>
          </cell>
          <cell r="R1103" t="str">
            <v>파랑</v>
          </cell>
          <cell r="S1103" t="str">
            <v>주황</v>
          </cell>
          <cell r="U1103">
            <v>45763</v>
          </cell>
          <cell r="V1103" t="str">
            <v>대부</v>
          </cell>
          <cell r="AD1103">
            <v>0.85</v>
          </cell>
          <cell r="AE1103">
            <v>80</v>
          </cell>
        </row>
        <row r="1104">
          <cell r="A1104" t="str">
            <v>P-2210N</v>
          </cell>
          <cell r="B1104" t="str">
            <v>SET</v>
          </cell>
          <cell r="C1104">
            <v>4</v>
          </cell>
          <cell r="D1104">
            <v>125</v>
          </cell>
          <cell r="E1104">
            <v>63</v>
          </cell>
          <cell r="F1104">
            <v>60</v>
          </cell>
          <cell r="G1104" t="str">
            <v>B240NS</v>
          </cell>
          <cell r="H1104" t="str">
            <v>UP:주황10 LOW:파랑10</v>
          </cell>
          <cell r="I1104">
            <v>2</v>
          </cell>
          <cell r="J1104" t="str">
            <v>코웨이</v>
          </cell>
          <cell r="K1104">
            <v>67</v>
          </cell>
          <cell r="L1104">
            <v>73</v>
          </cell>
          <cell r="M1104">
            <v>67</v>
          </cell>
          <cell r="N1104">
            <v>73</v>
          </cell>
          <cell r="P1104">
            <v>1360</v>
          </cell>
          <cell r="Q1104">
            <v>200</v>
          </cell>
          <cell r="R1104" t="str">
            <v>파랑</v>
          </cell>
          <cell r="S1104" t="str">
            <v>주황</v>
          </cell>
          <cell r="U1104">
            <v>45763</v>
          </cell>
          <cell r="V1104" t="str">
            <v>대부</v>
          </cell>
          <cell r="AD1104">
            <v>0.85</v>
          </cell>
          <cell r="AE1104">
            <v>80</v>
          </cell>
        </row>
        <row r="1105">
          <cell r="A1105" t="str">
            <v>P2</v>
          </cell>
          <cell r="B1105" t="str">
            <v>SET</v>
          </cell>
          <cell r="C1105">
            <v>1</v>
          </cell>
          <cell r="D1105">
            <v>100</v>
          </cell>
          <cell r="E1105">
            <v>3424</v>
          </cell>
          <cell r="F1105">
            <v>58</v>
          </cell>
          <cell r="G1105" t="str">
            <v>B240NS</v>
          </cell>
          <cell r="H1105">
            <v>1</v>
          </cell>
          <cell r="I1105">
            <v>4</v>
          </cell>
          <cell r="J1105" t="str">
            <v>오스템임플란트</v>
          </cell>
          <cell r="O1105">
            <v>10</v>
          </cell>
          <cell r="P1105">
            <v>1500</v>
          </cell>
          <cell r="Q1105">
            <v>500</v>
          </cell>
          <cell r="S1105">
            <v>0</v>
          </cell>
          <cell r="U1105">
            <v>43117</v>
          </cell>
          <cell r="V1105" t="str">
            <v>금형제조부</v>
          </cell>
          <cell r="AC1105" t="str">
            <v>최재학 계장</v>
          </cell>
          <cell r="AD1105">
            <v>0.85</v>
          </cell>
          <cell r="AE1105">
            <v>100</v>
          </cell>
          <cell r="AF1105">
            <v>12</v>
          </cell>
        </row>
        <row r="1106">
          <cell r="A1106" t="str">
            <v>P-160AL</v>
          </cell>
          <cell r="B1106" t="str">
            <v>SET</v>
          </cell>
          <cell r="C1106">
            <v>3</v>
          </cell>
          <cell r="D1106">
            <v>100</v>
          </cell>
          <cell r="E1106">
            <v>194</v>
          </cell>
          <cell r="F1106">
            <v>65</v>
          </cell>
          <cell r="G1106" t="str">
            <v>B240NS</v>
          </cell>
          <cell r="H1106" t="str">
            <v>UP:10 LOW:10</v>
          </cell>
          <cell r="I1106">
            <v>2</v>
          </cell>
          <cell r="J1106" t="str">
            <v>코웨이</v>
          </cell>
          <cell r="K1106">
            <v>95</v>
          </cell>
          <cell r="L1106">
            <v>101</v>
          </cell>
          <cell r="M1106">
            <v>82</v>
          </cell>
          <cell r="N1106">
            <v>88</v>
          </cell>
          <cell r="P1106">
            <v>1360</v>
          </cell>
          <cell r="Q1106">
            <v>200</v>
          </cell>
          <cell r="R1106" t="str">
            <v>보라</v>
          </cell>
          <cell r="T1106" t="str">
            <v>서클2</v>
          </cell>
          <cell r="U1106" t="str">
            <v>2022.10.28</v>
          </cell>
          <cell r="V1106" t="str">
            <v>금형사업부</v>
          </cell>
          <cell r="W1106" t="str">
            <v>P-160AL</v>
          </cell>
          <cell r="AC1106" t="str">
            <v>김영석사원</v>
          </cell>
          <cell r="AD1106">
            <v>0.85</v>
          </cell>
        </row>
        <row r="1107">
          <cell r="A1107" t="str">
            <v>P-160AL</v>
          </cell>
          <cell r="B1107" t="str">
            <v>SET</v>
          </cell>
          <cell r="C1107">
            <v>3</v>
          </cell>
          <cell r="D1107">
            <v>100</v>
          </cell>
          <cell r="E1107">
            <v>194</v>
          </cell>
          <cell r="F1107">
            <v>65</v>
          </cell>
          <cell r="G1107" t="str">
            <v>B240NS</v>
          </cell>
          <cell r="H1107" t="str">
            <v>UP:10 LOW:10</v>
          </cell>
          <cell r="I1107">
            <v>2</v>
          </cell>
          <cell r="J1107" t="str">
            <v>코웨이</v>
          </cell>
          <cell r="K1107">
            <v>95</v>
          </cell>
          <cell r="L1107">
            <v>101</v>
          </cell>
          <cell r="M1107">
            <v>82</v>
          </cell>
          <cell r="N1107">
            <v>88</v>
          </cell>
          <cell r="P1107">
            <v>1360</v>
          </cell>
          <cell r="Q1107">
            <v>200</v>
          </cell>
          <cell r="R1107" t="str">
            <v>보라</v>
          </cell>
          <cell r="T1107" t="str">
            <v>서클2</v>
          </cell>
          <cell r="U1107" t="str">
            <v>2022.10.28</v>
          </cell>
          <cell r="V1107" t="str">
            <v>금형사업부</v>
          </cell>
          <cell r="W1107" t="str">
            <v>P-160AL</v>
          </cell>
          <cell r="AC1107" t="str">
            <v>김영석사원</v>
          </cell>
          <cell r="AD1107">
            <v>0.85</v>
          </cell>
        </row>
        <row r="1108">
          <cell r="A1108" t="str">
            <v>P-160AL</v>
          </cell>
          <cell r="B1108" t="str">
            <v>SET</v>
          </cell>
          <cell r="C1108">
            <v>3</v>
          </cell>
          <cell r="D1108">
            <v>100</v>
          </cell>
          <cell r="E1108">
            <v>194</v>
          </cell>
          <cell r="F1108">
            <v>65</v>
          </cell>
          <cell r="G1108" t="str">
            <v>B240NS</v>
          </cell>
          <cell r="H1108">
            <v>1</v>
          </cell>
          <cell r="I1108">
            <v>2</v>
          </cell>
          <cell r="J1108" t="str">
            <v>코웨이</v>
          </cell>
          <cell r="P1108">
            <v>1360</v>
          </cell>
          <cell r="Q1108">
            <v>200</v>
          </cell>
          <cell r="T1108" t="str">
            <v>서클2</v>
          </cell>
          <cell r="U1108" t="str">
            <v>2022.10.28</v>
          </cell>
          <cell r="V1108" t="str">
            <v>금형사업부</v>
          </cell>
          <cell r="W1108" t="str">
            <v>P-160AL</v>
          </cell>
          <cell r="AC1108" t="str">
            <v>김영석사원</v>
          </cell>
          <cell r="AD1108">
            <v>0.85</v>
          </cell>
        </row>
        <row r="1109">
          <cell r="A1109" t="str">
            <v>OWT-CUSHION</v>
          </cell>
          <cell r="B1109" t="str">
            <v>SET</v>
          </cell>
          <cell r="C1109">
            <v>3</v>
          </cell>
          <cell r="D1109">
            <v>100</v>
          </cell>
          <cell r="E1109">
            <v>247</v>
          </cell>
          <cell r="F1109">
            <v>50</v>
          </cell>
          <cell r="G1109" t="str">
            <v>B240NS</v>
          </cell>
          <cell r="H1109" t="str">
            <v>TOP:10/BOT:10</v>
          </cell>
          <cell r="I1109">
            <v>1</v>
          </cell>
          <cell r="J1109" t="str">
            <v>오비오</v>
          </cell>
          <cell r="K1109">
            <v>98</v>
          </cell>
          <cell r="L1109">
            <v>102</v>
          </cell>
          <cell r="M1109">
            <v>98</v>
          </cell>
          <cell r="N1109">
            <v>102</v>
          </cell>
          <cell r="P1109">
            <v>1360</v>
          </cell>
          <cell r="Q1109">
            <v>200</v>
          </cell>
          <cell r="R1109" t="str">
            <v>빨강</v>
          </cell>
          <cell r="S1109" t="str">
            <v>노랑</v>
          </cell>
          <cell r="T1109" t="str">
            <v>TOP:빨강/BOT:노랑</v>
          </cell>
          <cell r="U1109">
            <v>45203</v>
          </cell>
          <cell r="V1109" t="str">
            <v>금형사업부</v>
          </cell>
          <cell r="W1109" t="str">
            <v>60100240/1</v>
          </cell>
          <cell r="AD1109">
            <v>0.85</v>
          </cell>
        </row>
        <row r="1110">
          <cell r="A1110" t="str">
            <v>OWT-CUSHION</v>
          </cell>
          <cell r="B1110" t="str">
            <v>SET</v>
          </cell>
          <cell r="C1110">
            <v>3</v>
          </cell>
          <cell r="D1110">
            <v>100</v>
          </cell>
          <cell r="E1110">
            <v>247</v>
          </cell>
          <cell r="F1110">
            <v>50</v>
          </cell>
          <cell r="G1110" t="str">
            <v>B240NS</v>
          </cell>
          <cell r="H1110" t="str">
            <v>TOP:10/BOT:10</v>
          </cell>
          <cell r="I1110">
            <v>1</v>
          </cell>
          <cell r="J1110" t="str">
            <v>오비오</v>
          </cell>
          <cell r="K1110">
            <v>98</v>
          </cell>
          <cell r="L1110">
            <v>102</v>
          </cell>
          <cell r="M1110">
            <v>98</v>
          </cell>
          <cell r="N1110">
            <v>102</v>
          </cell>
          <cell r="P1110">
            <v>1360</v>
          </cell>
          <cell r="Q1110">
            <v>200</v>
          </cell>
          <cell r="R1110" t="str">
            <v>빨강</v>
          </cell>
          <cell r="S1110" t="str">
            <v>노랑</v>
          </cell>
          <cell r="T1110" t="str">
            <v>TOP:빨강/BOT:노랑</v>
          </cell>
          <cell r="U1110">
            <v>45203</v>
          </cell>
          <cell r="V1110" t="str">
            <v>금형사업부</v>
          </cell>
          <cell r="W1110" t="str">
            <v>60100240/1</v>
          </cell>
          <cell r="AD1110">
            <v>0.85</v>
          </cell>
        </row>
        <row r="1111">
          <cell r="A1111" t="str">
            <v>OWT-001SU</v>
          </cell>
          <cell r="B1111" t="str">
            <v>회색</v>
          </cell>
          <cell r="C1111">
            <v>4</v>
          </cell>
          <cell r="D1111">
            <v>92</v>
          </cell>
          <cell r="E1111">
            <v>100</v>
          </cell>
          <cell r="F1111">
            <v>30</v>
          </cell>
          <cell r="G1111" t="str">
            <v>ZP2500</v>
          </cell>
          <cell r="H1111">
            <v>16</v>
          </cell>
          <cell r="I1111">
            <v>1</v>
          </cell>
          <cell r="J1111" t="str">
            <v>오비오</v>
          </cell>
          <cell r="K1111">
            <v>73</v>
          </cell>
          <cell r="L1111">
            <v>77</v>
          </cell>
          <cell r="M1111">
            <v>83</v>
          </cell>
          <cell r="N1111">
            <v>87</v>
          </cell>
          <cell r="P1111">
            <v>1360</v>
          </cell>
          <cell r="Q1111">
            <v>350</v>
          </cell>
          <cell r="R1111" t="str">
            <v>노랑</v>
          </cell>
          <cell r="U1111">
            <v>45127</v>
          </cell>
          <cell r="V1111" t="str">
            <v>금형사업부</v>
          </cell>
          <cell r="AD1111">
            <v>0.85</v>
          </cell>
        </row>
        <row r="1112">
          <cell r="A1112" t="str">
            <v>OWT-001SU</v>
          </cell>
          <cell r="B1112" t="str">
            <v>SET</v>
          </cell>
          <cell r="C1112">
            <v>4</v>
          </cell>
          <cell r="D1112">
            <v>92</v>
          </cell>
          <cell r="E1112">
            <v>100</v>
          </cell>
          <cell r="F1112">
            <v>30</v>
          </cell>
          <cell r="G1112" t="str">
            <v>ZP2500</v>
          </cell>
          <cell r="H1112">
            <v>16</v>
          </cell>
          <cell r="I1112">
            <v>1</v>
          </cell>
          <cell r="J1112" t="str">
            <v>오비오</v>
          </cell>
          <cell r="K1112">
            <v>73</v>
          </cell>
          <cell r="L1112">
            <v>77</v>
          </cell>
          <cell r="M1112">
            <v>83</v>
          </cell>
          <cell r="N1112">
            <v>87</v>
          </cell>
          <cell r="P1112">
            <v>1360</v>
          </cell>
          <cell r="Q1112">
            <v>350</v>
          </cell>
          <cell r="R1112" t="str">
            <v>노랑</v>
          </cell>
          <cell r="U1112">
            <v>45127</v>
          </cell>
          <cell r="V1112" t="str">
            <v>금형사업부</v>
          </cell>
          <cell r="AD1112">
            <v>0.85</v>
          </cell>
        </row>
        <row r="1113">
          <cell r="A1113" t="str">
            <v>OUTER-DOOR2</v>
          </cell>
          <cell r="B1113" t="str">
            <v>SET</v>
          </cell>
          <cell r="C1113">
            <v>6</v>
          </cell>
          <cell r="D1113">
            <v>88</v>
          </cell>
          <cell r="E1113">
            <v>57</v>
          </cell>
          <cell r="F1113">
            <v>65</v>
          </cell>
          <cell r="G1113" t="str">
            <v>B240NS</v>
          </cell>
          <cell r="H1113">
            <v>40</v>
          </cell>
          <cell r="I1113">
            <v>1</v>
          </cell>
          <cell r="J1113" t="str">
            <v>SK매직</v>
          </cell>
          <cell r="K1113">
            <v>48.5</v>
          </cell>
          <cell r="L1113">
            <v>51.5</v>
          </cell>
          <cell r="O1113">
            <v>275</v>
          </cell>
          <cell r="P1113">
            <v>1300</v>
          </cell>
          <cell r="Q1113">
            <v>150</v>
          </cell>
          <cell r="R1113" t="str">
            <v>파랑</v>
          </cell>
          <cell r="S1113" t="str">
            <v>파랑</v>
          </cell>
          <cell r="T1113" t="str">
            <v>OUTER-DOOR2</v>
          </cell>
          <cell r="U1113">
            <v>40231</v>
          </cell>
          <cell r="V1113" t="str">
            <v>삼일금형</v>
          </cell>
          <cell r="X1113" t="str">
            <v>계양리 C-1</v>
          </cell>
          <cell r="AC1113" t="str">
            <v>2010.03.12승인완료, 2010.03.18CAVITY코팅, 2012.01.15기준중량변경(45-&gt;57), 2012.06.04 각인추가</v>
          </cell>
          <cell r="AD1113">
            <v>0.85</v>
          </cell>
          <cell r="AE1113">
            <v>88</v>
          </cell>
          <cell r="AF1113">
            <v>1</v>
          </cell>
        </row>
        <row r="1114">
          <cell r="A1114" t="str">
            <v>OR930WPAD</v>
          </cell>
          <cell r="B1114" t="str">
            <v>PAD</v>
          </cell>
          <cell r="E1114">
            <v>0</v>
          </cell>
          <cell r="J1114" t="str">
            <v>오리온정보</v>
          </cell>
          <cell r="O1114">
            <v>410</v>
          </cell>
          <cell r="P1114" t="str">
            <v>오리온정보통신OR-930WPAD(380*225*48)</v>
          </cell>
          <cell r="R1114" t="str">
            <v>400*382*50T06/6/14합의</v>
          </cell>
        </row>
        <row r="1115">
          <cell r="A1115" t="str">
            <v>OR930WPAD</v>
          </cell>
          <cell r="B1115" t="str">
            <v>PAD</v>
          </cell>
          <cell r="E1115">
            <v>0</v>
          </cell>
          <cell r="J1115" t="str">
            <v>오리온정보</v>
          </cell>
          <cell r="O1115">
            <v>410</v>
          </cell>
          <cell r="P1115" t="str">
            <v>오리온정보통신OR-930WPAD(380*225*48)</v>
          </cell>
          <cell r="R1115" t="str">
            <v>400*382*50T06/6/14합의</v>
          </cell>
        </row>
        <row r="1116">
          <cell r="A1116" t="str">
            <v>OHC-7000D-T/B</v>
          </cell>
          <cell r="B1116" t="str">
            <v>SET</v>
          </cell>
          <cell r="C1116">
            <v>3</v>
          </cell>
          <cell r="D1116">
            <v>100</v>
          </cell>
          <cell r="E1116">
            <v>184</v>
          </cell>
          <cell r="F1116">
            <v>70</v>
          </cell>
          <cell r="G1116" t="str">
            <v>B240NS</v>
          </cell>
          <cell r="H1116" t="str">
            <v>T:20 B:20</v>
          </cell>
          <cell r="I1116">
            <v>2</v>
          </cell>
          <cell r="J1116" t="str">
            <v>오비오</v>
          </cell>
          <cell r="O1116">
            <v>1050</v>
          </cell>
          <cell r="P1116">
            <v>1300</v>
          </cell>
          <cell r="Q1116">
            <v>200</v>
          </cell>
          <cell r="R1116" t="str">
            <v>주황</v>
          </cell>
          <cell r="T1116" t="str">
            <v>OHC-7000D-T/B</v>
          </cell>
          <cell r="U1116">
            <v>44662</v>
          </cell>
          <cell r="V1116" t="str">
            <v>이관금형</v>
          </cell>
          <cell r="W1116">
            <v>60100152</v>
          </cell>
          <cell r="Y1116">
            <v>50</v>
          </cell>
          <cell r="AC1116" t="str">
            <v>김영석사원</v>
          </cell>
          <cell r="AD1116">
            <v>0.85</v>
          </cell>
        </row>
        <row r="1117">
          <cell r="A1117" t="str">
            <v>OHC-7000D-T/B</v>
          </cell>
          <cell r="B1117" t="str">
            <v>SET</v>
          </cell>
          <cell r="C1117">
            <v>3</v>
          </cell>
          <cell r="D1117">
            <v>100</v>
          </cell>
          <cell r="E1117">
            <v>92</v>
          </cell>
          <cell r="F1117">
            <v>58</v>
          </cell>
          <cell r="G1117" t="str">
            <v>B240NS</v>
          </cell>
          <cell r="H1117" t="str">
            <v>T:20 B:20</v>
          </cell>
          <cell r="I1117">
            <v>2</v>
          </cell>
          <cell r="J1117" t="str">
            <v>오비오</v>
          </cell>
          <cell r="O1117">
            <v>1050</v>
          </cell>
          <cell r="P1117">
            <v>1300</v>
          </cell>
          <cell r="Q1117">
            <v>200</v>
          </cell>
          <cell r="R1117" t="str">
            <v>주황</v>
          </cell>
          <cell r="T1117" t="str">
            <v>OHC-7000D-T/B</v>
          </cell>
          <cell r="U1117">
            <v>44662</v>
          </cell>
          <cell r="V1117" t="str">
            <v>이관금형</v>
          </cell>
          <cell r="W1117">
            <v>60100152</v>
          </cell>
          <cell r="Y1117">
            <v>50</v>
          </cell>
          <cell r="AC1117" t="str">
            <v>김영석사원</v>
          </cell>
          <cell r="AD1117">
            <v>0.85</v>
          </cell>
        </row>
        <row r="1118">
          <cell r="A1118" t="str">
            <v>OHC-7000D-PAD</v>
          </cell>
          <cell r="B1118" t="str">
            <v>저발</v>
          </cell>
          <cell r="C1118">
            <v>8</v>
          </cell>
          <cell r="D1118">
            <v>100</v>
          </cell>
          <cell r="E1118">
            <v>92</v>
          </cell>
          <cell r="F1118">
            <v>58</v>
          </cell>
          <cell r="G1118" t="str">
            <v>B240NS</v>
          </cell>
          <cell r="H1118">
            <v>1</v>
          </cell>
          <cell r="I1118">
            <v>1</v>
          </cell>
          <cell r="J1118" t="str">
            <v>오비오</v>
          </cell>
          <cell r="O1118">
            <v>1050</v>
          </cell>
          <cell r="P1118">
            <v>500</v>
          </cell>
          <cell r="U1118">
            <v>44662</v>
          </cell>
          <cell r="V1118" t="str">
            <v>이관금형</v>
          </cell>
          <cell r="W1118">
            <v>60100152</v>
          </cell>
          <cell r="Y1118">
            <v>50</v>
          </cell>
          <cell r="AC1118" t="str">
            <v>김영석사원</v>
          </cell>
          <cell r="AD1118">
            <v>0.85</v>
          </cell>
        </row>
        <row r="1119">
          <cell r="A1119" t="str">
            <v>OHC-7000D-PAD</v>
          </cell>
          <cell r="B1119" t="str">
            <v>SET</v>
          </cell>
          <cell r="C1119">
            <v>8</v>
          </cell>
          <cell r="D1119">
            <v>100</v>
          </cell>
          <cell r="E1119">
            <v>92</v>
          </cell>
          <cell r="F1119">
            <v>58</v>
          </cell>
          <cell r="G1119" t="str">
            <v>B240NS</v>
          </cell>
          <cell r="H1119">
            <v>1</v>
          </cell>
          <cell r="I1119">
            <v>1</v>
          </cell>
          <cell r="J1119" t="str">
            <v>오비오</v>
          </cell>
          <cell r="O1119">
            <v>1050</v>
          </cell>
          <cell r="P1119">
            <v>500</v>
          </cell>
          <cell r="U1119">
            <v>44662</v>
          </cell>
          <cell r="V1119" t="str">
            <v>이관금형</v>
          </cell>
          <cell r="W1119">
            <v>60100152</v>
          </cell>
          <cell r="Y1119">
            <v>50</v>
          </cell>
          <cell r="AC1119" t="str">
            <v>김영석사원</v>
          </cell>
          <cell r="AD1119">
            <v>0.85</v>
          </cell>
        </row>
        <row r="1120">
          <cell r="A1120" t="str">
            <v>OBVM4</v>
          </cell>
          <cell r="B1120" t="str">
            <v>SET</v>
          </cell>
          <cell r="C1120">
            <v>2</v>
          </cell>
          <cell r="D1120">
            <v>120</v>
          </cell>
          <cell r="I1120">
            <v>2</v>
          </cell>
          <cell r="J1120" t="str">
            <v>본시스템즈</v>
          </cell>
          <cell r="P1120">
            <v>1360</v>
          </cell>
          <cell r="Q1120">
            <v>350</v>
          </cell>
          <cell r="U1120">
            <v>44089</v>
          </cell>
          <cell r="V1120" t="str">
            <v>본시스템즈이관</v>
          </cell>
          <cell r="AC1120" t="str">
            <v>석상준과장 홀다TYPE</v>
          </cell>
          <cell r="AD1120">
            <v>0.85</v>
          </cell>
          <cell r="AF1120">
            <v>6</v>
          </cell>
        </row>
        <row r="1121">
          <cell r="A1121" t="str">
            <v>OBVM18</v>
          </cell>
          <cell r="B1121" t="str">
            <v>회색</v>
          </cell>
          <cell r="C1121">
            <v>2</v>
          </cell>
          <cell r="D1121">
            <v>200</v>
          </cell>
          <cell r="E1121">
            <v>1499</v>
          </cell>
          <cell r="F1121">
            <v>36</v>
          </cell>
          <cell r="G1121" t="str">
            <v>ZP2500</v>
          </cell>
          <cell r="H1121">
            <v>1</v>
          </cell>
          <cell r="I1121">
            <v>2</v>
          </cell>
          <cell r="J1121" t="str">
            <v>본시스템즈</v>
          </cell>
          <cell r="K1121">
            <v>78</v>
          </cell>
          <cell r="L1121">
            <v>82</v>
          </cell>
          <cell r="M1121">
            <v>401</v>
          </cell>
          <cell r="N1121">
            <v>405</v>
          </cell>
          <cell r="P1121">
            <v>1360</v>
          </cell>
          <cell r="Q1121">
            <v>500</v>
          </cell>
          <cell r="U1121">
            <v>44089</v>
          </cell>
          <cell r="V1121" t="str">
            <v>본시스템즈이관</v>
          </cell>
          <cell r="Y1121">
            <v>30</v>
          </cell>
          <cell r="AC1121" t="str">
            <v>석상준과장 고정FRAME포함</v>
          </cell>
          <cell r="AD1121">
            <v>0.85</v>
          </cell>
          <cell r="AF1121">
            <v>4</v>
          </cell>
        </row>
        <row r="1122">
          <cell r="A1122" t="str">
            <v>OBA-V2</v>
          </cell>
          <cell r="B1122" t="str">
            <v>저발</v>
          </cell>
          <cell r="C1122">
            <v>2</v>
          </cell>
          <cell r="D1122">
            <v>100</v>
          </cell>
          <cell r="E1122">
            <v>105</v>
          </cell>
          <cell r="F1122">
            <v>30</v>
          </cell>
          <cell r="G1122" t="str">
            <v>ZP2500</v>
          </cell>
          <cell r="H1122">
            <v>1</v>
          </cell>
          <cell r="I1122">
            <v>2</v>
          </cell>
          <cell r="J1122" t="str">
            <v>오비오</v>
          </cell>
          <cell r="P1122">
            <v>500</v>
          </cell>
          <cell r="U1122">
            <v>45483</v>
          </cell>
          <cell r="V1122" t="str">
            <v>금형사업부</v>
          </cell>
          <cell r="AD1122">
            <v>0.85</v>
          </cell>
        </row>
        <row r="1123">
          <cell r="A1123" t="str">
            <v>OBA-V2</v>
          </cell>
          <cell r="B1123" t="str">
            <v>SET</v>
          </cell>
          <cell r="C1123">
            <v>2</v>
          </cell>
          <cell r="D1123">
            <v>100</v>
          </cell>
          <cell r="E1123">
            <v>105</v>
          </cell>
          <cell r="F1123">
            <v>30</v>
          </cell>
          <cell r="G1123" t="str">
            <v>ZP2500</v>
          </cell>
          <cell r="H1123">
            <v>1</v>
          </cell>
          <cell r="I1123">
            <v>2</v>
          </cell>
          <cell r="J1123" t="str">
            <v>오비오</v>
          </cell>
          <cell r="P1123">
            <v>500</v>
          </cell>
          <cell r="U1123">
            <v>45483</v>
          </cell>
          <cell r="V1123" t="str">
            <v>금형사업부</v>
          </cell>
        </row>
        <row r="1124">
          <cell r="A1124" t="str">
            <v>OBA-BOTTLE</v>
          </cell>
          <cell r="B1124" t="str">
            <v>SET</v>
          </cell>
          <cell r="C1124">
            <v>3</v>
          </cell>
          <cell r="D1124">
            <v>100</v>
          </cell>
          <cell r="E1124">
            <v>246</v>
          </cell>
          <cell r="F1124">
            <v>58</v>
          </cell>
          <cell r="G1124" t="str">
            <v>B240NS</v>
          </cell>
          <cell r="H1124" t="str">
            <v>TOP:10/BOT:10</v>
          </cell>
          <cell r="I1124">
            <v>2</v>
          </cell>
          <cell r="J1124" t="str">
            <v>오비오</v>
          </cell>
          <cell r="K1124">
            <v>98</v>
          </cell>
          <cell r="L1124">
            <v>102</v>
          </cell>
          <cell r="M1124">
            <v>95</v>
          </cell>
          <cell r="N1124">
            <v>99</v>
          </cell>
          <cell r="P1124">
            <v>1360</v>
          </cell>
          <cell r="Q1124">
            <v>200</v>
          </cell>
          <cell r="R1124" t="str">
            <v>주황</v>
          </cell>
          <cell r="S1124" t="str">
            <v>보라</v>
          </cell>
          <cell r="U1124">
            <v>45355</v>
          </cell>
          <cell r="V1124" t="str">
            <v>금형사업부</v>
          </cell>
          <cell r="AD1124">
            <v>0.85</v>
          </cell>
          <cell r="AF1124">
            <v>8</v>
          </cell>
        </row>
        <row r="1125">
          <cell r="A1125" t="str">
            <v>OBA-BOTTLE</v>
          </cell>
          <cell r="B1125" t="str">
            <v>SET</v>
          </cell>
          <cell r="C1125">
            <v>3</v>
          </cell>
          <cell r="D1125">
            <v>100</v>
          </cell>
          <cell r="E1125">
            <v>246</v>
          </cell>
          <cell r="F1125">
            <v>58</v>
          </cell>
          <cell r="G1125" t="str">
            <v>B240NS</v>
          </cell>
          <cell r="H1125">
            <v>1</v>
          </cell>
          <cell r="I1125">
            <v>2</v>
          </cell>
          <cell r="J1125" t="str">
            <v>오비오</v>
          </cell>
          <cell r="P1125">
            <v>1360</v>
          </cell>
          <cell r="Q1125">
            <v>200</v>
          </cell>
          <cell r="U1125">
            <v>45355</v>
          </cell>
          <cell r="V1125" t="str">
            <v>금형사업부</v>
          </cell>
          <cell r="AD1125">
            <v>0.85</v>
          </cell>
        </row>
        <row r="1126">
          <cell r="A1126" t="str">
            <v>OBA-BOTTLE</v>
          </cell>
          <cell r="B1126" t="str">
            <v>SET</v>
          </cell>
          <cell r="C1126">
            <v>3</v>
          </cell>
          <cell r="D1126">
            <v>100</v>
          </cell>
          <cell r="E1126">
            <v>246</v>
          </cell>
          <cell r="F1126">
            <v>50</v>
          </cell>
          <cell r="G1126" t="str">
            <v>B240NS</v>
          </cell>
          <cell r="H1126">
            <v>1</v>
          </cell>
          <cell r="I1126">
            <v>2</v>
          </cell>
          <cell r="J1126" t="str">
            <v>오비오</v>
          </cell>
          <cell r="P1126">
            <v>1360</v>
          </cell>
          <cell r="Q1126">
            <v>200</v>
          </cell>
          <cell r="U1126">
            <v>45355</v>
          </cell>
          <cell r="V1126" t="str">
            <v>금형사업부</v>
          </cell>
          <cell r="AD1126">
            <v>0.85</v>
          </cell>
        </row>
        <row r="1127">
          <cell r="A1127" t="str">
            <v>OBA-001S</v>
          </cell>
          <cell r="B1127" t="str">
            <v>회색</v>
          </cell>
          <cell r="C1127">
            <v>4</v>
          </cell>
          <cell r="D1127">
            <v>100</v>
          </cell>
          <cell r="E1127">
            <v>123</v>
          </cell>
          <cell r="F1127">
            <v>30</v>
          </cell>
          <cell r="G1127" t="str">
            <v>ZP2500</v>
          </cell>
          <cell r="H1127" t="str">
            <v>5조</v>
          </cell>
          <cell r="I1127">
            <v>4</v>
          </cell>
          <cell r="J1127" t="str">
            <v>오비오</v>
          </cell>
          <cell r="P1127">
            <v>1360</v>
          </cell>
          <cell r="R1127" t="str">
            <v>검정</v>
          </cell>
          <cell r="U1127">
            <v>45310</v>
          </cell>
          <cell r="V1127" t="str">
            <v>금형사업부</v>
          </cell>
          <cell r="W1127" t="str">
            <v>간이</v>
          </cell>
          <cell r="AD1127">
            <v>0.85</v>
          </cell>
        </row>
        <row r="1128">
          <cell r="A1128" t="str">
            <v>OBA-001S</v>
          </cell>
          <cell r="B1128" t="str">
            <v>SET</v>
          </cell>
          <cell r="C1128">
            <v>4</v>
          </cell>
          <cell r="D1128">
            <v>100</v>
          </cell>
          <cell r="E1128">
            <v>123</v>
          </cell>
          <cell r="F1128">
            <v>30</v>
          </cell>
          <cell r="G1128" t="str">
            <v>ZP2500</v>
          </cell>
          <cell r="H1128" t="str">
            <v>5조</v>
          </cell>
          <cell r="I1128">
            <v>4</v>
          </cell>
          <cell r="J1128" t="str">
            <v>오비오</v>
          </cell>
          <cell r="P1128">
            <v>1360</v>
          </cell>
          <cell r="R1128" t="str">
            <v>검정</v>
          </cell>
          <cell r="U1128">
            <v>45310</v>
          </cell>
          <cell r="V1128" t="str">
            <v>금형사업부</v>
          </cell>
          <cell r="W1128" t="str">
            <v>간이</v>
          </cell>
          <cell r="AD1128">
            <v>0.85</v>
          </cell>
        </row>
        <row r="1129">
          <cell r="A1129" t="str">
            <v>OBA-001S</v>
          </cell>
          <cell r="B1129" t="str">
            <v>SET</v>
          </cell>
          <cell r="C1129">
            <v>4</v>
          </cell>
          <cell r="D1129">
            <v>100</v>
          </cell>
          <cell r="E1129">
            <v>123</v>
          </cell>
          <cell r="F1129">
            <v>30</v>
          </cell>
          <cell r="G1129" t="str">
            <v>ZP2500</v>
          </cell>
          <cell r="H1129">
            <v>1</v>
          </cell>
          <cell r="I1129">
            <v>4</v>
          </cell>
          <cell r="J1129" t="str">
            <v>오비오</v>
          </cell>
          <cell r="P1129">
            <v>1360</v>
          </cell>
          <cell r="U1129">
            <v>45310</v>
          </cell>
          <cell r="V1129" t="str">
            <v>금형사업부</v>
          </cell>
          <cell r="W1129" t="str">
            <v>간이</v>
          </cell>
          <cell r="AD1129">
            <v>0.85</v>
          </cell>
        </row>
        <row r="1130">
          <cell r="A1130" t="str">
            <v>N정수기외장재</v>
          </cell>
          <cell r="B1130" t="str">
            <v>SET</v>
          </cell>
          <cell r="C1130">
            <v>2</v>
          </cell>
          <cell r="D1130">
            <v>70</v>
          </cell>
          <cell r="E1130">
            <v>225</v>
          </cell>
          <cell r="F1130">
            <v>70</v>
          </cell>
          <cell r="G1130" t="str">
            <v>B240NS</v>
          </cell>
          <cell r="H1130">
            <v>10</v>
          </cell>
          <cell r="I1130">
            <v>2</v>
          </cell>
          <cell r="J1130" t="str">
            <v>SK매직</v>
          </cell>
          <cell r="K1130">
            <v>74</v>
          </cell>
          <cell r="L1130">
            <v>76</v>
          </cell>
          <cell r="M1130">
            <v>74</v>
          </cell>
          <cell r="N1130">
            <v>76</v>
          </cell>
          <cell r="O1130">
            <v>1066</v>
          </cell>
          <cell r="P1130">
            <v>1300</v>
          </cell>
          <cell r="Q1130">
            <v>150</v>
          </cell>
          <cell r="R1130" t="str">
            <v>노랑</v>
          </cell>
          <cell r="S1130" t="str">
            <v>노랑</v>
          </cell>
          <cell r="T1130" t="str">
            <v>NEW정수기외장재</v>
          </cell>
          <cell r="U1130">
            <v>39513</v>
          </cell>
          <cell r="V1130" t="str">
            <v>삼일금형</v>
          </cell>
          <cell r="W1130" t="str">
            <v>57903-63000,64002</v>
          </cell>
          <cell r="X1130" t="str">
            <v>E-0103</v>
          </cell>
          <cell r="AC1130" t="str">
            <v>2009.12.17수정, 2012.01.15기준중량변경(230-&gt;225), 2012.04.30개조, 2013.07.01끈색변경(빨강,흰색-&gt;파랑),2015.02.03개조,2015.10.09배율변경(62-&gt;65),2016.07.27기준배율 변경(65-&gt;62)</v>
          </cell>
          <cell r="AD1130">
            <v>0.85</v>
          </cell>
          <cell r="AE1130">
            <v>75</v>
          </cell>
          <cell r="AF1130">
            <v>2</v>
          </cell>
        </row>
        <row r="1131">
          <cell r="A1131" t="str">
            <v>N정수기T/B#2</v>
          </cell>
          <cell r="B1131" t="str">
            <v>SET</v>
          </cell>
          <cell r="C1131">
            <v>6</v>
          </cell>
          <cell r="D1131">
            <v>95</v>
          </cell>
          <cell r="E1131">
            <v>160</v>
          </cell>
          <cell r="F1131">
            <v>36</v>
          </cell>
          <cell r="G1131" t="str">
            <v>B240NS</v>
          </cell>
          <cell r="H1131">
            <v>20</v>
          </cell>
          <cell r="I1131">
            <v>2</v>
          </cell>
          <cell r="J1131" t="str">
            <v>SK매직</v>
          </cell>
          <cell r="K1131">
            <v>183</v>
          </cell>
          <cell r="L1131">
            <v>187</v>
          </cell>
          <cell r="M1131">
            <v>44</v>
          </cell>
          <cell r="N1131">
            <v>48</v>
          </cell>
          <cell r="O1131">
            <v>759</v>
          </cell>
          <cell r="P1131">
            <v>1360</v>
          </cell>
          <cell r="Q1131">
            <v>300</v>
          </cell>
          <cell r="R1131" t="str">
            <v>비닐</v>
          </cell>
          <cell r="S1131" t="str">
            <v>비닐</v>
          </cell>
          <cell r="T1131" t="str">
            <v>NEW정수기T/B, 큐비에스</v>
          </cell>
          <cell r="U1131">
            <v>40952</v>
          </cell>
          <cell r="V1131" t="str">
            <v>금형제조부</v>
          </cell>
          <cell r="W1131" t="str">
            <v>57910-83000,84000냉각주의,끈포장금지, 테이프사용,핀눌림확인!초물중량확인!180g내외</v>
          </cell>
          <cell r="X1131" t="str">
            <v>D-0306</v>
          </cell>
          <cell r="AC1131" t="str">
            <v>석상준계장, 2012.02.28수정, 2012.03.09수정, 2012.04.19코팅,2013.04.12 개조,2013.04.15 끈색변경(주황-&gt;파랑)2014.11.17개조입고2014.11.17끈색변경(검정-&gt;파랑)201512.01수정입고,2016.08.26포장단위 변경(10-&gt;20),2016.09.05 수리</v>
          </cell>
          <cell r="AD1131">
            <v>0.9</v>
          </cell>
          <cell r="AE1131">
            <v>95</v>
          </cell>
          <cell r="AF1131">
            <v>2</v>
          </cell>
        </row>
        <row r="1132">
          <cell r="A1132" t="str">
            <v>N배지경2호베드</v>
          </cell>
          <cell r="B1132" t="str">
            <v>SET</v>
          </cell>
          <cell r="C1132">
            <v>2</v>
          </cell>
          <cell r="D1132">
            <v>204</v>
          </cell>
          <cell r="E1132">
            <v>625</v>
          </cell>
          <cell r="F1132">
            <v>40</v>
          </cell>
          <cell r="G1132" t="str">
            <v>B240NS</v>
          </cell>
          <cell r="H1132">
            <v>4</v>
          </cell>
          <cell r="I1132">
            <v>1</v>
          </cell>
          <cell r="J1132" t="str">
            <v>가화텍</v>
          </cell>
          <cell r="K1132">
            <v>198</v>
          </cell>
          <cell r="L1132">
            <v>202</v>
          </cell>
          <cell r="P1132">
            <v>1360</v>
          </cell>
          <cell r="R1132" t="str">
            <v>비닐</v>
          </cell>
          <cell r="U1132">
            <v>45407</v>
          </cell>
          <cell r="V1132" t="str">
            <v>금형사업부</v>
          </cell>
          <cell r="AD1132">
            <v>0.85</v>
          </cell>
        </row>
        <row r="1133">
          <cell r="A1133" t="str">
            <v>N배지경2호베드</v>
          </cell>
          <cell r="B1133" t="str">
            <v>SET</v>
          </cell>
          <cell r="C1133">
            <v>2</v>
          </cell>
          <cell r="D1133">
            <v>204</v>
          </cell>
          <cell r="E1133">
            <v>625</v>
          </cell>
          <cell r="F1133">
            <v>40</v>
          </cell>
          <cell r="G1133" t="str">
            <v>B240NS</v>
          </cell>
          <cell r="H1133">
            <v>4</v>
          </cell>
          <cell r="I1133">
            <v>1</v>
          </cell>
          <cell r="J1133" t="str">
            <v>가화텍</v>
          </cell>
          <cell r="P1133">
            <v>1360</v>
          </cell>
          <cell r="R1133" t="str">
            <v>비닐</v>
          </cell>
          <cell r="U1133">
            <v>45407</v>
          </cell>
          <cell r="V1133" t="str">
            <v>금형사업부</v>
          </cell>
          <cell r="AD1133">
            <v>0.85</v>
          </cell>
        </row>
        <row r="1134">
          <cell r="A1134" t="str">
            <v>N배지경2호마감베드</v>
          </cell>
          <cell r="B1134" t="str">
            <v>SET</v>
          </cell>
          <cell r="C1134">
            <v>1</v>
          </cell>
          <cell r="D1134">
            <v>177</v>
          </cell>
          <cell r="E1134">
            <v>1380</v>
          </cell>
          <cell r="F1134">
            <v>40</v>
          </cell>
          <cell r="G1134" t="str">
            <v>B240NS</v>
          </cell>
          <cell r="H1134">
            <v>2</v>
          </cell>
          <cell r="I1134">
            <v>2</v>
          </cell>
          <cell r="J1134" t="str">
            <v>가화텍</v>
          </cell>
          <cell r="K1134">
            <v>198</v>
          </cell>
          <cell r="L1134">
            <v>202</v>
          </cell>
          <cell r="P1134">
            <v>1360</v>
          </cell>
          <cell r="U1134">
            <v>45407</v>
          </cell>
          <cell r="V1134" t="str">
            <v>금형사업부</v>
          </cell>
          <cell r="W1134" t="str">
            <v>m:703g,F:676g</v>
          </cell>
          <cell r="AD1134">
            <v>0.85</v>
          </cell>
          <cell r="AF1134">
            <v>4</v>
          </cell>
        </row>
        <row r="1135">
          <cell r="A1135" t="str">
            <v>N배지경2호마감베드</v>
          </cell>
          <cell r="B1135" t="str">
            <v>SET</v>
          </cell>
          <cell r="C1135">
            <v>1</v>
          </cell>
          <cell r="D1135">
            <v>177</v>
          </cell>
          <cell r="E1135">
            <v>1380</v>
          </cell>
          <cell r="F1135">
            <v>40</v>
          </cell>
          <cell r="G1135" t="str">
            <v>B240NS</v>
          </cell>
          <cell r="H1135">
            <v>2</v>
          </cell>
          <cell r="I1135">
            <v>2</v>
          </cell>
          <cell r="J1135" t="str">
            <v>가화텍</v>
          </cell>
          <cell r="P1135">
            <v>1360</v>
          </cell>
          <cell r="U1135">
            <v>45407</v>
          </cell>
          <cell r="V1135" t="str">
            <v>금형사업부</v>
          </cell>
          <cell r="W1135" t="str">
            <v>m:703g,F:676g</v>
          </cell>
          <cell r="AD1135">
            <v>0.85</v>
          </cell>
        </row>
        <row r="1136">
          <cell r="A1136" t="str">
            <v>NRW300 9B</v>
          </cell>
          <cell r="B1136" t="str">
            <v>SET</v>
          </cell>
          <cell r="C1136">
            <v>2</v>
          </cell>
          <cell r="D1136">
            <v>90</v>
          </cell>
          <cell r="E1136">
            <v>296</v>
          </cell>
          <cell r="F1136">
            <v>65</v>
          </cell>
          <cell r="G1136" t="str">
            <v>B240NS</v>
          </cell>
          <cell r="H1136">
            <v>1</v>
          </cell>
          <cell r="I1136">
            <v>2</v>
          </cell>
          <cell r="J1136" t="str">
            <v>경동</v>
          </cell>
          <cell r="K1136">
            <v>78</v>
          </cell>
          <cell r="L1136">
            <v>82</v>
          </cell>
          <cell r="M1136">
            <v>98.5</v>
          </cell>
          <cell r="N1136">
            <v>102.5</v>
          </cell>
          <cell r="P1136">
            <v>1300</v>
          </cell>
          <cell r="Q1136">
            <v>200</v>
          </cell>
          <cell r="U1136">
            <v>44771</v>
          </cell>
          <cell r="V1136" t="str">
            <v>제이티</v>
          </cell>
          <cell r="AC1136" t="str">
            <v>김영석사원</v>
          </cell>
          <cell r="AD1136">
            <v>0.85</v>
          </cell>
        </row>
        <row r="1137">
          <cell r="A1137" t="str">
            <v>NRW300 9B</v>
          </cell>
          <cell r="B1137" t="str">
            <v>SET</v>
          </cell>
          <cell r="C1137">
            <v>2</v>
          </cell>
          <cell r="D1137">
            <v>100</v>
          </cell>
          <cell r="E1137">
            <v>296</v>
          </cell>
          <cell r="F1137">
            <v>65</v>
          </cell>
          <cell r="G1137" t="str">
            <v>B240NS</v>
          </cell>
          <cell r="H1137">
            <v>1</v>
          </cell>
          <cell r="I1137">
            <v>2</v>
          </cell>
          <cell r="J1137" t="str">
            <v>경동</v>
          </cell>
          <cell r="K1137">
            <v>78</v>
          </cell>
          <cell r="L1137">
            <v>82</v>
          </cell>
          <cell r="M1137">
            <v>98.5</v>
          </cell>
          <cell r="N1137">
            <v>102.5</v>
          </cell>
          <cell r="P1137">
            <v>1360</v>
          </cell>
          <cell r="Q1137">
            <v>200</v>
          </cell>
          <cell r="U1137">
            <v>44771</v>
          </cell>
          <cell r="V1137" t="str">
            <v>제이티</v>
          </cell>
          <cell r="AC1137" t="str">
            <v>김영석사원</v>
          </cell>
          <cell r="AD1137">
            <v>0.85</v>
          </cell>
        </row>
        <row r="1138">
          <cell r="A1138" t="str">
            <v>NRW300 9B</v>
          </cell>
          <cell r="B1138" t="str">
            <v>SET</v>
          </cell>
          <cell r="C1138">
            <v>2</v>
          </cell>
          <cell r="D1138">
            <v>100</v>
          </cell>
          <cell r="E1138">
            <v>296</v>
          </cell>
          <cell r="F1138">
            <v>65</v>
          </cell>
          <cell r="G1138" t="str">
            <v>B240NS</v>
          </cell>
          <cell r="H1138">
            <v>1</v>
          </cell>
          <cell r="I1138">
            <v>2</v>
          </cell>
          <cell r="J1138" t="str">
            <v>경동</v>
          </cell>
          <cell r="K1138">
            <v>78</v>
          </cell>
          <cell r="L1138">
            <v>82</v>
          </cell>
          <cell r="M1138">
            <v>98.5</v>
          </cell>
          <cell r="N1138">
            <v>102.5</v>
          </cell>
          <cell r="P1138">
            <v>1360</v>
          </cell>
          <cell r="Q1138">
            <v>200</v>
          </cell>
          <cell r="U1138">
            <v>44771</v>
          </cell>
          <cell r="V1138" t="str">
            <v>제이티</v>
          </cell>
          <cell r="AC1138" t="str">
            <v>김영석사원</v>
          </cell>
          <cell r="AD1138">
            <v>0.85</v>
          </cell>
        </row>
        <row r="1139">
          <cell r="A1139" t="str">
            <v>NRW300 6B</v>
          </cell>
          <cell r="B1139" t="str">
            <v>SET</v>
          </cell>
          <cell r="C1139">
            <v>2</v>
          </cell>
          <cell r="D1139">
            <v>90</v>
          </cell>
          <cell r="E1139">
            <v>234</v>
          </cell>
          <cell r="F1139">
            <v>65</v>
          </cell>
          <cell r="G1139" t="str">
            <v>B240NS</v>
          </cell>
          <cell r="H1139">
            <v>1</v>
          </cell>
          <cell r="I1139">
            <v>2</v>
          </cell>
          <cell r="J1139" t="str">
            <v>경동</v>
          </cell>
          <cell r="K1139">
            <v>78</v>
          </cell>
          <cell r="L1139">
            <v>82</v>
          </cell>
          <cell r="M1139">
            <v>98.5</v>
          </cell>
          <cell r="N1139">
            <v>102.5</v>
          </cell>
          <cell r="P1139">
            <v>1300</v>
          </cell>
          <cell r="Q1139">
            <v>200</v>
          </cell>
          <cell r="U1139">
            <v>44771</v>
          </cell>
          <cell r="V1139" t="str">
            <v>제이티</v>
          </cell>
          <cell r="AC1139" t="str">
            <v>김영석사원</v>
          </cell>
          <cell r="AD1139">
            <v>0.85</v>
          </cell>
        </row>
        <row r="1140">
          <cell r="A1140" t="str">
            <v>NRW300 6B</v>
          </cell>
          <cell r="B1140" t="str">
            <v>SET</v>
          </cell>
          <cell r="C1140">
            <v>2</v>
          </cell>
          <cell r="D1140">
            <v>100</v>
          </cell>
          <cell r="E1140">
            <v>234</v>
          </cell>
          <cell r="F1140">
            <v>65</v>
          </cell>
          <cell r="G1140" t="str">
            <v>B240NS</v>
          </cell>
          <cell r="H1140">
            <v>1</v>
          </cell>
          <cell r="I1140">
            <v>2</v>
          </cell>
          <cell r="J1140" t="str">
            <v>경동</v>
          </cell>
          <cell r="K1140">
            <v>78</v>
          </cell>
          <cell r="L1140">
            <v>82</v>
          </cell>
          <cell r="M1140">
            <v>98.5</v>
          </cell>
          <cell r="N1140">
            <v>102.5</v>
          </cell>
          <cell r="P1140">
            <v>1360</v>
          </cell>
          <cell r="Q1140">
            <v>200</v>
          </cell>
          <cell r="U1140">
            <v>44771</v>
          </cell>
          <cell r="V1140" t="str">
            <v>제이티</v>
          </cell>
          <cell r="AC1140" t="str">
            <v>김영석사원</v>
          </cell>
          <cell r="AD1140">
            <v>0.85</v>
          </cell>
        </row>
        <row r="1141">
          <cell r="A1141" t="str">
            <v>NRW300 6B</v>
          </cell>
          <cell r="B1141" t="str">
            <v>SET</v>
          </cell>
          <cell r="C1141">
            <v>2</v>
          </cell>
          <cell r="D1141">
            <v>100</v>
          </cell>
          <cell r="E1141">
            <v>234</v>
          </cell>
          <cell r="F1141">
            <v>65</v>
          </cell>
          <cell r="G1141" t="str">
            <v>B240NS</v>
          </cell>
          <cell r="H1141">
            <v>1</v>
          </cell>
          <cell r="I1141">
            <v>2</v>
          </cell>
          <cell r="J1141" t="str">
            <v>경동</v>
          </cell>
          <cell r="K1141">
            <v>78</v>
          </cell>
          <cell r="L1141">
            <v>82</v>
          </cell>
          <cell r="M1141">
            <v>98.5</v>
          </cell>
          <cell r="N1141">
            <v>102.5</v>
          </cell>
          <cell r="P1141">
            <v>1360</v>
          </cell>
          <cell r="Q1141">
            <v>200</v>
          </cell>
          <cell r="U1141">
            <v>44771</v>
          </cell>
          <cell r="V1141" t="str">
            <v>제이티</v>
          </cell>
          <cell r="AC1141" t="str">
            <v>김영석사원</v>
          </cell>
          <cell r="AD1141">
            <v>0.85</v>
          </cell>
        </row>
        <row r="1142">
          <cell r="A1142" t="str">
            <v>NHP-P400</v>
          </cell>
          <cell r="B1142" t="str">
            <v>SET</v>
          </cell>
          <cell r="C1142">
            <v>2</v>
          </cell>
          <cell r="D1142">
            <v>125</v>
          </cell>
          <cell r="E1142">
            <v>95</v>
          </cell>
          <cell r="F1142">
            <v>60</v>
          </cell>
          <cell r="G1142" t="str">
            <v>B240NS</v>
          </cell>
          <cell r="H1142" t="str">
            <v>생산10,포장반20</v>
          </cell>
          <cell r="I1142">
            <v>1</v>
          </cell>
          <cell r="J1142" t="str">
            <v>한화테크윈</v>
          </cell>
          <cell r="K1142">
            <v>84.8</v>
          </cell>
          <cell r="L1142">
            <v>87.2</v>
          </cell>
          <cell r="M1142">
            <v>29.2</v>
          </cell>
          <cell r="N1142">
            <v>30.8</v>
          </cell>
          <cell r="P1142">
            <v>1360</v>
          </cell>
          <cell r="Q1142">
            <v>200</v>
          </cell>
          <cell r="R1142" t="str">
            <v>녹색</v>
          </cell>
          <cell r="U1142">
            <v>45839</v>
          </cell>
          <cell r="V1142" t="str">
            <v>금형사업부</v>
          </cell>
          <cell r="W1142" t="str">
            <v>PM02-007445A,PM02-007441A</v>
          </cell>
          <cell r="AD1142">
            <v>0.85</v>
          </cell>
          <cell r="AE1142">
            <v>80</v>
          </cell>
          <cell r="AF1142">
            <v>6</v>
          </cell>
        </row>
        <row r="1143">
          <cell r="A1143" t="str">
            <v>NHP-P400</v>
          </cell>
          <cell r="B1143" t="str">
            <v>SET</v>
          </cell>
          <cell r="C1143">
            <v>2</v>
          </cell>
          <cell r="D1143">
            <v>125</v>
          </cell>
          <cell r="E1143">
            <v>95</v>
          </cell>
          <cell r="F1143">
            <v>60</v>
          </cell>
          <cell r="G1143" t="str">
            <v>B240NS</v>
          </cell>
          <cell r="H1143" t="str">
            <v>생산10,포장반20</v>
          </cell>
          <cell r="I1143">
            <v>1</v>
          </cell>
          <cell r="J1143" t="str">
            <v>한화테크윈</v>
          </cell>
          <cell r="K1143">
            <v>84.8</v>
          </cell>
          <cell r="L1143">
            <v>87.2</v>
          </cell>
          <cell r="M1143">
            <v>29.2</v>
          </cell>
          <cell r="N1143">
            <v>30.8</v>
          </cell>
          <cell r="P1143">
            <v>1360</v>
          </cell>
          <cell r="Q1143">
            <v>200</v>
          </cell>
          <cell r="R1143" t="str">
            <v>녹색</v>
          </cell>
          <cell r="U1143">
            <v>45839</v>
          </cell>
          <cell r="V1143" t="str">
            <v>금형사업부</v>
          </cell>
          <cell r="W1143" t="str">
            <v>PM02-007445A,PM02-007441A</v>
          </cell>
          <cell r="AD1143">
            <v>0.85</v>
          </cell>
          <cell r="AE1143">
            <v>80</v>
          </cell>
        </row>
        <row r="1144">
          <cell r="A1144" t="str">
            <v>NHP-P200</v>
          </cell>
          <cell r="B1144" t="str">
            <v>SET</v>
          </cell>
          <cell r="C1144">
            <v>12</v>
          </cell>
          <cell r="D1144">
            <v>90</v>
          </cell>
          <cell r="E1144">
            <v>33</v>
          </cell>
          <cell r="F1144">
            <v>60</v>
          </cell>
          <cell r="G1144" t="str">
            <v>B240NS</v>
          </cell>
          <cell r="H1144">
            <v>20</v>
          </cell>
          <cell r="I1144">
            <v>1</v>
          </cell>
          <cell r="J1144" t="str">
            <v>한화비전</v>
          </cell>
          <cell r="K1144">
            <v>67</v>
          </cell>
          <cell r="L1144">
            <v>73</v>
          </cell>
          <cell r="P1144">
            <v>1360</v>
          </cell>
          <cell r="Q1144">
            <v>200</v>
          </cell>
          <cell r="R1144" t="str">
            <v>검정</v>
          </cell>
          <cell r="V1144" t="str">
            <v>금형제조부</v>
          </cell>
          <cell r="AD1144">
            <v>0.83</v>
          </cell>
          <cell r="AE1144">
            <v>80</v>
          </cell>
        </row>
        <row r="1145">
          <cell r="A1145" t="str">
            <v>NHP-P200</v>
          </cell>
          <cell r="B1145" t="str">
            <v>SET</v>
          </cell>
          <cell r="C1145">
            <v>12</v>
          </cell>
          <cell r="D1145">
            <v>90</v>
          </cell>
          <cell r="E1145">
            <v>33</v>
          </cell>
          <cell r="F1145">
            <v>60</v>
          </cell>
          <cell r="G1145" t="str">
            <v>B240NS</v>
          </cell>
          <cell r="H1145">
            <v>20</v>
          </cell>
          <cell r="I1145">
            <v>1</v>
          </cell>
          <cell r="J1145" t="str">
            <v>한화비전</v>
          </cell>
          <cell r="K1145">
            <v>67</v>
          </cell>
          <cell r="L1145">
            <v>73</v>
          </cell>
          <cell r="P1145">
            <v>1360</v>
          </cell>
          <cell r="Q1145">
            <v>200</v>
          </cell>
          <cell r="R1145" t="str">
            <v>검정</v>
          </cell>
          <cell r="V1145" t="str">
            <v>금형제조부</v>
          </cell>
          <cell r="AD1145">
            <v>0.83</v>
          </cell>
          <cell r="AE1145">
            <v>80</v>
          </cell>
        </row>
        <row r="1146">
          <cell r="A1146" t="str">
            <v>NHD-5(55배)</v>
          </cell>
          <cell r="B1146" t="str">
            <v>BOX</v>
          </cell>
          <cell r="C1146">
            <v>6</v>
          </cell>
          <cell r="D1146">
            <v>70</v>
          </cell>
          <cell r="E1146">
            <v>108</v>
          </cell>
          <cell r="F1146">
            <v>55</v>
          </cell>
          <cell r="G1146" t="str">
            <v>B240NS</v>
          </cell>
          <cell r="H1146" t="str">
            <v>몸통10/뚜껑40</v>
          </cell>
          <cell r="I1146">
            <v>2</v>
          </cell>
          <cell r="J1146" t="str">
            <v>삼일이노팩</v>
          </cell>
          <cell r="K1146">
            <v>38</v>
          </cell>
          <cell r="L1146">
            <v>42</v>
          </cell>
          <cell r="M1146">
            <v>144</v>
          </cell>
          <cell r="N1146">
            <v>148</v>
          </cell>
          <cell r="P1146">
            <v>1360</v>
          </cell>
          <cell r="Q1146">
            <v>250</v>
          </cell>
          <cell r="R1146" t="str">
            <v>보라</v>
          </cell>
          <cell r="S1146" t="str">
            <v>보라</v>
          </cell>
          <cell r="U1146">
            <v>43549</v>
          </cell>
          <cell r="V1146" t="str">
            <v>금형제조부</v>
          </cell>
          <cell r="AD1146">
            <v>0.85</v>
          </cell>
          <cell r="AE1146">
            <v>75</v>
          </cell>
          <cell r="AF1146">
            <v>4</v>
          </cell>
        </row>
        <row r="1147">
          <cell r="A1147" t="str">
            <v>NHD-5(30배)</v>
          </cell>
          <cell r="B1147" t="str">
            <v>BOX</v>
          </cell>
          <cell r="C1147">
            <v>6</v>
          </cell>
          <cell r="D1147">
            <v>70</v>
          </cell>
          <cell r="E1147">
            <v>190</v>
          </cell>
          <cell r="F1147">
            <v>36</v>
          </cell>
          <cell r="G1147" t="str">
            <v>B240NS</v>
          </cell>
          <cell r="H1147">
            <v>10</v>
          </cell>
          <cell r="I1147">
            <v>2</v>
          </cell>
          <cell r="J1147" t="str">
            <v>삼일이노팩</v>
          </cell>
          <cell r="K1147">
            <v>38</v>
          </cell>
          <cell r="L1147">
            <v>42</v>
          </cell>
          <cell r="M1147">
            <v>144</v>
          </cell>
          <cell r="N1147">
            <v>148</v>
          </cell>
          <cell r="P1147">
            <v>1360</v>
          </cell>
          <cell r="Q1147">
            <v>250</v>
          </cell>
          <cell r="R1147" t="str">
            <v>파랑</v>
          </cell>
          <cell r="S1147" t="str">
            <v>파랑</v>
          </cell>
          <cell r="U1147">
            <v>43549</v>
          </cell>
          <cell r="V1147" t="str">
            <v>금형제조부</v>
          </cell>
          <cell r="AD1147">
            <v>0.85</v>
          </cell>
          <cell r="AE1147">
            <v>75</v>
          </cell>
          <cell r="AF1147">
            <v>6</v>
          </cell>
        </row>
        <row r="1148">
          <cell r="A1148" t="str">
            <v>NHD-5#2</v>
          </cell>
          <cell r="B1148" t="str">
            <v>BOX</v>
          </cell>
          <cell r="C1148">
            <v>6</v>
          </cell>
          <cell r="D1148">
            <v>65</v>
          </cell>
          <cell r="E1148">
            <v>95</v>
          </cell>
          <cell r="F1148">
            <v>74</v>
          </cell>
          <cell r="G1148" t="str">
            <v>SE2500M</v>
          </cell>
          <cell r="H1148">
            <v>10</v>
          </cell>
          <cell r="I1148">
            <v>2</v>
          </cell>
          <cell r="J1148" t="str">
            <v>삼일이노팩</v>
          </cell>
          <cell r="K1148">
            <v>38</v>
          </cell>
          <cell r="L1148">
            <v>42</v>
          </cell>
          <cell r="M1148">
            <v>144</v>
          </cell>
          <cell r="N1148">
            <v>148</v>
          </cell>
          <cell r="P1148">
            <v>1360</v>
          </cell>
          <cell r="Q1148">
            <v>250</v>
          </cell>
          <cell r="R1148" t="str">
            <v>파랑</v>
          </cell>
          <cell r="U1148">
            <v>44653</v>
          </cell>
          <cell r="V1148" t="str">
            <v>금형사업부</v>
          </cell>
          <cell r="Y1148">
            <v>60</v>
          </cell>
          <cell r="AC1148" t="str">
            <v>김영석사원</v>
          </cell>
          <cell r="AD1148">
            <v>0.85</v>
          </cell>
          <cell r="AE1148">
            <v>70</v>
          </cell>
        </row>
        <row r="1149">
          <cell r="A1149" t="str">
            <v>NHD-5#2</v>
          </cell>
          <cell r="B1149" t="str">
            <v>BOX</v>
          </cell>
          <cell r="C1149">
            <v>6</v>
          </cell>
          <cell r="D1149">
            <v>65</v>
          </cell>
          <cell r="E1149">
            <v>95</v>
          </cell>
          <cell r="F1149">
            <v>74</v>
          </cell>
          <cell r="G1149" t="str">
            <v>SE2500M</v>
          </cell>
          <cell r="H1149">
            <v>10</v>
          </cell>
          <cell r="I1149">
            <v>2</v>
          </cell>
          <cell r="J1149" t="str">
            <v>삼일이노팩</v>
          </cell>
          <cell r="K1149">
            <v>38</v>
          </cell>
          <cell r="L1149">
            <v>42</v>
          </cell>
          <cell r="M1149">
            <v>144</v>
          </cell>
          <cell r="N1149">
            <v>148</v>
          </cell>
          <cell r="P1149">
            <v>1360</v>
          </cell>
          <cell r="Q1149">
            <v>250</v>
          </cell>
          <cell r="R1149" t="str">
            <v>파랑</v>
          </cell>
          <cell r="U1149">
            <v>44653</v>
          </cell>
          <cell r="V1149" t="str">
            <v>금형사업부</v>
          </cell>
          <cell r="Y1149">
            <v>60</v>
          </cell>
          <cell r="AC1149" t="str">
            <v>김영석사원</v>
          </cell>
          <cell r="AD1149">
            <v>0.85</v>
          </cell>
        </row>
        <row r="1150">
          <cell r="A1150" t="str">
            <v>NHD-5</v>
          </cell>
          <cell r="B1150" t="str">
            <v>BOX</v>
          </cell>
          <cell r="C1150">
            <v>6</v>
          </cell>
          <cell r="D1150">
            <v>65</v>
          </cell>
          <cell r="E1150">
            <v>95</v>
          </cell>
          <cell r="F1150">
            <v>74</v>
          </cell>
          <cell r="G1150" t="str">
            <v>SE2500M</v>
          </cell>
          <cell r="H1150">
            <v>10</v>
          </cell>
          <cell r="I1150">
            <v>2</v>
          </cell>
          <cell r="J1150" t="str">
            <v>삼일이노팩</v>
          </cell>
          <cell r="K1150">
            <v>38</v>
          </cell>
          <cell r="L1150">
            <v>42</v>
          </cell>
          <cell r="M1150">
            <v>144</v>
          </cell>
          <cell r="N1150">
            <v>148</v>
          </cell>
          <cell r="P1150">
            <v>1360</v>
          </cell>
          <cell r="Q1150">
            <v>250</v>
          </cell>
          <cell r="R1150" t="str">
            <v>파랑</v>
          </cell>
          <cell r="S1150" t="str">
            <v>파랑</v>
          </cell>
          <cell r="U1150">
            <v>43549</v>
          </cell>
          <cell r="V1150" t="str">
            <v>금형제조부</v>
          </cell>
          <cell r="W1150" t="str">
            <v>건조철저!</v>
          </cell>
          <cell r="AC1150" t="str">
            <v>2020.09.04재코팅완료, 2022.02.19 burr수리</v>
          </cell>
          <cell r="AD1150">
            <v>0.85</v>
          </cell>
          <cell r="AE1150">
            <v>70</v>
          </cell>
          <cell r="AF1150">
            <v>3</v>
          </cell>
        </row>
        <row r="1151">
          <cell r="A1151" t="str">
            <v>NHD-4(몸통/뚜껑)</v>
          </cell>
          <cell r="B1151" t="str">
            <v>BOX</v>
          </cell>
          <cell r="C1151">
            <v>4</v>
          </cell>
          <cell r="D1151">
            <v>65</v>
          </cell>
          <cell r="E1151">
            <v>122</v>
          </cell>
          <cell r="F1151">
            <v>74</v>
          </cell>
          <cell r="G1151" t="str">
            <v>SE2500M</v>
          </cell>
          <cell r="H1151" t="str">
            <v>몸통10/뚜껑40</v>
          </cell>
          <cell r="I1151">
            <v>2</v>
          </cell>
          <cell r="J1151" t="str">
            <v>삼일이노팩</v>
          </cell>
          <cell r="K1151">
            <v>38</v>
          </cell>
          <cell r="L1151">
            <v>42</v>
          </cell>
          <cell r="M1151">
            <v>146</v>
          </cell>
          <cell r="N1151">
            <v>150</v>
          </cell>
          <cell r="P1151">
            <v>1360</v>
          </cell>
          <cell r="Q1151">
            <v>250</v>
          </cell>
          <cell r="R1151" t="str">
            <v>파랑</v>
          </cell>
          <cell r="S1151" t="str">
            <v>파랑</v>
          </cell>
          <cell r="U1151">
            <v>43546</v>
          </cell>
          <cell r="V1151" t="str">
            <v>금형제조부</v>
          </cell>
          <cell r="W1151" t="str">
            <v>건조철저!, 뚜껑 열어서 묶으세요.</v>
          </cell>
          <cell r="Y1151">
            <v>60</v>
          </cell>
          <cell r="Z1151">
            <v>7345</v>
          </cell>
          <cell r="AD1151">
            <v>0.85</v>
          </cell>
          <cell r="AE1151">
            <v>70</v>
          </cell>
          <cell r="AF1151">
            <v>5</v>
          </cell>
        </row>
        <row r="1152">
          <cell r="A1152" t="str">
            <v>NHD-4#3</v>
          </cell>
          <cell r="B1152" t="str">
            <v>BOX</v>
          </cell>
          <cell r="C1152">
            <v>4</v>
          </cell>
          <cell r="D1152">
            <v>65</v>
          </cell>
          <cell r="E1152">
            <v>122</v>
          </cell>
          <cell r="F1152">
            <v>74</v>
          </cell>
          <cell r="G1152" t="str">
            <v>SE2500M</v>
          </cell>
          <cell r="H1152">
            <v>10</v>
          </cell>
          <cell r="I1152">
            <v>2</v>
          </cell>
          <cell r="J1152" t="str">
            <v>삼일이노팩</v>
          </cell>
          <cell r="K1152">
            <v>38</v>
          </cell>
          <cell r="L1152">
            <v>42</v>
          </cell>
          <cell r="M1152">
            <v>146</v>
          </cell>
          <cell r="N1152">
            <v>150</v>
          </cell>
          <cell r="P1152">
            <v>1360</v>
          </cell>
          <cell r="Q1152">
            <v>250</v>
          </cell>
          <cell r="R1152" t="str">
            <v>노랑</v>
          </cell>
          <cell r="U1152">
            <v>44671</v>
          </cell>
          <cell r="V1152" t="str">
            <v>금형사업부</v>
          </cell>
          <cell r="Y1152">
            <v>60</v>
          </cell>
          <cell r="AC1152" t="str">
            <v>김영석사원</v>
          </cell>
          <cell r="AD1152">
            <v>0.82</v>
          </cell>
          <cell r="AE1152">
            <v>70</v>
          </cell>
        </row>
        <row r="1153">
          <cell r="A1153" t="str">
            <v>NHD-4#3</v>
          </cell>
          <cell r="B1153" t="str">
            <v>BOX</v>
          </cell>
          <cell r="C1153">
            <v>4</v>
          </cell>
          <cell r="D1153">
            <v>65</v>
          </cell>
          <cell r="E1153">
            <v>122</v>
          </cell>
          <cell r="F1153">
            <v>74</v>
          </cell>
          <cell r="G1153" t="str">
            <v>SE2500M</v>
          </cell>
          <cell r="H1153">
            <v>10</v>
          </cell>
          <cell r="I1153">
            <v>2</v>
          </cell>
          <cell r="J1153" t="str">
            <v>삼일이노팩</v>
          </cell>
          <cell r="K1153">
            <v>38</v>
          </cell>
          <cell r="L1153">
            <v>42</v>
          </cell>
          <cell r="M1153">
            <v>146</v>
          </cell>
          <cell r="N1153">
            <v>150</v>
          </cell>
          <cell r="P1153">
            <v>1360</v>
          </cell>
          <cell r="Q1153">
            <v>250</v>
          </cell>
          <cell r="R1153" t="str">
            <v>노랑</v>
          </cell>
          <cell r="U1153">
            <v>44671</v>
          </cell>
          <cell r="V1153" t="str">
            <v>금형사업부</v>
          </cell>
          <cell r="Y1153">
            <v>60</v>
          </cell>
          <cell r="AC1153" t="str">
            <v>김영석사원</v>
          </cell>
          <cell r="AD1153">
            <v>0.82</v>
          </cell>
        </row>
        <row r="1154">
          <cell r="A1154" t="str">
            <v>NHD-4#2(55배)</v>
          </cell>
          <cell r="B1154" t="str">
            <v>BOX</v>
          </cell>
          <cell r="C1154">
            <v>4</v>
          </cell>
          <cell r="D1154">
            <v>65</v>
          </cell>
          <cell r="E1154">
            <v>142</v>
          </cell>
          <cell r="F1154">
            <v>60</v>
          </cell>
          <cell r="G1154" t="str">
            <v>SE2500M</v>
          </cell>
          <cell r="H1154">
            <v>10</v>
          </cell>
          <cell r="I1154">
            <v>2</v>
          </cell>
          <cell r="J1154" t="str">
            <v>삼일이노팩</v>
          </cell>
          <cell r="K1154">
            <v>38</v>
          </cell>
          <cell r="L1154">
            <v>42</v>
          </cell>
          <cell r="M1154">
            <v>146</v>
          </cell>
          <cell r="N1154">
            <v>150</v>
          </cell>
          <cell r="P1154">
            <v>1500</v>
          </cell>
          <cell r="Q1154">
            <v>250</v>
          </cell>
          <cell r="R1154" t="str">
            <v>보라</v>
          </cell>
          <cell r="U1154">
            <v>44440</v>
          </cell>
          <cell r="V1154" t="str">
            <v>금형사업부</v>
          </cell>
          <cell r="Y1154">
            <v>60</v>
          </cell>
          <cell r="Z1154">
            <v>7345</v>
          </cell>
          <cell r="AC1154" t="str">
            <v>석상준과장,코팅완료</v>
          </cell>
          <cell r="AD1154">
            <v>0.85</v>
          </cell>
          <cell r="AE1154">
            <v>70</v>
          </cell>
        </row>
        <row r="1155">
          <cell r="A1155" t="str">
            <v>NHD-4#2</v>
          </cell>
          <cell r="B1155" t="str">
            <v>BOX</v>
          </cell>
          <cell r="C1155">
            <v>4</v>
          </cell>
          <cell r="D1155">
            <v>65</v>
          </cell>
          <cell r="E1155">
            <v>122</v>
          </cell>
          <cell r="F1155">
            <v>74</v>
          </cell>
          <cell r="G1155" t="str">
            <v>SE2500M</v>
          </cell>
          <cell r="H1155">
            <v>10</v>
          </cell>
          <cell r="I1155">
            <v>2</v>
          </cell>
          <cell r="J1155" t="str">
            <v>삼일이노팩</v>
          </cell>
          <cell r="K1155">
            <v>38</v>
          </cell>
          <cell r="L1155">
            <v>42</v>
          </cell>
          <cell r="M1155">
            <v>146</v>
          </cell>
          <cell r="N1155">
            <v>150</v>
          </cell>
          <cell r="P1155">
            <v>1500</v>
          </cell>
          <cell r="Q1155">
            <v>250</v>
          </cell>
          <cell r="R1155" t="str">
            <v>노랑</v>
          </cell>
          <cell r="U1155">
            <v>44440</v>
          </cell>
          <cell r="V1155" t="str">
            <v>금형사업부</v>
          </cell>
          <cell r="Y1155">
            <v>60</v>
          </cell>
          <cell r="Z1155">
            <v>7345</v>
          </cell>
          <cell r="AC1155" t="str">
            <v>석상준과장,코팅완료</v>
          </cell>
          <cell r="AD1155">
            <v>0.85</v>
          </cell>
          <cell r="AE1155">
            <v>70</v>
          </cell>
        </row>
        <row r="1156">
          <cell r="A1156" t="str">
            <v>NHD-3#5(몸통/뚜껑)</v>
          </cell>
          <cell r="B1156" t="str">
            <v>BOX</v>
          </cell>
          <cell r="C1156">
            <v>4</v>
          </cell>
          <cell r="D1156">
            <v>70</v>
          </cell>
          <cell r="E1156">
            <v>163</v>
          </cell>
          <cell r="F1156">
            <v>74</v>
          </cell>
          <cell r="G1156" t="str">
            <v>SE2500M</v>
          </cell>
          <cell r="H1156">
            <v>8</v>
          </cell>
          <cell r="I1156">
            <v>2</v>
          </cell>
          <cell r="J1156" t="str">
            <v>삼일이노팩</v>
          </cell>
          <cell r="K1156">
            <v>38</v>
          </cell>
          <cell r="L1156">
            <v>42</v>
          </cell>
          <cell r="M1156">
            <v>213</v>
          </cell>
          <cell r="N1156">
            <v>217</v>
          </cell>
          <cell r="P1156">
            <v>1500</v>
          </cell>
          <cell r="Q1156">
            <v>300</v>
          </cell>
          <cell r="R1156" t="str">
            <v>검정</v>
          </cell>
          <cell r="AD1156">
            <v>0.85</v>
          </cell>
          <cell r="AE1156">
            <v>70</v>
          </cell>
        </row>
        <row r="1157">
          <cell r="A1157" t="str">
            <v>NHD-3#5(몸통/뚜껑)</v>
          </cell>
          <cell r="B1157" t="str">
            <v>BOX</v>
          </cell>
          <cell r="C1157">
            <v>4</v>
          </cell>
          <cell r="D1157">
            <v>70</v>
          </cell>
          <cell r="E1157">
            <v>163</v>
          </cell>
          <cell r="F1157">
            <v>74</v>
          </cell>
          <cell r="G1157" t="str">
            <v>SE2500M</v>
          </cell>
          <cell r="H1157">
            <v>8</v>
          </cell>
          <cell r="I1157">
            <v>2</v>
          </cell>
          <cell r="J1157" t="str">
            <v>삼일이노팩</v>
          </cell>
          <cell r="K1157">
            <v>38</v>
          </cell>
          <cell r="L1157">
            <v>42</v>
          </cell>
          <cell r="M1157">
            <v>213</v>
          </cell>
          <cell r="N1157">
            <v>217</v>
          </cell>
          <cell r="O1157">
            <v>813</v>
          </cell>
          <cell r="P1157">
            <v>1500</v>
          </cell>
          <cell r="Q1157">
            <v>350</v>
          </cell>
          <cell r="R1157" t="str">
            <v>검정</v>
          </cell>
          <cell r="U1157">
            <v>44671</v>
          </cell>
          <cell r="V1157" t="str">
            <v>금형사업부</v>
          </cell>
          <cell r="Y1157">
            <v>57</v>
          </cell>
          <cell r="AC1157" t="str">
            <v>김영석사원</v>
          </cell>
          <cell r="AD1157">
            <v>0.82</v>
          </cell>
        </row>
        <row r="1158">
          <cell r="A1158" t="str">
            <v>NHD-3#5(55배)</v>
          </cell>
          <cell r="B1158" t="str">
            <v>BOX</v>
          </cell>
          <cell r="C1158">
            <v>3</v>
          </cell>
          <cell r="D1158">
            <v>75</v>
          </cell>
          <cell r="E1158">
            <v>193</v>
          </cell>
          <cell r="F1158">
            <v>65</v>
          </cell>
          <cell r="G1158" t="str">
            <v>B240NS</v>
          </cell>
          <cell r="H1158" t="str">
            <v>몸통12/뚜껑48</v>
          </cell>
          <cell r="I1158">
            <v>2</v>
          </cell>
          <cell r="J1158" t="str">
            <v>삼일이노팩</v>
          </cell>
          <cell r="K1158">
            <v>38</v>
          </cell>
          <cell r="L1158">
            <v>42</v>
          </cell>
          <cell r="M1158">
            <v>213</v>
          </cell>
          <cell r="N1158">
            <v>217</v>
          </cell>
          <cell r="P1158">
            <v>1500</v>
          </cell>
          <cell r="Q1158">
            <v>300</v>
          </cell>
          <cell r="R1158" t="str">
            <v>빨강</v>
          </cell>
          <cell r="S1158" t="str">
            <v>파란비닐</v>
          </cell>
          <cell r="U1158">
            <v>43544</v>
          </cell>
          <cell r="V1158" t="str">
            <v>금형제조부</v>
          </cell>
          <cell r="W1158" t="str">
            <v>건조철저! 자석가락지 사용금지!</v>
          </cell>
          <cell r="Y1158">
            <v>50</v>
          </cell>
          <cell r="Z1158">
            <v>10380</v>
          </cell>
          <cell r="AD1158">
            <v>0.85</v>
          </cell>
          <cell r="AE1158">
            <v>75</v>
          </cell>
          <cell r="AF1158">
            <v>6</v>
          </cell>
        </row>
        <row r="1159">
          <cell r="A1159" t="str">
            <v>NHD-3#5</v>
          </cell>
          <cell r="B1159" t="str">
            <v>BOX</v>
          </cell>
          <cell r="C1159">
            <v>4</v>
          </cell>
          <cell r="D1159">
            <v>70</v>
          </cell>
          <cell r="E1159">
            <v>163</v>
          </cell>
          <cell r="F1159">
            <v>74</v>
          </cell>
          <cell r="G1159" t="str">
            <v>SE2500M</v>
          </cell>
          <cell r="H1159">
            <v>8</v>
          </cell>
          <cell r="I1159">
            <v>2</v>
          </cell>
          <cell r="J1159" t="str">
            <v>삼일이노팩</v>
          </cell>
          <cell r="K1159">
            <v>38</v>
          </cell>
          <cell r="L1159">
            <v>42</v>
          </cell>
          <cell r="M1159">
            <v>213</v>
          </cell>
          <cell r="N1159">
            <v>217</v>
          </cell>
          <cell r="O1159">
            <v>766</v>
          </cell>
          <cell r="P1159">
            <v>1500</v>
          </cell>
          <cell r="Q1159">
            <v>350</v>
          </cell>
          <cell r="R1159" t="str">
            <v>검정</v>
          </cell>
          <cell r="AD1159">
            <v>0.85</v>
          </cell>
          <cell r="AE1159">
            <v>70</v>
          </cell>
        </row>
        <row r="1160">
          <cell r="A1160" t="str">
            <v>NHD-3#4(55배)</v>
          </cell>
          <cell r="B1160" t="str">
            <v>BOX</v>
          </cell>
          <cell r="C1160">
            <v>4</v>
          </cell>
          <cell r="D1160">
            <v>75</v>
          </cell>
          <cell r="E1160">
            <v>190</v>
          </cell>
          <cell r="F1160">
            <v>65</v>
          </cell>
          <cell r="G1160" t="str">
            <v>B240NS</v>
          </cell>
          <cell r="H1160">
            <v>8</v>
          </cell>
          <cell r="I1160">
            <v>2</v>
          </cell>
          <cell r="J1160" t="str">
            <v>삼일이노팩</v>
          </cell>
          <cell r="K1160">
            <v>38</v>
          </cell>
          <cell r="L1160">
            <v>42</v>
          </cell>
          <cell r="M1160">
            <v>213</v>
          </cell>
          <cell r="N1160">
            <v>217</v>
          </cell>
          <cell r="P1160">
            <v>1500</v>
          </cell>
          <cell r="Q1160">
            <v>300</v>
          </cell>
          <cell r="R1160" t="str">
            <v>빨강</v>
          </cell>
          <cell r="U1160">
            <v>43544</v>
          </cell>
          <cell r="V1160" t="str">
            <v>금형제조부</v>
          </cell>
          <cell r="W1160" t="str">
            <v>건조철저! 자석가락지 사용금지!</v>
          </cell>
          <cell r="Y1160">
            <v>50</v>
          </cell>
          <cell r="Z1160">
            <v>10380</v>
          </cell>
          <cell r="AC1160" t="str">
            <v>2019.04.04 끈색변경(녹색-&gt;검정)</v>
          </cell>
          <cell r="AD1160">
            <v>0.85</v>
          </cell>
          <cell r="AE1160">
            <v>70</v>
          </cell>
          <cell r="AF1160">
            <v>6</v>
          </cell>
        </row>
        <row r="1161">
          <cell r="A1161" t="str">
            <v>NHD-3#4</v>
          </cell>
          <cell r="B1161" t="str">
            <v>BOX</v>
          </cell>
          <cell r="C1161">
            <v>4</v>
          </cell>
          <cell r="D1161">
            <v>70</v>
          </cell>
          <cell r="E1161">
            <v>163</v>
          </cell>
          <cell r="F1161">
            <v>74</v>
          </cell>
          <cell r="G1161" t="str">
            <v>SE2500M</v>
          </cell>
          <cell r="H1161">
            <v>8</v>
          </cell>
          <cell r="I1161">
            <v>2</v>
          </cell>
          <cell r="J1161" t="str">
            <v>삼일이노팩</v>
          </cell>
          <cell r="K1161">
            <v>38</v>
          </cell>
          <cell r="L1161">
            <v>42</v>
          </cell>
          <cell r="M1161">
            <v>213</v>
          </cell>
          <cell r="N1161">
            <v>217</v>
          </cell>
          <cell r="O1161">
            <v>766</v>
          </cell>
          <cell r="P1161">
            <v>1500</v>
          </cell>
          <cell r="Q1161">
            <v>300</v>
          </cell>
          <cell r="R1161" t="str">
            <v>검정</v>
          </cell>
          <cell r="U1161">
            <v>44440</v>
          </cell>
          <cell r="V1161" t="str">
            <v>금형사업부</v>
          </cell>
          <cell r="Y1161">
            <v>60</v>
          </cell>
          <cell r="Z1161">
            <v>10380</v>
          </cell>
          <cell r="AC1161" t="str">
            <v>석상준과장,코팅완료</v>
          </cell>
          <cell r="AD1161">
            <v>0.85</v>
          </cell>
          <cell r="AE1161">
            <v>70</v>
          </cell>
        </row>
        <row r="1162">
          <cell r="A1162" t="str">
            <v>NHD-3#3(몸통/뚜껑)</v>
          </cell>
          <cell r="B1162" t="str">
            <v>BOX</v>
          </cell>
          <cell r="C1162">
            <v>4</v>
          </cell>
          <cell r="D1162">
            <v>75</v>
          </cell>
          <cell r="E1162">
            <v>163</v>
          </cell>
          <cell r="F1162">
            <v>74</v>
          </cell>
          <cell r="G1162" t="str">
            <v>SE2500M</v>
          </cell>
          <cell r="H1162" t="str">
            <v xml:space="preserve"> 몸통:12뚜껑:48</v>
          </cell>
          <cell r="I1162">
            <v>2</v>
          </cell>
          <cell r="J1162" t="str">
            <v>삼일이노팩</v>
          </cell>
          <cell r="K1162">
            <v>38</v>
          </cell>
          <cell r="L1162">
            <v>42</v>
          </cell>
          <cell r="M1162">
            <v>213</v>
          </cell>
          <cell r="N1162">
            <v>217</v>
          </cell>
          <cell r="P1162">
            <v>1500</v>
          </cell>
          <cell r="Q1162">
            <v>300</v>
          </cell>
          <cell r="R1162" t="str">
            <v>녹색</v>
          </cell>
          <cell r="S1162" t="str">
            <v>녹색</v>
          </cell>
          <cell r="U1162">
            <v>43544</v>
          </cell>
          <cell r="V1162" t="str">
            <v>금형제조부</v>
          </cell>
          <cell r="Y1162">
            <v>60</v>
          </cell>
          <cell r="Z1162">
            <v>10380</v>
          </cell>
          <cell r="AC1162" t="str">
            <v>김영석사원</v>
          </cell>
          <cell r="AD1162">
            <v>0.85</v>
          </cell>
          <cell r="AE1162">
            <v>65</v>
          </cell>
          <cell r="AF1162">
            <v>0</v>
          </cell>
        </row>
        <row r="1163">
          <cell r="A1163" t="str">
            <v>NHD-3#3(50배)</v>
          </cell>
          <cell r="B1163" t="str">
            <v>BOX</v>
          </cell>
          <cell r="C1163">
            <v>4</v>
          </cell>
          <cell r="D1163">
            <v>75</v>
          </cell>
          <cell r="E1163">
            <v>207</v>
          </cell>
          <cell r="F1163">
            <v>65</v>
          </cell>
          <cell r="G1163" t="str">
            <v>SE2500M</v>
          </cell>
          <cell r="H1163">
            <v>8</v>
          </cell>
          <cell r="I1163">
            <v>2</v>
          </cell>
          <cell r="J1163" t="str">
            <v>삼일이노팩</v>
          </cell>
          <cell r="K1163">
            <v>38</v>
          </cell>
          <cell r="L1163">
            <v>42</v>
          </cell>
          <cell r="M1163">
            <v>213</v>
          </cell>
          <cell r="N1163">
            <v>217</v>
          </cell>
          <cell r="P1163">
            <v>1500</v>
          </cell>
          <cell r="Q1163">
            <v>300</v>
          </cell>
          <cell r="R1163" t="str">
            <v>빨강</v>
          </cell>
          <cell r="S1163" t="str">
            <v>빨강</v>
          </cell>
          <cell r="U1163">
            <v>43544</v>
          </cell>
          <cell r="V1163" t="str">
            <v>금형제조부</v>
          </cell>
          <cell r="Y1163">
            <v>50</v>
          </cell>
          <cell r="Z1163">
            <v>10380</v>
          </cell>
          <cell r="AC1163" t="str">
            <v>김영석사원</v>
          </cell>
          <cell r="AD1163">
            <v>0.85</v>
          </cell>
          <cell r="AE1163">
            <v>65</v>
          </cell>
          <cell r="AF1163">
            <v>0</v>
          </cell>
        </row>
        <row r="1164">
          <cell r="A1164" t="str">
            <v>NHD-3#3</v>
          </cell>
          <cell r="B1164" t="str">
            <v>BOX</v>
          </cell>
          <cell r="C1164">
            <v>4</v>
          </cell>
          <cell r="D1164">
            <v>70</v>
          </cell>
          <cell r="E1164">
            <v>163</v>
          </cell>
          <cell r="F1164">
            <v>74</v>
          </cell>
          <cell r="G1164" t="str">
            <v>SE2500M</v>
          </cell>
          <cell r="H1164">
            <v>8</v>
          </cell>
          <cell r="I1164">
            <v>2</v>
          </cell>
          <cell r="J1164" t="str">
            <v>삼일이노팩</v>
          </cell>
          <cell r="K1164">
            <v>38</v>
          </cell>
          <cell r="L1164">
            <v>42</v>
          </cell>
          <cell r="M1164">
            <v>213</v>
          </cell>
          <cell r="N1164">
            <v>217</v>
          </cell>
          <cell r="O1164">
            <v>766</v>
          </cell>
          <cell r="P1164">
            <v>1500</v>
          </cell>
          <cell r="Q1164">
            <v>300</v>
          </cell>
          <cell r="R1164" t="str">
            <v>검정</v>
          </cell>
          <cell r="U1164">
            <v>44341</v>
          </cell>
          <cell r="V1164" t="str">
            <v>금형사업부</v>
          </cell>
          <cell r="Y1164">
            <v>60</v>
          </cell>
          <cell r="Z1164">
            <v>10380</v>
          </cell>
          <cell r="AC1164" t="str">
            <v>석상준과장,2021.05.26 코팅완료, 2021.06.18 모델명각인 추가,2025-3-5재코팅</v>
          </cell>
          <cell r="AD1164">
            <v>0.85</v>
          </cell>
          <cell r="AE1164">
            <v>70</v>
          </cell>
          <cell r="AF1164">
            <v>4</v>
          </cell>
        </row>
        <row r="1165">
          <cell r="A1165" t="str">
            <v>NH30D</v>
          </cell>
          <cell r="B1165" t="str">
            <v>SET</v>
          </cell>
          <cell r="C1165">
            <v>3</v>
          </cell>
          <cell r="D1165">
            <v>80</v>
          </cell>
          <cell r="E1165">
            <v>192</v>
          </cell>
          <cell r="F1165">
            <v>65</v>
          </cell>
          <cell r="G1165" t="str">
            <v>B240NS</v>
          </cell>
          <cell r="H1165">
            <v>20</v>
          </cell>
          <cell r="I1165">
            <v>2</v>
          </cell>
          <cell r="J1165" t="str">
            <v>아이두잇</v>
          </cell>
          <cell r="K1165">
            <v>46.5</v>
          </cell>
          <cell r="L1165">
            <v>47.5</v>
          </cell>
          <cell r="M1165">
            <v>81</v>
          </cell>
          <cell r="N1165">
            <v>82</v>
          </cell>
          <cell r="O1165">
            <v>1080</v>
          </cell>
          <cell r="P1165">
            <v>1360</v>
          </cell>
          <cell r="Q1165">
            <v>200</v>
          </cell>
          <cell r="R1165" t="str">
            <v>검정</v>
          </cell>
          <cell r="S1165" t="str">
            <v>검정</v>
          </cell>
          <cell r="U1165">
            <v>42485</v>
          </cell>
          <cell r="V1165" t="str">
            <v>금형제조부</v>
          </cell>
          <cell r="W1165" t="str">
            <v>이물,2번건조, 냉각수1초이하,고치수 중요</v>
          </cell>
          <cell r="Y1165">
            <v>50</v>
          </cell>
          <cell r="Z1165">
            <v>9598</v>
          </cell>
          <cell r="AC1165" t="str">
            <v>최재학사원 ,2016.05.26 CAVITY변경(2*2-&gt;2*3),2016.05.31수정, 2020.12.01파손수리</v>
          </cell>
          <cell r="AD1165">
            <v>0.85</v>
          </cell>
          <cell r="AE1165">
            <v>80</v>
          </cell>
          <cell r="AF1165">
            <v>4</v>
          </cell>
        </row>
        <row r="1166">
          <cell r="A1166" t="str">
            <v>N-GLASS</v>
          </cell>
          <cell r="B1166" t="str">
            <v>BOX</v>
          </cell>
          <cell r="C1166">
            <v>2</v>
          </cell>
          <cell r="D1166">
            <v>150</v>
          </cell>
          <cell r="E1166">
            <v>1826</v>
          </cell>
          <cell r="F1166">
            <v>50</v>
          </cell>
          <cell r="G1166" t="str">
            <v>B240NS</v>
          </cell>
          <cell r="H1166" t="str">
            <v>2</v>
          </cell>
          <cell r="I1166">
            <v>2</v>
          </cell>
          <cell r="J1166" t="str">
            <v>동진화성</v>
          </cell>
          <cell r="K1166">
            <v>150</v>
          </cell>
          <cell r="L1166">
            <v>154</v>
          </cell>
          <cell r="M1166">
            <v>255</v>
          </cell>
          <cell r="N1166">
            <v>259</v>
          </cell>
          <cell r="P1166">
            <v>1500</v>
          </cell>
          <cell r="Q1166">
            <v>350</v>
          </cell>
          <cell r="R1166" t="str">
            <v>밴딩/빨강</v>
          </cell>
          <cell r="U1166">
            <v>44350</v>
          </cell>
          <cell r="V1166" t="str">
            <v>금형사업부</v>
          </cell>
          <cell r="W1166" t="str">
            <v>꺼꾸로조립</v>
          </cell>
          <cell r="Y1166">
            <v>40</v>
          </cell>
          <cell r="Z1166">
            <v>72525.899999999994</v>
          </cell>
          <cell r="AC1166" t="str">
            <v>석상준과장, 2021.07.14각인 및 코팅</v>
          </cell>
          <cell r="AD1166">
            <v>0.85</v>
          </cell>
          <cell r="AF1166">
            <v>2</v>
          </cell>
        </row>
        <row r="1167">
          <cell r="A1167" t="str">
            <v>NGB552-20K</v>
          </cell>
          <cell r="B1167" t="str">
            <v>SET</v>
          </cell>
          <cell r="C1167">
            <v>2</v>
          </cell>
          <cell r="D1167">
            <v>85</v>
          </cell>
          <cell r="E1167">
            <v>305</v>
          </cell>
          <cell r="F1167">
            <v>70</v>
          </cell>
          <cell r="G1167" t="str">
            <v>B240NS</v>
          </cell>
          <cell r="H1167">
            <v>10</v>
          </cell>
          <cell r="I1167">
            <v>2</v>
          </cell>
          <cell r="J1167" t="str">
            <v>경동</v>
          </cell>
          <cell r="K1167">
            <v>97</v>
          </cell>
          <cell r="L1167">
            <v>103</v>
          </cell>
          <cell r="M1167">
            <v>97</v>
          </cell>
          <cell r="N1167">
            <v>103</v>
          </cell>
          <cell r="O1167">
            <v>1342</v>
          </cell>
          <cell r="P1167">
            <v>1360</v>
          </cell>
          <cell r="Q1167">
            <v>200</v>
          </cell>
          <cell r="R1167" t="str">
            <v>빨강</v>
          </cell>
          <cell r="T1167" t="str">
            <v>20049736A/20049737A</v>
          </cell>
          <cell r="U1167">
            <v>43804</v>
          </cell>
          <cell r="V1167" t="str">
            <v>금형제조부</v>
          </cell>
          <cell r="W1167" t="str">
            <v>초물확인(325~355)</v>
          </cell>
          <cell r="Y1167">
            <v>60</v>
          </cell>
          <cell r="AC1167" t="str">
            <v>2020.01.29 분리배출 각인 교체 및 수정,  2020.02.06 BURR 수리, 2020.01.12 사용배율변경(70-&gt;62), 21.02.04 코팅완료, 2021.03.03 사용배율변경(62-&gt;70)</v>
          </cell>
          <cell r="AD1167">
            <v>0.83</v>
          </cell>
          <cell r="AE1167">
            <v>100</v>
          </cell>
          <cell r="AF1167">
            <v>4</v>
          </cell>
        </row>
        <row r="1168">
          <cell r="A1168" t="str">
            <v>NGB350#2</v>
          </cell>
          <cell r="B1168" t="str">
            <v>SET</v>
          </cell>
          <cell r="C1168">
            <v>2</v>
          </cell>
          <cell r="D1168">
            <v>75</v>
          </cell>
          <cell r="E1168">
            <v>330</v>
          </cell>
          <cell r="F1168">
            <v>70</v>
          </cell>
          <cell r="G1168" t="str">
            <v>B240NS</v>
          </cell>
          <cell r="H1168">
            <v>10</v>
          </cell>
          <cell r="I1168">
            <v>2</v>
          </cell>
          <cell r="J1168" t="str">
            <v>경동</v>
          </cell>
          <cell r="K1168">
            <v>97</v>
          </cell>
          <cell r="L1168">
            <v>105</v>
          </cell>
          <cell r="M1168">
            <v>97</v>
          </cell>
          <cell r="N1168">
            <v>105</v>
          </cell>
          <cell r="O1168">
            <v>10</v>
          </cell>
          <cell r="P1168">
            <v>1360</v>
          </cell>
          <cell r="Q1168">
            <v>200</v>
          </cell>
          <cell r="R1168" t="str">
            <v>흰색</v>
          </cell>
          <cell r="T1168" t="str">
            <v>20042085A/20042086A</v>
          </cell>
          <cell r="W1168" t="str">
            <v>작업표준서 초물중량 확인! 초물360~395g</v>
          </cell>
          <cell r="Y1168">
            <v>60</v>
          </cell>
          <cell r="AC1168" t="str">
            <v>최재학계장,2018.06.27기준중량변경(400-&gt;360), 2020.06.08 CORE개조, 2020.06.19 끈색상 변경(노랑-&gt;주황), 2020.12.09, 2020.12.11 수정,2020.12.16끈색상변경(주황-&gt;노랑), 2021.01.07재코팅완료, 2021.02.10 기준중량변경(360-&gt;330)</v>
          </cell>
          <cell r="AD1168">
            <v>0.85</v>
          </cell>
          <cell r="AE1168">
            <v>75</v>
          </cell>
        </row>
        <row r="1169">
          <cell r="A1169" t="str">
            <v>NGB350#2</v>
          </cell>
          <cell r="B1169" t="str">
            <v>SET</v>
          </cell>
          <cell r="C1169">
            <v>2</v>
          </cell>
          <cell r="D1169">
            <v>75</v>
          </cell>
          <cell r="E1169">
            <v>330</v>
          </cell>
          <cell r="F1169">
            <v>70</v>
          </cell>
          <cell r="G1169" t="str">
            <v>SG302AN</v>
          </cell>
          <cell r="H1169">
            <v>10</v>
          </cell>
          <cell r="I1169">
            <v>2</v>
          </cell>
          <cell r="J1169" t="str">
            <v>경동</v>
          </cell>
          <cell r="K1169">
            <v>97</v>
          </cell>
          <cell r="L1169">
            <v>105</v>
          </cell>
          <cell r="M1169">
            <v>97</v>
          </cell>
          <cell r="N1169">
            <v>105</v>
          </cell>
          <cell r="O1169">
            <v>10</v>
          </cell>
          <cell r="P1169">
            <v>1360</v>
          </cell>
          <cell r="Q1169">
            <v>200</v>
          </cell>
          <cell r="R1169" t="str">
            <v>흰색</v>
          </cell>
          <cell r="T1169" t="str">
            <v>20042085A/20042086A</v>
          </cell>
          <cell r="W1169" t="str">
            <v>작업표준서 초물중량 확인! 초물360~395g</v>
          </cell>
          <cell r="Y1169">
            <v>60</v>
          </cell>
          <cell r="AC1169" t="str">
            <v>최재학계장,2018.06.27기준중량변경(400-&gt;360), 2020.06.08 CORE개조, 2020.06.19 끈색상 변경(노랑-&gt;주황), 2020.12.09, 2020.12.11 수정,2020.12.16끈색상변경(주황-&gt;노랑), 2021.01.07재코팅완료, 2021.02.10 기준중량변경(360-&gt;330)</v>
          </cell>
          <cell r="AD1169">
            <v>0.85</v>
          </cell>
          <cell r="AE1169">
            <v>75</v>
          </cell>
          <cell r="AF1169">
            <v>4</v>
          </cell>
        </row>
        <row r="1170">
          <cell r="A1170" t="str">
            <v>NEXT-R</v>
          </cell>
          <cell r="B1170" t="str">
            <v>SET</v>
          </cell>
          <cell r="C1170">
            <v>1</v>
          </cell>
          <cell r="D1170">
            <v>140</v>
          </cell>
          <cell r="E1170">
            <v>2260</v>
          </cell>
          <cell r="F1170">
            <v>50</v>
          </cell>
          <cell r="G1170" t="str">
            <v>B240NS</v>
          </cell>
          <cell r="H1170">
            <v>1</v>
          </cell>
          <cell r="I1170">
            <v>2</v>
          </cell>
          <cell r="J1170" t="str">
            <v>뉴옵틱스</v>
          </cell>
          <cell r="P1170">
            <v>1360</v>
          </cell>
          <cell r="Q1170">
            <v>650</v>
          </cell>
          <cell r="U1170">
            <v>44795</v>
          </cell>
          <cell r="V1170" t="str">
            <v>이피엠테크</v>
          </cell>
          <cell r="W1170" t="str">
            <v>1301A/1302A / PE폼 TOP(488*40*15T 4EA) BOT(488*60*15T 2EA)</v>
          </cell>
          <cell r="AC1170" t="str">
            <v>김영석사원</v>
          </cell>
          <cell r="AD1170">
            <v>0.85</v>
          </cell>
        </row>
        <row r="1171">
          <cell r="A1171" t="str">
            <v>NEXT-R</v>
          </cell>
          <cell r="B1171" t="str">
            <v>SET</v>
          </cell>
          <cell r="C1171">
            <v>1</v>
          </cell>
          <cell r="D1171">
            <v>100</v>
          </cell>
          <cell r="E1171">
            <v>2260</v>
          </cell>
          <cell r="F1171">
            <v>50</v>
          </cell>
          <cell r="G1171" t="str">
            <v>B240NS</v>
          </cell>
          <cell r="H1171">
            <v>1</v>
          </cell>
          <cell r="I1171">
            <v>2</v>
          </cell>
          <cell r="J1171" t="str">
            <v>뉴옵틱스</v>
          </cell>
          <cell r="P1171">
            <v>1360</v>
          </cell>
          <cell r="Q1171">
            <v>650</v>
          </cell>
          <cell r="U1171">
            <v>44795</v>
          </cell>
          <cell r="V1171" t="str">
            <v>이피엠테크</v>
          </cell>
          <cell r="W1171" t="str">
            <v>1301A/1302A</v>
          </cell>
          <cell r="AC1171" t="str">
            <v>김영석사원</v>
          </cell>
        </row>
        <row r="1172">
          <cell r="A1172" t="str">
            <v>NEXT</v>
          </cell>
          <cell r="B1172" t="str">
            <v>SET</v>
          </cell>
          <cell r="C1172">
            <v>1</v>
          </cell>
          <cell r="D1172">
            <v>140</v>
          </cell>
          <cell r="E1172">
            <v>1886</v>
          </cell>
          <cell r="F1172">
            <v>50</v>
          </cell>
          <cell r="G1172" t="str">
            <v>B240NS</v>
          </cell>
          <cell r="H1172">
            <v>1</v>
          </cell>
          <cell r="I1172">
            <v>4</v>
          </cell>
          <cell r="J1172" t="str">
            <v>뉴옵틱스</v>
          </cell>
          <cell r="P1172">
            <v>1360</v>
          </cell>
          <cell r="Q1172">
            <v>650</v>
          </cell>
          <cell r="U1172">
            <v>44634</v>
          </cell>
          <cell r="V1172" t="str">
            <v>이피엠테크</v>
          </cell>
          <cell r="W1172" t="str">
            <v>1303A/1302A / PE폼 TOP(488*40*15T 3EA) BOT(488*60*15T 2EA)</v>
          </cell>
          <cell r="Y1172">
            <v>40</v>
          </cell>
          <cell r="AC1172" t="str">
            <v>김영석사원</v>
          </cell>
          <cell r="AD1172">
            <v>0.85</v>
          </cell>
        </row>
        <row r="1173">
          <cell r="A1173" t="str">
            <v>NEXT</v>
          </cell>
          <cell r="B1173" t="str">
            <v>SET</v>
          </cell>
          <cell r="C1173">
            <v>1</v>
          </cell>
          <cell r="D1173">
            <v>100</v>
          </cell>
          <cell r="E1173">
            <v>1886</v>
          </cell>
          <cell r="F1173">
            <v>50</v>
          </cell>
          <cell r="G1173" t="str">
            <v>B240NS</v>
          </cell>
          <cell r="H1173">
            <v>1</v>
          </cell>
          <cell r="I1173">
            <v>4</v>
          </cell>
          <cell r="J1173" t="str">
            <v>뉴옵틱스</v>
          </cell>
          <cell r="P1173">
            <v>1360</v>
          </cell>
          <cell r="Q1173">
            <v>650</v>
          </cell>
          <cell r="U1173">
            <v>44634</v>
          </cell>
          <cell r="V1173" t="str">
            <v>이피엠테크</v>
          </cell>
          <cell r="W1173" t="str">
            <v>1303A/1302A</v>
          </cell>
          <cell r="Y1173">
            <v>40</v>
          </cell>
          <cell r="AC1173" t="str">
            <v>김영석사원</v>
          </cell>
          <cell r="AD1173">
            <v>0.85</v>
          </cell>
        </row>
        <row r="1174">
          <cell r="A1174" t="str">
            <v>NEW-VSS</v>
          </cell>
          <cell r="B1174" t="str">
            <v>SET</v>
          </cell>
          <cell r="C1174">
            <v>12</v>
          </cell>
          <cell r="D1174">
            <v>75</v>
          </cell>
          <cell r="E1174">
            <v>27</v>
          </cell>
          <cell r="F1174">
            <v>58</v>
          </cell>
          <cell r="G1174" t="str">
            <v>B240NS</v>
          </cell>
          <cell r="H1174">
            <v>60</v>
          </cell>
          <cell r="I1174">
            <v>1</v>
          </cell>
          <cell r="J1174" t="str">
            <v>로지텍</v>
          </cell>
          <cell r="K1174">
            <v>59</v>
          </cell>
          <cell r="L1174">
            <v>61</v>
          </cell>
          <cell r="O1174">
            <v>198</v>
          </cell>
          <cell r="P1174">
            <v>1360</v>
          </cell>
          <cell r="Q1174">
            <v>150</v>
          </cell>
          <cell r="R1174" t="str">
            <v>빨강</v>
          </cell>
          <cell r="S1174" t="str">
            <v>빨강</v>
          </cell>
          <cell r="U1174">
            <v>42586</v>
          </cell>
          <cell r="V1174" t="str">
            <v>금형제조부</v>
          </cell>
          <cell r="Y1174">
            <v>50</v>
          </cell>
          <cell r="Z1174">
            <v>1334</v>
          </cell>
          <cell r="AC1174" t="str">
            <v>최재학사원,2017.03.27배율변경(57배-&gt;62배), 181022 68배--&gt;74배 배율 변경, 2021.04.09 사용배율 변경(62-&gt;58)</v>
          </cell>
          <cell r="AD1174">
            <v>0.85</v>
          </cell>
          <cell r="AE1174">
            <v>70</v>
          </cell>
          <cell r="AF1174">
            <v>16</v>
          </cell>
        </row>
        <row r="1175">
          <cell r="A1175" t="str">
            <v>NEWH30D</v>
          </cell>
          <cell r="B1175" t="str">
            <v>SET</v>
          </cell>
          <cell r="C1175">
            <v>3</v>
          </cell>
          <cell r="D1175">
            <v>80</v>
          </cell>
          <cell r="E1175">
            <v>200</v>
          </cell>
          <cell r="F1175">
            <v>70</v>
          </cell>
          <cell r="G1175" t="str">
            <v>B240NS</v>
          </cell>
          <cell r="H1175">
            <v>20</v>
          </cell>
          <cell r="I1175">
            <v>2</v>
          </cell>
          <cell r="J1175" t="str">
            <v>아이두잇</v>
          </cell>
          <cell r="K1175">
            <v>46.5</v>
          </cell>
          <cell r="L1175">
            <v>48.5</v>
          </cell>
          <cell r="M1175">
            <v>81</v>
          </cell>
          <cell r="N1175">
            <v>83</v>
          </cell>
          <cell r="O1175">
            <v>1186</v>
          </cell>
          <cell r="P1175">
            <v>1360</v>
          </cell>
          <cell r="Q1175">
            <v>200</v>
          </cell>
          <cell r="R1175" t="str">
            <v>보라</v>
          </cell>
          <cell r="S1175" t="str">
            <v>보라</v>
          </cell>
          <cell r="T1175" t="str">
            <v>NEWH30D</v>
          </cell>
          <cell r="U1175">
            <v>41171</v>
          </cell>
          <cell r="V1175" t="str">
            <v>금형제조부</v>
          </cell>
          <cell r="W1175" t="str">
            <v>이물,2번건조, 냉각수1초이하</v>
          </cell>
          <cell r="X1175" t="str">
            <v>R-0301</v>
          </cell>
          <cell r="AC1175" t="str">
            <v>최재학사원,2012.10.08 수정</v>
          </cell>
          <cell r="AD1175">
            <v>0.85</v>
          </cell>
          <cell r="AE1175">
            <v>75</v>
          </cell>
          <cell r="AF1175">
            <v>8</v>
          </cell>
        </row>
        <row r="1176">
          <cell r="A1176" t="str">
            <v>NEWBI-LOW#2</v>
          </cell>
          <cell r="B1176" t="str">
            <v>SET</v>
          </cell>
          <cell r="C1176">
            <v>2</v>
          </cell>
          <cell r="D1176">
            <v>85</v>
          </cell>
          <cell r="E1176">
            <v>489</v>
          </cell>
          <cell r="F1176">
            <v>70</v>
          </cell>
          <cell r="G1176" t="str">
            <v>B240NS</v>
          </cell>
          <cell r="H1176">
            <v>7</v>
          </cell>
          <cell r="I1176">
            <v>1</v>
          </cell>
          <cell r="J1176" t="str">
            <v>SK매직</v>
          </cell>
          <cell r="K1176">
            <v>120</v>
          </cell>
          <cell r="L1176">
            <v>124</v>
          </cell>
          <cell r="O1176">
            <v>2359</v>
          </cell>
          <cell r="P1176">
            <v>1500</v>
          </cell>
          <cell r="Q1176">
            <v>250</v>
          </cell>
          <cell r="R1176" t="str">
            <v>주황</v>
          </cell>
          <cell r="T1176" t="str">
            <v>NEWBI-LOW(NEW8121LOWER)</v>
          </cell>
          <cell r="U1176">
            <v>40651</v>
          </cell>
          <cell r="V1176" t="str">
            <v>금형제조부</v>
          </cell>
          <cell r="W1176" t="str">
            <v>5다발에 1번씩만 포장</v>
          </cell>
          <cell r="X1176" t="str">
            <v>D-0504</v>
          </cell>
          <cell r="AC1176" t="str">
            <v>2011.05.18개조, 2014.10.20코팅,2015.10.09배율변경(57-&gt;62),2018.04.09끈색변경(파랑-&gt;녹색)</v>
          </cell>
          <cell r="AD1176">
            <v>0.85</v>
          </cell>
          <cell r="AE1176">
            <v>95</v>
          </cell>
          <cell r="AF1176">
            <v>4</v>
          </cell>
        </row>
        <row r="1177">
          <cell r="A1177" t="str">
            <v>NEW3BL/R</v>
          </cell>
          <cell r="B1177" t="str">
            <v>SET</v>
          </cell>
          <cell r="C1177">
            <v>4</v>
          </cell>
          <cell r="D1177">
            <v>80</v>
          </cell>
          <cell r="E1177">
            <v>140</v>
          </cell>
          <cell r="F1177">
            <v>65</v>
          </cell>
          <cell r="G1177" t="str">
            <v>B240NS</v>
          </cell>
          <cell r="H1177">
            <v>20</v>
          </cell>
          <cell r="I1177">
            <v>1</v>
          </cell>
          <cell r="J1177" t="str">
            <v>SK매직</v>
          </cell>
          <cell r="K1177">
            <v>94</v>
          </cell>
          <cell r="L1177">
            <v>96</v>
          </cell>
          <cell r="M1177">
            <v>94</v>
          </cell>
          <cell r="N1177">
            <v>96</v>
          </cell>
          <cell r="O1177">
            <v>704</v>
          </cell>
          <cell r="P1177">
            <v>1360</v>
          </cell>
          <cell r="Q1177">
            <v>200</v>
          </cell>
          <cell r="R1177" t="str">
            <v>주황</v>
          </cell>
          <cell r="S1177" t="str">
            <v>주황</v>
          </cell>
          <cell r="T1177" t="str">
            <v>GRA-30G7TOP</v>
          </cell>
          <cell r="U1177">
            <v>39398</v>
          </cell>
          <cell r="V1177" t="str">
            <v>삼일금형</v>
          </cell>
          <cell r="W1177" t="str">
            <v>50536-11000,12000</v>
          </cell>
          <cell r="X1177" t="str">
            <v>E-0605</v>
          </cell>
          <cell r="AC1177" t="str">
            <v>2013.01.17 CAVITY2*2-&gt;1*4변경으로 기준중량변경(280-&gt;140)</v>
          </cell>
          <cell r="AD1177">
            <v>0.85</v>
          </cell>
          <cell r="AE1177">
            <v>80</v>
          </cell>
          <cell r="AF1177">
            <v>6</v>
          </cell>
        </row>
        <row r="1178">
          <cell r="A1178" t="str">
            <v>NEW2BTOP</v>
          </cell>
          <cell r="B1178" t="str">
            <v>SET</v>
          </cell>
          <cell r="C1178">
            <v>4</v>
          </cell>
          <cell r="D1178">
            <v>90</v>
          </cell>
          <cell r="E1178">
            <v>196</v>
          </cell>
          <cell r="F1178">
            <v>65</v>
          </cell>
          <cell r="G1178" t="str">
            <v>B240NS</v>
          </cell>
          <cell r="H1178">
            <v>10</v>
          </cell>
          <cell r="I1178">
            <v>1</v>
          </cell>
          <cell r="J1178" t="str">
            <v>경동</v>
          </cell>
          <cell r="K1178">
            <v>85</v>
          </cell>
          <cell r="L1178">
            <v>89</v>
          </cell>
          <cell r="O1178">
            <v>965</v>
          </cell>
          <cell r="P1178">
            <v>1360</v>
          </cell>
          <cell r="Q1178">
            <v>150</v>
          </cell>
          <cell r="R1178" t="str">
            <v>흰색</v>
          </cell>
          <cell r="S1178" t="str">
            <v>흰색</v>
          </cell>
          <cell r="U1178">
            <v>41501</v>
          </cell>
          <cell r="V1178" t="str">
            <v>금형제조부</v>
          </cell>
          <cell r="X1178" t="str">
            <v>E-0307</v>
          </cell>
          <cell r="AC1178" t="str">
            <v>조우리사원</v>
          </cell>
          <cell r="AD1178">
            <v>0.85</v>
          </cell>
          <cell r="AE1178">
            <v>100</v>
          </cell>
          <cell r="AF1178">
            <v>1</v>
          </cell>
        </row>
        <row r="1179">
          <cell r="A1179" t="str">
            <v>NEW2BL/R</v>
          </cell>
          <cell r="B1179" t="str">
            <v>SET</v>
          </cell>
          <cell r="C1179">
            <v>3</v>
          </cell>
          <cell r="D1179">
            <v>80</v>
          </cell>
          <cell r="E1179">
            <v>210</v>
          </cell>
          <cell r="F1179">
            <v>70</v>
          </cell>
          <cell r="G1179" t="str">
            <v>B240NS</v>
          </cell>
          <cell r="H1179">
            <v>10</v>
          </cell>
          <cell r="I1179">
            <v>2</v>
          </cell>
          <cell r="J1179" t="str">
            <v>SK매직</v>
          </cell>
          <cell r="K1179">
            <v>84</v>
          </cell>
          <cell r="L1179">
            <v>86</v>
          </cell>
          <cell r="M1179">
            <v>84</v>
          </cell>
          <cell r="N1179">
            <v>86</v>
          </cell>
          <cell r="O1179">
            <v>1102</v>
          </cell>
          <cell r="P1179">
            <v>1500</v>
          </cell>
          <cell r="Q1179">
            <v>200</v>
          </cell>
          <cell r="R1179" t="str">
            <v>흰색</v>
          </cell>
          <cell r="S1179" t="str">
            <v>흰색</v>
          </cell>
          <cell r="U1179">
            <v>41501</v>
          </cell>
          <cell r="V1179" t="str">
            <v>금형제조부</v>
          </cell>
          <cell r="X1179" t="str">
            <v>E-0203</v>
          </cell>
          <cell r="AC1179" t="str">
            <v>조우리사원, 2013.09.26개조2014.09.23배율바꿈57-&gt;62배, 2014.09.26코팅</v>
          </cell>
          <cell r="AD1179">
            <v>0.85</v>
          </cell>
          <cell r="AE1179">
            <v>80</v>
          </cell>
          <cell r="AF1179">
            <v>2</v>
          </cell>
        </row>
        <row r="1180">
          <cell r="A1180" t="str">
            <v>NEW_IH-TOP</v>
          </cell>
          <cell r="B1180" t="str">
            <v>SET</v>
          </cell>
          <cell r="C1180">
            <v>2</v>
          </cell>
          <cell r="D1180">
            <v>100</v>
          </cell>
          <cell r="E1180">
            <v>183</v>
          </cell>
          <cell r="F1180">
            <v>74</v>
          </cell>
          <cell r="G1180" t="str">
            <v>B240NS</v>
          </cell>
          <cell r="H1180">
            <v>10</v>
          </cell>
          <cell r="I1180">
            <v>1</v>
          </cell>
          <cell r="J1180" t="str">
            <v>경동</v>
          </cell>
          <cell r="K1180">
            <v>81.599999999999994</v>
          </cell>
          <cell r="L1180">
            <v>84.4</v>
          </cell>
          <cell r="P1180">
            <v>1500</v>
          </cell>
          <cell r="Q1180">
            <v>200</v>
          </cell>
          <cell r="R1180" t="str">
            <v>파랑</v>
          </cell>
          <cell r="U1180" t="str">
            <v>2023.01.11</v>
          </cell>
          <cell r="V1180" t="str">
            <v>경원 ENG</v>
          </cell>
          <cell r="Y1180">
            <v>60</v>
          </cell>
          <cell r="AC1180" t="str">
            <v>김영석계장</v>
          </cell>
          <cell r="AD1180">
            <v>0.85</v>
          </cell>
        </row>
        <row r="1181">
          <cell r="A1181" t="str">
            <v>NEON-UP</v>
          </cell>
          <cell r="B1181" t="str">
            <v>SET</v>
          </cell>
          <cell r="C1181">
            <v>1</v>
          </cell>
          <cell r="D1181">
            <v>100</v>
          </cell>
          <cell r="E1181">
            <v>132</v>
          </cell>
          <cell r="F1181">
            <v>60</v>
          </cell>
          <cell r="G1181" t="str">
            <v>B240NS</v>
          </cell>
          <cell r="H1181">
            <v>10</v>
          </cell>
          <cell r="I1181">
            <v>1</v>
          </cell>
          <cell r="J1181" t="str">
            <v>코웨이</v>
          </cell>
          <cell r="M1181">
            <v>98</v>
          </cell>
          <cell r="N1181">
            <v>102</v>
          </cell>
          <cell r="P1181">
            <v>1360</v>
          </cell>
          <cell r="R1181" t="str">
            <v>주황</v>
          </cell>
          <cell r="U1181">
            <v>45330</v>
          </cell>
          <cell r="V1181" t="str">
            <v>금형사업부</v>
          </cell>
          <cell r="AD1181">
            <v>0.85</v>
          </cell>
        </row>
        <row r="1182">
          <cell r="A1182" t="str">
            <v>NEON-UP</v>
          </cell>
          <cell r="B1182" t="str">
            <v>SET</v>
          </cell>
          <cell r="C1182">
            <v>1</v>
          </cell>
          <cell r="D1182">
            <v>100</v>
          </cell>
          <cell r="E1182">
            <v>132</v>
          </cell>
          <cell r="F1182">
            <v>50</v>
          </cell>
          <cell r="G1182" t="str">
            <v>B240NS</v>
          </cell>
          <cell r="H1182">
            <v>10</v>
          </cell>
          <cell r="I1182">
            <v>1</v>
          </cell>
          <cell r="J1182" t="str">
            <v>코웨이</v>
          </cell>
          <cell r="M1182">
            <v>98</v>
          </cell>
          <cell r="N1182">
            <v>102</v>
          </cell>
          <cell r="P1182">
            <v>1360</v>
          </cell>
          <cell r="R1182" t="str">
            <v>주황</v>
          </cell>
          <cell r="U1182">
            <v>45330</v>
          </cell>
          <cell r="V1182" t="str">
            <v>금형사업부</v>
          </cell>
        </row>
        <row r="1183">
          <cell r="A1183" t="str">
            <v>NEON-LOW</v>
          </cell>
          <cell r="B1183" t="str">
            <v>SET</v>
          </cell>
          <cell r="C1183">
            <v>1</v>
          </cell>
          <cell r="D1183">
            <v>100</v>
          </cell>
          <cell r="E1183">
            <v>197</v>
          </cell>
          <cell r="F1183">
            <v>60</v>
          </cell>
          <cell r="G1183" t="str">
            <v>B240NS</v>
          </cell>
          <cell r="H1183">
            <v>10</v>
          </cell>
          <cell r="I1183">
            <v>1</v>
          </cell>
          <cell r="J1183" t="str">
            <v>코웨이</v>
          </cell>
          <cell r="K1183">
            <v>98</v>
          </cell>
          <cell r="L1183">
            <v>102</v>
          </cell>
          <cell r="P1183">
            <v>1360</v>
          </cell>
          <cell r="R1183" t="str">
            <v>주황</v>
          </cell>
          <cell r="U1183">
            <v>45330</v>
          </cell>
          <cell r="V1183" t="str">
            <v>금형사업부</v>
          </cell>
          <cell r="AD1183">
            <v>0.85</v>
          </cell>
        </row>
        <row r="1184">
          <cell r="A1184" t="str">
            <v>NEON-LOW</v>
          </cell>
          <cell r="B1184" t="str">
            <v>SET</v>
          </cell>
          <cell r="C1184">
            <v>1</v>
          </cell>
          <cell r="D1184">
            <v>100</v>
          </cell>
          <cell r="E1184">
            <v>197</v>
          </cell>
          <cell r="F1184">
            <v>50</v>
          </cell>
          <cell r="G1184" t="str">
            <v>B240NS</v>
          </cell>
          <cell r="H1184">
            <v>10</v>
          </cell>
          <cell r="I1184">
            <v>1</v>
          </cell>
          <cell r="J1184" t="str">
            <v>코웨이</v>
          </cell>
          <cell r="K1184">
            <v>98</v>
          </cell>
          <cell r="L1184">
            <v>102</v>
          </cell>
          <cell r="P1184">
            <v>1360</v>
          </cell>
          <cell r="R1184" t="str">
            <v>주황</v>
          </cell>
          <cell r="U1184">
            <v>45330</v>
          </cell>
          <cell r="V1184" t="str">
            <v>금형사업부</v>
          </cell>
        </row>
        <row r="1185">
          <cell r="A1185" t="str">
            <v>NEON</v>
          </cell>
          <cell r="B1185" t="str">
            <v>SET</v>
          </cell>
          <cell r="C1185">
            <v>3</v>
          </cell>
          <cell r="D1185">
            <v>100</v>
          </cell>
          <cell r="E1185">
            <v>329</v>
          </cell>
          <cell r="F1185">
            <v>60</v>
          </cell>
          <cell r="G1185" t="str">
            <v>B240NS</v>
          </cell>
          <cell r="H1185" t="str">
            <v>UP:10 포장20,LOW:10포장20</v>
          </cell>
          <cell r="I1185">
            <v>2</v>
          </cell>
          <cell r="J1185" t="str">
            <v>코웨이</v>
          </cell>
          <cell r="K1185">
            <v>98</v>
          </cell>
          <cell r="L1185">
            <v>102</v>
          </cell>
          <cell r="M1185">
            <v>98</v>
          </cell>
          <cell r="N1185">
            <v>102</v>
          </cell>
          <cell r="P1185">
            <v>1360</v>
          </cell>
          <cell r="Q1185">
            <v>200</v>
          </cell>
          <cell r="R1185" t="str">
            <v>주황</v>
          </cell>
          <cell r="U1185">
            <v>45330</v>
          </cell>
          <cell r="V1185" t="str">
            <v>금형사업부</v>
          </cell>
          <cell r="AD1185">
            <v>0.85</v>
          </cell>
        </row>
        <row r="1186">
          <cell r="A1186" t="str">
            <v>NEON</v>
          </cell>
          <cell r="B1186" t="str">
            <v>SET</v>
          </cell>
          <cell r="C1186">
            <v>3</v>
          </cell>
          <cell r="D1186">
            <v>100</v>
          </cell>
          <cell r="E1186">
            <v>329</v>
          </cell>
          <cell r="F1186">
            <v>50</v>
          </cell>
          <cell r="G1186" t="str">
            <v>B240NS</v>
          </cell>
          <cell r="H1186" t="str">
            <v>TOP:10/BOT:10</v>
          </cell>
          <cell r="I1186">
            <v>2</v>
          </cell>
          <cell r="J1186" t="str">
            <v>코웨이</v>
          </cell>
          <cell r="K1186">
            <v>98</v>
          </cell>
          <cell r="L1186">
            <v>102</v>
          </cell>
          <cell r="M1186">
            <v>98</v>
          </cell>
          <cell r="N1186">
            <v>102</v>
          </cell>
          <cell r="P1186">
            <v>1360</v>
          </cell>
          <cell r="R1186" t="str">
            <v>주황</v>
          </cell>
          <cell r="U1186">
            <v>45330</v>
          </cell>
          <cell r="V1186" t="str">
            <v>금형사업부</v>
          </cell>
        </row>
        <row r="1187">
          <cell r="A1187" t="str">
            <v>NEON</v>
          </cell>
          <cell r="B1187" t="str">
            <v>SET</v>
          </cell>
          <cell r="C1187">
            <v>3</v>
          </cell>
          <cell r="D1187">
            <v>100</v>
          </cell>
          <cell r="E1187">
            <v>277</v>
          </cell>
          <cell r="F1187">
            <v>60</v>
          </cell>
          <cell r="G1187" t="str">
            <v>B240NS</v>
          </cell>
          <cell r="H1187" t="str">
            <v>TOP:10/BOT:10</v>
          </cell>
          <cell r="I1187">
            <v>2</v>
          </cell>
          <cell r="J1187" t="str">
            <v>코웨이</v>
          </cell>
          <cell r="P1187">
            <v>1360</v>
          </cell>
          <cell r="U1187">
            <v>45330</v>
          </cell>
          <cell r="V1187" t="str">
            <v>금형사업부</v>
          </cell>
        </row>
        <row r="1188">
          <cell r="A1188" t="str">
            <v>ND750CGN-M</v>
          </cell>
          <cell r="B1188" t="str">
            <v>SET</v>
          </cell>
          <cell r="C1188">
            <v>1</v>
          </cell>
          <cell r="D1188">
            <v>200</v>
          </cell>
          <cell r="E1188">
            <v>2856</v>
          </cell>
          <cell r="F1188">
            <v>50</v>
          </cell>
          <cell r="G1188" t="str">
            <v>B240NS</v>
          </cell>
          <cell r="H1188">
            <v>1</v>
          </cell>
          <cell r="I1188">
            <v>1</v>
          </cell>
          <cell r="J1188" t="str">
            <v>뉴옵틱스</v>
          </cell>
          <cell r="K1188">
            <v>595</v>
          </cell>
          <cell r="L1188">
            <v>599</v>
          </cell>
          <cell r="P1188">
            <v>1360</v>
          </cell>
          <cell r="Q1188">
            <v>700</v>
          </cell>
          <cell r="U1188">
            <v>44344</v>
          </cell>
          <cell r="V1188" t="str">
            <v>이피엠테크</v>
          </cell>
          <cell r="W1188" t="str">
            <v>PE폼(750*80*25)4장</v>
          </cell>
          <cell r="Y1188">
            <v>40</v>
          </cell>
          <cell r="Z1188">
            <v>114248</v>
          </cell>
          <cell r="AC1188" t="str">
            <v>석상준과장,후레임일체, 2021.06.15 각인추가, 2021.06.23 기준중량변경(2270-&gt;2856), 2023.01.10 수정</v>
          </cell>
          <cell r="AD1188">
            <v>0.85</v>
          </cell>
          <cell r="AF1188">
            <v>4</v>
          </cell>
        </row>
        <row r="1189">
          <cell r="A1189" t="str">
            <v>ND650EUD-M</v>
          </cell>
          <cell r="B1189" t="str">
            <v>SET</v>
          </cell>
          <cell r="C1189">
            <v>1</v>
          </cell>
          <cell r="D1189">
            <v>230</v>
          </cell>
          <cell r="E1189">
            <v>5533</v>
          </cell>
          <cell r="F1189">
            <v>50</v>
          </cell>
          <cell r="G1189" t="str">
            <v>B240NS</v>
          </cell>
          <cell r="H1189">
            <v>1</v>
          </cell>
          <cell r="I1189">
            <v>2</v>
          </cell>
          <cell r="J1189" t="str">
            <v>뉴옵틱스</v>
          </cell>
          <cell r="O1189">
            <v>38176</v>
          </cell>
          <cell r="P1189">
            <v>1800</v>
          </cell>
          <cell r="Q1189">
            <v>600</v>
          </cell>
          <cell r="S1189">
            <v>0</v>
          </cell>
          <cell r="T1189" t="str">
            <v>T:GBL03-0851A-P1,B:GBL03-0852A-P1</v>
          </cell>
          <cell r="U1189">
            <v>42863</v>
          </cell>
          <cell r="V1189" t="str">
            <v>금형제조부</v>
          </cell>
          <cell r="W1189" t="str">
            <v>중량관리 철저/중량미달 시 45배생산,PE폼(437*100*25)1장</v>
          </cell>
          <cell r="Y1189">
            <v>40</v>
          </cell>
          <cell r="Z1189">
            <v>221313</v>
          </cell>
          <cell r="AC1189" t="str">
            <v>최재학계장,후레임일체,2017.11.02배율변경53배-&gt;45배</v>
          </cell>
          <cell r="AD1189">
            <v>0.85</v>
          </cell>
          <cell r="AE1189">
            <v>230</v>
          </cell>
        </row>
        <row r="1190">
          <cell r="A1190" t="str">
            <v>ND550EPN-M</v>
          </cell>
          <cell r="B1190" t="str">
            <v>SET</v>
          </cell>
          <cell r="C1190">
            <v>1</v>
          </cell>
          <cell r="D1190">
            <v>120</v>
          </cell>
          <cell r="E1190">
            <v>1036</v>
          </cell>
          <cell r="F1190">
            <v>50</v>
          </cell>
          <cell r="G1190" t="str">
            <v>B240NS</v>
          </cell>
          <cell r="H1190">
            <v>1</v>
          </cell>
          <cell r="I1190">
            <v>2</v>
          </cell>
          <cell r="J1190" t="str">
            <v>뉴옵틱스</v>
          </cell>
          <cell r="K1190">
            <v>250</v>
          </cell>
          <cell r="L1190">
            <v>254</v>
          </cell>
          <cell r="M1190">
            <v>250</v>
          </cell>
          <cell r="N1190">
            <v>254</v>
          </cell>
          <cell r="O1190">
            <v>8600</v>
          </cell>
          <cell r="P1190">
            <v>1360</v>
          </cell>
          <cell r="Q1190">
            <v>350</v>
          </cell>
          <cell r="S1190">
            <v>0</v>
          </cell>
          <cell r="U1190">
            <v>42927</v>
          </cell>
          <cell r="V1190" t="str">
            <v>금형제조부</v>
          </cell>
          <cell r="W1190" t="str">
            <v>PE폼(420*80*25)2장</v>
          </cell>
          <cell r="Y1190">
            <v>40</v>
          </cell>
          <cell r="AC1190" t="str">
            <v>김길영대리,2017.07.11코팅</v>
          </cell>
          <cell r="AD1190">
            <v>0.85</v>
          </cell>
          <cell r="AE1190">
            <v>120</v>
          </cell>
          <cell r="AF1190">
            <v>1</v>
          </cell>
        </row>
        <row r="1191">
          <cell r="A1191" t="str">
            <v>ND265SQA-M</v>
          </cell>
          <cell r="B1191" t="str">
            <v>SET</v>
          </cell>
          <cell r="C1191">
            <v>1</v>
          </cell>
          <cell r="D1191">
            <v>130</v>
          </cell>
          <cell r="E1191">
            <v>1182</v>
          </cell>
          <cell r="F1191">
            <v>65</v>
          </cell>
          <cell r="G1191" t="str">
            <v>B240NS</v>
          </cell>
          <cell r="H1191">
            <v>1</v>
          </cell>
          <cell r="I1191">
            <v>2</v>
          </cell>
          <cell r="J1191" t="str">
            <v>뉴옵틱스</v>
          </cell>
          <cell r="P1191">
            <v>1500</v>
          </cell>
          <cell r="Q1191">
            <v>400</v>
          </cell>
          <cell r="R1191" t="str">
            <v>비닐</v>
          </cell>
          <cell r="S1191">
            <v>0</v>
          </cell>
          <cell r="U1191">
            <v>43094</v>
          </cell>
          <cell r="V1191" t="str">
            <v>금형제조부</v>
          </cell>
          <cell r="Z1191">
            <v>65065</v>
          </cell>
          <cell r="AC1191" t="str">
            <v>PE폼 미 부착 모델</v>
          </cell>
          <cell r="AD1191">
            <v>0.85</v>
          </cell>
          <cell r="AE1191">
            <v>130</v>
          </cell>
          <cell r="AF1191">
            <v>2</v>
          </cell>
        </row>
        <row r="1192">
          <cell r="A1192" t="str">
            <v>NC-TANK</v>
          </cell>
          <cell r="B1192" t="str">
            <v>SET</v>
          </cell>
          <cell r="C1192">
            <v>4</v>
          </cell>
          <cell r="D1192">
            <v>100</v>
          </cell>
          <cell r="E1192">
            <v>414</v>
          </cell>
          <cell r="F1192">
            <v>50</v>
          </cell>
          <cell r="G1192" t="str">
            <v>B240NS</v>
          </cell>
          <cell r="H1192">
            <v>5</v>
          </cell>
          <cell r="I1192">
            <v>1</v>
          </cell>
          <cell r="J1192" t="str">
            <v>하이필</v>
          </cell>
          <cell r="P1192">
            <v>1360</v>
          </cell>
          <cell r="Q1192">
            <v>400</v>
          </cell>
          <cell r="U1192">
            <v>45125</v>
          </cell>
          <cell r="V1192" t="str">
            <v>금형사업부</v>
          </cell>
          <cell r="AD1192">
            <v>0.85</v>
          </cell>
        </row>
        <row r="1193">
          <cell r="A1193" t="str">
            <v>NC-TANK</v>
          </cell>
          <cell r="B1193" t="str">
            <v>SET</v>
          </cell>
          <cell r="C1193">
            <v>4</v>
          </cell>
          <cell r="D1193">
            <v>100</v>
          </cell>
          <cell r="E1193">
            <v>414</v>
          </cell>
          <cell r="F1193">
            <v>50</v>
          </cell>
          <cell r="G1193" t="str">
            <v>B240NS</v>
          </cell>
          <cell r="H1193">
            <v>5</v>
          </cell>
          <cell r="I1193">
            <v>1</v>
          </cell>
          <cell r="J1193" t="str">
            <v>하이필</v>
          </cell>
          <cell r="P1193">
            <v>1360</v>
          </cell>
          <cell r="Q1193">
            <v>400</v>
          </cell>
          <cell r="U1193">
            <v>45125</v>
          </cell>
          <cell r="V1193" t="str">
            <v>금형사업부</v>
          </cell>
          <cell r="AD1193">
            <v>0.85</v>
          </cell>
        </row>
        <row r="1194">
          <cell r="A1194" t="str">
            <v>NCH</v>
          </cell>
          <cell r="B1194" t="str">
            <v>SET</v>
          </cell>
          <cell r="C1194">
            <v>2</v>
          </cell>
          <cell r="D1194">
            <v>80</v>
          </cell>
          <cell r="E1194">
            <v>380</v>
          </cell>
          <cell r="F1194">
            <v>74</v>
          </cell>
          <cell r="G1194" t="str">
            <v>B240NS</v>
          </cell>
          <cell r="H1194">
            <v>5</v>
          </cell>
          <cell r="I1194">
            <v>2</v>
          </cell>
          <cell r="J1194" t="str">
            <v>하츠</v>
          </cell>
          <cell r="K1194">
            <v>158</v>
          </cell>
          <cell r="L1194">
            <v>162</v>
          </cell>
          <cell r="M1194">
            <v>158</v>
          </cell>
          <cell r="N1194">
            <v>162</v>
          </cell>
          <cell r="O1194">
            <v>2010</v>
          </cell>
          <cell r="P1194">
            <v>1360</v>
          </cell>
          <cell r="Q1194">
            <v>250</v>
          </cell>
          <cell r="R1194" t="str">
            <v>파랑</v>
          </cell>
          <cell r="S1194" t="str">
            <v>파랑</v>
          </cell>
          <cell r="T1194" t="str">
            <v>M310-00183/M310-00184</v>
          </cell>
          <cell r="U1194">
            <v>41719</v>
          </cell>
          <cell r="V1194" t="str">
            <v>하츠이동입고</v>
          </cell>
          <cell r="W1194" t="str">
            <v>크라킹최소화, 중량확인,초물 450g 내외, 물기털어서 작업</v>
          </cell>
          <cell r="X1194" t="str">
            <v>A-0604</v>
          </cell>
          <cell r="AC1194" t="str">
            <v>조우리사원, 배율변경(65-&gt;70),코아 재제작2024.10.29</v>
          </cell>
          <cell r="AD1194">
            <v>0.83</v>
          </cell>
          <cell r="AE1194">
            <v>80</v>
          </cell>
          <cell r="AF1194">
            <v>2</v>
          </cell>
        </row>
        <row r="1195">
          <cell r="A1195" t="str">
            <v>NCB300S-LS</v>
          </cell>
          <cell r="B1195" t="str">
            <v>SET</v>
          </cell>
          <cell r="C1195">
            <v>2</v>
          </cell>
          <cell r="D1195">
            <v>100</v>
          </cell>
          <cell r="E1195">
            <v>384</v>
          </cell>
          <cell r="F1195">
            <v>70</v>
          </cell>
          <cell r="G1195" t="str">
            <v>B240NS</v>
          </cell>
          <cell r="H1195">
            <v>10</v>
          </cell>
          <cell r="I1195">
            <v>2</v>
          </cell>
          <cell r="J1195" t="str">
            <v>경동</v>
          </cell>
          <cell r="K1195">
            <v>98</v>
          </cell>
          <cell r="L1195">
            <v>102</v>
          </cell>
          <cell r="M1195">
            <v>98</v>
          </cell>
          <cell r="N1195">
            <v>102</v>
          </cell>
          <cell r="O1195">
            <v>1690</v>
          </cell>
          <cell r="P1195">
            <v>1500</v>
          </cell>
          <cell r="Q1195">
            <v>200</v>
          </cell>
          <cell r="R1195" t="str">
            <v>검정</v>
          </cell>
          <cell r="T1195" t="str">
            <v>20049731A/20049360A</v>
          </cell>
          <cell r="U1195">
            <v>43804</v>
          </cell>
          <cell r="V1195" t="str">
            <v>금형제조부</v>
          </cell>
          <cell r="W1195" t="str">
            <v>거꾸로 조립 초물확인(420~440)</v>
          </cell>
          <cell r="Y1195">
            <v>60</v>
          </cell>
          <cell r="AD1195">
            <v>0.83</v>
          </cell>
          <cell r="AE1195">
            <v>100</v>
          </cell>
          <cell r="AF1195">
            <v>4</v>
          </cell>
        </row>
        <row r="1196">
          <cell r="A1196" t="str">
            <v>MWP-1-콜드탱크</v>
          </cell>
          <cell r="B1196" t="str">
            <v>저발</v>
          </cell>
          <cell r="C1196">
            <v>2</v>
          </cell>
          <cell r="D1196">
            <v>100</v>
          </cell>
          <cell r="E1196">
            <v>79</v>
          </cell>
          <cell r="F1196">
            <v>58</v>
          </cell>
          <cell r="G1196" t="str">
            <v>B240NS</v>
          </cell>
          <cell r="H1196">
            <v>10</v>
          </cell>
          <cell r="I1196">
            <v>3</v>
          </cell>
          <cell r="J1196" t="str">
            <v>오비오</v>
          </cell>
          <cell r="P1196">
            <v>500</v>
          </cell>
          <cell r="Q1196">
            <v>0</v>
          </cell>
          <cell r="U1196">
            <v>44662</v>
          </cell>
          <cell r="V1196" t="str">
            <v>이관금형</v>
          </cell>
          <cell r="W1196" t="str">
            <v>이물,혼입 주의</v>
          </cell>
          <cell r="AD1196">
            <v>0.85</v>
          </cell>
        </row>
        <row r="1197">
          <cell r="A1197" t="str">
            <v>MWP-1-콜드탱크</v>
          </cell>
          <cell r="B1197" t="str">
            <v>SET</v>
          </cell>
          <cell r="C1197">
            <v>2</v>
          </cell>
          <cell r="D1197">
            <v>100</v>
          </cell>
          <cell r="E1197">
            <v>79</v>
          </cell>
          <cell r="F1197">
            <v>58</v>
          </cell>
          <cell r="G1197" t="str">
            <v>B240NS</v>
          </cell>
          <cell r="H1197">
            <v>10</v>
          </cell>
          <cell r="I1197">
            <v>3</v>
          </cell>
          <cell r="J1197" t="str">
            <v>오비오</v>
          </cell>
          <cell r="P1197">
            <v>500</v>
          </cell>
          <cell r="Q1197">
            <v>0</v>
          </cell>
          <cell r="U1197">
            <v>44662</v>
          </cell>
          <cell r="V1197" t="str">
            <v>이관금형</v>
          </cell>
          <cell r="W1197" t="str">
            <v>이물,혼입 주의</v>
          </cell>
          <cell r="AD1197">
            <v>0.85</v>
          </cell>
        </row>
        <row r="1198">
          <cell r="A1198" t="str">
            <v>MWP-1-TANK</v>
          </cell>
          <cell r="B1198" t="str">
            <v>저발</v>
          </cell>
          <cell r="C1198">
            <v>3</v>
          </cell>
          <cell r="D1198">
            <v>100</v>
          </cell>
          <cell r="E1198">
            <v>79</v>
          </cell>
          <cell r="F1198">
            <v>58</v>
          </cell>
          <cell r="G1198" t="str">
            <v>B240NS</v>
          </cell>
          <cell r="H1198">
            <v>20</v>
          </cell>
          <cell r="I1198">
            <v>2</v>
          </cell>
          <cell r="J1198" t="str">
            <v>오비오</v>
          </cell>
          <cell r="O1198">
            <v>690</v>
          </cell>
          <cell r="P1198">
            <v>500</v>
          </cell>
          <cell r="R1198" t="str">
            <v>녹색</v>
          </cell>
          <cell r="U1198">
            <v>44662</v>
          </cell>
          <cell r="V1198" t="str">
            <v>이관금형</v>
          </cell>
          <cell r="W1198">
            <v>50400014</v>
          </cell>
          <cell r="Y1198">
            <v>50</v>
          </cell>
          <cell r="AC1198" t="str">
            <v>김영석사원</v>
          </cell>
          <cell r="AD1198">
            <v>0.85</v>
          </cell>
        </row>
        <row r="1199">
          <cell r="A1199" t="str">
            <v>MWP-1-TANK</v>
          </cell>
          <cell r="B1199" t="str">
            <v>SET</v>
          </cell>
          <cell r="C1199">
            <v>3</v>
          </cell>
          <cell r="D1199">
            <v>100</v>
          </cell>
          <cell r="E1199">
            <v>79</v>
          </cell>
          <cell r="F1199">
            <v>58</v>
          </cell>
          <cell r="G1199" t="str">
            <v>B240NS</v>
          </cell>
          <cell r="H1199">
            <v>20</v>
          </cell>
          <cell r="I1199">
            <v>2</v>
          </cell>
          <cell r="J1199" t="str">
            <v>오비오</v>
          </cell>
          <cell r="O1199">
            <v>690</v>
          </cell>
          <cell r="P1199">
            <v>500</v>
          </cell>
          <cell r="R1199" t="str">
            <v>녹색</v>
          </cell>
          <cell r="U1199">
            <v>44662</v>
          </cell>
          <cell r="V1199" t="str">
            <v>이관금형</v>
          </cell>
          <cell r="W1199">
            <v>50400014</v>
          </cell>
          <cell r="Y1199">
            <v>50</v>
          </cell>
          <cell r="AC1199" t="str">
            <v>김영석사원</v>
          </cell>
          <cell r="AD1199">
            <v>0.85</v>
          </cell>
        </row>
        <row r="1200">
          <cell r="A1200" t="str">
            <v>MWP-1</v>
          </cell>
          <cell r="B1200" t="str">
            <v>저발</v>
          </cell>
          <cell r="C1200">
            <v>3</v>
          </cell>
          <cell r="D1200">
            <v>100</v>
          </cell>
          <cell r="E1200">
            <v>6</v>
          </cell>
          <cell r="F1200">
            <v>58</v>
          </cell>
          <cell r="G1200" t="str">
            <v>B240NS</v>
          </cell>
          <cell r="H1200">
            <v>12</v>
          </cell>
          <cell r="I1200">
            <v>2</v>
          </cell>
          <cell r="J1200" t="str">
            <v>오비오</v>
          </cell>
          <cell r="P1200">
            <v>500</v>
          </cell>
          <cell r="R1200" t="str">
            <v>파랑</v>
          </cell>
          <cell r="U1200">
            <v>44662</v>
          </cell>
          <cell r="V1200" t="str">
            <v>이관금형</v>
          </cell>
          <cell r="W1200">
            <v>50400015</v>
          </cell>
          <cell r="Y1200">
            <v>50</v>
          </cell>
          <cell r="AC1200" t="str">
            <v>김영석사원</v>
          </cell>
          <cell r="AD1200">
            <v>0.85</v>
          </cell>
        </row>
        <row r="1201">
          <cell r="A1201" t="str">
            <v>MWP-1</v>
          </cell>
          <cell r="B1201" t="str">
            <v>SET</v>
          </cell>
          <cell r="C1201">
            <v>3</v>
          </cell>
          <cell r="D1201">
            <v>100</v>
          </cell>
          <cell r="E1201">
            <v>6</v>
          </cell>
          <cell r="F1201">
            <v>58</v>
          </cell>
          <cell r="G1201" t="str">
            <v>B240NS</v>
          </cell>
          <cell r="H1201">
            <v>12</v>
          </cell>
          <cell r="I1201">
            <v>2</v>
          </cell>
          <cell r="J1201" t="str">
            <v>오비오</v>
          </cell>
          <cell r="P1201">
            <v>500</v>
          </cell>
          <cell r="R1201" t="str">
            <v>파랑</v>
          </cell>
          <cell r="U1201">
            <v>44662</v>
          </cell>
          <cell r="V1201" t="str">
            <v>이관금형</v>
          </cell>
          <cell r="W1201">
            <v>50400015</v>
          </cell>
          <cell r="Y1201">
            <v>50</v>
          </cell>
          <cell r="AC1201" t="str">
            <v>김영석사원</v>
          </cell>
          <cell r="AD1201">
            <v>0.85</v>
          </cell>
        </row>
        <row r="1202">
          <cell r="A1202" t="str">
            <v>MVB</v>
          </cell>
          <cell r="B1202" t="str">
            <v>SET</v>
          </cell>
          <cell r="C1202">
            <v>1</v>
          </cell>
          <cell r="D1202">
            <v>200</v>
          </cell>
          <cell r="E1202">
            <v>2568</v>
          </cell>
          <cell r="F1202">
            <v>50</v>
          </cell>
          <cell r="G1202" t="str">
            <v>B240NS</v>
          </cell>
          <cell r="H1202">
            <v>1</v>
          </cell>
          <cell r="I1202">
            <v>1</v>
          </cell>
          <cell r="J1202" t="str">
            <v>뉴옵틱스</v>
          </cell>
          <cell r="K1202">
            <v>412.7</v>
          </cell>
          <cell r="L1202">
            <v>421.7</v>
          </cell>
          <cell r="M1202">
            <v>412.7</v>
          </cell>
          <cell r="N1202">
            <v>421.7</v>
          </cell>
          <cell r="P1202">
            <v>1360</v>
          </cell>
          <cell r="Q1202">
            <v>500</v>
          </cell>
          <cell r="T1202" t="str">
            <v>끈 작업 금지 / 패드작업 실시</v>
          </cell>
          <cell r="U1202">
            <v>45000</v>
          </cell>
          <cell r="V1202" t="str">
            <v>금형사업부</v>
          </cell>
          <cell r="W1202" t="str">
            <v>PE폼(483.5*40*15T 3EA) BOT(483.5*60.15T 2EA)</v>
          </cell>
          <cell r="Y1202">
            <v>50</v>
          </cell>
          <cell r="AD1202">
            <v>0.85</v>
          </cell>
        </row>
        <row r="1203">
          <cell r="A1203" t="str">
            <v>MVB</v>
          </cell>
          <cell r="B1203" t="str">
            <v>SET</v>
          </cell>
          <cell r="C1203">
            <v>1</v>
          </cell>
          <cell r="D1203">
            <v>200</v>
          </cell>
          <cell r="E1203">
            <v>2568</v>
          </cell>
          <cell r="F1203">
            <v>50</v>
          </cell>
          <cell r="G1203" t="str">
            <v>B240NS</v>
          </cell>
          <cell r="H1203">
            <v>1</v>
          </cell>
          <cell r="I1203">
            <v>1</v>
          </cell>
          <cell r="J1203" t="str">
            <v>뉴옵틱스</v>
          </cell>
          <cell r="K1203">
            <v>412.7</v>
          </cell>
          <cell r="L1203">
            <v>421.7</v>
          </cell>
          <cell r="M1203">
            <v>412.7</v>
          </cell>
          <cell r="N1203">
            <v>421.7</v>
          </cell>
          <cell r="P1203">
            <v>1360</v>
          </cell>
          <cell r="Q1203">
            <v>500</v>
          </cell>
          <cell r="T1203" t="str">
            <v>끈 작업 금지 / 패드작업 실시</v>
          </cell>
          <cell r="U1203">
            <v>45000</v>
          </cell>
          <cell r="V1203" t="str">
            <v>금형사업부</v>
          </cell>
          <cell r="W1203" t="str">
            <v>PE폼(483.5*40*15T 3EA) BOT(483.5*60.15T 2EA)</v>
          </cell>
          <cell r="Y1203">
            <v>50</v>
          </cell>
          <cell r="AD1203">
            <v>0.85</v>
          </cell>
        </row>
        <row r="1204">
          <cell r="A1204" t="str">
            <v>MS-300-F/R</v>
          </cell>
          <cell r="B1204" t="str">
            <v>저발</v>
          </cell>
          <cell r="C1204">
            <v>3</v>
          </cell>
          <cell r="D1204">
            <v>100</v>
          </cell>
          <cell r="E1204">
            <v>58</v>
          </cell>
          <cell r="F1204">
            <v>58</v>
          </cell>
          <cell r="G1204" t="str">
            <v>B240NS</v>
          </cell>
          <cell r="H1204">
            <v>24</v>
          </cell>
          <cell r="I1204">
            <v>2</v>
          </cell>
          <cell r="J1204" t="str">
            <v>오비오</v>
          </cell>
          <cell r="O1204">
            <v>460</v>
          </cell>
          <cell r="P1204">
            <v>500</v>
          </cell>
          <cell r="U1204">
            <v>44662</v>
          </cell>
          <cell r="V1204" t="str">
            <v>이관금형</v>
          </cell>
          <cell r="W1204">
            <v>50400030</v>
          </cell>
          <cell r="Y1204">
            <v>50</v>
          </cell>
          <cell r="AC1204" t="str">
            <v>김영석사원</v>
          </cell>
          <cell r="AD1204">
            <v>0.85</v>
          </cell>
        </row>
        <row r="1205">
          <cell r="A1205" t="str">
            <v>MS-300-F/R</v>
          </cell>
          <cell r="B1205" t="str">
            <v>SET</v>
          </cell>
          <cell r="C1205">
            <v>3</v>
          </cell>
          <cell r="D1205">
            <v>100</v>
          </cell>
          <cell r="E1205">
            <v>58</v>
          </cell>
          <cell r="F1205">
            <v>58</v>
          </cell>
          <cell r="G1205" t="str">
            <v>B240NS</v>
          </cell>
          <cell r="H1205">
            <v>24</v>
          </cell>
          <cell r="I1205">
            <v>2</v>
          </cell>
          <cell r="J1205" t="str">
            <v>오비오</v>
          </cell>
          <cell r="O1205">
            <v>460</v>
          </cell>
          <cell r="P1205">
            <v>500</v>
          </cell>
          <cell r="U1205">
            <v>44662</v>
          </cell>
          <cell r="V1205" t="str">
            <v>이관금형</v>
          </cell>
          <cell r="W1205">
            <v>50400030</v>
          </cell>
          <cell r="Y1205">
            <v>50</v>
          </cell>
          <cell r="AC1205" t="str">
            <v>김영석사원</v>
          </cell>
          <cell r="AD1205">
            <v>0.85</v>
          </cell>
        </row>
        <row r="1206">
          <cell r="A1206" t="str">
            <v>MS-300-BOT</v>
          </cell>
          <cell r="B1206" t="str">
            <v>저발</v>
          </cell>
          <cell r="C1206">
            <v>6</v>
          </cell>
          <cell r="D1206">
            <v>100</v>
          </cell>
          <cell r="E1206">
            <v>69</v>
          </cell>
          <cell r="F1206">
            <v>58</v>
          </cell>
          <cell r="G1206" t="str">
            <v>B240NS</v>
          </cell>
          <cell r="H1206">
            <v>32</v>
          </cell>
          <cell r="I1206">
            <v>1</v>
          </cell>
          <cell r="J1206" t="str">
            <v>오비오</v>
          </cell>
          <cell r="O1206">
            <v>540</v>
          </cell>
          <cell r="P1206">
            <v>500</v>
          </cell>
          <cell r="R1206" t="str">
            <v>빨강</v>
          </cell>
          <cell r="U1206">
            <v>44662</v>
          </cell>
          <cell r="V1206" t="str">
            <v>이관금형</v>
          </cell>
          <cell r="W1206">
            <v>50400030</v>
          </cell>
          <cell r="Y1206">
            <v>50</v>
          </cell>
          <cell r="AC1206" t="str">
            <v>김영석사원</v>
          </cell>
          <cell r="AD1206">
            <v>0.85</v>
          </cell>
        </row>
        <row r="1207">
          <cell r="A1207" t="str">
            <v>MS-300-BOT</v>
          </cell>
          <cell r="B1207" t="str">
            <v>SET</v>
          </cell>
          <cell r="C1207">
            <v>6</v>
          </cell>
          <cell r="D1207">
            <v>100</v>
          </cell>
          <cell r="E1207">
            <v>69</v>
          </cell>
          <cell r="F1207">
            <v>58</v>
          </cell>
          <cell r="G1207" t="str">
            <v>B240NS</v>
          </cell>
          <cell r="H1207">
            <v>32</v>
          </cell>
          <cell r="I1207">
            <v>1</v>
          </cell>
          <cell r="J1207" t="str">
            <v>오비오</v>
          </cell>
          <cell r="O1207">
            <v>540</v>
          </cell>
          <cell r="P1207">
            <v>500</v>
          </cell>
          <cell r="R1207" t="str">
            <v>빨강</v>
          </cell>
          <cell r="U1207">
            <v>44662</v>
          </cell>
          <cell r="V1207" t="str">
            <v>이관금형</v>
          </cell>
          <cell r="W1207">
            <v>50400030</v>
          </cell>
          <cell r="Y1207">
            <v>50</v>
          </cell>
          <cell r="AC1207" t="str">
            <v>김영석사원</v>
          </cell>
          <cell r="AD1207">
            <v>0.85</v>
          </cell>
        </row>
        <row r="1208">
          <cell r="A1208" t="str">
            <v>MS-1호</v>
          </cell>
          <cell r="B1208" t="str">
            <v>BOX</v>
          </cell>
          <cell r="C1208">
            <v>2</v>
          </cell>
          <cell r="D1208">
            <v>120</v>
          </cell>
          <cell r="E1208">
            <v>860</v>
          </cell>
          <cell r="F1208">
            <v>74</v>
          </cell>
          <cell r="G1208" t="str">
            <v>SE2500M</v>
          </cell>
          <cell r="H1208">
            <v>2</v>
          </cell>
          <cell r="I1208">
            <v>2</v>
          </cell>
          <cell r="J1208" t="str">
            <v>한국티피에스</v>
          </cell>
          <cell r="K1208">
            <v>48</v>
          </cell>
          <cell r="L1208">
            <v>52</v>
          </cell>
          <cell r="M1208">
            <v>473</v>
          </cell>
          <cell r="N1208">
            <v>477</v>
          </cell>
          <cell r="P1208">
            <v>1360</v>
          </cell>
          <cell r="Q1208">
            <v>550</v>
          </cell>
          <cell r="R1208" t="str">
            <v>비닐</v>
          </cell>
          <cell r="U1208">
            <v>44100</v>
          </cell>
          <cell r="V1208" t="str">
            <v>영재테크</v>
          </cell>
          <cell r="Y1208">
            <v>67</v>
          </cell>
          <cell r="Z1208">
            <v>57453</v>
          </cell>
          <cell r="AC1208" t="str">
            <v>2020.10.29 기준중량변경(820-&gt;860)</v>
          </cell>
          <cell r="AD1208">
            <v>0.85</v>
          </cell>
          <cell r="AF1208">
            <v>4</v>
          </cell>
        </row>
        <row r="1209">
          <cell r="A1209" t="str">
            <v>MQ4_DL3</v>
          </cell>
          <cell r="B1209" t="str">
            <v>SET</v>
          </cell>
          <cell r="C1209">
            <v>2</v>
          </cell>
          <cell r="D1209">
            <v>100</v>
          </cell>
          <cell r="E1209">
            <v>590</v>
          </cell>
          <cell r="F1209">
            <v>70</v>
          </cell>
          <cell r="G1209" t="str">
            <v>SG302AN</v>
          </cell>
          <cell r="H1209">
            <v>5</v>
          </cell>
          <cell r="I1209">
            <v>2</v>
          </cell>
          <cell r="J1209" t="str">
            <v>모트렉스</v>
          </cell>
          <cell r="K1209">
            <v>118</v>
          </cell>
          <cell r="L1209">
            <v>120</v>
          </cell>
          <cell r="M1209">
            <v>105</v>
          </cell>
          <cell r="N1209">
            <v>107</v>
          </cell>
          <cell r="P1209">
            <v>1360</v>
          </cell>
          <cell r="Q1209">
            <v>250</v>
          </cell>
          <cell r="R1209" t="str">
            <v>흰색</v>
          </cell>
          <cell r="S1209" t="str">
            <v>노랑</v>
          </cell>
          <cell r="T1209" t="str">
            <v>스티로폼(AD/CKD/584*476*220)</v>
          </cell>
          <cell r="U1209">
            <v>43243</v>
          </cell>
          <cell r="V1209" t="str">
            <v>이관금형</v>
          </cell>
          <cell r="W1209" t="str">
            <v>2번 건조, SC721018A</v>
          </cell>
          <cell r="Y1209">
            <v>64</v>
          </cell>
          <cell r="AC1209" t="str">
            <v>최재학계장, 181116 아산대여</v>
          </cell>
          <cell r="AD1209">
            <v>0.85</v>
          </cell>
          <cell r="AE1209">
            <v>75</v>
          </cell>
          <cell r="AF1209">
            <v>4</v>
          </cell>
        </row>
        <row r="1210">
          <cell r="A1210" t="str">
            <v>MOTION</v>
          </cell>
          <cell r="B1210" t="str">
            <v>SET</v>
          </cell>
          <cell r="C1210">
            <v>6</v>
          </cell>
          <cell r="D1210">
            <v>100</v>
          </cell>
          <cell r="E1210">
            <v>68</v>
          </cell>
          <cell r="F1210">
            <v>60</v>
          </cell>
          <cell r="G1210" t="str">
            <v>B240NS</v>
          </cell>
          <cell r="H1210" t="str">
            <v>20조</v>
          </cell>
          <cell r="I1210">
            <v>1</v>
          </cell>
          <cell r="J1210" t="str">
            <v>비렉스테크</v>
          </cell>
          <cell r="K1210">
            <v>68</v>
          </cell>
          <cell r="L1210">
            <v>72</v>
          </cell>
          <cell r="P1210">
            <v>1360</v>
          </cell>
          <cell r="Q1210">
            <v>200</v>
          </cell>
          <cell r="R1210" t="str">
            <v>녹색</v>
          </cell>
          <cell r="U1210">
            <v>45652</v>
          </cell>
          <cell r="V1210" t="str">
            <v>금형제조부</v>
          </cell>
          <cell r="AD1210">
            <v>0.83</v>
          </cell>
          <cell r="AE1210">
            <v>80</v>
          </cell>
        </row>
        <row r="1211">
          <cell r="A1211" t="str">
            <v>MOTION</v>
          </cell>
          <cell r="B1211" t="str">
            <v>SET</v>
          </cell>
          <cell r="C1211">
            <v>6</v>
          </cell>
          <cell r="D1211">
            <v>100</v>
          </cell>
          <cell r="E1211">
            <v>68</v>
          </cell>
          <cell r="F1211">
            <v>60</v>
          </cell>
          <cell r="G1211" t="str">
            <v>B240NS</v>
          </cell>
          <cell r="I1211">
            <v>1</v>
          </cell>
          <cell r="J1211" t="str">
            <v>비렉스테크</v>
          </cell>
          <cell r="P1211">
            <v>1360</v>
          </cell>
          <cell r="U1211">
            <v>45652</v>
          </cell>
          <cell r="V1211" t="str">
            <v>금형제조부</v>
          </cell>
          <cell r="AC1211" t="str">
            <v>김영석사원</v>
          </cell>
          <cell r="AD1211">
            <v>0.85</v>
          </cell>
        </row>
        <row r="1212">
          <cell r="A1212" t="str">
            <v>MMF</v>
          </cell>
          <cell r="B1212" t="str">
            <v>SET</v>
          </cell>
          <cell r="C1212">
            <v>4</v>
          </cell>
          <cell r="D1212">
            <v>100</v>
          </cell>
          <cell r="E1212">
            <v>255</v>
          </cell>
          <cell r="F1212">
            <v>70</v>
          </cell>
          <cell r="G1212" t="str">
            <v>B240NS</v>
          </cell>
          <cell r="H1212">
            <v>10</v>
          </cell>
          <cell r="I1212">
            <v>2</v>
          </cell>
          <cell r="J1212" t="str">
            <v>청호나이스</v>
          </cell>
          <cell r="K1212">
            <v>98</v>
          </cell>
          <cell r="L1212">
            <v>102</v>
          </cell>
          <cell r="M1212">
            <v>58</v>
          </cell>
          <cell r="N1212">
            <v>62</v>
          </cell>
          <cell r="P1212">
            <v>1500</v>
          </cell>
          <cell r="Q1212">
            <v>200</v>
          </cell>
          <cell r="R1212" t="str">
            <v>녹색</v>
          </cell>
          <cell r="T1212" t="str">
            <v>콜드탱크 / 2306-082,61-2423-0/61-2424-0</v>
          </cell>
          <cell r="U1212">
            <v>45112</v>
          </cell>
          <cell r="V1212" t="str">
            <v>금형사업부</v>
          </cell>
          <cell r="AD1212">
            <v>0.85</v>
          </cell>
        </row>
        <row r="1213">
          <cell r="A1213" t="str">
            <v>MMF</v>
          </cell>
          <cell r="B1213" t="str">
            <v>SET</v>
          </cell>
          <cell r="C1213">
            <v>4</v>
          </cell>
          <cell r="D1213">
            <v>100</v>
          </cell>
          <cell r="E1213">
            <v>255</v>
          </cell>
          <cell r="F1213">
            <v>70</v>
          </cell>
          <cell r="G1213" t="str">
            <v>B240NS</v>
          </cell>
          <cell r="H1213">
            <v>10</v>
          </cell>
          <cell r="I1213">
            <v>2</v>
          </cell>
          <cell r="J1213" t="str">
            <v>청호나이스</v>
          </cell>
          <cell r="P1213">
            <v>1500</v>
          </cell>
          <cell r="Q1213">
            <v>200</v>
          </cell>
          <cell r="R1213" t="str">
            <v>보라</v>
          </cell>
          <cell r="T1213" t="str">
            <v>콜드탱크 / 2306-082</v>
          </cell>
          <cell r="U1213">
            <v>45112</v>
          </cell>
          <cell r="V1213" t="str">
            <v>금형사업부</v>
          </cell>
          <cell r="AD1213">
            <v>0.85</v>
          </cell>
        </row>
        <row r="1214">
          <cell r="A1214" t="str">
            <v>ML4(회색)</v>
          </cell>
          <cell r="B1214" t="str">
            <v>저발</v>
          </cell>
          <cell r="C1214">
            <v>1</v>
          </cell>
          <cell r="D1214">
            <v>85</v>
          </cell>
          <cell r="E1214">
            <v>200</v>
          </cell>
          <cell r="F1214">
            <v>48</v>
          </cell>
          <cell r="G1214" t="str">
            <v>ZP2500</v>
          </cell>
          <cell r="H1214">
            <v>1</v>
          </cell>
          <cell r="I1214">
            <v>2</v>
          </cell>
          <cell r="J1214" t="str">
            <v>한국TPS</v>
          </cell>
          <cell r="K1214">
            <v>49</v>
          </cell>
          <cell r="L1214">
            <v>51</v>
          </cell>
          <cell r="M1214">
            <v>85</v>
          </cell>
          <cell r="N1214">
            <v>87</v>
          </cell>
          <cell r="O1214">
            <v>10</v>
          </cell>
          <cell r="P1214">
            <v>500</v>
          </cell>
          <cell r="R1214" t="str">
            <v>보라</v>
          </cell>
          <cell r="S1214" t="str">
            <v>보라</v>
          </cell>
          <cell r="T1214" t="str">
            <v>ML-4</v>
          </cell>
          <cell r="U1214">
            <v>42977</v>
          </cell>
          <cell r="V1214" t="str">
            <v>한국TPS이동</v>
          </cell>
          <cell r="W1214" t="str">
            <v>비닐묶음 부위에 표시용 끈 묶을것</v>
          </cell>
          <cell r="AC1214" t="str">
            <v>최재학계장</v>
          </cell>
          <cell r="AD1214">
            <v>0.85</v>
          </cell>
          <cell r="AE1214">
            <v>90</v>
          </cell>
          <cell r="AF1214">
            <v>6</v>
          </cell>
        </row>
        <row r="1215">
          <cell r="A1215" t="str">
            <v>ML4</v>
          </cell>
          <cell r="B1215" t="str">
            <v>저발</v>
          </cell>
          <cell r="C1215">
            <v>1</v>
          </cell>
          <cell r="D1215">
            <v>85</v>
          </cell>
          <cell r="E1215">
            <v>200</v>
          </cell>
          <cell r="F1215">
            <v>50</v>
          </cell>
          <cell r="G1215" t="str">
            <v>B240NS</v>
          </cell>
          <cell r="H1215">
            <v>1</v>
          </cell>
          <cell r="I1215">
            <v>2</v>
          </cell>
          <cell r="J1215" t="str">
            <v>한국TPS</v>
          </cell>
          <cell r="K1215">
            <v>49</v>
          </cell>
          <cell r="L1215">
            <v>51</v>
          </cell>
          <cell r="M1215">
            <v>85</v>
          </cell>
          <cell r="N1215">
            <v>87</v>
          </cell>
          <cell r="O1215">
            <v>10</v>
          </cell>
          <cell r="P1215">
            <v>500</v>
          </cell>
          <cell r="R1215" t="str">
            <v>보라</v>
          </cell>
          <cell r="S1215" t="str">
            <v>보라</v>
          </cell>
          <cell r="T1215" t="str">
            <v>ML-4</v>
          </cell>
          <cell r="U1215">
            <v>42977</v>
          </cell>
          <cell r="V1215" t="str">
            <v>한국TPS이동</v>
          </cell>
          <cell r="W1215" t="str">
            <v>비닐묶음 부위에 표시용 끈 묶을것</v>
          </cell>
          <cell r="AC1215" t="str">
            <v>최재학계장</v>
          </cell>
          <cell r="AD1215">
            <v>0.85</v>
          </cell>
          <cell r="AE1215">
            <v>70</v>
          </cell>
          <cell r="AF1215">
            <v>6</v>
          </cell>
        </row>
        <row r="1216">
          <cell r="A1216" t="str">
            <v>ML3(2단)백색</v>
          </cell>
          <cell r="B1216" t="str">
            <v>SET</v>
          </cell>
          <cell r="C1216">
            <v>2</v>
          </cell>
          <cell r="D1216">
            <v>80</v>
          </cell>
          <cell r="E1216">
            <v>275</v>
          </cell>
          <cell r="F1216">
            <v>65</v>
          </cell>
          <cell r="G1216" t="str">
            <v>B240NS</v>
          </cell>
          <cell r="H1216">
            <v>10</v>
          </cell>
          <cell r="I1216">
            <v>3</v>
          </cell>
          <cell r="J1216" t="str">
            <v>한국TPS</v>
          </cell>
          <cell r="K1216">
            <v>85</v>
          </cell>
          <cell r="L1216">
            <v>87</v>
          </cell>
          <cell r="M1216">
            <v>49</v>
          </cell>
          <cell r="N1216">
            <v>51</v>
          </cell>
          <cell r="O1216">
            <v>10</v>
          </cell>
          <cell r="P1216">
            <v>1360</v>
          </cell>
          <cell r="Q1216">
            <v>150</v>
          </cell>
          <cell r="R1216" t="str">
            <v>주황</v>
          </cell>
          <cell r="S1216" t="str">
            <v>주황</v>
          </cell>
          <cell r="U1216">
            <v>42968</v>
          </cell>
          <cell r="V1216" t="str">
            <v>한국TPS이동</v>
          </cell>
          <cell r="W1216" t="str">
            <v>ML3(1단)동일금형/1단1조,2단2조/비닐묶음 부위에 표시용 끈 묶을것</v>
          </cell>
          <cell r="AD1216">
            <v>0.85</v>
          </cell>
          <cell r="AE1216">
            <v>80</v>
          </cell>
          <cell r="AF1216">
            <v>4</v>
          </cell>
        </row>
        <row r="1217">
          <cell r="A1217" t="str">
            <v>ML3(2단)</v>
          </cell>
          <cell r="B1217" t="str">
            <v>회색</v>
          </cell>
          <cell r="C1217">
            <v>2</v>
          </cell>
          <cell r="D1217">
            <v>80</v>
          </cell>
          <cell r="E1217">
            <v>275</v>
          </cell>
          <cell r="F1217">
            <v>48</v>
          </cell>
          <cell r="G1217" t="str">
            <v>ZP2500</v>
          </cell>
          <cell r="H1217">
            <v>10</v>
          </cell>
          <cell r="I1217">
            <v>3</v>
          </cell>
          <cell r="J1217" t="str">
            <v>한국TPS</v>
          </cell>
          <cell r="K1217">
            <v>85</v>
          </cell>
          <cell r="L1217">
            <v>87</v>
          </cell>
          <cell r="M1217">
            <v>49</v>
          </cell>
          <cell r="N1217">
            <v>51</v>
          </cell>
          <cell r="O1217">
            <v>10</v>
          </cell>
          <cell r="P1217">
            <v>1360</v>
          </cell>
          <cell r="Q1217">
            <v>150</v>
          </cell>
          <cell r="R1217" t="str">
            <v>주황</v>
          </cell>
          <cell r="S1217" t="str">
            <v>주황</v>
          </cell>
          <cell r="U1217">
            <v>42968</v>
          </cell>
          <cell r="V1217" t="str">
            <v>한국TPS이동</v>
          </cell>
          <cell r="W1217" t="str">
            <v>ML3(1단)동일금형/1단1조,2단2조/비닐묶음 부위에 표시용 끈 묶을것</v>
          </cell>
          <cell r="AC1217" t="str">
            <v>최재학계장, 2017.09.05가중량 기입,</v>
          </cell>
          <cell r="AD1217">
            <v>0.85</v>
          </cell>
          <cell r="AE1217">
            <v>85</v>
          </cell>
          <cell r="AF1217">
            <v>4</v>
          </cell>
        </row>
        <row r="1218">
          <cell r="A1218" t="str">
            <v>ML3(1단)백색T/B</v>
          </cell>
          <cell r="B1218" t="str">
            <v>SET</v>
          </cell>
          <cell r="C1218">
            <v>3</v>
          </cell>
          <cell r="D1218">
            <v>65</v>
          </cell>
          <cell r="E1218">
            <v>158</v>
          </cell>
          <cell r="F1218">
            <v>65</v>
          </cell>
          <cell r="G1218" t="str">
            <v>B240NS</v>
          </cell>
          <cell r="H1218">
            <v>16</v>
          </cell>
          <cell r="I1218">
            <v>2</v>
          </cell>
          <cell r="J1218" t="str">
            <v>한국TPS</v>
          </cell>
          <cell r="K1218">
            <v>85</v>
          </cell>
          <cell r="L1218">
            <v>87</v>
          </cell>
          <cell r="M1218">
            <v>49</v>
          </cell>
          <cell r="N1218">
            <v>51</v>
          </cell>
          <cell r="O1218">
            <v>10</v>
          </cell>
          <cell r="P1218">
            <v>1360</v>
          </cell>
          <cell r="Q1218">
            <v>150</v>
          </cell>
          <cell r="R1218" t="str">
            <v>흰색</v>
          </cell>
          <cell r="S1218" t="str">
            <v>흰색</v>
          </cell>
          <cell r="T1218" t="str">
            <v>ML-3(1단)</v>
          </cell>
          <cell r="U1218">
            <v>42968</v>
          </cell>
          <cell r="V1218" t="str">
            <v>한국TPS이동</v>
          </cell>
          <cell r="W1218" t="str">
            <v>간지생산X/비닐묶음 부위에 표시용 끈 묶을것</v>
          </cell>
          <cell r="AC1218" t="str">
            <v>최재학계장, 2017.09.05가중량 기입,</v>
          </cell>
          <cell r="AD1218">
            <v>0.85</v>
          </cell>
          <cell r="AE1218">
            <v>70</v>
          </cell>
          <cell r="AF1218">
            <v>6</v>
          </cell>
        </row>
        <row r="1219">
          <cell r="A1219" t="str">
            <v>ML3(1단)백색</v>
          </cell>
          <cell r="B1219" t="str">
            <v>SET</v>
          </cell>
          <cell r="C1219">
            <v>1</v>
          </cell>
          <cell r="D1219">
            <v>70</v>
          </cell>
          <cell r="E1219">
            <v>158</v>
          </cell>
          <cell r="F1219">
            <v>65</v>
          </cell>
          <cell r="G1219" t="str">
            <v>B240NS</v>
          </cell>
          <cell r="H1219">
            <v>16</v>
          </cell>
          <cell r="I1219">
            <v>2</v>
          </cell>
          <cell r="J1219" t="str">
            <v>한국TPS</v>
          </cell>
          <cell r="K1219">
            <v>85</v>
          </cell>
          <cell r="L1219">
            <v>87</v>
          </cell>
          <cell r="M1219">
            <v>49</v>
          </cell>
          <cell r="N1219">
            <v>51</v>
          </cell>
          <cell r="O1219">
            <v>10</v>
          </cell>
          <cell r="P1219">
            <v>1360</v>
          </cell>
          <cell r="Q1219">
            <v>150</v>
          </cell>
          <cell r="R1219" t="str">
            <v>흰색</v>
          </cell>
          <cell r="S1219" t="str">
            <v>흰색</v>
          </cell>
          <cell r="U1219">
            <v>42968</v>
          </cell>
          <cell r="V1219" t="str">
            <v>한국TPS이동</v>
          </cell>
          <cell r="W1219" t="str">
            <v>비닐묶음 부위에 표시용 끈 묶을것</v>
          </cell>
          <cell r="Y1219">
            <v>56</v>
          </cell>
          <cell r="AD1219">
            <v>0.85</v>
          </cell>
          <cell r="AE1219">
            <v>70</v>
          </cell>
          <cell r="AF1219">
            <v>6</v>
          </cell>
        </row>
        <row r="1220">
          <cell r="A1220" t="str">
            <v>ML3(1단)_</v>
          </cell>
          <cell r="B1220" t="str">
            <v>회색</v>
          </cell>
          <cell r="C1220">
            <v>3</v>
          </cell>
          <cell r="D1220">
            <v>80</v>
          </cell>
          <cell r="E1220">
            <v>180</v>
          </cell>
          <cell r="F1220">
            <v>48</v>
          </cell>
          <cell r="G1220" t="str">
            <v>ZP2500</v>
          </cell>
          <cell r="H1220">
            <v>16</v>
          </cell>
          <cell r="I1220">
            <v>2</v>
          </cell>
          <cell r="J1220" t="str">
            <v>한국TPS</v>
          </cell>
          <cell r="K1220">
            <v>85</v>
          </cell>
          <cell r="L1220">
            <v>87</v>
          </cell>
          <cell r="M1220">
            <v>49</v>
          </cell>
          <cell r="N1220">
            <v>51</v>
          </cell>
          <cell r="O1220">
            <v>10</v>
          </cell>
          <cell r="P1220">
            <v>1360</v>
          </cell>
          <cell r="Q1220">
            <v>150</v>
          </cell>
          <cell r="R1220" t="str">
            <v>흰색</v>
          </cell>
          <cell r="S1220" t="str">
            <v>흰색</v>
          </cell>
          <cell r="U1220">
            <v>42968</v>
          </cell>
          <cell r="V1220" t="str">
            <v>한국TPS이동</v>
          </cell>
          <cell r="W1220" t="str">
            <v>간지생산X/비닐묶음 부위에 표시용 끈 묶을것</v>
          </cell>
          <cell r="AC1220" t="str">
            <v>최재학계장, 2017.09.05가중량 기입,</v>
          </cell>
          <cell r="AD1220">
            <v>0.85</v>
          </cell>
          <cell r="AE1220">
            <v>80</v>
          </cell>
          <cell r="AF1220">
            <v>6</v>
          </cell>
        </row>
        <row r="1221">
          <cell r="A1221" t="str">
            <v>ML3(1단)</v>
          </cell>
          <cell r="B1221" t="str">
            <v>회색</v>
          </cell>
          <cell r="C1221">
            <v>1</v>
          </cell>
          <cell r="D1221">
            <v>80</v>
          </cell>
          <cell r="E1221">
            <v>180</v>
          </cell>
          <cell r="F1221">
            <v>48</v>
          </cell>
          <cell r="G1221" t="str">
            <v>ZP2500</v>
          </cell>
          <cell r="H1221">
            <v>16</v>
          </cell>
          <cell r="I1221">
            <v>2</v>
          </cell>
          <cell r="J1221" t="str">
            <v>한국TPS</v>
          </cell>
          <cell r="K1221">
            <v>85</v>
          </cell>
          <cell r="L1221">
            <v>87</v>
          </cell>
          <cell r="M1221">
            <v>49</v>
          </cell>
          <cell r="N1221">
            <v>51</v>
          </cell>
          <cell r="O1221">
            <v>10</v>
          </cell>
          <cell r="P1221">
            <v>1360</v>
          </cell>
          <cell r="Q1221">
            <v>150</v>
          </cell>
          <cell r="R1221" t="str">
            <v>흰색</v>
          </cell>
          <cell r="S1221" t="str">
            <v>흰색</v>
          </cell>
          <cell r="U1221">
            <v>42968</v>
          </cell>
          <cell r="V1221" t="str">
            <v>한국TPS이동</v>
          </cell>
          <cell r="W1221" t="str">
            <v>비닐묶음 부위에 표시용 끈 묶을것</v>
          </cell>
          <cell r="AC1221" t="str">
            <v>최재학계장, 2017.09.05가중량 기입,</v>
          </cell>
          <cell r="AD1221">
            <v>0.85</v>
          </cell>
          <cell r="AE1221">
            <v>80</v>
          </cell>
          <cell r="AF1221">
            <v>6</v>
          </cell>
        </row>
        <row r="1222">
          <cell r="A1222" t="str">
            <v>MINIDOORPAD</v>
          </cell>
          <cell r="B1222" t="str">
            <v>PAD</v>
          </cell>
          <cell r="E1222">
            <v>0</v>
          </cell>
          <cell r="J1222" t="str">
            <v>위니아만도</v>
          </cell>
          <cell r="O1222">
            <v>420</v>
          </cell>
          <cell r="P1222" t="str">
            <v>660*60*19T(L자)/PAD</v>
          </cell>
          <cell r="Q1222" t="str">
            <v>WD111121</v>
          </cell>
          <cell r="R1222" t="str">
            <v>만도라인  660*60*19T(L자)</v>
          </cell>
        </row>
        <row r="1223">
          <cell r="A1223" t="str">
            <v>MINIDOORPAD</v>
          </cell>
          <cell r="B1223" t="str">
            <v>PAD</v>
          </cell>
          <cell r="E1223">
            <v>0</v>
          </cell>
          <cell r="J1223" t="str">
            <v>위니아만도</v>
          </cell>
          <cell r="O1223">
            <v>420</v>
          </cell>
          <cell r="P1223" t="str">
            <v>660*60*19T(L자)/PAD</v>
          </cell>
          <cell r="Q1223" t="str">
            <v>WD111121</v>
          </cell>
          <cell r="R1223" t="str">
            <v>만도라인  660*60*19T(L자)</v>
          </cell>
        </row>
        <row r="1224">
          <cell r="A1224" t="str">
            <v>MINIBASEPAD</v>
          </cell>
          <cell r="B1224" t="str">
            <v>PAD</v>
          </cell>
          <cell r="E1224">
            <v>0</v>
          </cell>
          <cell r="J1224" t="str">
            <v>위니아만도</v>
          </cell>
          <cell r="O1224">
            <v>50</v>
          </cell>
          <cell r="P1224" t="str">
            <v>90*62*50T/PAD</v>
          </cell>
          <cell r="R1224" t="str">
            <v>현보  90*62*50T</v>
          </cell>
        </row>
        <row r="1225">
          <cell r="A1225" t="str">
            <v>MINIBASEPAD</v>
          </cell>
          <cell r="B1225" t="str">
            <v>PAD</v>
          </cell>
          <cell r="E1225">
            <v>0</v>
          </cell>
          <cell r="J1225" t="str">
            <v>위니아만도</v>
          </cell>
          <cell r="O1225">
            <v>50</v>
          </cell>
          <cell r="P1225" t="str">
            <v>90*62*50T/PAD</v>
          </cell>
          <cell r="R1225" t="str">
            <v>현보  90*62*50T</v>
          </cell>
        </row>
        <row r="1226">
          <cell r="A1226" t="str">
            <v>MHC-9000</v>
          </cell>
          <cell r="B1226" t="str">
            <v>저발</v>
          </cell>
          <cell r="C1226">
            <v>3</v>
          </cell>
          <cell r="D1226">
            <v>100</v>
          </cell>
          <cell r="E1226">
            <v>96</v>
          </cell>
          <cell r="F1226">
            <v>58</v>
          </cell>
          <cell r="G1226" t="str">
            <v>B240NS</v>
          </cell>
          <cell r="H1226">
            <v>20</v>
          </cell>
          <cell r="I1226">
            <v>2</v>
          </cell>
          <cell r="J1226" t="str">
            <v>오비오</v>
          </cell>
          <cell r="O1226">
            <v>900</v>
          </cell>
          <cell r="P1226">
            <v>500</v>
          </cell>
          <cell r="R1226" t="str">
            <v>노랑</v>
          </cell>
          <cell r="U1226">
            <v>44662</v>
          </cell>
          <cell r="V1226" t="str">
            <v>이관금형</v>
          </cell>
          <cell r="W1226">
            <v>50400078</v>
          </cell>
          <cell r="Y1226">
            <v>50</v>
          </cell>
          <cell r="AC1226" t="str">
            <v>김영석사원</v>
          </cell>
          <cell r="AD1226">
            <v>0.85</v>
          </cell>
        </row>
        <row r="1227">
          <cell r="A1227" t="str">
            <v>MHC-9000</v>
          </cell>
          <cell r="B1227" t="str">
            <v>SET</v>
          </cell>
          <cell r="C1227">
            <v>3</v>
          </cell>
          <cell r="D1227">
            <v>100</v>
          </cell>
          <cell r="E1227">
            <v>96</v>
          </cell>
          <cell r="F1227">
            <v>58</v>
          </cell>
          <cell r="G1227" t="str">
            <v>B240NS</v>
          </cell>
          <cell r="H1227">
            <v>20</v>
          </cell>
          <cell r="I1227">
            <v>2</v>
          </cell>
          <cell r="J1227" t="str">
            <v>오비오</v>
          </cell>
          <cell r="O1227">
            <v>900</v>
          </cell>
          <cell r="P1227">
            <v>500</v>
          </cell>
          <cell r="R1227" t="str">
            <v>노랑</v>
          </cell>
          <cell r="U1227">
            <v>44662</v>
          </cell>
          <cell r="V1227" t="str">
            <v>이관금형</v>
          </cell>
          <cell r="W1227">
            <v>50400078</v>
          </cell>
          <cell r="Y1227">
            <v>50</v>
          </cell>
          <cell r="AC1227" t="str">
            <v>김영석사원</v>
          </cell>
          <cell r="AD1227">
            <v>0.85</v>
          </cell>
        </row>
        <row r="1228">
          <cell r="A1228" t="str">
            <v>MFZ67365501</v>
          </cell>
          <cell r="B1228" t="str">
            <v>SET</v>
          </cell>
          <cell r="C1228">
            <v>1</v>
          </cell>
          <cell r="D1228">
            <v>100</v>
          </cell>
          <cell r="E1228">
            <v>578</v>
          </cell>
          <cell r="F1228">
            <v>70</v>
          </cell>
          <cell r="G1228" t="str">
            <v>B240NS</v>
          </cell>
          <cell r="H1228">
            <v>3</v>
          </cell>
          <cell r="I1228">
            <v>2</v>
          </cell>
          <cell r="J1228" t="str">
            <v>LG전자</v>
          </cell>
          <cell r="P1228">
            <v>1700</v>
          </cell>
          <cell r="Q1228">
            <v>200</v>
          </cell>
          <cell r="R1228" t="str">
            <v>주황</v>
          </cell>
          <cell r="U1228">
            <v>44644</v>
          </cell>
          <cell r="V1228" t="str">
            <v>대부</v>
          </cell>
          <cell r="Y1228">
            <v>60</v>
          </cell>
          <cell r="AC1228" t="str">
            <v>김영석사원</v>
          </cell>
          <cell r="AD1228">
            <v>0.85</v>
          </cell>
        </row>
        <row r="1229">
          <cell r="A1229" t="str">
            <v>MFZ67365501</v>
          </cell>
          <cell r="B1229" t="str">
            <v>SET</v>
          </cell>
          <cell r="C1229">
            <v>1</v>
          </cell>
          <cell r="D1229">
            <v>100</v>
          </cell>
          <cell r="E1229">
            <v>578</v>
          </cell>
          <cell r="F1229">
            <v>70</v>
          </cell>
          <cell r="G1229" t="str">
            <v>B240NS</v>
          </cell>
          <cell r="H1229">
            <v>3</v>
          </cell>
          <cell r="I1229">
            <v>2</v>
          </cell>
          <cell r="J1229" t="str">
            <v>LG전자</v>
          </cell>
          <cell r="P1229">
            <v>1700</v>
          </cell>
          <cell r="Q1229">
            <v>200</v>
          </cell>
          <cell r="R1229" t="str">
            <v>주황</v>
          </cell>
          <cell r="U1229">
            <v>44644</v>
          </cell>
          <cell r="V1229" t="str">
            <v>대부</v>
          </cell>
          <cell r="Y1229">
            <v>60</v>
          </cell>
          <cell r="AC1229" t="str">
            <v>김영석사원</v>
          </cell>
          <cell r="AD1229">
            <v>0.85</v>
          </cell>
        </row>
        <row r="1230">
          <cell r="A1230" t="str">
            <v>MFZ67349301</v>
          </cell>
          <cell r="B1230" t="str">
            <v>SET</v>
          </cell>
          <cell r="C1230">
            <v>1</v>
          </cell>
          <cell r="D1230">
            <v>100</v>
          </cell>
          <cell r="E1230">
            <v>1055</v>
          </cell>
          <cell r="F1230">
            <v>60</v>
          </cell>
          <cell r="G1230" t="str">
            <v>B240NS</v>
          </cell>
          <cell r="H1230">
            <v>2</v>
          </cell>
          <cell r="I1230">
            <v>3</v>
          </cell>
          <cell r="J1230" t="str">
            <v>LG전자</v>
          </cell>
          <cell r="P1230">
            <v>1700</v>
          </cell>
          <cell r="R1230" t="str">
            <v>비닐</v>
          </cell>
          <cell r="U1230">
            <v>44645</v>
          </cell>
          <cell r="V1230" t="str">
            <v>대부</v>
          </cell>
          <cell r="Y1230">
            <v>50</v>
          </cell>
          <cell r="Z1230">
            <v>63315</v>
          </cell>
          <cell r="AC1230" t="str">
            <v>김영석사원,후레임일체</v>
          </cell>
          <cell r="AD1230">
            <v>0.85</v>
          </cell>
        </row>
        <row r="1231">
          <cell r="A1231" t="str">
            <v>MFZ67349301</v>
          </cell>
          <cell r="B1231" t="str">
            <v>SET</v>
          </cell>
          <cell r="C1231">
            <v>1</v>
          </cell>
          <cell r="D1231">
            <v>100</v>
          </cell>
          <cell r="E1231">
            <v>1055</v>
          </cell>
          <cell r="F1231">
            <v>60</v>
          </cell>
          <cell r="G1231" t="str">
            <v>B240NS</v>
          </cell>
          <cell r="H1231">
            <v>2</v>
          </cell>
          <cell r="I1231">
            <v>3</v>
          </cell>
          <cell r="J1231" t="str">
            <v>LG전자</v>
          </cell>
          <cell r="P1231">
            <v>1700</v>
          </cell>
          <cell r="R1231" t="str">
            <v>비닐</v>
          </cell>
          <cell r="U1231">
            <v>44645</v>
          </cell>
          <cell r="V1231" t="str">
            <v>대부</v>
          </cell>
          <cell r="Y1231">
            <v>50</v>
          </cell>
          <cell r="Z1231">
            <v>63315</v>
          </cell>
          <cell r="AC1231" t="str">
            <v>김영석사원,후레임일체</v>
          </cell>
          <cell r="AD1231">
            <v>0.85</v>
          </cell>
        </row>
        <row r="1232">
          <cell r="A1232" t="str">
            <v>MFZ67318701</v>
          </cell>
          <cell r="B1232" t="str">
            <v>SET</v>
          </cell>
          <cell r="C1232">
            <v>2</v>
          </cell>
          <cell r="D1232">
            <v>100</v>
          </cell>
          <cell r="E1232">
            <v>178</v>
          </cell>
          <cell r="F1232">
            <v>74</v>
          </cell>
          <cell r="G1232" t="str">
            <v>SG302</v>
          </cell>
          <cell r="H1232">
            <v>10</v>
          </cell>
          <cell r="I1232">
            <v>2</v>
          </cell>
          <cell r="J1232" t="str">
            <v>LG전자</v>
          </cell>
          <cell r="K1232">
            <v>51</v>
          </cell>
          <cell r="L1232">
            <v>54</v>
          </cell>
          <cell r="M1232">
            <v>51</v>
          </cell>
          <cell r="N1232">
            <v>54</v>
          </cell>
          <cell r="P1232">
            <v>1500</v>
          </cell>
          <cell r="Q1232">
            <v>200</v>
          </cell>
          <cell r="R1232" t="str">
            <v>파랑</v>
          </cell>
          <cell r="S1232" t="str">
            <v>파랑</v>
          </cell>
          <cell r="U1232">
            <v>44431</v>
          </cell>
          <cell r="V1232" t="str">
            <v>대부</v>
          </cell>
          <cell r="W1232" t="str">
            <v>직가래 3개설치 치수확인, 같은방향 묶을것!!</v>
          </cell>
          <cell r="Y1232">
            <v>60</v>
          </cell>
          <cell r="Z1232">
            <v>10697</v>
          </cell>
          <cell r="AC1232" t="str">
            <v>석상준과장, 직가래3개 내.외판 15T, 2021.09.28 핀 추가 및 코팅완료, 2021.12.01 수정</v>
          </cell>
          <cell r="AD1232">
            <v>0.85</v>
          </cell>
          <cell r="AF1232">
            <v>6</v>
          </cell>
        </row>
        <row r="1233">
          <cell r="A1233" t="str">
            <v>MFZ67241701</v>
          </cell>
          <cell r="B1233" t="str">
            <v>SET</v>
          </cell>
          <cell r="C1233">
            <v>6</v>
          </cell>
          <cell r="D1233">
            <v>150</v>
          </cell>
          <cell r="E1233">
            <v>296</v>
          </cell>
          <cell r="F1233">
            <v>70</v>
          </cell>
          <cell r="G1233" t="str">
            <v>B240NS</v>
          </cell>
          <cell r="H1233">
            <v>10</v>
          </cell>
          <cell r="I1233">
            <v>2</v>
          </cell>
          <cell r="J1233" t="str">
            <v>LG전자</v>
          </cell>
          <cell r="K1233">
            <v>177</v>
          </cell>
          <cell r="L1233">
            <v>180</v>
          </cell>
          <cell r="M1233">
            <v>177</v>
          </cell>
          <cell r="N1233">
            <v>180</v>
          </cell>
          <cell r="P1233">
            <v>1700</v>
          </cell>
          <cell r="Q1233">
            <v>250</v>
          </cell>
          <cell r="R1233" t="str">
            <v>녹색</v>
          </cell>
          <cell r="U1233">
            <v>44242</v>
          </cell>
          <cell r="V1233" t="str">
            <v>이관금형</v>
          </cell>
          <cell r="Y1233">
            <v>60</v>
          </cell>
          <cell r="AC1233" t="str">
            <v>코팅완료</v>
          </cell>
          <cell r="AD1233">
            <v>0.85</v>
          </cell>
          <cell r="AF1233">
            <v>8</v>
          </cell>
        </row>
        <row r="1234">
          <cell r="A1234" t="str">
            <v>MFZ67216901</v>
          </cell>
          <cell r="B1234" t="str">
            <v>SPL</v>
          </cell>
          <cell r="C1234">
            <v>1</v>
          </cell>
          <cell r="D1234">
            <v>150</v>
          </cell>
          <cell r="E1234">
            <v>1495</v>
          </cell>
          <cell r="F1234">
            <v>70</v>
          </cell>
          <cell r="G1234" t="str">
            <v>B240NS</v>
          </cell>
          <cell r="H1234">
            <v>1</v>
          </cell>
          <cell r="I1234">
            <v>3</v>
          </cell>
          <cell r="J1234" t="str">
            <v>LG전자</v>
          </cell>
          <cell r="P1234">
            <v>1700</v>
          </cell>
          <cell r="Q1234">
            <v>350</v>
          </cell>
          <cell r="V1234" t="str">
            <v>제이엠</v>
          </cell>
          <cell r="Y1234">
            <v>60</v>
          </cell>
          <cell r="AC1234" t="str">
            <v>석상준과장</v>
          </cell>
          <cell r="AD1234">
            <v>0.85</v>
          </cell>
          <cell r="AF1234">
            <v>4</v>
          </cell>
        </row>
        <row r="1235">
          <cell r="A1235" t="str">
            <v>MFZ67193201/02</v>
          </cell>
          <cell r="B1235" t="str">
            <v>SPL</v>
          </cell>
          <cell r="C1235">
            <v>2</v>
          </cell>
          <cell r="D1235">
            <v>150</v>
          </cell>
          <cell r="E1235">
            <v>463</v>
          </cell>
          <cell r="F1235" t="str">
            <v>53~62</v>
          </cell>
          <cell r="G1235" t="str">
            <v>SG302AN</v>
          </cell>
          <cell r="H1235">
            <v>1</v>
          </cell>
          <cell r="I1235">
            <v>2</v>
          </cell>
          <cell r="J1235" t="str">
            <v>LG전자</v>
          </cell>
          <cell r="P1235">
            <v>1700</v>
          </cell>
          <cell r="Q1235">
            <v>300</v>
          </cell>
          <cell r="V1235" t="str">
            <v>제일EPS</v>
          </cell>
          <cell r="Y1235">
            <v>50</v>
          </cell>
          <cell r="Z1235">
            <v>23150</v>
          </cell>
        </row>
        <row r="1236">
          <cell r="A1236" t="str">
            <v>MFZ66997301/02</v>
          </cell>
          <cell r="J1236" t="str">
            <v>LG전자</v>
          </cell>
        </row>
        <row r="1237">
          <cell r="A1237" t="str">
            <v>MFZ66942701#2</v>
          </cell>
          <cell r="B1237" t="str">
            <v>SET</v>
          </cell>
          <cell r="C1237">
            <v>2</v>
          </cell>
          <cell r="D1237">
            <v>100</v>
          </cell>
          <cell r="E1237">
            <v>292</v>
          </cell>
          <cell r="F1237">
            <v>70</v>
          </cell>
          <cell r="G1237" t="str">
            <v>B240NS</v>
          </cell>
          <cell r="H1237" t="str">
            <v>10</v>
          </cell>
          <cell r="I1237">
            <v>2</v>
          </cell>
          <cell r="J1237" t="str">
            <v>LG전자</v>
          </cell>
          <cell r="K1237">
            <v>46</v>
          </cell>
          <cell r="L1237">
            <v>48</v>
          </cell>
          <cell r="M1237">
            <v>46</v>
          </cell>
          <cell r="N1237">
            <v>48</v>
          </cell>
          <cell r="P1237">
            <v>1500</v>
          </cell>
          <cell r="Q1237">
            <v>200</v>
          </cell>
          <cell r="R1237" t="str">
            <v>보라</v>
          </cell>
          <cell r="T1237" t="str">
            <v>75UK6570</v>
          </cell>
          <cell r="U1237">
            <v>44529</v>
          </cell>
          <cell r="V1237" t="str">
            <v>제이엠</v>
          </cell>
          <cell r="W1237" t="str">
            <v>직가래 3개설치 치수확인 금형수정, 같은방향 묶을것!!</v>
          </cell>
          <cell r="Y1237">
            <v>60</v>
          </cell>
          <cell r="AC1237" t="str">
            <v>석상준과장 코팅완료</v>
          </cell>
          <cell r="AD1237">
            <v>0.85</v>
          </cell>
          <cell r="AE1237">
            <v>100</v>
          </cell>
          <cell r="AF1237">
            <v>8</v>
          </cell>
        </row>
        <row r="1238">
          <cell r="A1238" t="str">
            <v>MFZ66942701</v>
          </cell>
          <cell r="B1238" t="str">
            <v>SET</v>
          </cell>
          <cell r="C1238">
            <v>2</v>
          </cell>
          <cell r="D1238">
            <v>100</v>
          </cell>
          <cell r="E1238">
            <v>292</v>
          </cell>
          <cell r="F1238">
            <v>70</v>
          </cell>
          <cell r="G1238" t="str">
            <v>B240NS</v>
          </cell>
          <cell r="H1238" t="str">
            <v>10</v>
          </cell>
          <cell r="I1238">
            <v>2</v>
          </cell>
          <cell r="J1238" t="str">
            <v>LG전자</v>
          </cell>
          <cell r="K1238">
            <v>46</v>
          </cell>
          <cell r="L1238">
            <v>48</v>
          </cell>
          <cell r="M1238">
            <v>46</v>
          </cell>
          <cell r="N1238">
            <v>48</v>
          </cell>
          <cell r="P1238">
            <v>1500</v>
          </cell>
          <cell r="Q1238">
            <v>200</v>
          </cell>
          <cell r="R1238" t="str">
            <v>검정</v>
          </cell>
          <cell r="T1238" t="str">
            <v>75UK6570</v>
          </cell>
          <cell r="U1238">
            <v>43735</v>
          </cell>
          <cell r="V1238" t="str">
            <v>제일EPS</v>
          </cell>
          <cell r="W1238" t="str">
            <v>직가래 3개설치 치수확인 금형수정, 같은방향 묶을것!!</v>
          </cell>
          <cell r="Y1238">
            <v>60</v>
          </cell>
          <cell r="AC1238" t="str">
            <v>2021.04.19 재코팅, 2021.05.06파손수리, 2021.11.02노후화 수리</v>
          </cell>
          <cell r="AD1238">
            <v>0.85</v>
          </cell>
          <cell r="AE1238">
            <v>100</v>
          </cell>
          <cell r="AF1238">
            <v>2</v>
          </cell>
        </row>
        <row r="1239">
          <cell r="A1239" t="str">
            <v>MFZ66931601/02</v>
          </cell>
          <cell r="B1239" t="str">
            <v>SPL</v>
          </cell>
          <cell r="C1239">
            <v>1</v>
          </cell>
          <cell r="D1239">
            <v>100</v>
          </cell>
          <cell r="E1239">
            <v>725</v>
          </cell>
          <cell r="F1239">
            <v>70</v>
          </cell>
          <cell r="G1239" t="str">
            <v>B240NS</v>
          </cell>
          <cell r="H1239">
            <v>1</v>
          </cell>
          <cell r="I1239">
            <v>4</v>
          </cell>
          <cell r="J1239" t="str">
            <v>LG전자</v>
          </cell>
          <cell r="P1239">
            <v>1700</v>
          </cell>
          <cell r="Q1239">
            <v>300</v>
          </cell>
          <cell r="U1239">
            <v>43990</v>
          </cell>
          <cell r="V1239" t="str">
            <v>제일EPS</v>
          </cell>
          <cell r="W1239" t="str">
            <v>55UM71 #92</v>
          </cell>
          <cell r="Y1239">
            <v>60</v>
          </cell>
          <cell r="Z1239">
            <v>43912</v>
          </cell>
          <cell r="AC1239" t="str">
            <v>RS향 석상준과장</v>
          </cell>
          <cell r="AD1239">
            <v>0.85</v>
          </cell>
          <cell r="AF1239">
            <v>2</v>
          </cell>
        </row>
        <row r="1240">
          <cell r="A1240" t="str">
            <v>MFZ66391801</v>
          </cell>
          <cell r="B1240" t="str">
            <v>SET</v>
          </cell>
          <cell r="C1240">
            <v>1</v>
          </cell>
          <cell r="D1240">
            <v>85</v>
          </cell>
          <cell r="E1240">
            <v>1146</v>
          </cell>
          <cell r="F1240">
            <v>70</v>
          </cell>
          <cell r="G1240" t="str">
            <v>B240NS</v>
          </cell>
          <cell r="H1240">
            <v>4</v>
          </cell>
          <cell r="I1240">
            <v>2</v>
          </cell>
          <cell r="J1240" t="str">
            <v>LG전자</v>
          </cell>
          <cell r="O1240">
            <v>6060</v>
          </cell>
          <cell r="P1240">
            <v>1700</v>
          </cell>
          <cell r="Q1240">
            <v>250</v>
          </cell>
          <cell r="R1240" t="str">
            <v>보라</v>
          </cell>
          <cell r="S1240" t="str">
            <v>빨강</v>
          </cell>
          <cell r="T1240" t="str">
            <v>꺼꾸로 조립 바랍니다.</v>
          </cell>
          <cell r="U1240">
            <v>43423</v>
          </cell>
          <cell r="V1240" t="str">
            <v>제일EPS</v>
          </cell>
          <cell r="W1240" t="str">
            <v>꺼꾸로 조립, L(보라)/R(빨강) 혼입 주의!! 포장 주의!.직각래 3개 고치수 확인!!</v>
          </cell>
          <cell r="Y1240">
            <v>60</v>
          </cell>
          <cell r="Z1240">
            <v>68714</v>
          </cell>
          <cell r="AC1240" t="str">
            <v>최재학계장, 190112 아산EPS 금형대여, 190517 아산회수</v>
          </cell>
          <cell r="AD1240">
            <v>0.85</v>
          </cell>
          <cell r="AE1240">
            <v>80</v>
          </cell>
          <cell r="AF1240">
            <v>2</v>
          </cell>
        </row>
        <row r="1241">
          <cell r="A1241" t="str">
            <v>MFZ66373101</v>
          </cell>
          <cell r="B1241" t="str">
            <v>SET</v>
          </cell>
          <cell r="C1241">
            <v>2</v>
          </cell>
          <cell r="D1241">
            <v>70</v>
          </cell>
          <cell r="E1241">
            <v>159</v>
          </cell>
          <cell r="F1241">
            <v>74</v>
          </cell>
          <cell r="G1241" t="str">
            <v>B240NS</v>
          </cell>
          <cell r="H1241">
            <v>10</v>
          </cell>
          <cell r="I1241">
            <v>1</v>
          </cell>
          <cell r="J1241" t="str">
            <v>LG전자</v>
          </cell>
          <cell r="K1241">
            <v>38</v>
          </cell>
          <cell r="L1241">
            <v>42</v>
          </cell>
          <cell r="O1241">
            <v>821</v>
          </cell>
          <cell r="P1241">
            <v>1360</v>
          </cell>
          <cell r="Q1241">
            <v>150</v>
          </cell>
          <cell r="R1241" t="str">
            <v>보라</v>
          </cell>
          <cell r="S1241" t="str">
            <v>보라</v>
          </cell>
          <cell r="U1241">
            <v>43264</v>
          </cell>
          <cell r="V1241" t="str">
            <v>금형제조부</v>
          </cell>
          <cell r="W1241" t="str">
            <v>B8-STAND, 냉각불량 주의!</v>
          </cell>
          <cell r="Y1241">
            <v>60</v>
          </cell>
          <cell r="Z1241">
            <v>9512</v>
          </cell>
          <cell r="AC1241" t="str">
            <v>2018.07.12코팅입고, 181109 아산대여,190517아산회수</v>
          </cell>
          <cell r="AD1241">
            <v>0.85</v>
          </cell>
          <cell r="AE1241">
            <v>70</v>
          </cell>
          <cell r="AF1241">
            <v>4</v>
          </cell>
        </row>
        <row r="1242">
          <cell r="A1242" t="str">
            <v>MFZ66332901</v>
          </cell>
          <cell r="B1242" t="str">
            <v>SPL</v>
          </cell>
          <cell r="C1242">
            <v>1</v>
          </cell>
          <cell r="D1242">
            <v>100</v>
          </cell>
          <cell r="E1242">
            <v>1772</v>
          </cell>
          <cell r="F1242">
            <v>70</v>
          </cell>
          <cell r="G1242" t="str">
            <v>B240NS</v>
          </cell>
          <cell r="H1242">
            <v>1</v>
          </cell>
          <cell r="I1242">
            <v>6</v>
          </cell>
          <cell r="J1242" t="str">
            <v>LG전자</v>
          </cell>
          <cell r="P1242">
            <v>1700</v>
          </cell>
          <cell r="Q1242">
            <v>350</v>
          </cell>
          <cell r="U1242">
            <v>44111</v>
          </cell>
          <cell r="V1242" t="str">
            <v>제이엠</v>
          </cell>
          <cell r="Y1242">
            <v>60</v>
          </cell>
          <cell r="Z1242">
            <v>107418</v>
          </cell>
          <cell r="AC1242" t="str">
            <v>석상준과장 RS향</v>
          </cell>
          <cell r="AD1242">
            <v>0.85</v>
          </cell>
          <cell r="AF1242">
            <v>6</v>
          </cell>
        </row>
        <row r="1243">
          <cell r="A1243" t="str">
            <v>MFZ66314001/02</v>
          </cell>
          <cell r="J1243" t="str">
            <v>LG전자</v>
          </cell>
        </row>
        <row r="1244">
          <cell r="A1244" t="str">
            <v>MFZ66175408</v>
          </cell>
          <cell r="B1244" t="str">
            <v>SET</v>
          </cell>
          <cell r="C1244">
            <v>2</v>
          </cell>
          <cell r="D1244">
            <v>100</v>
          </cell>
          <cell r="E1244">
            <v>757</v>
          </cell>
          <cell r="F1244">
            <v>70</v>
          </cell>
          <cell r="G1244" t="str">
            <v>B240NS</v>
          </cell>
          <cell r="I1244">
            <v>2</v>
          </cell>
          <cell r="J1244" t="str">
            <v>LG전자</v>
          </cell>
          <cell r="P1244">
            <v>1700</v>
          </cell>
          <cell r="Q1244">
            <v>300</v>
          </cell>
          <cell r="U1244">
            <v>43727</v>
          </cell>
          <cell r="V1244" t="str">
            <v>제일EPS</v>
          </cell>
          <cell r="Y1244">
            <v>60</v>
          </cell>
          <cell r="AC1244" t="str">
            <v>20190920 영구반출</v>
          </cell>
          <cell r="AD1244">
            <v>0.85</v>
          </cell>
          <cell r="AE1244">
            <v>100</v>
          </cell>
          <cell r="AF1244">
            <v>1</v>
          </cell>
        </row>
        <row r="1245">
          <cell r="A1245" t="str">
            <v>MFZ65921901</v>
          </cell>
          <cell r="B1245" t="str">
            <v>SET</v>
          </cell>
          <cell r="C1245">
            <v>1</v>
          </cell>
          <cell r="D1245">
            <v>80</v>
          </cell>
          <cell r="E1245">
            <v>450</v>
          </cell>
          <cell r="F1245">
            <v>70</v>
          </cell>
          <cell r="G1245" t="str">
            <v>B240NS</v>
          </cell>
          <cell r="H1245">
            <v>5</v>
          </cell>
          <cell r="I1245">
            <v>1</v>
          </cell>
          <cell r="J1245" t="str">
            <v>LG전자</v>
          </cell>
          <cell r="K1245">
            <v>57</v>
          </cell>
          <cell r="L1245">
            <v>59</v>
          </cell>
          <cell r="O1245">
            <v>2879</v>
          </cell>
          <cell r="P1245">
            <v>1500</v>
          </cell>
          <cell r="Q1245">
            <v>200</v>
          </cell>
          <cell r="R1245" t="str">
            <v>빨강</v>
          </cell>
          <cell r="S1245" t="str">
            <v>빨강</v>
          </cell>
          <cell r="U1245">
            <v>42989</v>
          </cell>
          <cell r="V1245" t="str">
            <v>대부</v>
          </cell>
          <cell r="W1245" t="str">
            <v>중앙돌기부치수확인,직가래3개설치, 18호기배제</v>
          </cell>
          <cell r="Y1245" t="str">
            <v>60</v>
          </cell>
          <cell r="Z1245" t="str">
            <v>27,290</v>
          </cell>
          <cell r="AC1245" t="str">
            <v>최재학계장</v>
          </cell>
          <cell r="AD1245">
            <v>0.85</v>
          </cell>
          <cell r="AE1245">
            <v>80</v>
          </cell>
          <cell r="AF1245">
            <v>2</v>
          </cell>
        </row>
        <row r="1246">
          <cell r="A1246" t="str">
            <v>MFZ65891501#99</v>
          </cell>
          <cell r="B1246" t="str">
            <v>SPL</v>
          </cell>
          <cell r="C1246">
            <v>1</v>
          </cell>
          <cell r="D1246">
            <v>150</v>
          </cell>
          <cell r="E1246">
            <v>1764</v>
          </cell>
          <cell r="F1246">
            <v>70</v>
          </cell>
          <cell r="G1246" t="str">
            <v>B240NS</v>
          </cell>
          <cell r="H1246">
            <v>1</v>
          </cell>
          <cell r="I1246">
            <v>6</v>
          </cell>
          <cell r="J1246" t="str">
            <v>LG전자</v>
          </cell>
          <cell r="P1246">
            <v>1700</v>
          </cell>
          <cell r="Q1246">
            <v>350</v>
          </cell>
          <cell r="U1246">
            <v>44281</v>
          </cell>
          <cell r="V1246" t="str">
            <v>제이엠</v>
          </cell>
          <cell r="Y1246">
            <v>60</v>
          </cell>
          <cell r="AC1246" t="str">
            <v>석상준과장</v>
          </cell>
          <cell r="AD1246">
            <v>0.85</v>
          </cell>
          <cell r="AF1246">
            <v>6</v>
          </cell>
        </row>
        <row r="1247">
          <cell r="A1247" t="str">
            <v>MFZ65891501#101</v>
          </cell>
          <cell r="B1247" t="str">
            <v>SPL</v>
          </cell>
          <cell r="C1247">
            <v>1</v>
          </cell>
          <cell r="D1247">
            <v>150</v>
          </cell>
          <cell r="E1247">
            <v>1764</v>
          </cell>
          <cell r="F1247">
            <v>70</v>
          </cell>
          <cell r="G1247" t="str">
            <v>B240NS</v>
          </cell>
          <cell r="H1247">
            <v>1</v>
          </cell>
          <cell r="I1247">
            <v>6</v>
          </cell>
          <cell r="J1247" t="str">
            <v>LG전자</v>
          </cell>
          <cell r="P1247">
            <v>1700</v>
          </cell>
          <cell r="Q1247">
            <v>350</v>
          </cell>
          <cell r="U1247">
            <v>44280</v>
          </cell>
          <cell r="V1247" t="str">
            <v>제이엠</v>
          </cell>
          <cell r="Y1247">
            <v>60</v>
          </cell>
          <cell r="AC1247" t="str">
            <v>석상준과장</v>
          </cell>
          <cell r="AD1247">
            <v>0.85</v>
          </cell>
          <cell r="AF1247">
            <v>4</v>
          </cell>
        </row>
        <row r="1248">
          <cell r="A1248" t="str">
            <v>MFZ65752354</v>
          </cell>
          <cell r="B1248" t="str">
            <v>SET</v>
          </cell>
          <cell r="C1248">
            <v>1</v>
          </cell>
          <cell r="D1248">
            <v>100</v>
          </cell>
          <cell r="E1248">
            <v>579</v>
          </cell>
          <cell r="F1248">
            <v>58</v>
          </cell>
          <cell r="G1248" t="str">
            <v>B240NS</v>
          </cell>
          <cell r="H1248">
            <v>5</v>
          </cell>
          <cell r="I1248">
            <v>1</v>
          </cell>
          <cell r="J1248" t="str">
            <v>LG전자</v>
          </cell>
          <cell r="K1248">
            <v>32</v>
          </cell>
          <cell r="L1248">
            <v>34</v>
          </cell>
          <cell r="M1248">
            <v>179</v>
          </cell>
          <cell r="N1248">
            <v>181</v>
          </cell>
          <cell r="P1248">
            <v>1360</v>
          </cell>
          <cell r="R1248" t="str">
            <v>비닐</v>
          </cell>
          <cell r="T1248" t="str">
            <v>MFZ65752354</v>
          </cell>
          <cell r="AD1248">
            <v>0.85</v>
          </cell>
        </row>
        <row r="1249">
          <cell r="A1249" t="str">
            <v>MFZ65752354</v>
          </cell>
          <cell r="B1249" t="str">
            <v>SET</v>
          </cell>
          <cell r="C1249">
            <v>1</v>
          </cell>
          <cell r="D1249">
            <v>100</v>
          </cell>
          <cell r="E1249">
            <v>579</v>
          </cell>
          <cell r="F1249">
            <v>58</v>
          </cell>
          <cell r="G1249" t="str">
            <v>B240NS</v>
          </cell>
          <cell r="H1249">
            <v>5</v>
          </cell>
          <cell r="I1249">
            <v>1</v>
          </cell>
          <cell r="J1249" t="str">
            <v>LG전자</v>
          </cell>
          <cell r="K1249">
            <v>32</v>
          </cell>
          <cell r="L1249">
            <v>34</v>
          </cell>
          <cell r="M1249">
            <v>179</v>
          </cell>
          <cell r="N1249">
            <v>181</v>
          </cell>
          <cell r="P1249">
            <v>1360</v>
          </cell>
          <cell r="R1249" t="str">
            <v>비닐</v>
          </cell>
          <cell r="T1249" t="str">
            <v>MFZ65752354</v>
          </cell>
          <cell r="AD1249">
            <v>0.85</v>
          </cell>
        </row>
        <row r="1250">
          <cell r="A1250" t="str">
            <v>MFZ65752353</v>
          </cell>
          <cell r="B1250" t="str">
            <v>SET</v>
          </cell>
          <cell r="C1250">
            <v>2</v>
          </cell>
          <cell r="D1250">
            <v>100</v>
          </cell>
          <cell r="E1250">
            <v>469</v>
          </cell>
          <cell r="F1250">
            <v>58</v>
          </cell>
          <cell r="G1250" t="str">
            <v>B240NS</v>
          </cell>
          <cell r="H1250">
            <v>4</v>
          </cell>
          <cell r="I1250">
            <v>1</v>
          </cell>
          <cell r="J1250" t="str">
            <v>LG전자</v>
          </cell>
          <cell r="K1250">
            <v>62</v>
          </cell>
          <cell r="L1250">
            <v>64</v>
          </cell>
          <cell r="M1250">
            <v>229</v>
          </cell>
          <cell r="N1250">
            <v>231</v>
          </cell>
          <cell r="P1250">
            <v>1360</v>
          </cell>
          <cell r="R1250" t="str">
            <v>비닐</v>
          </cell>
          <cell r="T1250" t="str">
            <v>MFZ65752353</v>
          </cell>
          <cell r="AD1250">
            <v>0.85</v>
          </cell>
        </row>
        <row r="1251">
          <cell r="A1251" t="str">
            <v>MFZ65752353</v>
          </cell>
          <cell r="B1251" t="str">
            <v>SET</v>
          </cell>
          <cell r="C1251">
            <v>2</v>
          </cell>
          <cell r="D1251">
            <v>100</v>
          </cell>
          <cell r="E1251">
            <v>469</v>
          </cell>
          <cell r="F1251">
            <v>58</v>
          </cell>
          <cell r="G1251" t="str">
            <v>B240NS</v>
          </cell>
          <cell r="H1251">
            <v>4</v>
          </cell>
          <cell r="I1251">
            <v>1</v>
          </cell>
          <cell r="J1251" t="str">
            <v>LG전자</v>
          </cell>
          <cell r="K1251">
            <v>62</v>
          </cell>
          <cell r="L1251">
            <v>64</v>
          </cell>
          <cell r="M1251">
            <v>229</v>
          </cell>
          <cell r="N1251">
            <v>231</v>
          </cell>
          <cell r="P1251">
            <v>1360</v>
          </cell>
          <cell r="R1251" t="str">
            <v>비닐</v>
          </cell>
          <cell r="T1251" t="str">
            <v>MFZ65752353</v>
          </cell>
          <cell r="AD1251">
            <v>0.85</v>
          </cell>
        </row>
        <row r="1252">
          <cell r="A1252" t="str">
            <v>MFZ65752339</v>
          </cell>
          <cell r="B1252" t="str">
            <v>SET</v>
          </cell>
          <cell r="C1252">
            <v>2</v>
          </cell>
          <cell r="D1252">
            <v>100</v>
          </cell>
          <cell r="E1252">
            <v>391</v>
          </cell>
          <cell r="F1252">
            <v>65</v>
          </cell>
          <cell r="G1252" t="str">
            <v>B240NS</v>
          </cell>
          <cell r="H1252">
            <v>5</v>
          </cell>
          <cell r="I1252">
            <v>2</v>
          </cell>
          <cell r="J1252" t="str">
            <v>LG전자</v>
          </cell>
          <cell r="K1252">
            <v>47</v>
          </cell>
          <cell r="L1252">
            <v>49</v>
          </cell>
          <cell r="M1252">
            <v>164</v>
          </cell>
          <cell r="N1252">
            <v>166</v>
          </cell>
          <cell r="P1252">
            <v>1360</v>
          </cell>
          <cell r="Q1252">
            <v>300</v>
          </cell>
          <cell r="R1252" t="str">
            <v>비닐</v>
          </cell>
          <cell r="U1252" t="str">
            <v>2022.09.01</v>
          </cell>
          <cell r="V1252" t="str">
            <v>삼일금형</v>
          </cell>
          <cell r="AD1252">
            <v>0.85</v>
          </cell>
        </row>
        <row r="1253">
          <cell r="A1253" t="str">
            <v>MFZ65752339</v>
          </cell>
          <cell r="B1253" t="str">
            <v>SET</v>
          </cell>
          <cell r="C1253">
            <v>2</v>
          </cell>
          <cell r="D1253">
            <v>100</v>
          </cell>
          <cell r="E1253">
            <v>391</v>
          </cell>
          <cell r="F1253">
            <v>65</v>
          </cell>
          <cell r="G1253" t="str">
            <v>B240NS</v>
          </cell>
          <cell r="H1253">
            <v>5</v>
          </cell>
          <cell r="I1253">
            <v>2</v>
          </cell>
          <cell r="J1253" t="str">
            <v>LG전자</v>
          </cell>
          <cell r="K1253">
            <v>47</v>
          </cell>
          <cell r="L1253">
            <v>49</v>
          </cell>
          <cell r="M1253">
            <v>164</v>
          </cell>
          <cell r="N1253">
            <v>166</v>
          </cell>
          <cell r="P1253">
            <v>1360</v>
          </cell>
          <cell r="Q1253">
            <v>300</v>
          </cell>
          <cell r="R1253" t="str">
            <v>비닐</v>
          </cell>
          <cell r="U1253" t="str">
            <v>2022.09.01</v>
          </cell>
          <cell r="V1253" t="str">
            <v>삼일금형</v>
          </cell>
          <cell r="AD1253">
            <v>0.85</v>
          </cell>
        </row>
        <row r="1254">
          <cell r="A1254" t="str">
            <v>MFZ65752339</v>
          </cell>
          <cell r="B1254" t="str">
            <v>SET</v>
          </cell>
          <cell r="C1254">
            <v>2</v>
          </cell>
          <cell r="D1254">
            <v>100</v>
          </cell>
          <cell r="E1254">
            <v>391</v>
          </cell>
          <cell r="F1254">
            <v>70</v>
          </cell>
          <cell r="G1254" t="str">
            <v>B240NS</v>
          </cell>
          <cell r="H1254">
            <v>1</v>
          </cell>
          <cell r="I1254">
            <v>2</v>
          </cell>
          <cell r="J1254" t="str">
            <v>LG전자</v>
          </cell>
          <cell r="P1254">
            <v>1360</v>
          </cell>
          <cell r="Q1254">
            <v>300</v>
          </cell>
          <cell r="U1254" t="str">
            <v>2022.09.01</v>
          </cell>
          <cell r="V1254" t="str">
            <v>삼일금형</v>
          </cell>
          <cell r="AD1254">
            <v>0.85</v>
          </cell>
        </row>
        <row r="1255">
          <cell r="A1255" t="str">
            <v>MFZ65752339</v>
          </cell>
          <cell r="B1255" t="str">
            <v>SET</v>
          </cell>
          <cell r="C1255">
            <v>2</v>
          </cell>
          <cell r="D1255">
            <v>100</v>
          </cell>
          <cell r="E1255">
            <v>391</v>
          </cell>
          <cell r="F1255">
            <v>70</v>
          </cell>
          <cell r="G1255" t="str">
            <v>B240NS</v>
          </cell>
          <cell r="H1255">
            <v>1</v>
          </cell>
          <cell r="I1255">
            <v>2</v>
          </cell>
          <cell r="J1255" t="str">
            <v>LG전자</v>
          </cell>
          <cell r="P1255">
            <v>1360</v>
          </cell>
          <cell r="Q1255">
            <v>300</v>
          </cell>
          <cell r="U1255" t="str">
            <v>2022.09.01</v>
          </cell>
        </row>
        <row r="1256">
          <cell r="A1256" t="str">
            <v>MFZ65752339</v>
          </cell>
          <cell r="B1256" t="str">
            <v>SET</v>
          </cell>
          <cell r="C1256">
            <v>2</v>
          </cell>
          <cell r="D1256">
            <v>100</v>
          </cell>
          <cell r="E1256">
            <v>394</v>
          </cell>
          <cell r="F1256">
            <v>70</v>
          </cell>
          <cell r="G1256" t="str">
            <v>B240NS</v>
          </cell>
          <cell r="H1256">
            <v>1</v>
          </cell>
          <cell r="I1256">
            <v>2</v>
          </cell>
          <cell r="J1256" t="str">
            <v>LG전자</v>
          </cell>
          <cell r="P1256">
            <v>1360</v>
          </cell>
          <cell r="Q1256">
            <v>300</v>
          </cell>
          <cell r="U1256" t="str">
            <v>2022.09.01</v>
          </cell>
        </row>
        <row r="1257">
          <cell r="A1257" t="str">
            <v>MFZ65752338</v>
          </cell>
          <cell r="B1257" t="str">
            <v>SET</v>
          </cell>
          <cell r="C1257">
            <v>2</v>
          </cell>
          <cell r="D1257">
            <v>100</v>
          </cell>
          <cell r="E1257">
            <v>396</v>
          </cell>
          <cell r="F1257">
            <v>65</v>
          </cell>
          <cell r="G1257" t="str">
            <v>B240NS</v>
          </cell>
          <cell r="H1257">
            <v>5</v>
          </cell>
          <cell r="I1257">
            <v>2</v>
          </cell>
          <cell r="J1257" t="str">
            <v>LG전자</v>
          </cell>
          <cell r="P1257">
            <v>1360</v>
          </cell>
          <cell r="Q1257">
            <v>300</v>
          </cell>
          <cell r="R1257" t="str">
            <v>비닐</v>
          </cell>
          <cell r="U1257" t="str">
            <v>2022.09.01</v>
          </cell>
          <cell r="V1257" t="str">
            <v>삼일금형</v>
          </cell>
          <cell r="AD1257">
            <v>0.85</v>
          </cell>
        </row>
        <row r="1258">
          <cell r="A1258" t="str">
            <v>MFZ65752338</v>
          </cell>
          <cell r="B1258" t="str">
            <v>SET</v>
          </cell>
          <cell r="C1258">
            <v>2</v>
          </cell>
          <cell r="D1258">
            <v>100</v>
          </cell>
          <cell r="E1258">
            <v>396</v>
          </cell>
          <cell r="F1258">
            <v>65</v>
          </cell>
          <cell r="G1258" t="str">
            <v>B240NS</v>
          </cell>
          <cell r="H1258">
            <v>5</v>
          </cell>
          <cell r="I1258">
            <v>2</v>
          </cell>
          <cell r="J1258" t="str">
            <v>LG전자</v>
          </cell>
          <cell r="P1258">
            <v>1360</v>
          </cell>
          <cell r="Q1258">
            <v>300</v>
          </cell>
          <cell r="R1258" t="str">
            <v>비닐</v>
          </cell>
          <cell r="U1258" t="str">
            <v>2022.09.01</v>
          </cell>
          <cell r="V1258" t="str">
            <v>삼일금형</v>
          </cell>
          <cell r="AD1258">
            <v>0.85</v>
          </cell>
        </row>
        <row r="1259">
          <cell r="A1259" t="str">
            <v>MFZ65752338</v>
          </cell>
          <cell r="B1259" t="str">
            <v>SET</v>
          </cell>
          <cell r="C1259">
            <v>2</v>
          </cell>
          <cell r="D1259">
            <v>100</v>
          </cell>
          <cell r="E1259">
            <v>396</v>
          </cell>
          <cell r="F1259">
            <v>70</v>
          </cell>
          <cell r="G1259" t="str">
            <v>B240NS</v>
          </cell>
          <cell r="H1259">
            <v>1</v>
          </cell>
          <cell r="I1259">
            <v>2</v>
          </cell>
          <cell r="J1259" t="str">
            <v>LG전자</v>
          </cell>
          <cell r="P1259">
            <v>1360</v>
          </cell>
          <cell r="Q1259">
            <v>300</v>
          </cell>
          <cell r="U1259" t="str">
            <v>2022.09.01</v>
          </cell>
          <cell r="V1259" t="str">
            <v>삼일금형</v>
          </cell>
          <cell r="AD1259">
            <v>0.85</v>
          </cell>
        </row>
        <row r="1260">
          <cell r="A1260" t="str">
            <v>MFZ65752338</v>
          </cell>
          <cell r="B1260" t="str">
            <v>SET</v>
          </cell>
          <cell r="C1260">
            <v>2</v>
          </cell>
          <cell r="D1260">
            <v>100</v>
          </cell>
          <cell r="E1260">
            <v>396</v>
          </cell>
          <cell r="F1260">
            <v>70</v>
          </cell>
          <cell r="G1260" t="str">
            <v>B240NS</v>
          </cell>
          <cell r="H1260">
            <v>1</v>
          </cell>
          <cell r="I1260">
            <v>2</v>
          </cell>
          <cell r="J1260" t="str">
            <v>LG전자</v>
          </cell>
          <cell r="P1260">
            <v>1360</v>
          </cell>
          <cell r="Q1260">
            <v>300</v>
          </cell>
          <cell r="U1260" t="str">
            <v>2022.09.01</v>
          </cell>
        </row>
        <row r="1261">
          <cell r="A1261" t="str">
            <v>MFZ65752336</v>
          </cell>
          <cell r="B1261" t="str">
            <v>SET</v>
          </cell>
          <cell r="C1261">
            <v>2</v>
          </cell>
          <cell r="D1261">
            <v>100</v>
          </cell>
          <cell r="E1261">
            <v>349</v>
          </cell>
          <cell r="F1261">
            <v>58</v>
          </cell>
          <cell r="G1261" t="str">
            <v>SG302</v>
          </cell>
          <cell r="H1261">
            <v>1</v>
          </cell>
          <cell r="I1261">
            <v>2</v>
          </cell>
          <cell r="J1261" t="str">
            <v>LG전자</v>
          </cell>
          <cell r="K1261">
            <v>61</v>
          </cell>
          <cell r="L1261">
            <v>65</v>
          </cell>
          <cell r="M1261">
            <v>148</v>
          </cell>
          <cell r="N1261">
            <v>152</v>
          </cell>
          <cell r="P1261">
            <v>1300</v>
          </cell>
          <cell r="Q1261">
            <v>250</v>
          </cell>
          <cell r="U1261">
            <v>44564</v>
          </cell>
          <cell r="V1261" t="str">
            <v>삼일금형</v>
          </cell>
          <cell r="Y1261">
            <v>50</v>
          </cell>
          <cell r="AC1261" t="str">
            <v>석상준과장,코팅완료, 2022.04.28 금형수정</v>
          </cell>
          <cell r="AD1261">
            <v>0.85</v>
          </cell>
          <cell r="AF1261">
            <v>4</v>
          </cell>
        </row>
        <row r="1262">
          <cell r="A1262" t="str">
            <v>MFZ65752335</v>
          </cell>
          <cell r="B1262" t="str">
            <v>SET</v>
          </cell>
          <cell r="C1262">
            <v>2</v>
          </cell>
          <cell r="D1262">
            <v>100</v>
          </cell>
          <cell r="E1262">
            <v>493</v>
          </cell>
          <cell r="F1262">
            <v>58</v>
          </cell>
          <cell r="G1262" t="str">
            <v>SG302</v>
          </cell>
          <cell r="H1262">
            <v>1</v>
          </cell>
          <cell r="I1262">
            <v>2</v>
          </cell>
          <cell r="J1262" t="str">
            <v>LG전자</v>
          </cell>
          <cell r="K1262">
            <v>91</v>
          </cell>
          <cell r="L1262">
            <v>95</v>
          </cell>
          <cell r="M1262">
            <v>198</v>
          </cell>
          <cell r="N1262">
            <v>202</v>
          </cell>
          <cell r="P1262">
            <v>1300</v>
          </cell>
          <cell r="Q1262">
            <v>300</v>
          </cell>
          <cell r="U1262">
            <v>44484</v>
          </cell>
          <cell r="V1262" t="str">
            <v>삼일금형</v>
          </cell>
          <cell r="Y1262">
            <v>50</v>
          </cell>
          <cell r="Z1262">
            <v>24672</v>
          </cell>
          <cell r="AC1262" t="str">
            <v>석상준과장</v>
          </cell>
          <cell r="AD1262">
            <v>0.85</v>
          </cell>
          <cell r="AF1262">
            <v>6</v>
          </cell>
        </row>
        <row r="1263">
          <cell r="A1263" t="str">
            <v>MFZ65752331</v>
          </cell>
          <cell r="B1263" t="str">
            <v>SET</v>
          </cell>
          <cell r="C1263">
            <v>1</v>
          </cell>
          <cell r="D1263">
            <v>100</v>
          </cell>
          <cell r="E1263">
            <v>707</v>
          </cell>
          <cell r="F1263">
            <v>58</v>
          </cell>
          <cell r="G1263" t="str">
            <v>B240NS</v>
          </cell>
          <cell r="H1263">
            <v>3</v>
          </cell>
          <cell r="I1263">
            <v>2</v>
          </cell>
          <cell r="J1263" t="str">
            <v>LG전자</v>
          </cell>
          <cell r="K1263">
            <v>139.5</v>
          </cell>
          <cell r="L1263">
            <v>143.5</v>
          </cell>
          <cell r="M1263">
            <v>239.5</v>
          </cell>
          <cell r="N1263">
            <v>243.5</v>
          </cell>
          <cell r="P1263">
            <v>1300</v>
          </cell>
          <cell r="Q1263">
            <v>350</v>
          </cell>
          <cell r="R1263" t="str">
            <v>비닐</v>
          </cell>
          <cell r="U1263">
            <v>44411</v>
          </cell>
          <cell r="V1263" t="str">
            <v>삼일금형</v>
          </cell>
          <cell r="Y1263">
            <v>50</v>
          </cell>
          <cell r="Z1263">
            <v>35338</v>
          </cell>
          <cell r="AC1263" t="str">
            <v>석상준과장</v>
          </cell>
          <cell r="AD1263">
            <v>0.85</v>
          </cell>
          <cell r="AF1263">
            <v>6</v>
          </cell>
        </row>
        <row r="1264">
          <cell r="A1264" t="str">
            <v>MFZ65752329</v>
          </cell>
          <cell r="B1264" t="str">
            <v>SET</v>
          </cell>
          <cell r="C1264" t="str">
            <v>2</v>
          </cell>
          <cell r="D1264" t="str">
            <v>95</v>
          </cell>
          <cell r="E1264">
            <v>423</v>
          </cell>
          <cell r="F1264" t="str">
            <v>58</v>
          </cell>
          <cell r="G1264" t="str">
            <v>B240NS</v>
          </cell>
          <cell r="H1264">
            <v>1</v>
          </cell>
          <cell r="I1264" t="str">
            <v>2</v>
          </cell>
          <cell r="J1264" t="str">
            <v>LG전자</v>
          </cell>
          <cell r="K1264">
            <v>63</v>
          </cell>
          <cell r="L1264">
            <v>67</v>
          </cell>
          <cell r="M1264">
            <v>163</v>
          </cell>
          <cell r="N1264">
            <v>167</v>
          </cell>
          <cell r="P1264">
            <v>1300</v>
          </cell>
          <cell r="Q1264">
            <v>250</v>
          </cell>
          <cell r="U1264">
            <v>44378</v>
          </cell>
          <cell r="V1264" t="str">
            <v>삼일금형</v>
          </cell>
          <cell r="Y1264" t="str">
            <v>50</v>
          </cell>
          <cell r="Z1264" t="str">
            <v>21199</v>
          </cell>
          <cell r="AC1264" t="str">
            <v>석상준과장</v>
          </cell>
          <cell r="AD1264">
            <v>0.85</v>
          </cell>
          <cell r="AF1264">
            <v>6</v>
          </cell>
        </row>
        <row r="1265">
          <cell r="A1265" t="str">
            <v>MFZ65752328</v>
          </cell>
          <cell r="B1265" t="str">
            <v>SET</v>
          </cell>
          <cell r="C1265" t="str">
            <v>2</v>
          </cell>
          <cell r="D1265" t="str">
            <v>95</v>
          </cell>
          <cell r="E1265">
            <v>365</v>
          </cell>
          <cell r="F1265" t="str">
            <v>58</v>
          </cell>
          <cell r="G1265" t="str">
            <v>B240NS</v>
          </cell>
          <cell r="H1265">
            <v>1</v>
          </cell>
          <cell r="I1265" t="str">
            <v>2</v>
          </cell>
          <cell r="J1265" t="str">
            <v>LG전자</v>
          </cell>
          <cell r="K1265">
            <v>32</v>
          </cell>
          <cell r="L1265">
            <v>36</v>
          </cell>
          <cell r="M1265">
            <v>177</v>
          </cell>
          <cell r="N1265">
            <v>181</v>
          </cell>
          <cell r="P1265">
            <v>1300</v>
          </cell>
          <cell r="Q1265">
            <v>250</v>
          </cell>
          <cell r="U1265">
            <v>44378</v>
          </cell>
          <cell r="V1265" t="str">
            <v>삼일금형</v>
          </cell>
          <cell r="Y1265" t="str">
            <v>50</v>
          </cell>
          <cell r="Z1265" t="str">
            <v>18272</v>
          </cell>
          <cell r="AC1265" t="str">
            <v>석상준과장, 2021.12.13 수정</v>
          </cell>
          <cell r="AD1265">
            <v>0.85</v>
          </cell>
          <cell r="AF1265">
            <v>2</v>
          </cell>
        </row>
        <row r="1266">
          <cell r="A1266" t="str">
            <v>MFZ65752324</v>
          </cell>
          <cell r="B1266" t="str">
            <v>SET</v>
          </cell>
          <cell r="C1266" t="str">
            <v>1</v>
          </cell>
          <cell r="D1266">
            <v>100</v>
          </cell>
          <cell r="E1266">
            <v>506</v>
          </cell>
          <cell r="F1266">
            <v>65</v>
          </cell>
          <cell r="G1266" t="str">
            <v>B240NS</v>
          </cell>
          <cell r="H1266">
            <v>1</v>
          </cell>
          <cell r="I1266">
            <v>2</v>
          </cell>
          <cell r="J1266" t="str">
            <v>LG전자</v>
          </cell>
          <cell r="K1266">
            <v>69</v>
          </cell>
          <cell r="L1266">
            <v>73</v>
          </cell>
          <cell r="M1266">
            <v>148</v>
          </cell>
          <cell r="N1266">
            <v>152</v>
          </cell>
          <cell r="P1266">
            <v>1300</v>
          </cell>
          <cell r="Q1266">
            <v>250</v>
          </cell>
          <cell r="R1266" t="str">
            <v>노랑</v>
          </cell>
          <cell r="S1266" t="str">
            <v>노랑</v>
          </cell>
          <cell r="U1266">
            <v>43909</v>
          </cell>
          <cell r="V1266" t="str">
            <v>삼일금형</v>
          </cell>
          <cell r="Y1266" t="str">
            <v>50</v>
          </cell>
          <cell r="Z1266" t="str">
            <v>25302</v>
          </cell>
          <cell r="AC1266" t="str">
            <v>석상준과장, 코팅완료</v>
          </cell>
          <cell r="AD1266">
            <v>0.85</v>
          </cell>
          <cell r="AF1266">
            <v>6</v>
          </cell>
        </row>
        <row r="1267">
          <cell r="A1267" t="str">
            <v>MFZ65752316</v>
          </cell>
          <cell r="B1267" t="str">
            <v>SET</v>
          </cell>
          <cell r="C1267">
            <v>1</v>
          </cell>
          <cell r="D1267">
            <v>100</v>
          </cell>
          <cell r="E1267">
            <v>486</v>
          </cell>
          <cell r="F1267">
            <v>70</v>
          </cell>
          <cell r="G1267" t="str">
            <v>B240NS</v>
          </cell>
          <cell r="H1267">
            <v>4</v>
          </cell>
          <cell r="I1267">
            <v>3</v>
          </cell>
          <cell r="J1267" t="str">
            <v>LG전자</v>
          </cell>
          <cell r="K1267">
            <v>138</v>
          </cell>
          <cell r="L1267">
            <v>142</v>
          </cell>
          <cell r="M1267">
            <v>151</v>
          </cell>
          <cell r="N1267">
            <v>155</v>
          </cell>
          <cell r="P1267">
            <v>1300</v>
          </cell>
          <cell r="Q1267">
            <v>250</v>
          </cell>
          <cell r="R1267" t="str">
            <v>흰색</v>
          </cell>
          <cell r="U1267">
            <v>43817</v>
          </cell>
          <cell r="V1267" t="str">
            <v>삼일금형</v>
          </cell>
          <cell r="W1267" t="str">
            <v>중량관리철저,크래킹많이벌려 찍을것</v>
          </cell>
          <cell r="Y1267">
            <v>50</v>
          </cell>
          <cell r="AC1267" t="str">
            <v>최재학계장</v>
          </cell>
          <cell r="AD1267">
            <v>0.85</v>
          </cell>
          <cell r="AE1267">
            <v>150</v>
          </cell>
          <cell r="AF1267">
            <v>4</v>
          </cell>
        </row>
        <row r="1268">
          <cell r="A1268" t="str">
            <v>MFZ65752315</v>
          </cell>
          <cell r="B1268" t="str">
            <v>SET</v>
          </cell>
          <cell r="C1268">
            <v>1</v>
          </cell>
          <cell r="D1268">
            <v>100</v>
          </cell>
          <cell r="E1268">
            <v>320</v>
          </cell>
          <cell r="F1268">
            <v>65</v>
          </cell>
          <cell r="G1268" t="str">
            <v>B240NS</v>
          </cell>
          <cell r="H1268">
            <v>10</v>
          </cell>
          <cell r="I1268">
            <v>2</v>
          </cell>
          <cell r="J1268" t="str">
            <v>LG전자</v>
          </cell>
          <cell r="K1268">
            <v>23</v>
          </cell>
          <cell r="L1268">
            <v>27</v>
          </cell>
          <cell r="M1268">
            <v>104.5</v>
          </cell>
          <cell r="N1268">
            <v>108.5</v>
          </cell>
          <cell r="P1268">
            <v>1360</v>
          </cell>
          <cell r="Q1268">
            <v>250</v>
          </cell>
          <cell r="R1268" t="str">
            <v>노랑</v>
          </cell>
          <cell r="U1268">
            <v>43804</v>
          </cell>
          <cell r="V1268" t="str">
            <v>삼일금형</v>
          </cell>
          <cell r="W1268" t="str">
            <v>건조확인!!</v>
          </cell>
          <cell r="AD1268">
            <v>0.85</v>
          </cell>
          <cell r="AE1268">
            <v>100</v>
          </cell>
          <cell r="AF1268">
            <v>12</v>
          </cell>
        </row>
        <row r="1269">
          <cell r="A1269" t="str">
            <v>MFZ65752312</v>
          </cell>
          <cell r="B1269" t="str">
            <v>SET</v>
          </cell>
          <cell r="C1269">
            <v>2</v>
          </cell>
          <cell r="D1269">
            <v>100</v>
          </cell>
          <cell r="E1269">
            <v>457</v>
          </cell>
          <cell r="F1269">
            <v>65</v>
          </cell>
          <cell r="G1269" t="str">
            <v>B240NS</v>
          </cell>
          <cell r="H1269">
            <v>4</v>
          </cell>
          <cell r="I1269">
            <v>2</v>
          </cell>
          <cell r="J1269" t="str">
            <v>LG전자</v>
          </cell>
          <cell r="K1269">
            <v>102</v>
          </cell>
          <cell r="L1269">
            <v>104</v>
          </cell>
          <cell r="M1269">
            <v>188</v>
          </cell>
          <cell r="N1269">
            <v>192</v>
          </cell>
          <cell r="O1269">
            <v>10</v>
          </cell>
          <cell r="P1269">
            <v>1300</v>
          </cell>
          <cell r="Q1269">
            <v>300</v>
          </cell>
          <cell r="R1269" t="str">
            <v>빨강</v>
          </cell>
          <cell r="T1269" t="str">
            <v>QLe21MY</v>
          </cell>
          <cell r="U1269">
            <v>43675</v>
          </cell>
          <cell r="V1269" t="str">
            <v>삼일금형</v>
          </cell>
          <cell r="Y1269">
            <v>50</v>
          </cell>
          <cell r="Z1269">
            <v>22841</v>
          </cell>
          <cell r="AC1269" t="str">
            <v>최재학계장</v>
          </cell>
          <cell r="AD1269">
            <v>0.85</v>
          </cell>
          <cell r="AE1269">
            <v>100</v>
          </cell>
          <cell r="AF1269">
            <v>2</v>
          </cell>
        </row>
        <row r="1270">
          <cell r="A1270" t="str">
            <v>MFZ65752311</v>
          </cell>
          <cell r="B1270" t="str">
            <v>SET</v>
          </cell>
          <cell r="C1270">
            <v>2</v>
          </cell>
          <cell r="D1270">
            <v>100</v>
          </cell>
          <cell r="E1270">
            <v>499</v>
          </cell>
          <cell r="F1270">
            <v>65</v>
          </cell>
          <cell r="G1270" t="str">
            <v>B240NS</v>
          </cell>
          <cell r="H1270">
            <v>6</v>
          </cell>
          <cell r="I1270">
            <v>2</v>
          </cell>
          <cell r="J1270" t="str">
            <v>LG전자</v>
          </cell>
          <cell r="K1270">
            <v>77</v>
          </cell>
          <cell r="L1270">
            <v>79</v>
          </cell>
          <cell r="M1270">
            <v>213</v>
          </cell>
          <cell r="N1270">
            <v>217</v>
          </cell>
          <cell r="O1270">
            <v>10</v>
          </cell>
          <cell r="P1270">
            <v>1300</v>
          </cell>
          <cell r="Q1270">
            <v>300</v>
          </cell>
          <cell r="R1270" t="str">
            <v>노랑</v>
          </cell>
          <cell r="T1270" t="str">
            <v>PB_PE</v>
          </cell>
          <cell r="U1270">
            <v>43675</v>
          </cell>
          <cell r="V1270" t="str">
            <v>삼일금형</v>
          </cell>
          <cell r="Y1270">
            <v>50</v>
          </cell>
          <cell r="Z1270">
            <v>24915</v>
          </cell>
          <cell r="AC1270" t="str">
            <v>최재학계장</v>
          </cell>
          <cell r="AD1270">
            <v>0.85</v>
          </cell>
          <cell r="AE1270">
            <v>100</v>
          </cell>
          <cell r="AF1270">
            <v>4</v>
          </cell>
        </row>
        <row r="1271">
          <cell r="A1271" t="str">
            <v>MFZ65752309</v>
          </cell>
          <cell r="B1271" t="str">
            <v>SET</v>
          </cell>
          <cell r="C1271">
            <v>1</v>
          </cell>
          <cell r="D1271">
            <v>90</v>
          </cell>
          <cell r="E1271">
            <v>836</v>
          </cell>
          <cell r="F1271">
            <v>65</v>
          </cell>
          <cell r="G1271" t="str">
            <v>B240NS</v>
          </cell>
          <cell r="H1271">
            <v>4</v>
          </cell>
          <cell r="I1271">
            <v>2</v>
          </cell>
          <cell r="J1271" t="str">
            <v>LG전자</v>
          </cell>
          <cell r="K1271">
            <v>101</v>
          </cell>
          <cell r="L1271">
            <v>105</v>
          </cell>
          <cell r="M1271">
            <v>188</v>
          </cell>
          <cell r="N1271">
            <v>192</v>
          </cell>
          <cell r="O1271">
            <v>10</v>
          </cell>
          <cell r="P1271">
            <v>1300</v>
          </cell>
          <cell r="Q1271">
            <v>300</v>
          </cell>
          <cell r="R1271" t="str">
            <v>빨강2</v>
          </cell>
          <cell r="U1271">
            <v>43650</v>
          </cell>
          <cell r="V1271" t="str">
            <v>삼일금형</v>
          </cell>
          <cell r="W1271" t="str">
            <v>포장:건조 확인</v>
          </cell>
          <cell r="Y1271">
            <v>50</v>
          </cell>
          <cell r="AD1271">
            <v>0.85</v>
          </cell>
          <cell r="AE1271">
            <v>100</v>
          </cell>
          <cell r="AF1271">
            <v>2</v>
          </cell>
        </row>
        <row r="1272">
          <cell r="A1272" t="str">
            <v>MFZ65752306</v>
          </cell>
          <cell r="B1272" t="str">
            <v>SET</v>
          </cell>
          <cell r="C1272">
            <v>1</v>
          </cell>
          <cell r="D1272">
            <v>90</v>
          </cell>
          <cell r="E1272">
            <v>664</v>
          </cell>
          <cell r="F1272">
            <v>65</v>
          </cell>
          <cell r="G1272" t="str">
            <v>B240NS</v>
          </cell>
          <cell r="H1272">
            <v>4</v>
          </cell>
          <cell r="I1272">
            <v>4</v>
          </cell>
          <cell r="J1272" t="str">
            <v>LG전자</v>
          </cell>
          <cell r="K1272">
            <v>106</v>
          </cell>
          <cell r="L1272">
            <v>108</v>
          </cell>
          <cell r="M1272">
            <v>45</v>
          </cell>
          <cell r="N1272">
            <v>47</v>
          </cell>
          <cell r="P1272">
            <v>1300</v>
          </cell>
          <cell r="Q1272">
            <v>200</v>
          </cell>
          <cell r="R1272" t="str">
            <v>노랑</v>
          </cell>
          <cell r="U1272">
            <v>43619</v>
          </cell>
          <cell r="V1272" t="str">
            <v>삼일금형</v>
          </cell>
          <cell r="Y1272">
            <v>50</v>
          </cell>
          <cell r="AC1272" t="str">
            <v>최재학계장</v>
          </cell>
          <cell r="AD1272">
            <v>0.85</v>
          </cell>
          <cell r="AE1272">
            <v>80</v>
          </cell>
          <cell r="AF1272">
            <v>8</v>
          </cell>
        </row>
        <row r="1273">
          <cell r="A1273" t="str">
            <v>MFZ64518296</v>
          </cell>
          <cell r="B1273" t="str">
            <v>SET</v>
          </cell>
          <cell r="C1273">
            <v>2</v>
          </cell>
          <cell r="D1273">
            <v>90</v>
          </cell>
          <cell r="E1273">
            <v>515</v>
          </cell>
          <cell r="F1273">
            <v>65</v>
          </cell>
          <cell r="G1273" t="str">
            <v>B240NS</v>
          </cell>
          <cell r="H1273">
            <v>4</v>
          </cell>
          <cell r="I1273">
            <v>2</v>
          </cell>
          <cell r="J1273" t="str">
            <v>LG전자</v>
          </cell>
          <cell r="K1273">
            <v>72</v>
          </cell>
          <cell r="L1273">
            <v>74</v>
          </cell>
          <cell r="M1273">
            <v>232</v>
          </cell>
          <cell r="N1273">
            <v>237</v>
          </cell>
          <cell r="O1273">
            <v>2704</v>
          </cell>
          <cell r="P1273">
            <v>1300</v>
          </cell>
          <cell r="Q1273">
            <v>350</v>
          </cell>
          <cell r="R1273" t="str">
            <v>보라</v>
          </cell>
          <cell r="S1273" t="str">
            <v>보라</v>
          </cell>
          <cell r="U1273">
            <v>43598</v>
          </cell>
          <cell r="V1273" t="str">
            <v>삼일금형</v>
          </cell>
          <cell r="Y1273">
            <v>50</v>
          </cell>
          <cell r="AC1273" t="str">
            <v>최재학계장</v>
          </cell>
          <cell r="AD1273">
            <v>0.85</v>
          </cell>
          <cell r="AE1273">
            <v>80</v>
          </cell>
          <cell r="AF1273">
            <v>2</v>
          </cell>
        </row>
        <row r="1274">
          <cell r="A1274" t="str">
            <v>MFZ64518292</v>
          </cell>
          <cell r="B1274" t="str">
            <v>SET</v>
          </cell>
          <cell r="C1274">
            <v>1</v>
          </cell>
          <cell r="D1274">
            <v>90</v>
          </cell>
          <cell r="E1274">
            <v>504</v>
          </cell>
          <cell r="F1274">
            <v>65</v>
          </cell>
          <cell r="G1274" t="str">
            <v>B240NS</v>
          </cell>
          <cell r="H1274">
            <v>4</v>
          </cell>
          <cell r="I1274">
            <v>3</v>
          </cell>
          <cell r="J1274" t="str">
            <v>LG전자</v>
          </cell>
          <cell r="K1274">
            <v>84</v>
          </cell>
          <cell r="L1274">
            <v>86</v>
          </cell>
          <cell r="M1274">
            <v>99</v>
          </cell>
          <cell r="N1274">
            <v>101</v>
          </cell>
          <cell r="O1274">
            <v>2646</v>
          </cell>
          <cell r="P1274">
            <v>1300</v>
          </cell>
          <cell r="Q1274">
            <v>250</v>
          </cell>
          <cell r="R1274" t="str">
            <v>주황</v>
          </cell>
          <cell r="U1274">
            <v>43532</v>
          </cell>
          <cell r="V1274" t="str">
            <v>삼일금형</v>
          </cell>
          <cell r="Y1274">
            <v>50</v>
          </cell>
          <cell r="AC1274" t="str">
            <v>최재학 계장</v>
          </cell>
          <cell r="AD1274">
            <v>0.85</v>
          </cell>
          <cell r="AE1274">
            <v>60</v>
          </cell>
          <cell r="AF1274">
            <v>2</v>
          </cell>
        </row>
        <row r="1275">
          <cell r="A1275" t="str">
            <v>MFZ64518289</v>
          </cell>
          <cell r="B1275" t="str">
            <v>SET</v>
          </cell>
          <cell r="C1275">
            <v>1</v>
          </cell>
          <cell r="D1275">
            <v>72</v>
          </cell>
          <cell r="E1275">
            <v>498</v>
          </cell>
          <cell r="F1275">
            <v>70</v>
          </cell>
          <cell r="G1275" t="str">
            <v>B240NS</v>
          </cell>
          <cell r="H1275">
            <v>4</v>
          </cell>
          <cell r="I1275">
            <v>3</v>
          </cell>
          <cell r="J1275" t="str">
            <v>LG전자</v>
          </cell>
          <cell r="O1275">
            <v>2930</v>
          </cell>
          <cell r="P1275">
            <v>1300</v>
          </cell>
          <cell r="Q1275">
            <v>200</v>
          </cell>
          <cell r="R1275" t="str">
            <v>파랑</v>
          </cell>
          <cell r="S1275" t="str">
            <v>파랑</v>
          </cell>
          <cell r="U1275">
            <v>43462</v>
          </cell>
          <cell r="V1275" t="str">
            <v>삼일금형</v>
          </cell>
          <cell r="W1275" t="str">
            <v>초물중량TOP:170~187g,BOT:215~240g, TOP/BOT혼입주의!!!작업방향 맟추기</v>
          </cell>
          <cell r="Y1275">
            <v>50</v>
          </cell>
          <cell r="AD1275">
            <v>0.85</v>
          </cell>
          <cell r="AE1275">
            <v>75</v>
          </cell>
          <cell r="AF1275">
            <v>4</v>
          </cell>
        </row>
        <row r="1276">
          <cell r="A1276" t="str">
            <v>MFZ64518286</v>
          </cell>
          <cell r="B1276" t="str">
            <v>SET</v>
          </cell>
          <cell r="C1276">
            <v>2</v>
          </cell>
          <cell r="D1276">
            <v>90</v>
          </cell>
          <cell r="E1276">
            <v>572</v>
          </cell>
          <cell r="F1276">
            <v>65</v>
          </cell>
          <cell r="G1276" t="str">
            <v>B240NS</v>
          </cell>
          <cell r="H1276">
            <v>4</v>
          </cell>
          <cell r="I1276">
            <v>2</v>
          </cell>
          <cell r="J1276" t="str">
            <v>LG전자</v>
          </cell>
          <cell r="K1276">
            <v>86</v>
          </cell>
          <cell r="L1276">
            <v>90</v>
          </cell>
          <cell r="M1276">
            <v>213</v>
          </cell>
          <cell r="N1276">
            <v>217</v>
          </cell>
          <cell r="O1276">
            <v>3003</v>
          </cell>
          <cell r="P1276">
            <v>1300</v>
          </cell>
          <cell r="Q1276">
            <v>300</v>
          </cell>
          <cell r="R1276" t="str">
            <v>검정</v>
          </cell>
          <cell r="S1276" t="str">
            <v>검정</v>
          </cell>
          <cell r="U1276">
            <v>43339</v>
          </cell>
          <cell r="V1276" t="str">
            <v>삼일금형</v>
          </cell>
          <cell r="Y1276">
            <v>50</v>
          </cell>
          <cell r="AC1276" t="str">
            <v>최재학계장</v>
          </cell>
          <cell r="AD1276">
            <v>0.85</v>
          </cell>
          <cell r="AE1276">
            <v>80</v>
          </cell>
          <cell r="AF1276">
            <v>2</v>
          </cell>
        </row>
        <row r="1277">
          <cell r="A1277" t="str">
            <v>MFZ64518273</v>
          </cell>
          <cell r="B1277" t="str">
            <v>SET</v>
          </cell>
          <cell r="C1277">
            <v>1</v>
          </cell>
          <cell r="D1277">
            <v>110</v>
          </cell>
          <cell r="E1277">
            <v>783</v>
          </cell>
          <cell r="F1277">
            <v>65</v>
          </cell>
          <cell r="G1277" t="str">
            <v>B240NS</v>
          </cell>
          <cell r="H1277">
            <v>4</v>
          </cell>
          <cell r="I1277">
            <v>2</v>
          </cell>
          <cell r="J1277" t="str">
            <v>LG전자</v>
          </cell>
          <cell r="K1277">
            <v>53</v>
          </cell>
          <cell r="L1277">
            <v>55</v>
          </cell>
          <cell r="M1277">
            <v>247</v>
          </cell>
          <cell r="N1277">
            <v>251</v>
          </cell>
          <cell r="O1277">
            <v>4028</v>
          </cell>
          <cell r="P1277">
            <v>1300</v>
          </cell>
          <cell r="Q1277">
            <v>350</v>
          </cell>
          <cell r="R1277" t="str">
            <v>보라</v>
          </cell>
          <cell r="S1277" t="str">
            <v>보라</v>
          </cell>
          <cell r="U1277">
            <v>43136</v>
          </cell>
          <cell r="V1277" t="str">
            <v>삼일금형</v>
          </cell>
          <cell r="Y1277" t="str">
            <v>50</v>
          </cell>
          <cell r="AC1277" t="str">
            <v>최재학계장</v>
          </cell>
          <cell r="AD1277">
            <v>0.85</v>
          </cell>
          <cell r="AE1277">
            <v>85</v>
          </cell>
          <cell r="AF1277">
            <v>2</v>
          </cell>
        </row>
        <row r="1278">
          <cell r="A1278" t="str">
            <v>MFZ64518271</v>
          </cell>
          <cell r="B1278" t="str">
            <v>SET</v>
          </cell>
          <cell r="C1278">
            <v>1</v>
          </cell>
          <cell r="D1278">
            <v>100</v>
          </cell>
          <cell r="E1278">
            <v>781</v>
          </cell>
          <cell r="F1278">
            <v>65</v>
          </cell>
          <cell r="G1278" t="str">
            <v>B240NS</v>
          </cell>
          <cell r="H1278">
            <v>4</v>
          </cell>
          <cell r="I1278">
            <v>2</v>
          </cell>
          <cell r="J1278" t="str">
            <v>LG전자</v>
          </cell>
          <cell r="K1278">
            <v>88</v>
          </cell>
          <cell r="L1278">
            <v>90</v>
          </cell>
          <cell r="M1278">
            <v>198</v>
          </cell>
          <cell r="N1278">
            <v>202</v>
          </cell>
          <cell r="O1278">
            <v>4013</v>
          </cell>
          <cell r="P1278">
            <v>1300</v>
          </cell>
          <cell r="Q1278">
            <v>300</v>
          </cell>
          <cell r="R1278" t="str">
            <v>녹색</v>
          </cell>
          <cell r="S1278" t="str">
            <v>녹색</v>
          </cell>
          <cell r="U1278">
            <v>43143</v>
          </cell>
          <cell r="V1278" t="str">
            <v>삼일금형</v>
          </cell>
          <cell r="Y1278" t="str">
            <v>50</v>
          </cell>
          <cell r="Z1278">
            <v>39050</v>
          </cell>
          <cell r="AC1278" t="str">
            <v>최재학계장</v>
          </cell>
          <cell r="AD1278">
            <v>0.85</v>
          </cell>
          <cell r="AE1278">
            <v>85</v>
          </cell>
          <cell r="AF1278">
            <v>2</v>
          </cell>
        </row>
        <row r="1279">
          <cell r="A1279" t="str">
            <v>MFZ64518268</v>
          </cell>
          <cell r="B1279" t="str">
            <v>SET</v>
          </cell>
          <cell r="C1279">
            <v>1</v>
          </cell>
          <cell r="D1279">
            <v>110</v>
          </cell>
          <cell r="E1279">
            <v>842</v>
          </cell>
          <cell r="F1279">
            <v>65</v>
          </cell>
          <cell r="G1279" t="str">
            <v>B240NS</v>
          </cell>
          <cell r="H1279">
            <v>4</v>
          </cell>
          <cell r="I1279">
            <v>2</v>
          </cell>
          <cell r="J1279" t="str">
            <v>LG전자</v>
          </cell>
          <cell r="K1279">
            <v>38</v>
          </cell>
          <cell r="L1279">
            <v>42</v>
          </cell>
          <cell r="M1279">
            <v>272</v>
          </cell>
          <cell r="N1279">
            <v>276</v>
          </cell>
          <cell r="O1279">
            <v>4245</v>
          </cell>
          <cell r="P1279">
            <v>1300</v>
          </cell>
          <cell r="Q1279">
            <v>350</v>
          </cell>
          <cell r="R1279" t="str">
            <v>파랑</v>
          </cell>
          <cell r="S1279" t="str">
            <v>파랑</v>
          </cell>
          <cell r="U1279">
            <v>43118</v>
          </cell>
          <cell r="V1279" t="str">
            <v>삼일금형</v>
          </cell>
          <cell r="W1279" t="str">
            <v>고정/이동 냉각노즐 확인 냉각불량 주의!</v>
          </cell>
          <cell r="Y1279" t="str">
            <v>50</v>
          </cell>
          <cell r="AC1279" t="str">
            <v>최재학계장</v>
          </cell>
          <cell r="AD1279">
            <v>0.85</v>
          </cell>
          <cell r="AE1279">
            <v>85</v>
          </cell>
          <cell r="AF1279">
            <v>2</v>
          </cell>
        </row>
        <row r="1280">
          <cell r="A1280" t="str">
            <v>MFZ64518267</v>
          </cell>
          <cell r="B1280" t="str">
            <v>SET</v>
          </cell>
          <cell r="C1280">
            <v>1</v>
          </cell>
          <cell r="D1280">
            <v>100</v>
          </cell>
          <cell r="E1280">
            <v>828</v>
          </cell>
          <cell r="F1280">
            <v>65</v>
          </cell>
          <cell r="G1280" t="str">
            <v>B240NS</v>
          </cell>
          <cell r="H1280">
            <v>4</v>
          </cell>
          <cell r="I1280">
            <v>2</v>
          </cell>
          <cell r="J1280" t="str">
            <v>LG전자</v>
          </cell>
          <cell r="K1280">
            <v>73</v>
          </cell>
          <cell r="L1280">
            <v>75</v>
          </cell>
          <cell r="M1280">
            <v>198</v>
          </cell>
          <cell r="N1280">
            <v>202</v>
          </cell>
          <cell r="O1280">
            <v>4500</v>
          </cell>
          <cell r="P1280">
            <v>1300</v>
          </cell>
          <cell r="Q1280">
            <v>300</v>
          </cell>
          <cell r="R1280" t="str">
            <v>노랑</v>
          </cell>
          <cell r="S1280" t="str">
            <v>노랑</v>
          </cell>
          <cell r="U1280">
            <v>43102</v>
          </cell>
          <cell r="V1280" t="str">
            <v>삼일금형</v>
          </cell>
          <cell r="Y1280" t="str">
            <v>50</v>
          </cell>
          <cell r="Z1280">
            <v>41400</v>
          </cell>
          <cell r="AC1280" t="str">
            <v>최재학계장</v>
          </cell>
          <cell r="AD1280">
            <v>0.85</v>
          </cell>
          <cell r="AE1280">
            <v>85</v>
          </cell>
          <cell r="AF1280">
            <v>2</v>
          </cell>
        </row>
        <row r="1281">
          <cell r="A1281" t="str">
            <v>MFZ64518266</v>
          </cell>
          <cell r="B1281" t="str">
            <v>SET</v>
          </cell>
          <cell r="C1281">
            <v>1</v>
          </cell>
          <cell r="D1281">
            <v>100</v>
          </cell>
          <cell r="E1281">
            <v>859</v>
          </cell>
          <cell r="F1281">
            <v>65</v>
          </cell>
          <cell r="G1281" t="str">
            <v>B240NS</v>
          </cell>
          <cell r="H1281">
            <v>4</v>
          </cell>
          <cell r="I1281">
            <v>3</v>
          </cell>
          <cell r="J1281" t="str">
            <v>LG전자</v>
          </cell>
          <cell r="K1281">
            <v>93</v>
          </cell>
          <cell r="L1281">
            <v>96</v>
          </cell>
          <cell r="M1281">
            <v>89</v>
          </cell>
          <cell r="N1281">
            <v>91</v>
          </cell>
          <cell r="O1281">
            <v>4420</v>
          </cell>
          <cell r="P1281">
            <v>1300</v>
          </cell>
          <cell r="Q1281">
            <v>200</v>
          </cell>
          <cell r="R1281" t="str">
            <v>빨강</v>
          </cell>
          <cell r="S1281" t="str">
            <v>빨강</v>
          </cell>
          <cell r="U1281">
            <v>43091</v>
          </cell>
          <cell r="V1281" t="str">
            <v>삼일금형</v>
          </cell>
          <cell r="Y1281" t="str">
            <v>50</v>
          </cell>
          <cell r="AD1281">
            <v>0.85</v>
          </cell>
          <cell r="AE1281">
            <v>100</v>
          </cell>
          <cell r="AF1281">
            <v>2</v>
          </cell>
        </row>
        <row r="1282">
          <cell r="A1282" t="str">
            <v>MFZ64518258</v>
          </cell>
          <cell r="B1282" t="str">
            <v>SET</v>
          </cell>
          <cell r="C1282">
            <v>2</v>
          </cell>
          <cell r="D1282">
            <v>80</v>
          </cell>
          <cell r="E1282">
            <v>544</v>
          </cell>
          <cell r="F1282">
            <v>70</v>
          </cell>
          <cell r="G1282" t="str">
            <v>B240NS</v>
          </cell>
          <cell r="H1282">
            <v>3</v>
          </cell>
          <cell r="I1282">
            <v>2</v>
          </cell>
          <cell r="J1282" t="str">
            <v>모트렉스</v>
          </cell>
          <cell r="K1282">
            <v>190</v>
          </cell>
          <cell r="L1282">
            <v>194</v>
          </cell>
          <cell r="M1282">
            <v>181</v>
          </cell>
          <cell r="N1282">
            <v>185</v>
          </cell>
          <cell r="O1282">
            <v>5250</v>
          </cell>
          <cell r="P1282">
            <v>1360</v>
          </cell>
          <cell r="Q1282">
            <v>300</v>
          </cell>
          <cell r="R1282" t="str">
            <v>검정</v>
          </cell>
          <cell r="S1282" t="str">
            <v>검정</v>
          </cell>
          <cell r="T1282" t="str">
            <v>냉각불량, 배부름 확인 필!!!</v>
          </cell>
          <cell r="U1282">
            <v>43216</v>
          </cell>
          <cell r="V1282" t="str">
            <v>금형제조부</v>
          </cell>
          <cell r="W1282" t="str">
            <v>2번 건조, SC721032A,스티로폼(BD/CD/OS/580*480*375)</v>
          </cell>
          <cell r="Y1282">
            <v>60</v>
          </cell>
          <cell r="Z1282">
            <v>61489</v>
          </cell>
          <cell r="AC1282" t="str">
            <v>최재학계장,190102 아산대여,2019.04.24끈색변경(노랑-&gt;검정), 2020.04.13 파손수리, 2021.01.15배율변경(74-&gt;70), 2021.01.28 코팅완료</v>
          </cell>
          <cell r="AD1282">
            <v>0.85</v>
          </cell>
          <cell r="AE1282">
            <v>75</v>
          </cell>
          <cell r="AF1282">
            <v>4</v>
          </cell>
        </row>
        <row r="1283">
          <cell r="A1283" t="str">
            <v>MFZ64518256</v>
          </cell>
          <cell r="B1283" t="str">
            <v>SET</v>
          </cell>
          <cell r="C1283">
            <v>1</v>
          </cell>
          <cell r="D1283">
            <v>100</v>
          </cell>
          <cell r="E1283">
            <v>720</v>
          </cell>
          <cell r="F1283">
            <v>65</v>
          </cell>
          <cell r="G1283" t="str">
            <v>B240NS</v>
          </cell>
          <cell r="H1283">
            <v>4</v>
          </cell>
          <cell r="I1283">
            <v>2</v>
          </cell>
          <cell r="J1283" t="str">
            <v>LG전자</v>
          </cell>
          <cell r="K1283">
            <v>39</v>
          </cell>
          <cell r="L1283">
            <v>41</v>
          </cell>
          <cell r="M1283">
            <v>272</v>
          </cell>
          <cell r="N1283">
            <v>276</v>
          </cell>
          <cell r="O1283">
            <v>3704</v>
          </cell>
          <cell r="P1283">
            <v>1300</v>
          </cell>
          <cell r="Q1283">
            <v>350</v>
          </cell>
          <cell r="R1283" t="str">
            <v>빨강</v>
          </cell>
          <cell r="S1283" t="str">
            <v>빨강</v>
          </cell>
          <cell r="U1283">
            <v>42979</v>
          </cell>
          <cell r="V1283" t="str">
            <v>삼일금형</v>
          </cell>
          <cell r="W1283" t="str">
            <v>고정/이동 냉각노즐 확인 냉각불량 주의!</v>
          </cell>
          <cell r="Y1283" t="str">
            <v>50</v>
          </cell>
          <cell r="AC1283" t="str">
            <v>최재학계장,2017.10.11기준배율변경(62-&gt;53)</v>
          </cell>
          <cell r="AD1283">
            <v>0.85</v>
          </cell>
          <cell r="AE1283">
            <v>90</v>
          </cell>
          <cell r="AF1283">
            <v>2</v>
          </cell>
        </row>
        <row r="1284">
          <cell r="A1284" t="str">
            <v>MFZ64518255</v>
          </cell>
          <cell r="B1284" t="str">
            <v>SET</v>
          </cell>
          <cell r="C1284">
            <v>1</v>
          </cell>
          <cell r="D1284">
            <v>100</v>
          </cell>
          <cell r="E1284">
            <v>793</v>
          </cell>
          <cell r="F1284">
            <v>65</v>
          </cell>
          <cell r="G1284" t="str">
            <v>B240NS</v>
          </cell>
          <cell r="H1284">
            <v>4</v>
          </cell>
          <cell r="I1284">
            <v>2</v>
          </cell>
          <cell r="J1284" t="str">
            <v>LG전자</v>
          </cell>
          <cell r="K1284">
            <v>272</v>
          </cell>
          <cell r="L1284">
            <v>276</v>
          </cell>
          <cell r="M1284">
            <v>35</v>
          </cell>
          <cell r="N1284">
            <v>39</v>
          </cell>
          <cell r="O1284">
            <v>4080</v>
          </cell>
          <cell r="P1284">
            <v>1300</v>
          </cell>
          <cell r="Q1284">
            <v>350</v>
          </cell>
          <cell r="R1284" t="str">
            <v>흰색</v>
          </cell>
          <cell r="S1284" t="str">
            <v>흰색</v>
          </cell>
          <cell r="U1284">
            <v>42923</v>
          </cell>
          <cell r="V1284" t="str">
            <v>삼일금형</v>
          </cell>
          <cell r="Y1284" t="str">
            <v>50</v>
          </cell>
          <cell r="AC1284" t="str">
            <v>최재학계장,2017.09.07끈색변경(노랑-&gt;녹색),2017.10.11기준배율변경(62-&gt;53),끈색변경(녹색-&gt;흰색)</v>
          </cell>
          <cell r="AD1284">
            <v>0.85</v>
          </cell>
          <cell r="AE1284">
            <v>85</v>
          </cell>
          <cell r="AF1284">
            <v>2</v>
          </cell>
        </row>
        <row r="1285">
          <cell r="A1285" t="str">
            <v>MFZ64518254</v>
          </cell>
          <cell r="B1285" t="str">
            <v>SET</v>
          </cell>
          <cell r="C1285">
            <v>1</v>
          </cell>
          <cell r="D1285">
            <v>100</v>
          </cell>
          <cell r="E1285">
            <v>883</v>
          </cell>
          <cell r="F1285">
            <v>65</v>
          </cell>
          <cell r="G1285" t="str">
            <v>B240NS</v>
          </cell>
          <cell r="H1285">
            <v>1</v>
          </cell>
          <cell r="I1285">
            <v>2</v>
          </cell>
          <cell r="J1285" t="str">
            <v>LG전자</v>
          </cell>
          <cell r="K1285">
            <v>36</v>
          </cell>
          <cell r="L1285">
            <v>38</v>
          </cell>
          <cell r="M1285">
            <v>247</v>
          </cell>
          <cell r="N1285">
            <v>251</v>
          </cell>
          <cell r="O1285">
            <v>4683</v>
          </cell>
          <cell r="P1285">
            <v>1300</v>
          </cell>
          <cell r="Q1285">
            <v>350</v>
          </cell>
          <cell r="S1285">
            <v>0</v>
          </cell>
          <cell r="U1285">
            <v>42935</v>
          </cell>
          <cell r="V1285" t="str">
            <v>삼일금형</v>
          </cell>
          <cell r="Y1285" t="str">
            <v>50</v>
          </cell>
          <cell r="AC1285" t="str">
            <v>최재학계장,2017.10.11기준배율변경(62-&gt;53)</v>
          </cell>
          <cell r="AD1285">
            <v>0.85</v>
          </cell>
          <cell r="AE1285">
            <v>85</v>
          </cell>
          <cell r="AF1285">
            <v>2</v>
          </cell>
        </row>
        <row r="1286">
          <cell r="A1286" t="str">
            <v>MFZ64518253</v>
          </cell>
          <cell r="B1286" t="str">
            <v>SET</v>
          </cell>
          <cell r="C1286">
            <v>1</v>
          </cell>
          <cell r="D1286">
            <v>90</v>
          </cell>
          <cell r="E1286">
            <v>838</v>
          </cell>
          <cell r="F1286">
            <v>65</v>
          </cell>
          <cell r="G1286" t="str">
            <v>B240NS</v>
          </cell>
          <cell r="H1286">
            <v>3</v>
          </cell>
          <cell r="I1286">
            <v>2</v>
          </cell>
          <cell r="J1286" t="str">
            <v>LG전자</v>
          </cell>
          <cell r="K1286">
            <v>103</v>
          </cell>
          <cell r="L1286">
            <v>105</v>
          </cell>
          <cell r="M1286">
            <v>218</v>
          </cell>
          <cell r="N1286">
            <v>222</v>
          </cell>
          <cell r="O1286">
            <v>4312</v>
          </cell>
          <cell r="P1286">
            <v>1300</v>
          </cell>
          <cell r="Q1286">
            <v>350</v>
          </cell>
          <cell r="R1286" t="str">
            <v>보라</v>
          </cell>
          <cell r="S1286" t="str">
            <v>보라</v>
          </cell>
          <cell r="U1286">
            <v>42940</v>
          </cell>
          <cell r="V1286" t="str">
            <v>삼일금형</v>
          </cell>
          <cell r="W1286" t="str">
            <v>냉각 불량주의!!</v>
          </cell>
          <cell r="Y1286" t="str">
            <v>50</v>
          </cell>
          <cell r="Z1286" t="str">
            <v>24900</v>
          </cell>
          <cell r="AC1286" t="str">
            <v>최재학계장,2017.10.11기준배율변경(62-&gt;53)</v>
          </cell>
          <cell r="AD1286">
            <v>0.85</v>
          </cell>
          <cell r="AE1286">
            <v>85</v>
          </cell>
          <cell r="AF1286">
            <v>2</v>
          </cell>
        </row>
        <row r="1287">
          <cell r="A1287" t="str">
            <v>MFZ64518247</v>
          </cell>
          <cell r="B1287" t="str">
            <v>SET</v>
          </cell>
          <cell r="C1287">
            <v>1</v>
          </cell>
          <cell r="D1287">
            <v>100</v>
          </cell>
          <cell r="E1287">
            <v>604</v>
          </cell>
          <cell r="F1287">
            <v>65</v>
          </cell>
          <cell r="G1287" t="str">
            <v>B240NS</v>
          </cell>
          <cell r="H1287">
            <v>4</v>
          </cell>
          <cell r="I1287">
            <v>2</v>
          </cell>
          <cell r="J1287" t="str">
            <v>LG전자</v>
          </cell>
          <cell r="K1287">
            <v>60</v>
          </cell>
          <cell r="L1287">
            <v>62</v>
          </cell>
          <cell r="M1287">
            <v>240</v>
          </cell>
          <cell r="N1287">
            <v>244</v>
          </cell>
          <cell r="O1287">
            <v>3171</v>
          </cell>
          <cell r="P1287">
            <v>1300</v>
          </cell>
          <cell r="Q1287">
            <v>350</v>
          </cell>
          <cell r="R1287" t="str">
            <v>검정</v>
          </cell>
          <cell r="S1287" t="str">
            <v>검정</v>
          </cell>
          <cell r="U1287">
            <v>42884</v>
          </cell>
          <cell r="V1287" t="str">
            <v>삼일금형</v>
          </cell>
          <cell r="W1287" t="str">
            <v>MFZ64518248SET금형</v>
          </cell>
          <cell r="Y1287" t="str">
            <v>50</v>
          </cell>
          <cell r="Z1287" t="str">
            <v>30,181</v>
          </cell>
          <cell r="AC1287" t="str">
            <v>최재학계장,2017.10.11기준배율변경(62-&gt;53)</v>
          </cell>
          <cell r="AD1287">
            <v>0.85</v>
          </cell>
          <cell r="AE1287">
            <v>85</v>
          </cell>
          <cell r="AF1287">
            <v>2</v>
          </cell>
        </row>
        <row r="1288">
          <cell r="A1288" t="str">
            <v>MFZ64518246</v>
          </cell>
          <cell r="B1288" t="str">
            <v>SET</v>
          </cell>
          <cell r="C1288">
            <v>1</v>
          </cell>
          <cell r="D1288">
            <v>100</v>
          </cell>
          <cell r="E1288">
            <v>774</v>
          </cell>
          <cell r="F1288">
            <v>53</v>
          </cell>
          <cell r="G1288" t="str">
            <v>B240NS</v>
          </cell>
          <cell r="H1288">
            <v>4</v>
          </cell>
          <cell r="I1288">
            <v>2</v>
          </cell>
          <cell r="J1288" t="str">
            <v>LG전자</v>
          </cell>
          <cell r="K1288">
            <v>59</v>
          </cell>
          <cell r="L1288">
            <v>61</v>
          </cell>
          <cell r="M1288">
            <v>272</v>
          </cell>
          <cell r="N1288">
            <v>276</v>
          </cell>
          <cell r="O1288">
            <v>3902</v>
          </cell>
          <cell r="P1288">
            <v>1300</v>
          </cell>
          <cell r="Q1288">
            <v>350</v>
          </cell>
          <cell r="R1288" t="str">
            <v>빨강</v>
          </cell>
          <cell r="S1288" t="str">
            <v>빨강</v>
          </cell>
          <cell r="U1288">
            <v>42849</v>
          </cell>
          <cell r="V1288" t="str">
            <v>삼일금형</v>
          </cell>
          <cell r="W1288" t="str">
            <v>53배 5mm이내 중량확인!!</v>
          </cell>
          <cell r="Y1288" t="str">
            <v>50</v>
          </cell>
          <cell r="AC1288" t="str">
            <v>최재학계장,2017.10.11기준배율변경(62-&gt;53)</v>
          </cell>
          <cell r="AD1288">
            <v>0.85</v>
          </cell>
          <cell r="AE1288">
            <v>85</v>
          </cell>
          <cell r="AF1288">
            <v>3</v>
          </cell>
        </row>
        <row r="1289">
          <cell r="A1289" t="str">
            <v>MFZ64518232</v>
          </cell>
          <cell r="B1289" t="str">
            <v>SET</v>
          </cell>
          <cell r="C1289">
            <v>2</v>
          </cell>
          <cell r="D1289">
            <v>80</v>
          </cell>
          <cell r="E1289">
            <v>612</v>
          </cell>
          <cell r="F1289">
            <v>65</v>
          </cell>
          <cell r="G1289" t="str">
            <v>B240NS</v>
          </cell>
          <cell r="H1289">
            <v>4</v>
          </cell>
          <cell r="I1289">
            <v>2</v>
          </cell>
          <cell r="J1289" t="str">
            <v>LG전자</v>
          </cell>
          <cell r="K1289">
            <v>173</v>
          </cell>
          <cell r="L1289">
            <v>175</v>
          </cell>
          <cell r="M1289">
            <v>173</v>
          </cell>
          <cell r="N1289">
            <v>175</v>
          </cell>
          <cell r="O1289">
            <v>3071</v>
          </cell>
          <cell r="P1289">
            <v>1300</v>
          </cell>
          <cell r="Q1289">
            <v>250</v>
          </cell>
          <cell r="R1289" t="str">
            <v>파랑</v>
          </cell>
          <cell r="S1289" t="str">
            <v>파랑</v>
          </cell>
          <cell r="T1289" t="str">
            <v>LAN7000EKFB</v>
          </cell>
          <cell r="U1289">
            <v>42444</v>
          </cell>
          <cell r="V1289" t="str">
            <v>삼일금형</v>
          </cell>
          <cell r="W1289" t="str">
            <v>LAN7000EKFB</v>
          </cell>
          <cell r="AC1289" t="str">
            <v>최재학사원</v>
          </cell>
          <cell r="AD1289">
            <v>0.85</v>
          </cell>
          <cell r="AE1289">
            <v>80</v>
          </cell>
          <cell r="AF1289">
            <v>4</v>
          </cell>
        </row>
        <row r="1290">
          <cell r="A1290" t="str">
            <v>MFZ64518231</v>
          </cell>
          <cell r="B1290" t="str">
            <v>SET</v>
          </cell>
          <cell r="C1290">
            <v>1</v>
          </cell>
          <cell r="D1290">
            <v>100</v>
          </cell>
          <cell r="E1290">
            <v>831</v>
          </cell>
          <cell r="F1290">
            <v>65</v>
          </cell>
          <cell r="G1290" t="str">
            <v>B240NS</v>
          </cell>
          <cell r="H1290">
            <v>4</v>
          </cell>
          <cell r="I1290">
            <v>2</v>
          </cell>
          <cell r="J1290" t="str">
            <v>LG전자</v>
          </cell>
          <cell r="K1290">
            <v>124</v>
          </cell>
          <cell r="L1290">
            <v>126</v>
          </cell>
          <cell r="M1290">
            <v>159</v>
          </cell>
          <cell r="N1290">
            <v>161</v>
          </cell>
          <cell r="O1290">
            <v>4175</v>
          </cell>
          <cell r="P1290">
            <v>1300</v>
          </cell>
          <cell r="Q1290">
            <v>350</v>
          </cell>
          <cell r="R1290" t="str">
            <v>검정</v>
          </cell>
          <cell r="S1290" t="str">
            <v>검정</v>
          </cell>
          <cell r="T1290" t="str">
            <v>LAN6200EHIA</v>
          </cell>
          <cell r="U1290">
            <v>42419</v>
          </cell>
          <cell r="V1290" t="str">
            <v>삼일금형</v>
          </cell>
          <cell r="W1290" t="str">
            <v>LAN6200EHIA</v>
          </cell>
          <cell r="Y1290">
            <v>50</v>
          </cell>
          <cell r="AC1290" t="str">
            <v>최재학사원</v>
          </cell>
          <cell r="AD1290">
            <v>0.85</v>
          </cell>
          <cell r="AE1290">
            <v>85</v>
          </cell>
          <cell r="AF1290">
            <v>4</v>
          </cell>
        </row>
        <row r="1291">
          <cell r="A1291" t="str">
            <v>MFZ64518230</v>
          </cell>
          <cell r="B1291" t="str">
            <v>SET</v>
          </cell>
          <cell r="C1291">
            <v>2</v>
          </cell>
          <cell r="D1291">
            <v>100</v>
          </cell>
          <cell r="E1291">
            <v>606</v>
          </cell>
          <cell r="F1291">
            <v>65</v>
          </cell>
          <cell r="G1291" t="str">
            <v>B240NS</v>
          </cell>
          <cell r="H1291">
            <v>4</v>
          </cell>
          <cell r="I1291">
            <v>2</v>
          </cell>
          <cell r="J1291" t="str">
            <v>LG전자</v>
          </cell>
          <cell r="K1291">
            <v>173</v>
          </cell>
          <cell r="L1291">
            <v>175</v>
          </cell>
          <cell r="M1291">
            <v>173</v>
          </cell>
          <cell r="N1291">
            <v>175</v>
          </cell>
          <cell r="O1291">
            <v>3010</v>
          </cell>
          <cell r="P1291">
            <v>1300</v>
          </cell>
          <cell r="Q1291">
            <v>250</v>
          </cell>
          <cell r="R1291" t="str">
            <v>노랑</v>
          </cell>
          <cell r="S1291" t="str">
            <v>빨강</v>
          </cell>
          <cell r="T1291" t="str">
            <v>AVN PB</v>
          </cell>
          <cell r="U1291">
            <v>42355</v>
          </cell>
          <cell r="V1291" t="str">
            <v>삼일금형</v>
          </cell>
          <cell r="W1291" t="str">
            <v>크라킹 확인 중량관리 철저!</v>
          </cell>
          <cell r="AC1291" t="str">
            <v>최재학사원</v>
          </cell>
          <cell r="AD1291">
            <v>0.85</v>
          </cell>
          <cell r="AE1291">
            <v>75</v>
          </cell>
          <cell r="AF1291">
            <v>3</v>
          </cell>
        </row>
        <row r="1292">
          <cell r="A1292" t="str">
            <v>MFZ64518229</v>
          </cell>
          <cell r="B1292" t="str">
            <v>SET</v>
          </cell>
          <cell r="C1292">
            <v>1</v>
          </cell>
          <cell r="D1292">
            <v>95</v>
          </cell>
          <cell r="E1292">
            <v>735</v>
          </cell>
          <cell r="F1292">
            <v>65</v>
          </cell>
          <cell r="G1292" t="str">
            <v>B240NS</v>
          </cell>
          <cell r="H1292">
            <v>4</v>
          </cell>
          <cell r="I1292">
            <v>2</v>
          </cell>
          <cell r="J1292" t="str">
            <v>LG전자</v>
          </cell>
          <cell r="O1292">
            <v>4000</v>
          </cell>
          <cell r="P1292">
            <v>1300</v>
          </cell>
          <cell r="Q1292">
            <v>350</v>
          </cell>
          <cell r="R1292" t="str">
            <v>녹색</v>
          </cell>
          <cell r="S1292" t="str">
            <v>녹색</v>
          </cell>
          <cell r="T1292" t="str">
            <v>LNN2230</v>
          </cell>
          <cell r="U1292">
            <v>42321</v>
          </cell>
          <cell r="V1292" t="str">
            <v>삼일금형</v>
          </cell>
          <cell r="W1292" t="str">
            <v>LNN2230</v>
          </cell>
          <cell r="AC1292" t="str">
            <v>김창준입고,2016.07.19 기준중량변경(243-&gt;735)</v>
          </cell>
          <cell r="AD1292">
            <v>0.85</v>
          </cell>
          <cell r="AE1292">
            <v>95</v>
          </cell>
          <cell r="AF1292">
            <v>2</v>
          </cell>
        </row>
        <row r="1293">
          <cell r="A1293" t="str">
            <v>MFZ64518228</v>
          </cell>
          <cell r="B1293" t="str">
            <v>SET</v>
          </cell>
          <cell r="C1293">
            <v>1</v>
          </cell>
          <cell r="D1293">
            <v>90</v>
          </cell>
          <cell r="E1293">
            <v>620</v>
          </cell>
          <cell r="F1293">
            <v>70</v>
          </cell>
          <cell r="G1293" t="str">
            <v>B240NS</v>
          </cell>
          <cell r="H1293">
            <v>4</v>
          </cell>
          <cell r="I1293">
            <v>2</v>
          </cell>
          <cell r="J1293" t="str">
            <v>LG전자</v>
          </cell>
          <cell r="K1293">
            <v>116</v>
          </cell>
          <cell r="L1293">
            <v>118</v>
          </cell>
          <cell r="M1293">
            <v>144</v>
          </cell>
          <cell r="N1293">
            <v>146</v>
          </cell>
          <cell r="O1293">
            <v>3080</v>
          </cell>
          <cell r="P1293">
            <v>1300</v>
          </cell>
          <cell r="Q1293">
            <v>350</v>
          </cell>
          <cell r="R1293" t="str">
            <v>검정</v>
          </cell>
          <cell r="S1293" t="str">
            <v>검정</v>
          </cell>
          <cell r="U1293">
            <v>42269</v>
          </cell>
          <cell r="V1293" t="str">
            <v>삼일금형</v>
          </cell>
          <cell r="AC1293" t="str">
            <v>최재학사원, 181026(62배-&gt;68배)</v>
          </cell>
          <cell r="AD1293">
            <v>0.85</v>
          </cell>
          <cell r="AE1293">
            <v>85</v>
          </cell>
          <cell r="AF1293">
            <v>2</v>
          </cell>
        </row>
        <row r="1294">
          <cell r="A1294" t="str">
            <v>MFZ64518227</v>
          </cell>
          <cell r="B1294" t="str">
            <v>SET</v>
          </cell>
          <cell r="C1294">
            <v>2</v>
          </cell>
          <cell r="D1294">
            <v>120</v>
          </cell>
          <cell r="E1294">
            <v>470</v>
          </cell>
          <cell r="F1294">
            <v>65</v>
          </cell>
          <cell r="G1294" t="str">
            <v>B240NS</v>
          </cell>
          <cell r="H1294">
            <v>4</v>
          </cell>
          <cell r="I1294">
            <v>2</v>
          </cell>
          <cell r="J1294" t="str">
            <v>LG전자</v>
          </cell>
          <cell r="K1294">
            <v>124</v>
          </cell>
          <cell r="L1294">
            <v>126</v>
          </cell>
          <cell r="M1294">
            <v>170</v>
          </cell>
          <cell r="N1294">
            <v>172</v>
          </cell>
          <cell r="O1294">
            <v>10</v>
          </cell>
          <cell r="P1294">
            <v>1300</v>
          </cell>
          <cell r="Q1294">
            <v>350</v>
          </cell>
          <cell r="R1294" t="str">
            <v>검정</v>
          </cell>
          <cell r="S1294" t="str">
            <v>검정</v>
          </cell>
          <cell r="U1294">
            <v>42242</v>
          </cell>
          <cell r="V1294" t="str">
            <v>삼일금형</v>
          </cell>
          <cell r="AC1294" t="str">
            <v>최재학사원</v>
          </cell>
          <cell r="AD1294">
            <v>0.85</v>
          </cell>
          <cell r="AE1294">
            <v>85</v>
          </cell>
          <cell r="AF1294">
            <v>2</v>
          </cell>
        </row>
        <row r="1295">
          <cell r="A1295" t="str">
            <v>MFZ64518220</v>
          </cell>
          <cell r="B1295" t="str">
            <v>SET</v>
          </cell>
          <cell r="C1295">
            <v>1</v>
          </cell>
          <cell r="D1295">
            <v>80</v>
          </cell>
          <cell r="E1295">
            <v>580</v>
          </cell>
          <cell r="F1295">
            <v>65</v>
          </cell>
          <cell r="G1295" t="str">
            <v>B240NS</v>
          </cell>
          <cell r="H1295">
            <v>4</v>
          </cell>
          <cell r="I1295">
            <v>2</v>
          </cell>
          <cell r="J1295" t="str">
            <v>LG전자</v>
          </cell>
          <cell r="K1295">
            <v>136</v>
          </cell>
          <cell r="L1295">
            <v>138</v>
          </cell>
          <cell r="M1295">
            <v>149</v>
          </cell>
          <cell r="N1295">
            <v>151</v>
          </cell>
          <cell r="O1295">
            <v>2725</v>
          </cell>
          <cell r="P1295">
            <v>1300</v>
          </cell>
          <cell r="Q1295">
            <v>250</v>
          </cell>
          <cell r="R1295" t="str">
            <v>보라</v>
          </cell>
          <cell r="S1295" t="str">
            <v>보라</v>
          </cell>
          <cell r="T1295" t="str">
            <v>LSP2GTS</v>
          </cell>
          <cell r="U1295">
            <v>42010</v>
          </cell>
          <cell r="V1295" t="str">
            <v>삼일금형</v>
          </cell>
          <cell r="W1295" t="str">
            <v>LSP2GTS</v>
          </cell>
          <cell r="X1295" t="str">
            <v>D-0105</v>
          </cell>
          <cell r="Y1295">
            <v>50</v>
          </cell>
          <cell r="Z1295">
            <v>28377</v>
          </cell>
          <cell r="AC1295" t="str">
            <v>김일환계장코팅완료2015.03.23끈색변경(주황,녹색-&gt;보라)</v>
          </cell>
          <cell r="AD1295">
            <v>0.85</v>
          </cell>
          <cell r="AE1295">
            <v>80</v>
          </cell>
          <cell r="AF1295">
            <v>2</v>
          </cell>
        </row>
        <row r="1296">
          <cell r="A1296" t="str">
            <v>MFZ64518210</v>
          </cell>
          <cell r="B1296" t="str">
            <v>SET</v>
          </cell>
          <cell r="C1296">
            <v>1</v>
          </cell>
          <cell r="D1296">
            <v>90</v>
          </cell>
          <cell r="E1296">
            <v>729</v>
          </cell>
          <cell r="F1296">
            <v>65</v>
          </cell>
          <cell r="G1296" t="str">
            <v>B240NS</v>
          </cell>
          <cell r="H1296">
            <v>4</v>
          </cell>
          <cell r="I1296">
            <v>2</v>
          </cell>
          <cell r="J1296" t="str">
            <v>LG전자</v>
          </cell>
          <cell r="K1296">
            <v>114</v>
          </cell>
          <cell r="L1296">
            <v>116</v>
          </cell>
          <cell r="M1296">
            <v>253</v>
          </cell>
          <cell r="N1296">
            <v>257</v>
          </cell>
          <cell r="O1296">
            <v>3322</v>
          </cell>
          <cell r="P1296">
            <v>1300</v>
          </cell>
          <cell r="Q1296">
            <v>350</v>
          </cell>
          <cell r="R1296" t="str">
            <v>보라</v>
          </cell>
          <cell r="S1296" t="str">
            <v>보라</v>
          </cell>
          <cell r="T1296" t="str">
            <v>LAN5202</v>
          </cell>
          <cell r="U1296">
            <v>41946</v>
          </cell>
          <cell r="V1296" t="str">
            <v>삼일금형</v>
          </cell>
          <cell r="W1296" t="str">
            <v>LAN5202</v>
          </cell>
          <cell r="X1296" t="str">
            <v>D-0101</v>
          </cell>
          <cell r="Y1296">
            <v>50</v>
          </cell>
          <cell r="AC1296" t="str">
            <v>260kg김일환사원코팅완료2015.03.30소정</v>
          </cell>
          <cell r="AD1296">
            <v>0.85</v>
          </cell>
          <cell r="AE1296">
            <v>90</v>
          </cell>
          <cell r="AF1296">
            <v>5</v>
          </cell>
        </row>
        <row r="1297">
          <cell r="A1297" t="str">
            <v>MFZ64518207</v>
          </cell>
          <cell r="B1297" t="str">
            <v>SET</v>
          </cell>
          <cell r="C1297">
            <v>2</v>
          </cell>
          <cell r="D1297">
            <v>100</v>
          </cell>
          <cell r="E1297">
            <v>288</v>
          </cell>
          <cell r="F1297">
            <v>65</v>
          </cell>
          <cell r="G1297" t="str">
            <v>B240NS</v>
          </cell>
          <cell r="H1297">
            <v>1</v>
          </cell>
          <cell r="I1297">
            <v>2</v>
          </cell>
          <cell r="J1297" t="str">
            <v>LG전자</v>
          </cell>
          <cell r="K1297">
            <v>98</v>
          </cell>
          <cell r="L1297">
            <v>102</v>
          </cell>
          <cell r="M1297">
            <v>158</v>
          </cell>
          <cell r="N1297">
            <v>162</v>
          </cell>
          <cell r="O1297">
            <v>10</v>
          </cell>
          <cell r="P1297">
            <v>1300</v>
          </cell>
          <cell r="Q1297">
            <v>200</v>
          </cell>
          <cell r="S1297">
            <v>0</v>
          </cell>
          <cell r="T1297" t="str">
            <v>MOTREXFRONTMONITOR</v>
          </cell>
          <cell r="U1297">
            <v>41900</v>
          </cell>
          <cell r="V1297" t="str">
            <v>삼일금형</v>
          </cell>
          <cell r="W1297" t="str">
            <v>MOTREXFRONTMONITOR</v>
          </cell>
          <cell r="X1297" t="str">
            <v>R-0201</v>
          </cell>
          <cell r="Y1297">
            <v>50</v>
          </cell>
          <cell r="AC1297" t="str">
            <v>김일환사원, 2014.09.18코팅완료</v>
          </cell>
          <cell r="AD1297">
            <v>0.85</v>
          </cell>
          <cell r="AE1297">
            <v>100</v>
          </cell>
          <cell r="AF1297">
            <v>2</v>
          </cell>
        </row>
        <row r="1298">
          <cell r="A1298" t="str">
            <v>MFZ64518206</v>
          </cell>
          <cell r="B1298" t="str">
            <v>SET</v>
          </cell>
          <cell r="C1298">
            <v>1</v>
          </cell>
          <cell r="D1298">
            <v>90</v>
          </cell>
          <cell r="E1298">
            <v>680</v>
          </cell>
          <cell r="F1298">
            <v>65</v>
          </cell>
          <cell r="G1298" t="str">
            <v>B240NS</v>
          </cell>
          <cell r="H1298">
            <v>1</v>
          </cell>
          <cell r="I1298">
            <v>2</v>
          </cell>
          <cell r="J1298" t="str">
            <v>LG전자</v>
          </cell>
          <cell r="K1298">
            <v>116</v>
          </cell>
          <cell r="L1298">
            <v>120</v>
          </cell>
          <cell r="M1298">
            <v>178</v>
          </cell>
          <cell r="N1298">
            <v>182</v>
          </cell>
          <cell r="O1298">
            <v>10</v>
          </cell>
          <cell r="P1298">
            <v>1300</v>
          </cell>
          <cell r="Q1298">
            <v>300</v>
          </cell>
          <cell r="S1298">
            <v>0</v>
          </cell>
          <cell r="T1298" t="str">
            <v>MOTREXAVN</v>
          </cell>
          <cell r="U1298">
            <v>41900</v>
          </cell>
          <cell r="V1298" t="str">
            <v>삼일금형</v>
          </cell>
          <cell r="W1298" t="str">
            <v>MOTREXAVN</v>
          </cell>
          <cell r="X1298" t="str">
            <v>계양리 B-3</v>
          </cell>
          <cell r="Y1298">
            <v>50</v>
          </cell>
          <cell r="AC1298" t="str">
            <v>김일환사원, 2014.09.18코팅완료2014.12.12수정</v>
          </cell>
          <cell r="AD1298">
            <v>0.85</v>
          </cell>
          <cell r="AE1298">
            <v>90</v>
          </cell>
          <cell r="AF1298">
            <v>4</v>
          </cell>
        </row>
        <row r="1299">
          <cell r="A1299" t="str">
            <v>MFZ64518201</v>
          </cell>
          <cell r="B1299" t="str">
            <v>SET</v>
          </cell>
          <cell r="C1299">
            <v>1</v>
          </cell>
          <cell r="D1299">
            <v>90</v>
          </cell>
          <cell r="E1299">
            <v>590</v>
          </cell>
          <cell r="F1299">
            <v>65</v>
          </cell>
          <cell r="G1299" t="str">
            <v>B240NS</v>
          </cell>
          <cell r="H1299">
            <v>4</v>
          </cell>
          <cell r="I1299">
            <v>2</v>
          </cell>
          <cell r="J1299" t="str">
            <v>LG전자</v>
          </cell>
          <cell r="K1299">
            <v>100</v>
          </cell>
          <cell r="L1299">
            <v>104</v>
          </cell>
          <cell r="M1299">
            <v>238</v>
          </cell>
          <cell r="N1299">
            <v>242</v>
          </cell>
          <cell r="O1299">
            <v>2689</v>
          </cell>
          <cell r="P1299">
            <v>1300</v>
          </cell>
          <cell r="Q1299">
            <v>350</v>
          </cell>
          <cell r="R1299" t="str">
            <v>검정</v>
          </cell>
          <cell r="S1299" t="str">
            <v>검정</v>
          </cell>
          <cell r="T1299" t="str">
            <v>MFZ64518201</v>
          </cell>
          <cell r="U1299">
            <v>41870</v>
          </cell>
          <cell r="V1299" t="str">
            <v>삼일금형</v>
          </cell>
          <cell r="W1299" t="str">
            <v>LAN5202TB</v>
          </cell>
          <cell r="X1299" t="str">
            <v>D-0401</v>
          </cell>
          <cell r="Y1299">
            <v>50</v>
          </cell>
          <cell r="AC1299" t="str">
            <v>김일환사원, 2014.08.19코팅완료</v>
          </cell>
          <cell r="AD1299">
            <v>0.85</v>
          </cell>
          <cell r="AE1299">
            <v>90</v>
          </cell>
          <cell r="AF1299">
            <v>2</v>
          </cell>
        </row>
        <row r="1300">
          <cell r="A1300" t="str">
            <v>MFZ63731901</v>
          </cell>
          <cell r="B1300" t="str">
            <v>SET</v>
          </cell>
          <cell r="C1300">
            <v>2</v>
          </cell>
          <cell r="D1300">
            <v>115</v>
          </cell>
          <cell r="E1300">
            <v>580</v>
          </cell>
          <cell r="F1300">
            <v>70</v>
          </cell>
          <cell r="G1300" t="str">
            <v>B240NS</v>
          </cell>
          <cell r="H1300">
            <v>1</v>
          </cell>
          <cell r="I1300">
            <v>2</v>
          </cell>
          <cell r="J1300" t="str">
            <v>LG전자</v>
          </cell>
          <cell r="K1300">
            <v>198</v>
          </cell>
          <cell r="L1300">
            <v>202</v>
          </cell>
          <cell r="M1300">
            <v>211</v>
          </cell>
          <cell r="N1300">
            <v>215</v>
          </cell>
          <cell r="O1300">
            <v>10</v>
          </cell>
          <cell r="P1300">
            <v>1500</v>
          </cell>
          <cell r="Q1300">
            <v>400</v>
          </cell>
          <cell r="S1300">
            <v>0</v>
          </cell>
          <cell r="T1300" t="str">
            <v>ERF_47LN540/570</v>
          </cell>
          <cell r="U1300">
            <v>41281</v>
          </cell>
          <cell r="V1300" t="str">
            <v>대부</v>
          </cell>
          <cell r="W1300" t="str">
            <v>47LN540/570TB</v>
          </cell>
          <cell r="AC1300" t="str">
            <v>김길영계장,후레임일체형</v>
          </cell>
          <cell r="AD1300">
            <v>0.85</v>
          </cell>
          <cell r="AE1300">
            <v>115</v>
          </cell>
          <cell r="AF1300">
            <v>2</v>
          </cell>
        </row>
        <row r="1301">
          <cell r="A1301" t="str">
            <v>MFZ63569401</v>
          </cell>
          <cell r="B1301" t="str">
            <v>SET</v>
          </cell>
          <cell r="C1301">
            <v>2</v>
          </cell>
          <cell r="D1301">
            <v>110</v>
          </cell>
          <cell r="E1301">
            <v>480</v>
          </cell>
          <cell r="F1301">
            <v>70</v>
          </cell>
          <cell r="G1301" t="str">
            <v>B240NS</v>
          </cell>
          <cell r="H1301">
            <v>1</v>
          </cell>
          <cell r="I1301">
            <v>1</v>
          </cell>
          <cell r="J1301" t="str">
            <v>LG전자</v>
          </cell>
          <cell r="K1301">
            <v>102</v>
          </cell>
          <cell r="L1301">
            <v>104</v>
          </cell>
          <cell r="O1301">
            <v>10</v>
          </cell>
          <cell r="P1301">
            <v>1500</v>
          </cell>
          <cell r="Q1301">
            <v>200</v>
          </cell>
          <cell r="S1301">
            <v>0</v>
          </cell>
          <cell r="U1301">
            <v>41761</v>
          </cell>
          <cell r="V1301" t="str">
            <v>금형제조부</v>
          </cell>
          <cell r="AC1301" t="str">
            <v>조우리사원</v>
          </cell>
          <cell r="AD1301">
            <v>0.85</v>
          </cell>
          <cell r="AE1301">
            <v>110</v>
          </cell>
          <cell r="AF1301">
            <v>4</v>
          </cell>
        </row>
        <row r="1302">
          <cell r="A1302" t="str">
            <v>MFZ63557701</v>
          </cell>
          <cell r="B1302" t="str">
            <v>SET</v>
          </cell>
          <cell r="C1302">
            <v>1</v>
          </cell>
          <cell r="D1302">
            <v>110</v>
          </cell>
          <cell r="E1302">
            <v>508</v>
          </cell>
          <cell r="F1302">
            <v>65</v>
          </cell>
          <cell r="G1302" t="str">
            <v>B240NS</v>
          </cell>
          <cell r="H1302">
            <v>1</v>
          </cell>
          <cell r="I1302">
            <v>2</v>
          </cell>
          <cell r="J1302" t="str">
            <v>LG전자</v>
          </cell>
          <cell r="K1302">
            <v>151</v>
          </cell>
          <cell r="L1302">
            <v>153</v>
          </cell>
          <cell r="M1302">
            <v>119</v>
          </cell>
          <cell r="N1302">
            <v>121</v>
          </cell>
          <cell r="O1302">
            <v>10</v>
          </cell>
          <cell r="P1302">
            <v>1500</v>
          </cell>
          <cell r="Q1302">
            <v>250</v>
          </cell>
          <cell r="S1302">
            <v>0</v>
          </cell>
          <cell r="T1302" t="str">
            <v>60PM(A)-아마존향</v>
          </cell>
          <cell r="U1302">
            <v>41148</v>
          </cell>
          <cell r="V1302" t="str">
            <v>제일EPS</v>
          </cell>
          <cell r="W1302" t="str">
            <v>60PM(A)TB</v>
          </cell>
          <cell r="AC1302" t="str">
            <v>최재학사원</v>
          </cell>
          <cell r="AD1302">
            <v>0.85</v>
          </cell>
          <cell r="AE1302">
            <v>110</v>
          </cell>
          <cell r="AF1302">
            <v>12</v>
          </cell>
        </row>
        <row r="1303">
          <cell r="A1303" t="str">
            <v>MFZ63546901</v>
          </cell>
          <cell r="B1303" t="str">
            <v>SET</v>
          </cell>
          <cell r="C1303">
            <v>1</v>
          </cell>
          <cell r="D1303">
            <v>150</v>
          </cell>
          <cell r="E1303">
            <v>2620</v>
          </cell>
          <cell r="F1303">
            <v>70</v>
          </cell>
          <cell r="G1303" t="str">
            <v>B240NS</v>
          </cell>
          <cell r="H1303">
            <v>1</v>
          </cell>
          <cell r="I1303">
            <v>3</v>
          </cell>
          <cell r="J1303" t="str">
            <v>LG전자</v>
          </cell>
          <cell r="K1303">
            <v>298</v>
          </cell>
          <cell r="L1303">
            <v>302</v>
          </cell>
          <cell r="M1303">
            <v>298</v>
          </cell>
          <cell r="N1303">
            <v>302</v>
          </cell>
          <cell r="O1303">
            <v>10</v>
          </cell>
          <cell r="P1303">
            <v>1500</v>
          </cell>
          <cell r="Q1303">
            <v>400</v>
          </cell>
          <cell r="S1303">
            <v>0</v>
          </cell>
          <cell r="T1303" t="str">
            <v>55EA98</v>
          </cell>
          <cell r="U1303">
            <v>41293</v>
          </cell>
          <cell r="V1303" t="str">
            <v>제일EPS</v>
          </cell>
          <cell r="W1303" t="str">
            <v>55EA98TBM</v>
          </cell>
          <cell r="AC1303" t="str">
            <v>김길영계장,2013.02.19수정,2013.02.25수정</v>
          </cell>
          <cell r="AD1303">
            <v>0.85</v>
          </cell>
          <cell r="AE1303">
            <v>150</v>
          </cell>
          <cell r="AF1303">
            <v>6</v>
          </cell>
        </row>
        <row r="1304">
          <cell r="A1304" t="str">
            <v>MFZ63496801</v>
          </cell>
          <cell r="B1304" t="str">
            <v>SET</v>
          </cell>
          <cell r="C1304">
            <v>3</v>
          </cell>
          <cell r="D1304">
            <v>110</v>
          </cell>
          <cell r="E1304">
            <v>115</v>
          </cell>
          <cell r="F1304">
            <v>70</v>
          </cell>
          <cell r="G1304" t="str">
            <v>B240NS</v>
          </cell>
          <cell r="H1304">
            <v>1</v>
          </cell>
          <cell r="I1304">
            <v>1</v>
          </cell>
          <cell r="J1304" t="str">
            <v>LG전자</v>
          </cell>
          <cell r="K1304">
            <v>41</v>
          </cell>
          <cell r="L1304">
            <v>43</v>
          </cell>
          <cell r="O1304">
            <v>10</v>
          </cell>
          <cell r="P1304">
            <v>1500</v>
          </cell>
          <cell r="Q1304">
            <v>200</v>
          </cell>
          <cell r="S1304">
            <v>0</v>
          </cell>
          <cell r="T1304" t="str">
            <v>42LAWITH / WITHOUT STD FRONT PAD RS향</v>
          </cell>
          <cell r="U1304">
            <v>41271</v>
          </cell>
          <cell r="V1304" t="str">
            <v>제일EPS</v>
          </cell>
          <cell r="W1304" t="str">
            <v>42LA6600F</v>
          </cell>
          <cell r="AC1304" t="str">
            <v>장혁민사원</v>
          </cell>
          <cell r="AD1304">
            <v>0.85</v>
          </cell>
          <cell r="AE1304">
            <v>110</v>
          </cell>
          <cell r="AF1304">
            <v>2</v>
          </cell>
        </row>
        <row r="1305">
          <cell r="A1305" t="str">
            <v>MFZ63457801</v>
          </cell>
          <cell r="B1305" t="str">
            <v>SET</v>
          </cell>
          <cell r="C1305">
            <v>2</v>
          </cell>
          <cell r="D1305">
            <v>105</v>
          </cell>
          <cell r="E1305">
            <v>176</v>
          </cell>
          <cell r="F1305">
            <v>70</v>
          </cell>
          <cell r="G1305" t="str">
            <v>B240NS</v>
          </cell>
          <cell r="H1305">
            <v>1</v>
          </cell>
          <cell r="I1305">
            <v>1</v>
          </cell>
          <cell r="J1305" t="str">
            <v>LG전자</v>
          </cell>
          <cell r="K1305">
            <v>89</v>
          </cell>
          <cell r="L1305">
            <v>91</v>
          </cell>
          <cell r="O1305">
            <v>10</v>
          </cell>
          <cell r="P1305">
            <v>1500</v>
          </cell>
          <cell r="Q1305">
            <v>300</v>
          </cell>
          <cell r="S1305">
            <v>0</v>
          </cell>
          <cell r="T1305" t="str">
            <v>RA 60PN(H)6F</v>
          </cell>
          <cell r="U1305">
            <v>41254</v>
          </cell>
          <cell r="V1305" t="str">
            <v>대부</v>
          </cell>
          <cell r="W1305" t="str">
            <v>60PN6F</v>
          </cell>
          <cell r="AC1305" t="str">
            <v>후레임일체형,김길영계장</v>
          </cell>
          <cell r="AD1305">
            <v>0.85</v>
          </cell>
          <cell r="AE1305">
            <v>105</v>
          </cell>
          <cell r="AF1305">
            <v>1</v>
          </cell>
        </row>
        <row r="1306">
          <cell r="A1306" t="str">
            <v>MFZ63401401</v>
          </cell>
          <cell r="B1306" t="str">
            <v>SET</v>
          </cell>
          <cell r="C1306">
            <v>1</v>
          </cell>
          <cell r="D1306">
            <v>190</v>
          </cell>
          <cell r="E1306">
            <v>960</v>
          </cell>
          <cell r="F1306">
            <v>65</v>
          </cell>
          <cell r="G1306" t="str">
            <v>B240NS</v>
          </cell>
          <cell r="H1306">
            <v>1</v>
          </cell>
          <cell r="I1306">
            <v>5</v>
          </cell>
          <cell r="J1306" t="str">
            <v>LG전자</v>
          </cell>
          <cell r="K1306">
            <v>228</v>
          </cell>
          <cell r="L1306">
            <v>232</v>
          </cell>
          <cell r="M1306">
            <v>228</v>
          </cell>
          <cell r="N1306">
            <v>232</v>
          </cell>
          <cell r="O1306">
            <v>10</v>
          </cell>
          <cell r="P1306">
            <v>1500</v>
          </cell>
          <cell r="Q1306">
            <v>300</v>
          </cell>
          <cell r="S1306">
            <v>0</v>
          </cell>
          <cell r="T1306" t="str">
            <v>55LM47 SOUND BAR RS</v>
          </cell>
          <cell r="U1306">
            <v>41086</v>
          </cell>
          <cell r="V1306" t="str">
            <v>우빈정공</v>
          </cell>
          <cell r="W1306" t="str">
            <v>55LM47TBFSS(RS)</v>
          </cell>
          <cell r="AC1306" t="str">
            <v xml:space="preserve">최재학사원 </v>
          </cell>
          <cell r="AD1306">
            <v>0.85</v>
          </cell>
          <cell r="AE1306">
            <v>190</v>
          </cell>
          <cell r="AF1306">
            <v>1</v>
          </cell>
        </row>
        <row r="1307">
          <cell r="A1307" t="str">
            <v>MFZ63343401</v>
          </cell>
          <cell r="B1307" t="str">
            <v>SET</v>
          </cell>
          <cell r="C1307">
            <v>3</v>
          </cell>
          <cell r="D1307">
            <v>100</v>
          </cell>
          <cell r="E1307">
            <v>81</v>
          </cell>
          <cell r="F1307">
            <v>65</v>
          </cell>
          <cell r="G1307" t="str">
            <v>B240NS</v>
          </cell>
          <cell r="H1307">
            <v>1</v>
          </cell>
          <cell r="I1307">
            <v>1</v>
          </cell>
          <cell r="J1307" t="str">
            <v>LG전자</v>
          </cell>
          <cell r="K1307">
            <v>30</v>
          </cell>
          <cell r="L1307">
            <v>32</v>
          </cell>
          <cell r="O1307">
            <v>453</v>
          </cell>
          <cell r="P1307">
            <v>1500</v>
          </cell>
          <cell r="Q1307">
            <v>250</v>
          </cell>
          <cell r="S1307">
            <v>0</v>
          </cell>
          <cell r="T1307" t="str">
            <v>42LM76/LM66/LM67.RIBBON STD FRONT PAD RS멕시코</v>
          </cell>
          <cell r="U1307">
            <v>40900</v>
          </cell>
          <cell r="V1307" t="str">
            <v>제일EPS</v>
          </cell>
          <cell r="W1307" t="str">
            <v>42LM76F(RS)</v>
          </cell>
          <cell r="AC1307" t="str">
            <v>석상준계장</v>
          </cell>
          <cell r="AD1307">
            <v>0.85</v>
          </cell>
          <cell r="AE1307">
            <v>100</v>
          </cell>
          <cell r="AF1307">
            <v>10</v>
          </cell>
        </row>
        <row r="1308">
          <cell r="A1308" t="str">
            <v>MFZ632802</v>
          </cell>
          <cell r="B1308" t="str">
            <v>SET</v>
          </cell>
          <cell r="C1308">
            <v>2</v>
          </cell>
          <cell r="D1308">
            <v>150</v>
          </cell>
          <cell r="E1308">
            <v>838</v>
          </cell>
          <cell r="F1308">
            <v>65</v>
          </cell>
          <cell r="G1308" t="str">
            <v>B240NS</v>
          </cell>
          <cell r="H1308">
            <v>1</v>
          </cell>
          <cell r="I1308">
            <v>2</v>
          </cell>
          <cell r="J1308" t="str">
            <v>LG전자</v>
          </cell>
          <cell r="K1308">
            <v>258</v>
          </cell>
          <cell r="L1308">
            <v>262</v>
          </cell>
          <cell r="M1308">
            <v>228</v>
          </cell>
          <cell r="N1308">
            <v>232</v>
          </cell>
          <cell r="O1308">
            <v>10</v>
          </cell>
          <cell r="P1308">
            <v>1500</v>
          </cell>
          <cell r="Q1308">
            <v>350</v>
          </cell>
          <cell r="S1308">
            <v>0</v>
          </cell>
          <cell r="T1308" t="str">
            <v>60PA6500#2</v>
          </cell>
          <cell r="U1308">
            <v>41078</v>
          </cell>
          <cell r="V1308" t="str">
            <v>제일EPS</v>
          </cell>
          <cell r="W1308" t="str">
            <v>60PA6500TB</v>
          </cell>
          <cell r="AC1308" t="str">
            <v xml:space="preserve">최재학사원 </v>
          </cell>
          <cell r="AD1308">
            <v>0.85</v>
          </cell>
          <cell r="AE1308">
            <v>150</v>
          </cell>
          <cell r="AF1308">
            <v>12</v>
          </cell>
        </row>
        <row r="1309">
          <cell r="A1309" t="str">
            <v>MFZ63176901</v>
          </cell>
          <cell r="B1309" t="str">
            <v>SET</v>
          </cell>
          <cell r="C1309">
            <v>1</v>
          </cell>
          <cell r="D1309">
            <v>160</v>
          </cell>
          <cell r="E1309">
            <v>1312</v>
          </cell>
          <cell r="F1309">
            <v>65</v>
          </cell>
          <cell r="G1309" t="str">
            <v>B240NS</v>
          </cell>
          <cell r="H1309">
            <v>6</v>
          </cell>
          <cell r="I1309">
            <v>4</v>
          </cell>
          <cell r="J1309" t="str">
            <v>LG전자</v>
          </cell>
          <cell r="K1309">
            <v>278</v>
          </cell>
          <cell r="L1309">
            <v>282</v>
          </cell>
          <cell r="M1309">
            <v>278</v>
          </cell>
          <cell r="N1309">
            <v>282</v>
          </cell>
          <cell r="O1309">
            <v>7347</v>
          </cell>
          <cell r="P1309">
            <v>1500</v>
          </cell>
          <cell r="Q1309">
            <v>350</v>
          </cell>
          <cell r="R1309" t="str">
            <v>보라</v>
          </cell>
          <cell r="S1309" t="str">
            <v>보라</v>
          </cell>
          <cell r="T1309" t="str">
            <v>65LM62</v>
          </cell>
          <cell r="U1309">
            <v>40833</v>
          </cell>
          <cell r="V1309" t="str">
            <v>우빈정공</v>
          </cell>
          <cell r="W1309" t="str">
            <v>65LM62TBSS</v>
          </cell>
          <cell r="AC1309" t="str">
            <v>석상준계장, 2011.10.26수정, 2011.12.12모델명변경(65LM62-&gt;65LM62S), 2011.11.18승인완료</v>
          </cell>
          <cell r="AD1309">
            <v>0.85</v>
          </cell>
          <cell r="AE1309">
            <v>160</v>
          </cell>
          <cell r="AF1309">
            <v>8</v>
          </cell>
        </row>
        <row r="1310">
          <cell r="A1310" t="str">
            <v>MFZ63173901</v>
          </cell>
          <cell r="B1310" t="str">
            <v>SET</v>
          </cell>
          <cell r="C1310">
            <v>2</v>
          </cell>
          <cell r="D1310">
            <v>120</v>
          </cell>
          <cell r="E1310">
            <v>820</v>
          </cell>
          <cell r="F1310">
            <v>65</v>
          </cell>
          <cell r="G1310" t="str">
            <v>B240NS</v>
          </cell>
          <cell r="H1310">
            <v>1</v>
          </cell>
          <cell r="I1310">
            <v>2</v>
          </cell>
          <cell r="J1310" t="str">
            <v>LG전자</v>
          </cell>
          <cell r="K1310">
            <v>229</v>
          </cell>
          <cell r="L1310">
            <v>231</v>
          </cell>
          <cell r="M1310">
            <v>235</v>
          </cell>
          <cell r="N1310">
            <v>237</v>
          </cell>
          <cell r="O1310">
            <v>10</v>
          </cell>
          <cell r="P1310">
            <v>1500</v>
          </cell>
          <cell r="Q1310">
            <v>300</v>
          </cell>
          <cell r="S1310">
            <v>0</v>
          </cell>
          <cell r="T1310" t="str">
            <v>42LW53 RS1호</v>
          </cell>
          <cell r="U1310">
            <v>40721</v>
          </cell>
          <cell r="V1310" t="str">
            <v>몰드텍</v>
          </cell>
          <cell r="W1310" t="str">
            <v>MFZ63173901</v>
          </cell>
          <cell r="AD1310">
            <v>0.85</v>
          </cell>
          <cell r="AE1310">
            <v>120</v>
          </cell>
          <cell r="AF1310">
            <v>6</v>
          </cell>
        </row>
        <row r="1311">
          <cell r="A1311" t="str">
            <v>MFZ63091401</v>
          </cell>
          <cell r="B1311" t="str">
            <v>SET</v>
          </cell>
          <cell r="C1311">
            <v>2</v>
          </cell>
          <cell r="D1311">
            <v>100</v>
          </cell>
          <cell r="E1311">
            <v>165</v>
          </cell>
          <cell r="F1311">
            <v>65</v>
          </cell>
          <cell r="G1311" t="str">
            <v>B240NS</v>
          </cell>
          <cell r="H1311">
            <v>1</v>
          </cell>
          <cell r="I1311">
            <v>3</v>
          </cell>
          <cell r="J1311" t="str">
            <v>LG전자</v>
          </cell>
          <cell r="K1311">
            <v>46</v>
          </cell>
          <cell r="L1311">
            <v>47</v>
          </cell>
          <cell r="M1311">
            <v>67</v>
          </cell>
          <cell r="N1311">
            <v>68</v>
          </cell>
          <cell r="O1311">
            <v>100</v>
          </cell>
          <cell r="P1311">
            <v>1500</v>
          </cell>
          <cell r="Q1311">
            <v>150</v>
          </cell>
          <cell r="S1311">
            <v>0</v>
          </cell>
          <cell r="T1311" t="str">
            <v>D2000N</v>
          </cell>
          <cell r="U1311">
            <v>40683</v>
          </cell>
          <cell r="V1311" t="str">
            <v>우빈정공</v>
          </cell>
          <cell r="W1311" t="str">
            <v>MFZ63091401</v>
          </cell>
          <cell r="AD1311">
            <v>0.85</v>
          </cell>
          <cell r="AE1311">
            <v>100</v>
          </cell>
          <cell r="AF1311">
            <v>2</v>
          </cell>
        </row>
        <row r="1312">
          <cell r="A1312" t="str">
            <v>MFZ62652401</v>
          </cell>
          <cell r="B1312" t="str">
            <v>SET</v>
          </cell>
          <cell r="C1312">
            <v>2</v>
          </cell>
          <cell r="D1312">
            <v>120</v>
          </cell>
          <cell r="E1312">
            <v>197</v>
          </cell>
          <cell r="F1312">
            <v>65</v>
          </cell>
          <cell r="G1312" t="str">
            <v>B240NS</v>
          </cell>
          <cell r="H1312">
            <v>1</v>
          </cell>
          <cell r="I1312">
            <v>2</v>
          </cell>
          <cell r="J1312" t="str">
            <v>LG전자</v>
          </cell>
          <cell r="K1312">
            <v>38</v>
          </cell>
          <cell r="L1312">
            <v>39</v>
          </cell>
          <cell r="M1312">
            <v>74</v>
          </cell>
          <cell r="N1312">
            <v>75</v>
          </cell>
          <cell r="O1312">
            <v>100</v>
          </cell>
          <cell r="P1312">
            <v>1500</v>
          </cell>
          <cell r="Q1312">
            <v>200</v>
          </cell>
          <cell r="S1312">
            <v>0</v>
          </cell>
          <cell r="T1312" t="str">
            <v>IPS226V MA</v>
          </cell>
          <cell r="U1312">
            <v>40730</v>
          </cell>
          <cell r="V1312" t="str">
            <v>우빈정공</v>
          </cell>
          <cell r="W1312" t="str">
            <v>MFZ62652401</v>
          </cell>
          <cell r="AD1312">
            <v>0.85</v>
          </cell>
          <cell r="AE1312">
            <v>120</v>
          </cell>
          <cell r="AF1312">
            <v>1</v>
          </cell>
        </row>
        <row r="1313">
          <cell r="A1313" t="str">
            <v>MFZ62633601</v>
          </cell>
          <cell r="B1313" t="str">
            <v>SET</v>
          </cell>
          <cell r="C1313">
            <v>2</v>
          </cell>
          <cell r="D1313">
            <v>120</v>
          </cell>
          <cell r="E1313">
            <v>253</v>
          </cell>
          <cell r="F1313">
            <v>65</v>
          </cell>
          <cell r="G1313" t="str">
            <v>B240NS</v>
          </cell>
          <cell r="H1313">
            <v>1</v>
          </cell>
          <cell r="I1313">
            <v>2</v>
          </cell>
          <cell r="J1313" t="str">
            <v>LG전자</v>
          </cell>
          <cell r="K1313">
            <v>46</v>
          </cell>
          <cell r="L1313">
            <v>47</v>
          </cell>
          <cell r="M1313">
            <v>130</v>
          </cell>
          <cell r="N1313">
            <v>131</v>
          </cell>
          <cell r="O1313">
            <v>100</v>
          </cell>
          <cell r="P1313">
            <v>1500</v>
          </cell>
          <cell r="Q1313">
            <v>200</v>
          </cell>
          <cell r="S1313">
            <v>0</v>
          </cell>
          <cell r="T1313" t="str">
            <v>IPS231P MA</v>
          </cell>
          <cell r="U1313">
            <v>40730</v>
          </cell>
          <cell r="V1313" t="str">
            <v>우빈정공</v>
          </cell>
          <cell r="W1313" t="str">
            <v>MFZ62633601</v>
          </cell>
          <cell r="AD1313">
            <v>0.85</v>
          </cell>
          <cell r="AE1313">
            <v>120</v>
          </cell>
          <cell r="AF1313">
            <v>4</v>
          </cell>
        </row>
        <row r="1314">
          <cell r="A1314" t="str">
            <v>MFZ62065001</v>
          </cell>
          <cell r="B1314" t="str">
            <v>SET</v>
          </cell>
          <cell r="C1314">
            <v>2</v>
          </cell>
          <cell r="D1314">
            <v>110</v>
          </cell>
          <cell r="E1314">
            <v>300</v>
          </cell>
          <cell r="F1314">
            <v>70</v>
          </cell>
          <cell r="G1314" t="str">
            <v>B240NS</v>
          </cell>
          <cell r="H1314">
            <v>1</v>
          </cell>
          <cell r="I1314">
            <v>1</v>
          </cell>
          <cell r="J1314" t="str">
            <v>LG전자</v>
          </cell>
          <cell r="K1314">
            <v>120.5</v>
          </cell>
          <cell r="L1314">
            <v>122.5</v>
          </cell>
          <cell r="O1314">
            <v>10</v>
          </cell>
          <cell r="P1314">
            <v>1500</v>
          </cell>
          <cell r="Q1314">
            <v>200</v>
          </cell>
          <cell r="S1314">
            <v>0</v>
          </cell>
          <cell r="U1314">
            <v>41761</v>
          </cell>
          <cell r="V1314" t="str">
            <v>금형제조부</v>
          </cell>
          <cell r="AC1314" t="str">
            <v>조우리사원</v>
          </cell>
          <cell r="AD1314">
            <v>0.85</v>
          </cell>
          <cell r="AE1314">
            <v>110</v>
          </cell>
          <cell r="AF1314">
            <v>3</v>
          </cell>
        </row>
        <row r="1315">
          <cell r="A1315" t="str">
            <v>MFZ57006195</v>
          </cell>
          <cell r="B1315" t="str">
            <v>SET</v>
          </cell>
          <cell r="C1315">
            <v>1</v>
          </cell>
          <cell r="D1315">
            <v>85</v>
          </cell>
          <cell r="E1315">
            <v>840</v>
          </cell>
          <cell r="F1315">
            <v>65</v>
          </cell>
          <cell r="G1315" t="str">
            <v>B240NS</v>
          </cell>
          <cell r="H1315">
            <v>4</v>
          </cell>
          <cell r="I1315">
            <v>2</v>
          </cell>
          <cell r="J1315" t="str">
            <v>LG전자</v>
          </cell>
          <cell r="K1315">
            <v>84</v>
          </cell>
          <cell r="L1315">
            <v>86</v>
          </cell>
          <cell r="M1315">
            <v>198</v>
          </cell>
          <cell r="N1315">
            <v>202</v>
          </cell>
          <cell r="O1315">
            <v>3808</v>
          </cell>
          <cell r="P1315">
            <v>1300</v>
          </cell>
          <cell r="Q1315">
            <v>350</v>
          </cell>
          <cell r="R1315" t="str">
            <v>빨강</v>
          </cell>
          <cell r="S1315" t="str">
            <v>빨강</v>
          </cell>
          <cell r="T1315" t="str">
            <v>LAN5202</v>
          </cell>
          <cell r="U1315">
            <v>41771</v>
          </cell>
          <cell r="V1315" t="str">
            <v>삼일금형</v>
          </cell>
          <cell r="W1315" t="str">
            <v>LAN5202TB</v>
          </cell>
          <cell r="X1315" t="str">
            <v>D-0104</v>
          </cell>
          <cell r="AC1315" t="str">
            <v>조우리사원2014.12.27기준중량변경(850-&gt;840)</v>
          </cell>
          <cell r="AD1315">
            <v>0.85</v>
          </cell>
          <cell r="AE1315">
            <v>85</v>
          </cell>
          <cell r="AF1315">
            <v>2</v>
          </cell>
        </row>
        <row r="1316">
          <cell r="A1316" t="str">
            <v>MFZ57006191</v>
          </cell>
          <cell r="B1316" t="str">
            <v>SET</v>
          </cell>
          <cell r="C1316">
            <v>1</v>
          </cell>
          <cell r="D1316">
            <v>85</v>
          </cell>
          <cell r="E1316">
            <v>570</v>
          </cell>
          <cell r="F1316">
            <v>65</v>
          </cell>
          <cell r="G1316" t="str">
            <v>B240NS</v>
          </cell>
          <cell r="H1316">
            <v>4</v>
          </cell>
          <cell r="I1316">
            <v>2</v>
          </cell>
          <cell r="J1316" t="str">
            <v>LG전자</v>
          </cell>
          <cell r="K1316">
            <v>95</v>
          </cell>
          <cell r="L1316">
            <v>97</v>
          </cell>
          <cell r="M1316">
            <v>223</v>
          </cell>
          <cell r="N1316">
            <v>227</v>
          </cell>
          <cell r="O1316">
            <v>2950</v>
          </cell>
          <cell r="P1316">
            <v>1300</v>
          </cell>
          <cell r="Q1316">
            <v>300</v>
          </cell>
          <cell r="R1316" t="str">
            <v>파랑</v>
          </cell>
          <cell r="S1316" t="str">
            <v>파랑</v>
          </cell>
          <cell r="T1316" t="str">
            <v>MFZ57006191</v>
          </cell>
          <cell r="U1316">
            <v>41715</v>
          </cell>
          <cell r="V1316" t="str">
            <v>삼일금형</v>
          </cell>
          <cell r="W1316" t="str">
            <v>LAN5000TB,낙하불량 주의</v>
          </cell>
          <cell r="X1316" t="str">
            <v>D-1001</v>
          </cell>
          <cell r="AC1316" t="str">
            <v>조우리사원 코팅완료,2014.04.16수정2014.09.18금형수정2014.11.26수정2014.12.17수정</v>
          </cell>
          <cell r="AD1316">
            <v>0.85</v>
          </cell>
          <cell r="AE1316">
            <v>85</v>
          </cell>
          <cell r="AF1316">
            <v>4</v>
          </cell>
        </row>
        <row r="1317">
          <cell r="A1317" t="str">
            <v>MFZ57006190</v>
          </cell>
          <cell r="B1317" t="str">
            <v>SET</v>
          </cell>
          <cell r="C1317">
            <v>1</v>
          </cell>
          <cell r="D1317">
            <v>90</v>
          </cell>
          <cell r="E1317">
            <v>840</v>
          </cell>
          <cell r="F1317">
            <v>65</v>
          </cell>
          <cell r="G1317" t="str">
            <v>B240NS</v>
          </cell>
          <cell r="H1317">
            <v>4</v>
          </cell>
          <cell r="I1317">
            <v>2</v>
          </cell>
          <cell r="J1317" t="str">
            <v>LG전자</v>
          </cell>
          <cell r="K1317">
            <v>169</v>
          </cell>
          <cell r="L1317">
            <v>171</v>
          </cell>
          <cell r="M1317">
            <v>114</v>
          </cell>
          <cell r="N1317">
            <v>116</v>
          </cell>
          <cell r="O1317">
            <v>3808</v>
          </cell>
          <cell r="P1317">
            <v>1300</v>
          </cell>
          <cell r="Q1317">
            <v>350</v>
          </cell>
          <cell r="R1317" t="str">
            <v>주황</v>
          </cell>
          <cell r="S1317" t="str">
            <v>주황</v>
          </cell>
          <cell r="T1317" t="str">
            <v>MFZ57006190</v>
          </cell>
          <cell r="U1317">
            <v>41709</v>
          </cell>
          <cell r="V1317" t="str">
            <v>삼일금형</v>
          </cell>
          <cell r="W1317" t="str">
            <v>LAN5000TB</v>
          </cell>
          <cell r="X1317" t="str">
            <v>E-0908</v>
          </cell>
          <cell r="AC1317" t="str">
            <v>조우리사원 코팅완료2014.11.17수정2014.12.27기준중량변경(852-&gt;840),2017.02.20배율변경(57배-&gt;62배),217.09.20배율변경(62배-&gt;57배)</v>
          </cell>
          <cell r="AD1317">
            <v>0.85</v>
          </cell>
          <cell r="AE1317">
            <v>90</v>
          </cell>
          <cell r="AF1317">
            <v>4</v>
          </cell>
        </row>
        <row r="1318">
          <cell r="A1318" t="str">
            <v>MFZ57006189</v>
          </cell>
          <cell r="B1318" t="str">
            <v>SET</v>
          </cell>
          <cell r="C1318">
            <v>1</v>
          </cell>
          <cell r="D1318">
            <v>95</v>
          </cell>
          <cell r="E1318">
            <v>590</v>
          </cell>
          <cell r="F1318">
            <v>65</v>
          </cell>
          <cell r="G1318" t="str">
            <v>B240NS</v>
          </cell>
          <cell r="H1318">
            <v>4</v>
          </cell>
          <cell r="I1318">
            <v>2</v>
          </cell>
          <cell r="J1318" t="str">
            <v>LG전자</v>
          </cell>
          <cell r="K1318">
            <v>101</v>
          </cell>
          <cell r="L1318">
            <v>103</v>
          </cell>
          <cell r="M1318">
            <v>238</v>
          </cell>
          <cell r="N1318">
            <v>242</v>
          </cell>
          <cell r="O1318">
            <v>2812</v>
          </cell>
          <cell r="P1318">
            <v>1300</v>
          </cell>
          <cell r="Q1318">
            <v>350</v>
          </cell>
          <cell r="R1318" t="str">
            <v>빨강</v>
          </cell>
          <cell r="S1318" t="str">
            <v>빨강</v>
          </cell>
          <cell r="T1318" t="str">
            <v>MFZ57006189</v>
          </cell>
          <cell r="U1318">
            <v>41695</v>
          </cell>
          <cell r="V1318" t="str">
            <v>삼일금형</v>
          </cell>
          <cell r="W1318" t="str">
            <v>LAN3110EKSL</v>
          </cell>
          <cell r="X1318" t="str">
            <v>D-0501</v>
          </cell>
          <cell r="AC1318" t="str">
            <v>김길영계장,2014.02.25코팅,2014.02.27 수정입고, 2014.07.10BURR수정2015.01.16수정</v>
          </cell>
          <cell r="AD1318">
            <v>0.85</v>
          </cell>
          <cell r="AE1318">
            <v>95</v>
          </cell>
          <cell r="AF1318">
            <v>2</v>
          </cell>
        </row>
        <row r="1319">
          <cell r="A1319" t="str">
            <v>MFZ57006188</v>
          </cell>
          <cell r="B1319" t="str">
            <v>SET</v>
          </cell>
          <cell r="C1319">
            <v>1</v>
          </cell>
          <cell r="D1319">
            <v>85</v>
          </cell>
          <cell r="E1319">
            <v>520</v>
          </cell>
          <cell r="F1319">
            <v>65</v>
          </cell>
          <cell r="G1319" t="str">
            <v>B240NS</v>
          </cell>
          <cell r="H1319">
            <v>4</v>
          </cell>
          <cell r="I1319">
            <v>2</v>
          </cell>
          <cell r="J1319" t="str">
            <v>LG전자</v>
          </cell>
          <cell r="K1319">
            <v>101</v>
          </cell>
          <cell r="L1319">
            <v>103</v>
          </cell>
          <cell r="M1319">
            <v>238</v>
          </cell>
          <cell r="N1319">
            <v>242</v>
          </cell>
          <cell r="O1319">
            <v>2477</v>
          </cell>
          <cell r="P1319">
            <v>1300</v>
          </cell>
          <cell r="Q1319">
            <v>350</v>
          </cell>
          <cell r="R1319" t="str">
            <v>녹색</v>
          </cell>
          <cell r="S1319" t="str">
            <v>녹색</v>
          </cell>
          <cell r="T1319" t="str">
            <v>MFZ57006188</v>
          </cell>
          <cell r="U1319">
            <v>41695</v>
          </cell>
          <cell r="V1319" t="str">
            <v>삼일금형</v>
          </cell>
          <cell r="W1319" t="str">
            <v>LAN3100EHLM</v>
          </cell>
          <cell r="Z1319">
            <v>27556</v>
          </cell>
          <cell r="AC1319" t="str">
            <v>김길영계장,2014.02.25코팅,2014.02.27 수정입고, 2014.07.10BURR수정2014.11.06수리</v>
          </cell>
          <cell r="AD1319">
            <v>0.85</v>
          </cell>
          <cell r="AE1319">
            <v>85</v>
          </cell>
          <cell r="AF1319">
            <v>4</v>
          </cell>
        </row>
        <row r="1320">
          <cell r="A1320" t="str">
            <v>MFZ57006170</v>
          </cell>
          <cell r="B1320" t="str">
            <v>SET</v>
          </cell>
          <cell r="C1320">
            <v>1</v>
          </cell>
          <cell r="D1320">
            <v>101</v>
          </cell>
          <cell r="E1320">
            <v>920</v>
          </cell>
          <cell r="F1320">
            <v>65</v>
          </cell>
          <cell r="G1320" t="str">
            <v>B240NS</v>
          </cell>
          <cell r="H1320">
            <v>4</v>
          </cell>
          <cell r="I1320">
            <v>2</v>
          </cell>
          <cell r="J1320" t="str">
            <v>LG전자</v>
          </cell>
          <cell r="K1320">
            <v>139</v>
          </cell>
          <cell r="L1320">
            <v>141</v>
          </cell>
          <cell r="M1320">
            <v>154</v>
          </cell>
          <cell r="N1320">
            <v>156</v>
          </cell>
          <cell r="O1320">
            <v>4903</v>
          </cell>
          <cell r="P1320">
            <v>1300</v>
          </cell>
          <cell r="Q1320">
            <v>250</v>
          </cell>
          <cell r="R1320" t="str">
            <v>파랑</v>
          </cell>
          <cell r="S1320" t="str">
            <v>파랑</v>
          </cell>
          <cell r="T1320" t="str">
            <v>LAN3150</v>
          </cell>
          <cell r="U1320">
            <v>41564</v>
          </cell>
          <cell r="V1320" t="str">
            <v>삼일금형</v>
          </cell>
          <cell r="W1320" t="str">
            <v>LAN3150TB</v>
          </cell>
          <cell r="X1320" t="str">
            <v>계양리 O-1</v>
          </cell>
          <cell r="AC1320" t="str">
            <v xml:space="preserve">김길영계장 </v>
          </cell>
          <cell r="AD1320">
            <v>0.85</v>
          </cell>
          <cell r="AE1320">
            <v>101</v>
          </cell>
          <cell r="AF1320">
            <v>2</v>
          </cell>
        </row>
        <row r="1321">
          <cell r="A1321" t="str">
            <v>MFZ57006158</v>
          </cell>
          <cell r="B1321" t="str">
            <v>SET</v>
          </cell>
          <cell r="C1321">
            <v>1</v>
          </cell>
          <cell r="D1321">
            <v>76</v>
          </cell>
          <cell r="E1321">
            <v>603</v>
          </cell>
          <cell r="F1321">
            <v>65</v>
          </cell>
          <cell r="G1321" t="str">
            <v>B240NS</v>
          </cell>
          <cell r="H1321">
            <v>4</v>
          </cell>
          <cell r="I1321">
            <v>2</v>
          </cell>
          <cell r="J1321" t="str">
            <v>LG전자</v>
          </cell>
          <cell r="K1321">
            <v>130</v>
          </cell>
          <cell r="L1321">
            <v>132</v>
          </cell>
          <cell r="M1321">
            <v>130</v>
          </cell>
          <cell r="N1321">
            <v>132</v>
          </cell>
          <cell r="O1321">
            <v>3174</v>
          </cell>
          <cell r="P1321">
            <v>1300</v>
          </cell>
          <cell r="Q1321">
            <v>200</v>
          </cell>
          <cell r="R1321" t="str">
            <v>노랑</v>
          </cell>
          <cell r="S1321" t="str">
            <v>노랑</v>
          </cell>
          <cell r="T1321" t="str">
            <v>LAN3110EKSL</v>
          </cell>
          <cell r="U1321">
            <v>41284</v>
          </cell>
          <cell r="V1321" t="str">
            <v>삼일금형</v>
          </cell>
          <cell r="W1321" t="str">
            <v>MFZ57006158</v>
          </cell>
          <cell r="X1321" t="str">
            <v>P-0502</v>
          </cell>
          <cell r="AC1321" t="str">
            <v>김길영계장,2013.10.21 (묶음단위변경 1-&gt;4)</v>
          </cell>
          <cell r="AD1321">
            <v>0.85</v>
          </cell>
          <cell r="AE1321">
            <v>79</v>
          </cell>
          <cell r="AF1321">
            <v>2</v>
          </cell>
        </row>
        <row r="1322">
          <cell r="A1322" t="str">
            <v>MFZ57006155</v>
          </cell>
          <cell r="B1322" t="str">
            <v>SET</v>
          </cell>
          <cell r="C1322">
            <v>1</v>
          </cell>
          <cell r="D1322">
            <v>80</v>
          </cell>
          <cell r="E1322">
            <v>620</v>
          </cell>
          <cell r="F1322">
            <v>65</v>
          </cell>
          <cell r="G1322" t="str">
            <v>B240NS</v>
          </cell>
          <cell r="H1322">
            <v>4</v>
          </cell>
          <cell r="I1322">
            <v>2</v>
          </cell>
          <cell r="J1322" t="str">
            <v>LG전자</v>
          </cell>
          <cell r="K1322">
            <v>135</v>
          </cell>
          <cell r="L1322">
            <v>139</v>
          </cell>
          <cell r="M1322">
            <v>148</v>
          </cell>
          <cell r="N1322">
            <v>152</v>
          </cell>
          <cell r="O1322">
            <v>2800</v>
          </cell>
          <cell r="P1322">
            <v>1300</v>
          </cell>
          <cell r="Q1322">
            <v>250</v>
          </cell>
          <cell r="R1322" t="str">
            <v>녹색</v>
          </cell>
          <cell r="S1322" t="str">
            <v>녹색</v>
          </cell>
          <cell r="T1322" t="str">
            <v>MFZ57006155</v>
          </cell>
          <cell r="U1322">
            <v>41193</v>
          </cell>
          <cell r="V1322" t="str">
            <v>삼일금형</v>
          </cell>
          <cell r="W1322" t="str">
            <v>MFZ6155</v>
          </cell>
          <cell r="X1322" t="str">
            <v>D-0302</v>
          </cell>
          <cell r="AC1322" t="str">
            <v>최재학사원,2012.12.04 수정</v>
          </cell>
          <cell r="AD1322">
            <v>0.85</v>
          </cell>
          <cell r="AE1322">
            <v>80</v>
          </cell>
          <cell r="AF1322">
            <v>8</v>
          </cell>
        </row>
        <row r="1323">
          <cell r="A1323" t="str">
            <v>MFZ57006145</v>
          </cell>
          <cell r="B1323" t="str">
            <v>SET</v>
          </cell>
          <cell r="C1323">
            <v>1</v>
          </cell>
          <cell r="D1323">
            <v>90</v>
          </cell>
          <cell r="E1323">
            <v>580</v>
          </cell>
          <cell r="F1323">
            <v>65</v>
          </cell>
          <cell r="G1323" t="str">
            <v>B240NS</v>
          </cell>
          <cell r="H1323">
            <v>4</v>
          </cell>
          <cell r="I1323">
            <v>2</v>
          </cell>
          <cell r="J1323" t="str">
            <v>LG전자</v>
          </cell>
          <cell r="K1323">
            <v>136</v>
          </cell>
          <cell r="L1323">
            <v>138</v>
          </cell>
          <cell r="M1323">
            <v>147</v>
          </cell>
          <cell r="N1323">
            <v>151</v>
          </cell>
          <cell r="O1323">
            <v>3020</v>
          </cell>
          <cell r="P1323">
            <v>1300</v>
          </cell>
          <cell r="Q1323">
            <v>250</v>
          </cell>
          <cell r="R1323" t="str">
            <v>보라</v>
          </cell>
          <cell r="S1323" t="str">
            <v>보라</v>
          </cell>
          <cell r="U1323">
            <v>41095</v>
          </cell>
          <cell r="V1323" t="str">
            <v>삼일금형</v>
          </cell>
          <cell r="W1323" t="str">
            <v>MFZ6145</v>
          </cell>
          <cell r="X1323" t="str">
            <v>계양리 O-1</v>
          </cell>
          <cell r="AC1323" t="str">
            <v>최재학사원, 2012.07.23 재입고,2012.09.17재입고,2013.03.25 BOT기준치수변경(149~151-&gt;147~151), 2014.10.20코팅</v>
          </cell>
          <cell r="AD1323">
            <v>0.85</v>
          </cell>
          <cell r="AE1323">
            <v>90</v>
          </cell>
          <cell r="AF1323">
            <v>1</v>
          </cell>
        </row>
        <row r="1324">
          <cell r="A1324" t="str">
            <v>MFZ57006143</v>
          </cell>
          <cell r="B1324" t="str">
            <v>SET</v>
          </cell>
          <cell r="C1324">
            <v>1</v>
          </cell>
          <cell r="D1324">
            <v>80</v>
          </cell>
          <cell r="E1324">
            <v>508</v>
          </cell>
          <cell r="F1324">
            <v>65</v>
          </cell>
          <cell r="G1324" t="str">
            <v>B240NS</v>
          </cell>
          <cell r="H1324">
            <v>4</v>
          </cell>
          <cell r="I1324">
            <v>2</v>
          </cell>
          <cell r="J1324" t="str">
            <v>LG전자</v>
          </cell>
          <cell r="K1324">
            <v>125</v>
          </cell>
          <cell r="L1324">
            <v>127</v>
          </cell>
          <cell r="M1324">
            <v>131</v>
          </cell>
          <cell r="N1324">
            <v>133</v>
          </cell>
          <cell r="O1324">
            <v>2674</v>
          </cell>
          <cell r="P1324">
            <v>1300</v>
          </cell>
          <cell r="Q1324">
            <v>200</v>
          </cell>
          <cell r="R1324" t="str">
            <v>빨강</v>
          </cell>
          <cell r="S1324" t="str">
            <v>빨강</v>
          </cell>
          <cell r="T1324" t="str">
            <v>MFZ57006143</v>
          </cell>
          <cell r="U1324">
            <v>41078</v>
          </cell>
          <cell r="V1324" t="str">
            <v>삼일금형</v>
          </cell>
          <cell r="W1324" t="str">
            <v>MFZ6143</v>
          </cell>
          <cell r="X1324" t="str">
            <v>Q-0703</v>
          </cell>
          <cell r="AC1324" t="str">
            <v>최재학사원 ,2013.07.22 관리치수변경(123~126-&gt;129~131),129~131-&gt;131~133)</v>
          </cell>
          <cell r="AD1324">
            <v>0.85</v>
          </cell>
          <cell r="AE1324">
            <v>80</v>
          </cell>
          <cell r="AF1324">
            <v>12</v>
          </cell>
        </row>
        <row r="1325">
          <cell r="A1325" t="str">
            <v>MFZ57006140</v>
          </cell>
          <cell r="B1325" t="str">
            <v>SET</v>
          </cell>
          <cell r="C1325">
            <v>1</v>
          </cell>
          <cell r="D1325">
            <v>140</v>
          </cell>
          <cell r="E1325">
            <v>800</v>
          </cell>
          <cell r="F1325">
            <v>65</v>
          </cell>
          <cell r="G1325" t="str">
            <v>B240NS</v>
          </cell>
          <cell r="H1325">
            <v>4</v>
          </cell>
          <cell r="I1325">
            <v>2</v>
          </cell>
          <cell r="J1325" t="str">
            <v>LG전자</v>
          </cell>
          <cell r="K1325">
            <v>125</v>
          </cell>
          <cell r="L1325">
            <v>127</v>
          </cell>
          <cell r="M1325">
            <v>174</v>
          </cell>
          <cell r="N1325">
            <v>176</v>
          </cell>
          <cell r="O1325">
            <v>10</v>
          </cell>
          <cell r="P1325">
            <v>1300</v>
          </cell>
          <cell r="Q1325">
            <v>250</v>
          </cell>
          <cell r="R1325" t="str">
            <v>보라</v>
          </cell>
          <cell r="S1325" t="str">
            <v>보라</v>
          </cell>
          <cell r="T1325" t="str">
            <v>MFZ57006140</v>
          </cell>
          <cell r="U1325">
            <v>41038</v>
          </cell>
          <cell r="V1325" t="str">
            <v>삼일금형</v>
          </cell>
          <cell r="W1325" t="str">
            <v>MFZ6140</v>
          </cell>
          <cell r="AC1325" t="str">
            <v>장혁민사원</v>
          </cell>
          <cell r="AD1325">
            <v>0.85</v>
          </cell>
          <cell r="AE1325">
            <v>140</v>
          </cell>
          <cell r="AF1325">
            <v>2</v>
          </cell>
        </row>
        <row r="1326">
          <cell r="A1326" t="str">
            <v>MFZ57006138</v>
          </cell>
          <cell r="B1326" t="str">
            <v>SET</v>
          </cell>
          <cell r="C1326">
            <v>1</v>
          </cell>
          <cell r="D1326">
            <v>99</v>
          </cell>
          <cell r="E1326">
            <v>510</v>
          </cell>
          <cell r="F1326">
            <v>70</v>
          </cell>
          <cell r="G1326" t="str">
            <v>B240NS</v>
          </cell>
          <cell r="H1326">
            <v>4</v>
          </cell>
          <cell r="I1326">
            <v>2</v>
          </cell>
          <cell r="J1326" t="str">
            <v>LG전자</v>
          </cell>
          <cell r="K1326">
            <v>136</v>
          </cell>
          <cell r="L1326">
            <v>140</v>
          </cell>
          <cell r="M1326">
            <v>149</v>
          </cell>
          <cell r="N1326">
            <v>151</v>
          </cell>
          <cell r="O1326">
            <v>2425</v>
          </cell>
          <cell r="P1326">
            <v>1300</v>
          </cell>
          <cell r="Q1326">
            <v>250</v>
          </cell>
          <cell r="R1326" t="str">
            <v>노랑</v>
          </cell>
          <cell r="S1326" t="str">
            <v>노랑</v>
          </cell>
          <cell r="T1326" t="str">
            <v>ONIX</v>
          </cell>
          <cell r="U1326">
            <v>40921</v>
          </cell>
          <cell r="V1326" t="str">
            <v>삼일금형</v>
          </cell>
          <cell r="W1326" t="str">
            <v>MFZ6138</v>
          </cell>
          <cell r="AC1326" t="str">
            <v>장혁민사원, 2012.08.23 기준배율변경(57배-&gt;62배),2013.03.25 TOP기준치수변경(136~138-&gt;136~140)</v>
          </cell>
          <cell r="AD1326">
            <v>0.85</v>
          </cell>
          <cell r="AE1326">
            <v>99</v>
          </cell>
          <cell r="AF1326">
            <v>4</v>
          </cell>
        </row>
        <row r="1327">
          <cell r="A1327" t="str">
            <v>MFZ57006129</v>
          </cell>
          <cell r="B1327" t="str">
            <v>SET</v>
          </cell>
          <cell r="C1327">
            <v>1</v>
          </cell>
          <cell r="D1327">
            <v>100</v>
          </cell>
          <cell r="E1327">
            <v>470</v>
          </cell>
          <cell r="F1327">
            <v>70</v>
          </cell>
          <cell r="G1327" t="str">
            <v>B240NS</v>
          </cell>
          <cell r="H1327">
            <v>4</v>
          </cell>
          <cell r="I1327">
            <v>2</v>
          </cell>
          <cell r="J1327" t="str">
            <v>LG전자</v>
          </cell>
          <cell r="K1327">
            <v>136</v>
          </cell>
          <cell r="L1327">
            <v>138</v>
          </cell>
          <cell r="M1327">
            <v>149</v>
          </cell>
          <cell r="N1327">
            <v>151</v>
          </cell>
          <cell r="O1327">
            <v>1974</v>
          </cell>
          <cell r="P1327">
            <v>1300</v>
          </cell>
          <cell r="Q1327">
            <v>250</v>
          </cell>
          <cell r="R1327" t="str">
            <v>녹색</v>
          </cell>
          <cell r="S1327" t="str">
            <v>녹색</v>
          </cell>
          <cell r="T1327" t="str">
            <v>BYOM</v>
          </cell>
          <cell r="U1327">
            <v>40701</v>
          </cell>
          <cell r="V1327" t="str">
            <v>삼일금형</v>
          </cell>
          <cell r="W1327" t="str">
            <v>MFZ6129</v>
          </cell>
          <cell r="X1327" t="str">
            <v>계양리 O-1</v>
          </cell>
          <cell r="AC1327" t="str">
            <v>2011.09.01개조, 2012.07.31 재입고, 2012.08.23 기준배율변경(57배-&gt;62배)</v>
          </cell>
          <cell r="AD1327">
            <v>0.85</v>
          </cell>
          <cell r="AE1327">
            <v>100</v>
          </cell>
          <cell r="AF1327">
            <v>6</v>
          </cell>
        </row>
        <row r="1328">
          <cell r="A1328" t="str">
            <v>MFZ57006128</v>
          </cell>
          <cell r="B1328" t="str">
            <v>SET</v>
          </cell>
          <cell r="C1328">
            <v>1</v>
          </cell>
          <cell r="D1328">
            <v>98</v>
          </cell>
          <cell r="E1328">
            <v>490</v>
          </cell>
          <cell r="F1328">
            <v>70</v>
          </cell>
          <cell r="G1328" t="str">
            <v>B240NS</v>
          </cell>
          <cell r="H1328">
            <v>4</v>
          </cell>
          <cell r="I1328">
            <v>2</v>
          </cell>
          <cell r="J1328" t="str">
            <v>LG전자</v>
          </cell>
          <cell r="K1328">
            <v>129</v>
          </cell>
          <cell r="L1328">
            <v>131</v>
          </cell>
          <cell r="M1328">
            <v>129</v>
          </cell>
          <cell r="N1328">
            <v>131</v>
          </cell>
          <cell r="O1328">
            <v>2237</v>
          </cell>
          <cell r="P1328">
            <v>1300</v>
          </cell>
          <cell r="Q1328">
            <v>200</v>
          </cell>
          <cell r="R1328" t="str">
            <v>파랑</v>
          </cell>
          <cell r="S1328" t="str">
            <v>파랑</v>
          </cell>
          <cell r="T1328" t="str">
            <v>LAN2200EKJD</v>
          </cell>
          <cell r="U1328">
            <v>40695</v>
          </cell>
          <cell r="V1328" t="str">
            <v>삼일금형</v>
          </cell>
          <cell r="W1328" t="str">
            <v>MFZ6128</v>
          </cell>
          <cell r="X1328" t="str">
            <v>계양리 O-1</v>
          </cell>
          <cell r="AC1328" t="str">
            <v>2012.02.08기준중량변경(500-&gt;490), 2012.06.22 재입고, 2012.08.23 기준배율변경(57배-&gt;62배)</v>
          </cell>
          <cell r="AD1328">
            <v>0.85</v>
          </cell>
          <cell r="AE1328">
            <v>98</v>
          </cell>
          <cell r="AF1328">
            <v>4</v>
          </cell>
        </row>
        <row r="1329">
          <cell r="A1329" t="str">
            <v>MFZ57006125</v>
          </cell>
          <cell r="B1329" t="str">
            <v>SET</v>
          </cell>
          <cell r="C1329">
            <v>1</v>
          </cell>
          <cell r="D1329">
            <v>85</v>
          </cell>
          <cell r="E1329">
            <v>490</v>
          </cell>
          <cell r="F1329">
            <v>70</v>
          </cell>
          <cell r="G1329" t="str">
            <v>B240NS</v>
          </cell>
          <cell r="H1329">
            <v>4</v>
          </cell>
          <cell r="I1329">
            <v>2</v>
          </cell>
          <cell r="J1329" t="str">
            <v>LG전자</v>
          </cell>
          <cell r="K1329">
            <v>129</v>
          </cell>
          <cell r="L1329">
            <v>131</v>
          </cell>
          <cell r="M1329">
            <v>131</v>
          </cell>
          <cell r="N1329">
            <v>133</v>
          </cell>
          <cell r="O1329">
            <v>2212</v>
          </cell>
          <cell r="P1329">
            <v>1300</v>
          </cell>
          <cell r="Q1329">
            <v>200</v>
          </cell>
          <cell r="R1329" t="str">
            <v>검정</v>
          </cell>
          <cell r="S1329" t="str">
            <v>검정</v>
          </cell>
          <cell r="T1329" t="str">
            <v>LAN8900_EHGD</v>
          </cell>
          <cell r="U1329">
            <v>40641</v>
          </cell>
          <cell r="V1329" t="str">
            <v>삼일금형</v>
          </cell>
          <cell r="W1329" t="str">
            <v>MFZ6125</v>
          </cell>
          <cell r="X1329" t="str">
            <v>D-0604</v>
          </cell>
          <cell r="AC1329" t="str">
            <v>2012.08.23 기준배율변경(57배-&gt;62배)</v>
          </cell>
          <cell r="AD1329">
            <v>0.85</v>
          </cell>
          <cell r="AE1329">
            <v>85</v>
          </cell>
          <cell r="AF1329">
            <v>1</v>
          </cell>
        </row>
        <row r="1330">
          <cell r="A1330" t="str">
            <v>MFZ57006121</v>
          </cell>
          <cell r="B1330" t="str">
            <v>SET</v>
          </cell>
          <cell r="C1330">
            <v>4</v>
          </cell>
          <cell r="D1330">
            <v>90</v>
          </cell>
          <cell r="E1330">
            <v>90</v>
          </cell>
          <cell r="F1330">
            <v>65</v>
          </cell>
          <cell r="G1330" t="str">
            <v>B240NS</v>
          </cell>
          <cell r="H1330">
            <v>1</v>
          </cell>
          <cell r="I1330">
            <v>2</v>
          </cell>
          <cell r="J1330" t="str">
            <v>LG전자</v>
          </cell>
          <cell r="K1330">
            <v>69</v>
          </cell>
          <cell r="L1330">
            <v>71</v>
          </cell>
          <cell r="M1330">
            <v>97</v>
          </cell>
          <cell r="N1330">
            <v>99</v>
          </cell>
          <cell r="O1330">
            <v>378</v>
          </cell>
          <cell r="P1330">
            <v>1300</v>
          </cell>
          <cell r="Q1330">
            <v>200</v>
          </cell>
          <cell r="S1330">
            <v>0</v>
          </cell>
          <cell r="T1330" t="str">
            <v>LAN8900_EKYN</v>
          </cell>
          <cell r="U1330">
            <v>40464</v>
          </cell>
          <cell r="V1330" t="str">
            <v>삼일금형</v>
          </cell>
          <cell r="W1330" t="str">
            <v>MFZ6121</v>
          </cell>
          <cell r="AD1330">
            <v>0.85</v>
          </cell>
          <cell r="AE1330">
            <v>90</v>
          </cell>
          <cell r="AF1330">
            <v>1</v>
          </cell>
        </row>
        <row r="1331">
          <cell r="A1331" t="str">
            <v>MFZ57006108</v>
          </cell>
          <cell r="B1331" t="str">
            <v>SET</v>
          </cell>
          <cell r="C1331">
            <v>6</v>
          </cell>
          <cell r="D1331">
            <v>80</v>
          </cell>
          <cell r="E1331">
            <v>66</v>
          </cell>
          <cell r="F1331">
            <v>70</v>
          </cell>
          <cell r="G1331" t="str">
            <v>B240NS</v>
          </cell>
          <cell r="H1331">
            <v>24</v>
          </cell>
          <cell r="I1331">
            <v>2</v>
          </cell>
          <cell r="J1331" t="str">
            <v>LG전자</v>
          </cell>
          <cell r="K1331">
            <v>68</v>
          </cell>
          <cell r="L1331">
            <v>70</v>
          </cell>
          <cell r="M1331">
            <v>79</v>
          </cell>
          <cell r="N1331">
            <v>81</v>
          </cell>
          <cell r="O1331">
            <v>276</v>
          </cell>
          <cell r="P1331">
            <v>1300</v>
          </cell>
          <cell r="Q1331">
            <v>150</v>
          </cell>
          <cell r="R1331" t="str">
            <v>노랑</v>
          </cell>
          <cell r="S1331" t="str">
            <v>노랑</v>
          </cell>
          <cell r="T1331" t="str">
            <v>LAN8910NHHD</v>
          </cell>
          <cell r="U1331">
            <v>40002</v>
          </cell>
          <cell r="V1331" t="str">
            <v>삼일금형</v>
          </cell>
          <cell r="W1331" t="str">
            <v>MFZ6108</v>
          </cell>
          <cell r="AC1331" t="str">
            <v>2012.08.23 기준배율변경(57배-&gt;62배)</v>
          </cell>
          <cell r="AD1331">
            <v>0.85</v>
          </cell>
          <cell r="AE1331">
            <v>80</v>
          </cell>
          <cell r="AF1331">
            <v>4</v>
          </cell>
        </row>
        <row r="1332">
          <cell r="A1332" t="str">
            <v>MFZ57006106</v>
          </cell>
          <cell r="B1332" t="str">
            <v>SET</v>
          </cell>
          <cell r="C1332">
            <v>1</v>
          </cell>
          <cell r="D1332">
            <v>74</v>
          </cell>
          <cell r="E1332">
            <v>514</v>
          </cell>
          <cell r="F1332">
            <v>70</v>
          </cell>
          <cell r="G1332" t="str">
            <v>B240NS</v>
          </cell>
          <cell r="H1332">
            <v>4</v>
          </cell>
          <cell r="I1332">
            <v>2</v>
          </cell>
          <cell r="J1332" t="str">
            <v>LG전자</v>
          </cell>
          <cell r="K1332">
            <v>129</v>
          </cell>
          <cell r="L1332">
            <v>133</v>
          </cell>
          <cell r="M1332">
            <v>131</v>
          </cell>
          <cell r="N1332">
            <v>134</v>
          </cell>
          <cell r="O1332">
            <v>2734</v>
          </cell>
          <cell r="P1332">
            <v>1300</v>
          </cell>
          <cell r="Q1332">
            <v>200</v>
          </cell>
          <cell r="R1332" t="str">
            <v>주황</v>
          </cell>
          <cell r="S1332" t="str">
            <v>주황</v>
          </cell>
          <cell r="T1332" t="str">
            <v>LAN8900EGLM</v>
          </cell>
          <cell r="U1332">
            <v>39974</v>
          </cell>
          <cell r="V1332" t="str">
            <v>삼일금형</v>
          </cell>
          <cell r="W1332" t="str">
            <v>MFZ6106</v>
          </cell>
          <cell r="X1332" t="str">
            <v>계양리 O-1</v>
          </cell>
          <cell r="AC1332" t="str">
            <v>2012.08.23 기준배율변경(57배-&gt;62배),2013.03.25 T/B기준치수변경(T:129~131,B:131~133-&gt;T:129~133,B:131~134)</v>
          </cell>
          <cell r="AD1332">
            <v>0.85</v>
          </cell>
          <cell r="AE1332">
            <v>74</v>
          </cell>
          <cell r="AF1332">
            <v>8</v>
          </cell>
        </row>
        <row r="1333">
          <cell r="A1333" t="str">
            <v>MFZ57006105</v>
          </cell>
          <cell r="B1333" t="str">
            <v>SET</v>
          </cell>
          <cell r="C1333">
            <v>2</v>
          </cell>
          <cell r="D1333">
            <v>99</v>
          </cell>
          <cell r="E1333">
            <v>405</v>
          </cell>
          <cell r="F1333">
            <v>65</v>
          </cell>
          <cell r="G1333" t="str">
            <v>B240NS</v>
          </cell>
          <cell r="H1333">
            <v>6</v>
          </cell>
          <cell r="I1333">
            <v>2</v>
          </cell>
          <cell r="J1333" t="str">
            <v>LG전자</v>
          </cell>
          <cell r="K1333">
            <v>141</v>
          </cell>
          <cell r="L1333">
            <v>143</v>
          </cell>
          <cell r="M1333">
            <v>131</v>
          </cell>
          <cell r="N1333">
            <v>134</v>
          </cell>
          <cell r="O1333">
            <v>1793</v>
          </cell>
          <cell r="P1333">
            <v>1300</v>
          </cell>
          <cell r="Q1333">
            <v>250</v>
          </cell>
          <cell r="R1333" t="str">
            <v>빨강</v>
          </cell>
          <cell r="S1333" t="str">
            <v>빨강</v>
          </cell>
          <cell r="T1333" t="str">
            <v>LAN8900EKED</v>
          </cell>
          <cell r="U1333">
            <v>39958</v>
          </cell>
          <cell r="V1333" t="str">
            <v>삼일금형</v>
          </cell>
          <cell r="W1333" t="str">
            <v>MFZ57006105</v>
          </cell>
          <cell r="AC1333" t="str">
            <v>2011.07.01 모델명 변경(MFZ57006105-MFZ6105)</v>
          </cell>
          <cell r="AD1333">
            <v>0.85</v>
          </cell>
          <cell r="AE1333">
            <v>99</v>
          </cell>
          <cell r="AF1333">
            <v>3</v>
          </cell>
        </row>
        <row r="1334">
          <cell r="A1334" t="str">
            <v>MFZ47272637</v>
          </cell>
          <cell r="B1334" t="str">
            <v>SET</v>
          </cell>
          <cell r="C1334">
            <v>7</v>
          </cell>
          <cell r="D1334">
            <v>90</v>
          </cell>
          <cell r="E1334">
            <v>20</v>
          </cell>
          <cell r="F1334">
            <v>65</v>
          </cell>
          <cell r="G1334" t="str">
            <v>B240NS</v>
          </cell>
          <cell r="H1334">
            <v>96</v>
          </cell>
          <cell r="I1334">
            <v>2</v>
          </cell>
          <cell r="J1334" t="str">
            <v>LG전자</v>
          </cell>
          <cell r="K1334">
            <v>59</v>
          </cell>
          <cell r="L1334">
            <v>61</v>
          </cell>
          <cell r="M1334">
            <v>59</v>
          </cell>
          <cell r="N1334">
            <v>61</v>
          </cell>
          <cell r="O1334">
            <v>118</v>
          </cell>
          <cell r="P1334">
            <v>1300</v>
          </cell>
          <cell r="Q1334">
            <v>150</v>
          </cell>
          <cell r="R1334" t="str">
            <v>흰색</v>
          </cell>
          <cell r="S1334" t="str">
            <v>흰색</v>
          </cell>
          <cell r="T1334" t="str">
            <v>LSH630_PACKING</v>
          </cell>
          <cell r="U1334">
            <v>40652</v>
          </cell>
          <cell r="V1334" t="str">
            <v>삼일금형</v>
          </cell>
          <cell r="W1334" t="str">
            <v>MFZ2637</v>
          </cell>
          <cell r="X1334" t="str">
            <v>계양리 O-1</v>
          </cell>
          <cell r="AC1334" t="str">
            <v>2011.07.21(BURR)수정,2011.11.21(BURR)수정, 2012.02.09L각인추가</v>
          </cell>
          <cell r="AD1334">
            <v>0.85</v>
          </cell>
          <cell r="AE1334">
            <v>90</v>
          </cell>
        </row>
        <row r="1335">
          <cell r="A1335" t="str">
            <v>MFZ47272626</v>
          </cell>
          <cell r="B1335" t="str">
            <v>SET</v>
          </cell>
          <cell r="C1335">
            <v>6</v>
          </cell>
          <cell r="D1335">
            <v>75</v>
          </cell>
          <cell r="E1335">
            <v>38</v>
          </cell>
          <cell r="F1335">
            <v>65</v>
          </cell>
          <cell r="G1335" t="str">
            <v>B240NS</v>
          </cell>
          <cell r="H1335">
            <v>40</v>
          </cell>
          <cell r="I1335">
            <v>2</v>
          </cell>
          <cell r="J1335" t="str">
            <v>LG전자</v>
          </cell>
          <cell r="K1335">
            <v>75</v>
          </cell>
          <cell r="L1335">
            <v>79</v>
          </cell>
          <cell r="M1335">
            <v>75</v>
          </cell>
          <cell r="N1335">
            <v>79</v>
          </cell>
          <cell r="O1335">
            <v>191</v>
          </cell>
          <cell r="P1335">
            <v>1300</v>
          </cell>
          <cell r="Q1335">
            <v>150</v>
          </cell>
          <cell r="R1335" t="str">
            <v>노랑</v>
          </cell>
          <cell r="S1335" t="str">
            <v>노랑</v>
          </cell>
          <cell r="T1335" t="str">
            <v>MFZ47272626</v>
          </cell>
          <cell r="U1335">
            <v>40365</v>
          </cell>
          <cell r="V1335" t="str">
            <v>삼일금형</v>
          </cell>
          <cell r="W1335" t="str">
            <v>MFZ2626</v>
          </cell>
          <cell r="AD1335">
            <v>0.85</v>
          </cell>
          <cell r="AE1335">
            <v>75</v>
          </cell>
          <cell r="AF1335">
            <v>2</v>
          </cell>
        </row>
        <row r="1336">
          <cell r="A1336" t="str">
            <v>MFZ47272621</v>
          </cell>
          <cell r="B1336" t="str">
            <v>SET</v>
          </cell>
          <cell r="C1336">
            <v>6</v>
          </cell>
          <cell r="D1336">
            <v>103</v>
          </cell>
          <cell r="E1336">
            <v>33</v>
          </cell>
          <cell r="F1336">
            <v>65</v>
          </cell>
          <cell r="G1336" t="str">
            <v>B240NS</v>
          </cell>
          <cell r="H1336">
            <v>30</v>
          </cell>
          <cell r="I1336">
            <v>2</v>
          </cell>
          <cell r="J1336" t="str">
            <v>LG전자</v>
          </cell>
          <cell r="K1336">
            <v>76</v>
          </cell>
          <cell r="L1336">
            <v>78</v>
          </cell>
          <cell r="M1336">
            <v>76</v>
          </cell>
          <cell r="N1336">
            <v>78</v>
          </cell>
          <cell r="O1336">
            <v>198</v>
          </cell>
          <cell r="P1336">
            <v>1300</v>
          </cell>
          <cell r="Q1336">
            <v>150</v>
          </cell>
          <cell r="R1336" t="str">
            <v>노랑</v>
          </cell>
          <cell r="S1336" t="str">
            <v>노랑</v>
          </cell>
          <cell r="T1336" t="str">
            <v>BD5000_PACKING</v>
          </cell>
          <cell r="U1336">
            <v>40217</v>
          </cell>
          <cell r="V1336" t="str">
            <v>삼일금형</v>
          </cell>
          <cell r="W1336" t="str">
            <v>MFZ2621</v>
          </cell>
          <cell r="AC1336" t="str">
            <v>간이, 2010.03.12CAVITY추가</v>
          </cell>
          <cell r="AD1336">
            <v>0.85</v>
          </cell>
          <cell r="AE1336">
            <v>103</v>
          </cell>
          <cell r="AF1336">
            <v>8</v>
          </cell>
        </row>
        <row r="1337">
          <cell r="A1337" t="str">
            <v>MFZ3681</v>
          </cell>
          <cell r="J1337" t="str">
            <v>LG전자</v>
          </cell>
          <cell r="O1337">
            <v>400</v>
          </cell>
          <cell r="T1337" t="str">
            <v>20*478*382</v>
          </cell>
          <cell r="U1337">
            <v>41054</v>
          </cell>
        </row>
        <row r="1338">
          <cell r="A1338" t="str">
            <v>MFZ34189165</v>
          </cell>
          <cell r="B1338" t="str">
            <v>SET</v>
          </cell>
          <cell r="C1338">
            <v>5</v>
          </cell>
          <cell r="D1338">
            <v>118</v>
          </cell>
          <cell r="E1338">
            <v>132</v>
          </cell>
          <cell r="F1338">
            <v>65</v>
          </cell>
          <cell r="G1338" t="str">
            <v>B240NS</v>
          </cell>
          <cell r="H1338">
            <v>1</v>
          </cell>
          <cell r="I1338">
            <v>2</v>
          </cell>
          <cell r="J1338" t="str">
            <v>LG전자</v>
          </cell>
          <cell r="K1338">
            <v>133.5</v>
          </cell>
          <cell r="L1338">
            <v>136</v>
          </cell>
          <cell r="M1338">
            <v>108.5</v>
          </cell>
          <cell r="N1338">
            <v>111</v>
          </cell>
          <cell r="O1338">
            <v>462</v>
          </cell>
          <cell r="P1338">
            <v>1300</v>
          </cell>
          <cell r="Q1338">
            <v>250</v>
          </cell>
          <cell r="S1338">
            <v>0</v>
          </cell>
          <cell r="T1338" t="str">
            <v>MFZ34189165</v>
          </cell>
          <cell r="U1338">
            <v>39216</v>
          </cell>
          <cell r="V1338" t="str">
            <v>삼일금형</v>
          </cell>
          <cell r="W1338" t="str">
            <v>MFZ165</v>
          </cell>
          <cell r="AD1338">
            <v>0.85</v>
          </cell>
          <cell r="AE1338">
            <v>118</v>
          </cell>
          <cell r="AF1338">
            <v>6</v>
          </cell>
        </row>
        <row r="1339">
          <cell r="A1339" t="str">
            <v>MFZ34189164</v>
          </cell>
          <cell r="B1339" t="str">
            <v>SET</v>
          </cell>
          <cell r="C1339">
            <v>4</v>
          </cell>
          <cell r="D1339">
            <v>91</v>
          </cell>
          <cell r="E1339">
            <v>107</v>
          </cell>
          <cell r="F1339">
            <v>65</v>
          </cell>
          <cell r="G1339" t="str">
            <v>B240NS</v>
          </cell>
          <cell r="H1339">
            <v>12</v>
          </cell>
          <cell r="I1339">
            <v>2</v>
          </cell>
          <cell r="J1339" t="str">
            <v>LG전자</v>
          </cell>
          <cell r="K1339">
            <v>119</v>
          </cell>
          <cell r="L1339">
            <v>121</v>
          </cell>
          <cell r="M1339">
            <v>89.5</v>
          </cell>
          <cell r="N1339">
            <v>91</v>
          </cell>
          <cell r="O1339">
            <v>373</v>
          </cell>
          <cell r="P1339">
            <v>1300</v>
          </cell>
          <cell r="Q1339">
            <v>200</v>
          </cell>
          <cell r="R1339" t="str">
            <v>노랑</v>
          </cell>
          <cell r="S1339" t="str">
            <v>노랑</v>
          </cell>
          <cell r="T1339" t="str">
            <v>MFZ34189164</v>
          </cell>
          <cell r="U1339">
            <v>39210</v>
          </cell>
          <cell r="V1339" t="str">
            <v>삼일금형</v>
          </cell>
          <cell r="W1339" t="str">
            <v>MFZ164</v>
          </cell>
          <cell r="AD1339">
            <v>0.85</v>
          </cell>
          <cell r="AE1339">
            <v>91</v>
          </cell>
          <cell r="AF1339">
            <v>3</v>
          </cell>
        </row>
        <row r="1340">
          <cell r="A1340" t="str">
            <v>MFZ34189152</v>
          </cell>
          <cell r="B1340" t="str">
            <v>SET</v>
          </cell>
          <cell r="C1340">
            <v>4</v>
          </cell>
          <cell r="D1340">
            <v>90</v>
          </cell>
          <cell r="E1340">
            <v>229</v>
          </cell>
          <cell r="F1340">
            <v>65</v>
          </cell>
          <cell r="G1340" t="str">
            <v>B240NS</v>
          </cell>
          <cell r="H1340">
            <v>12</v>
          </cell>
          <cell r="I1340">
            <v>2</v>
          </cell>
          <cell r="J1340" t="str">
            <v>LG전자</v>
          </cell>
          <cell r="K1340">
            <v>129</v>
          </cell>
          <cell r="L1340">
            <v>131</v>
          </cell>
          <cell r="M1340">
            <v>109</v>
          </cell>
          <cell r="N1340">
            <v>111</v>
          </cell>
          <cell r="O1340">
            <v>799</v>
          </cell>
          <cell r="P1340">
            <v>1300</v>
          </cell>
          <cell r="Q1340">
            <v>200</v>
          </cell>
          <cell r="R1340" t="str">
            <v>파랑</v>
          </cell>
          <cell r="S1340" t="str">
            <v>파랑</v>
          </cell>
          <cell r="T1340" t="str">
            <v>LDE304</v>
          </cell>
          <cell r="W1340" t="str">
            <v>MAY38866116</v>
          </cell>
          <cell r="Y1340">
            <v>50</v>
          </cell>
          <cell r="AC1340" t="str">
            <v>MFZ152 같은금형 패드 종이PAD와 함께 작업</v>
          </cell>
          <cell r="AD1340">
            <v>0.85</v>
          </cell>
          <cell r="AE1340">
            <v>90</v>
          </cell>
          <cell r="AF1340">
            <v>4</v>
          </cell>
        </row>
        <row r="1341">
          <cell r="A1341" t="str">
            <v>MEXWELL65-75</v>
          </cell>
          <cell r="B1341" t="str">
            <v>SET</v>
          </cell>
          <cell r="C1341">
            <v>1</v>
          </cell>
          <cell r="D1341">
            <v>110</v>
          </cell>
          <cell r="E1341">
            <v>1160</v>
          </cell>
          <cell r="F1341">
            <v>70</v>
          </cell>
          <cell r="G1341" t="str">
            <v>B240NS</v>
          </cell>
          <cell r="H1341">
            <v>4</v>
          </cell>
          <cell r="I1341">
            <v>4</v>
          </cell>
          <cell r="J1341" t="str">
            <v>디엔티</v>
          </cell>
          <cell r="K1341">
            <v>300</v>
          </cell>
          <cell r="L1341">
            <v>304</v>
          </cell>
          <cell r="M1341">
            <v>392</v>
          </cell>
          <cell r="N1341">
            <v>396</v>
          </cell>
          <cell r="O1341">
            <v>10</v>
          </cell>
          <cell r="P1341">
            <v>1360</v>
          </cell>
          <cell r="Q1341">
            <v>500</v>
          </cell>
          <cell r="R1341" t="str">
            <v>빨강</v>
          </cell>
          <cell r="S1341" t="str">
            <v>파랑</v>
          </cell>
          <cell r="U1341">
            <v>43040</v>
          </cell>
          <cell r="V1341" t="str">
            <v>금형제조부</v>
          </cell>
          <cell r="AC1341" t="str">
            <v>최재학계장,2017.11.29배율및기준중량변경(53배-&gt;66배 , 1400g-&gt;1160g)</v>
          </cell>
          <cell r="AD1341">
            <v>0.85</v>
          </cell>
          <cell r="AE1341">
            <v>100</v>
          </cell>
          <cell r="AF1341">
            <v>6</v>
          </cell>
        </row>
        <row r="1342">
          <cell r="A1342" t="str">
            <v>MD</v>
          </cell>
          <cell r="B1342" t="str">
            <v>SET</v>
          </cell>
          <cell r="C1342">
            <v>2</v>
          </cell>
          <cell r="D1342">
            <v>80</v>
          </cell>
          <cell r="E1342">
            <v>615</v>
          </cell>
          <cell r="F1342">
            <v>74</v>
          </cell>
          <cell r="G1342" t="str">
            <v>B240NS</v>
          </cell>
          <cell r="H1342">
            <v>1</v>
          </cell>
          <cell r="I1342">
            <v>2</v>
          </cell>
          <cell r="J1342" t="str">
            <v>모트렉스</v>
          </cell>
          <cell r="O1342">
            <v>3100</v>
          </cell>
          <cell r="P1342">
            <v>1360</v>
          </cell>
          <cell r="Q1342">
            <v>250</v>
          </cell>
          <cell r="S1342">
            <v>0</v>
          </cell>
          <cell r="T1342" t="str">
            <v>MD</v>
          </cell>
          <cell r="U1342">
            <v>43243</v>
          </cell>
          <cell r="V1342" t="str">
            <v>이관금형</v>
          </cell>
          <cell r="W1342" t="str">
            <v>2번 건조, 생성예정(B)</v>
          </cell>
          <cell r="Y1342">
            <v>64</v>
          </cell>
          <cell r="AC1342" t="str">
            <v>최재학계장</v>
          </cell>
          <cell r="AD1342">
            <v>0.85</v>
          </cell>
          <cell r="AE1342">
            <v>75</v>
          </cell>
          <cell r="AF1342">
            <v>1</v>
          </cell>
        </row>
        <row r="1343">
          <cell r="A1343" t="str">
            <v>MASTER</v>
          </cell>
          <cell r="B1343" t="str">
            <v>SET</v>
          </cell>
          <cell r="C1343">
            <v>2</v>
          </cell>
          <cell r="D1343">
            <v>140</v>
          </cell>
          <cell r="E1343">
            <v>398</v>
          </cell>
          <cell r="F1343">
            <v>50</v>
          </cell>
          <cell r="G1343" t="str">
            <v>B240NS</v>
          </cell>
          <cell r="H1343" t="str">
            <v>5.-05-10</v>
          </cell>
          <cell r="I1343">
            <v>2</v>
          </cell>
          <cell r="J1343" t="str">
            <v>위닉스</v>
          </cell>
          <cell r="O1343">
            <v>1756</v>
          </cell>
          <cell r="P1343">
            <v>1360</v>
          </cell>
          <cell r="Q1343">
            <v>350</v>
          </cell>
          <cell r="R1343" t="str">
            <v>검정</v>
          </cell>
          <cell r="T1343" t="str">
            <v>2710-0184-85-86</v>
          </cell>
          <cell r="U1343">
            <v>45842</v>
          </cell>
          <cell r="V1343" t="str">
            <v>둔포 이관</v>
          </cell>
          <cell r="W1343" t="str">
            <v>융착,버,치수(BURR)불량 확인할것!!</v>
          </cell>
          <cell r="AD1343">
            <v>0.85</v>
          </cell>
          <cell r="AE1343">
            <v>80</v>
          </cell>
        </row>
        <row r="1344">
          <cell r="A1344" t="str">
            <v>MASTER</v>
          </cell>
          <cell r="B1344" t="str">
            <v>SET</v>
          </cell>
          <cell r="C1344">
            <v>2</v>
          </cell>
          <cell r="D1344">
            <v>140</v>
          </cell>
          <cell r="E1344">
            <v>398</v>
          </cell>
          <cell r="F1344">
            <v>50</v>
          </cell>
          <cell r="G1344" t="str">
            <v>B240NS</v>
          </cell>
          <cell r="H1344" t="str">
            <v>5.-05-10</v>
          </cell>
          <cell r="I1344">
            <v>2</v>
          </cell>
          <cell r="J1344" t="str">
            <v>위닉스</v>
          </cell>
          <cell r="O1344">
            <v>1756</v>
          </cell>
          <cell r="P1344">
            <v>1360</v>
          </cell>
          <cell r="Q1344">
            <v>350</v>
          </cell>
          <cell r="R1344" t="str">
            <v>검정</v>
          </cell>
          <cell r="T1344" t="str">
            <v>2710-0184-85-86</v>
          </cell>
          <cell r="U1344">
            <v>45842</v>
          </cell>
          <cell r="V1344" t="str">
            <v>둔포 이관</v>
          </cell>
          <cell r="W1344" t="str">
            <v>융착,버,치수(BURR)불량 확인할것!!</v>
          </cell>
          <cell r="AD1344">
            <v>0.85</v>
          </cell>
          <cell r="AE1344">
            <v>80</v>
          </cell>
        </row>
        <row r="1345">
          <cell r="A1345" t="str">
            <v>MAM03D</v>
          </cell>
          <cell r="B1345" t="str">
            <v>SET</v>
          </cell>
          <cell r="C1345">
            <v>2</v>
          </cell>
          <cell r="D1345">
            <v>180</v>
          </cell>
          <cell r="E1345">
            <v>100</v>
          </cell>
          <cell r="F1345">
            <v>65</v>
          </cell>
          <cell r="G1345" t="str">
            <v>B240NS</v>
          </cell>
          <cell r="H1345">
            <v>10</v>
          </cell>
          <cell r="I1345">
            <v>2</v>
          </cell>
          <cell r="J1345" t="str">
            <v>아이두잇</v>
          </cell>
          <cell r="K1345">
            <v>89</v>
          </cell>
          <cell r="L1345">
            <v>91</v>
          </cell>
          <cell r="M1345">
            <v>89</v>
          </cell>
          <cell r="N1345">
            <v>91</v>
          </cell>
          <cell r="O1345">
            <v>660</v>
          </cell>
          <cell r="P1345">
            <v>1300</v>
          </cell>
          <cell r="Q1345">
            <v>200</v>
          </cell>
          <cell r="R1345" t="str">
            <v>보라</v>
          </cell>
          <cell r="S1345" t="str">
            <v>보라</v>
          </cell>
          <cell r="T1345" t="str">
            <v>MAM01D</v>
          </cell>
          <cell r="U1345">
            <v>40848</v>
          </cell>
          <cell r="V1345" t="str">
            <v>한일폼케미칼이동입고</v>
          </cell>
          <cell r="W1345" t="str">
            <v>이물,2번건조, 냉각수1초이하</v>
          </cell>
          <cell r="X1345" t="str">
            <v>Q-1201</v>
          </cell>
          <cell r="AC1345" t="str">
            <v>장혁민사원2011.11.01(한일폼케미칼에서이관)</v>
          </cell>
          <cell r="AD1345">
            <v>0.85</v>
          </cell>
          <cell r="AE1345">
            <v>80</v>
          </cell>
          <cell r="AF1345">
            <v>6</v>
          </cell>
        </row>
        <row r="1346">
          <cell r="A1346" t="str">
            <v>M 정수기</v>
          </cell>
          <cell r="B1346" t="str">
            <v>SET</v>
          </cell>
          <cell r="C1346">
            <v>3</v>
          </cell>
          <cell r="D1346">
            <v>160</v>
          </cell>
          <cell r="E1346">
            <v>252</v>
          </cell>
          <cell r="F1346">
            <v>60</v>
          </cell>
          <cell r="G1346" t="str">
            <v>B240NS</v>
          </cell>
          <cell r="H1346" t="str">
            <v>UP:10 LOW:10</v>
          </cell>
          <cell r="I1346">
            <v>2</v>
          </cell>
          <cell r="J1346" t="str">
            <v>청호나이스</v>
          </cell>
          <cell r="K1346">
            <v>68</v>
          </cell>
          <cell r="L1346">
            <v>72</v>
          </cell>
          <cell r="M1346">
            <v>48</v>
          </cell>
          <cell r="N1346">
            <v>52</v>
          </cell>
          <cell r="P1346">
            <v>1360</v>
          </cell>
          <cell r="Q1346">
            <v>200</v>
          </cell>
          <cell r="R1346" t="str">
            <v>노랑</v>
          </cell>
          <cell r="T1346" t="str">
            <v>61-2684-0/61-2685-0</v>
          </cell>
          <cell r="U1346">
            <v>45967</v>
          </cell>
          <cell r="V1346" t="str">
            <v>금형제조부</v>
          </cell>
          <cell r="AD1346">
            <v>0.85</v>
          </cell>
          <cell r="AE1346">
            <v>90</v>
          </cell>
        </row>
        <row r="1347">
          <cell r="A1347" t="str">
            <v>M 정수기</v>
          </cell>
          <cell r="B1347" t="str">
            <v>SET</v>
          </cell>
          <cell r="C1347">
            <v>3</v>
          </cell>
          <cell r="D1347">
            <v>160</v>
          </cell>
          <cell r="E1347">
            <v>252</v>
          </cell>
          <cell r="F1347">
            <v>60</v>
          </cell>
          <cell r="G1347" t="str">
            <v>B240NS</v>
          </cell>
          <cell r="H1347" t="str">
            <v>UP:10 LOW:10</v>
          </cell>
          <cell r="I1347">
            <v>2</v>
          </cell>
          <cell r="J1347" t="str">
            <v>청호나이스</v>
          </cell>
          <cell r="K1347">
            <v>68</v>
          </cell>
          <cell r="L1347">
            <v>72</v>
          </cell>
          <cell r="M1347">
            <v>48</v>
          </cell>
          <cell r="N1347">
            <v>52</v>
          </cell>
          <cell r="P1347">
            <v>1360</v>
          </cell>
          <cell r="Q1347">
            <v>200</v>
          </cell>
          <cell r="R1347" t="str">
            <v>노랑</v>
          </cell>
          <cell r="T1347" t="str">
            <v>61-2684-0/61-2685-0</v>
          </cell>
          <cell r="U1347">
            <v>45967</v>
          </cell>
          <cell r="V1347" t="str">
            <v>금형제조부</v>
          </cell>
          <cell r="AD1347">
            <v>0.85</v>
          </cell>
          <cell r="AE1347">
            <v>90</v>
          </cell>
        </row>
        <row r="1348">
          <cell r="A1348" t="str">
            <v>LJ69-05599B</v>
          </cell>
        </row>
        <row r="1349">
          <cell r="A1349" t="str">
            <v>LJ69-05566A</v>
          </cell>
          <cell r="B1349" t="str">
            <v>SET</v>
          </cell>
          <cell r="E1349">
            <v>998</v>
          </cell>
          <cell r="J1349" t="str">
            <v>삼성LCD</v>
          </cell>
        </row>
        <row r="1350">
          <cell r="A1350" t="str">
            <v>LJ69-05491C</v>
          </cell>
        </row>
        <row r="1351">
          <cell r="A1351" t="str">
            <v>LJ69-05391B</v>
          </cell>
          <cell r="B1351" t="str">
            <v>SET</v>
          </cell>
          <cell r="E1351">
            <v>3205</v>
          </cell>
          <cell r="J1351" t="str">
            <v>삼성LCD</v>
          </cell>
        </row>
        <row r="1352">
          <cell r="A1352" t="str">
            <v>LJ69-05391B</v>
          </cell>
          <cell r="B1352" t="str">
            <v>SET</v>
          </cell>
          <cell r="E1352">
            <v>615</v>
          </cell>
          <cell r="J1352" t="str">
            <v>삼성LCD</v>
          </cell>
          <cell r="O1352">
            <v>22000</v>
          </cell>
        </row>
        <row r="1353">
          <cell r="A1353" t="str">
            <v>LJ69-05380A </v>
          </cell>
        </row>
        <row r="1354">
          <cell r="A1354" t="str">
            <v>LJ69-04989A</v>
          </cell>
          <cell r="B1354" t="str">
            <v>SET</v>
          </cell>
          <cell r="E1354">
            <v>4984</v>
          </cell>
          <cell r="J1354" t="str">
            <v>삼성LCD</v>
          </cell>
        </row>
        <row r="1355">
          <cell r="A1355" t="str">
            <v>LJ69-04988A</v>
          </cell>
          <cell r="B1355" t="str">
            <v>SET</v>
          </cell>
          <cell r="E1355">
            <v>2024</v>
          </cell>
          <cell r="J1355" t="str">
            <v>삼성LCD</v>
          </cell>
        </row>
        <row r="1356">
          <cell r="A1356" t="str">
            <v>LJ69-04988A</v>
          </cell>
          <cell r="B1356" t="str">
            <v>SET</v>
          </cell>
          <cell r="E1356">
            <v>2024</v>
          </cell>
          <cell r="J1356" t="str">
            <v>삼성LCD</v>
          </cell>
          <cell r="O1356">
            <v>22000</v>
          </cell>
        </row>
        <row r="1357">
          <cell r="A1357" t="str">
            <v>LJ69-03398A</v>
          </cell>
          <cell r="B1357" t="str">
            <v>SET</v>
          </cell>
          <cell r="E1357">
            <v>2664</v>
          </cell>
          <cell r="J1357" t="str">
            <v>삼성LCD</v>
          </cell>
        </row>
        <row r="1358">
          <cell r="A1358" t="str">
            <v>LJ69-03398A</v>
          </cell>
          <cell r="B1358" t="str">
            <v>SET</v>
          </cell>
          <cell r="E1358">
            <v>2664</v>
          </cell>
          <cell r="J1358" t="str">
            <v>삼성LCD</v>
          </cell>
          <cell r="O1358">
            <v>22000</v>
          </cell>
        </row>
        <row r="1359">
          <cell r="A1359" t="str">
            <v>LJ69-03396A</v>
          </cell>
          <cell r="B1359" t="str">
            <v>SET</v>
          </cell>
          <cell r="E1359">
            <v>7917</v>
          </cell>
          <cell r="J1359" t="str">
            <v>삼성LCD</v>
          </cell>
        </row>
        <row r="1360">
          <cell r="A1360" t="str">
            <v>LJ69-03396A</v>
          </cell>
          <cell r="B1360" t="str">
            <v>SET</v>
          </cell>
          <cell r="E1360">
            <v>7917</v>
          </cell>
          <cell r="J1360" t="str">
            <v>삼성LCD</v>
          </cell>
          <cell r="O1360">
            <v>22000</v>
          </cell>
        </row>
        <row r="1361">
          <cell r="A1361" t="str">
            <v>LJ69-03146B</v>
          </cell>
          <cell r="B1361" t="str">
            <v>SET</v>
          </cell>
          <cell r="E1361">
            <v>1201</v>
          </cell>
          <cell r="J1361" t="str">
            <v>삼성LCD</v>
          </cell>
        </row>
        <row r="1362">
          <cell r="A1362" t="str">
            <v>LJ69-03146B</v>
          </cell>
          <cell r="B1362" t="str">
            <v>SET</v>
          </cell>
          <cell r="E1362">
            <v>1201</v>
          </cell>
          <cell r="J1362" t="str">
            <v>삼성LCD</v>
          </cell>
          <cell r="O1362">
            <v>22000</v>
          </cell>
        </row>
        <row r="1363">
          <cell r="A1363" t="str">
            <v>LJ69-03144B</v>
          </cell>
          <cell r="B1363" t="str">
            <v>SET</v>
          </cell>
          <cell r="E1363">
            <v>735</v>
          </cell>
          <cell r="J1363" t="str">
            <v>삼성LCD</v>
          </cell>
        </row>
        <row r="1364">
          <cell r="A1364" t="str">
            <v>LJ69-03144B</v>
          </cell>
          <cell r="B1364" t="str">
            <v>SET</v>
          </cell>
          <cell r="E1364">
            <v>735</v>
          </cell>
          <cell r="J1364" t="str">
            <v>삼성LCD</v>
          </cell>
          <cell r="O1364">
            <v>22000</v>
          </cell>
        </row>
        <row r="1365">
          <cell r="A1365" t="str">
            <v>LG-TRAY</v>
          </cell>
          <cell r="B1365" t="str">
            <v>저발</v>
          </cell>
          <cell r="C1365">
            <v>1</v>
          </cell>
          <cell r="D1365">
            <v>920</v>
          </cell>
          <cell r="E1365">
            <v>370</v>
          </cell>
          <cell r="F1365">
            <v>7</v>
          </cell>
          <cell r="G1365" t="str">
            <v>BSCN</v>
          </cell>
          <cell r="H1365">
            <v>1</v>
          </cell>
          <cell r="I1365">
            <v>1</v>
          </cell>
          <cell r="J1365" t="str">
            <v>LG이노텍</v>
          </cell>
          <cell r="K1365">
            <v>14</v>
          </cell>
          <cell r="L1365">
            <v>16</v>
          </cell>
          <cell r="O1365">
            <v>8000</v>
          </cell>
          <cell r="P1365">
            <v>700</v>
          </cell>
          <cell r="S1365">
            <v>0</v>
          </cell>
          <cell r="T1365" t="str">
            <v>LG-이노텍TRAY</v>
          </cell>
          <cell r="U1365">
            <v>40197</v>
          </cell>
          <cell r="V1365" t="str">
            <v>삼일금형</v>
          </cell>
          <cell r="AC1365" t="str">
            <v>2010.01.25승인완료</v>
          </cell>
          <cell r="AD1365">
            <v>0.9</v>
          </cell>
          <cell r="AE1365">
            <v>920</v>
          </cell>
          <cell r="AF1365">
            <v>6</v>
          </cell>
        </row>
        <row r="1366">
          <cell r="A1366" t="str">
            <v>LGH휴벤W</v>
          </cell>
          <cell r="B1366" t="str">
            <v>저발</v>
          </cell>
          <cell r="C1366">
            <v>2</v>
          </cell>
          <cell r="D1366">
            <v>100</v>
          </cell>
          <cell r="E1366">
            <v>84</v>
          </cell>
          <cell r="F1366">
            <v>24</v>
          </cell>
          <cell r="G1366" t="str">
            <v>ZP2500</v>
          </cell>
          <cell r="H1366">
            <v>50</v>
          </cell>
          <cell r="I1366">
            <v>3</v>
          </cell>
          <cell r="J1366" t="str">
            <v>힘펠</v>
          </cell>
          <cell r="K1366">
            <v>198</v>
          </cell>
          <cell r="L1366">
            <v>202</v>
          </cell>
          <cell r="M1366">
            <v>198</v>
          </cell>
          <cell r="N1366">
            <v>202</v>
          </cell>
          <cell r="O1366">
            <v>1630</v>
          </cell>
          <cell r="P1366">
            <v>700</v>
          </cell>
          <cell r="R1366" t="str">
            <v>비닐</v>
          </cell>
          <cell r="S1366" t="str">
            <v>박스</v>
          </cell>
          <cell r="U1366">
            <v>44084</v>
          </cell>
          <cell r="V1366" t="str">
            <v>금형사업부</v>
          </cell>
          <cell r="W1366" t="str">
            <v>꺼꾸로 조립</v>
          </cell>
          <cell r="Y1366">
            <v>20</v>
          </cell>
          <cell r="AC1366" t="str">
            <v>석상준과장, 2020.11.16 2CAVITY 재제작, 2020.12.24 기준중량변경(84-&gt;74) 및 CAVITY변경(4*1-&gt;6*1), 2021.02.10수정, 2021.04.19 재코팅, 2021.06.01수정, 2021.06.23 CAVITY변경(6*1-&gt;3*2), 2021.07.16코팅</v>
          </cell>
          <cell r="AD1366">
            <v>0.85</v>
          </cell>
          <cell r="AF1366">
            <v>6</v>
          </cell>
        </row>
        <row r="1367">
          <cell r="A1367" t="str">
            <v>LG5호</v>
          </cell>
          <cell r="B1367" t="str">
            <v>BOX</v>
          </cell>
          <cell r="C1367">
            <v>3</v>
          </cell>
          <cell r="D1367">
            <v>86</v>
          </cell>
          <cell r="E1367">
            <v>165</v>
          </cell>
          <cell r="F1367">
            <v>74</v>
          </cell>
          <cell r="G1367" t="str">
            <v>B240NS</v>
          </cell>
          <cell r="H1367">
            <v>10</v>
          </cell>
          <cell r="I1367">
            <v>2</v>
          </cell>
          <cell r="J1367" t="str">
            <v>LG생명과학</v>
          </cell>
          <cell r="K1367">
            <v>55</v>
          </cell>
          <cell r="L1367">
            <v>59</v>
          </cell>
          <cell r="M1367">
            <v>171</v>
          </cell>
          <cell r="N1367">
            <v>175</v>
          </cell>
          <cell r="O1367">
            <v>780</v>
          </cell>
          <cell r="P1367">
            <v>1360</v>
          </cell>
          <cell r="Q1367">
            <v>300</v>
          </cell>
          <cell r="R1367" t="str">
            <v>비닐</v>
          </cell>
          <cell r="S1367" t="str">
            <v>비닐</v>
          </cell>
          <cell r="T1367" t="str">
            <v>LG5호박스</v>
          </cell>
          <cell r="U1367">
            <v>39591</v>
          </cell>
          <cell r="V1367" t="str">
            <v>삼일금형</v>
          </cell>
          <cell r="AA1367">
            <v>41263</v>
          </cell>
          <cell r="AB1367" t="str">
            <v>아산이피에스</v>
          </cell>
          <cell r="AC1367" t="str">
            <v>아산EPS에서 제품입고2014.03.14 묶음단위변경 (8-&gt;10)변경</v>
          </cell>
          <cell r="AD1367">
            <v>0.85</v>
          </cell>
          <cell r="AE1367">
            <v>86</v>
          </cell>
          <cell r="AF1367">
            <v>3</v>
          </cell>
        </row>
        <row r="1368">
          <cell r="A1368" t="str">
            <v>LG4호</v>
          </cell>
          <cell r="B1368" t="str">
            <v>BOX</v>
          </cell>
          <cell r="C1368">
            <v>3</v>
          </cell>
          <cell r="D1368">
            <v>90</v>
          </cell>
          <cell r="E1368">
            <v>330</v>
          </cell>
          <cell r="F1368">
            <v>74</v>
          </cell>
          <cell r="G1368" t="str">
            <v>B240NS</v>
          </cell>
          <cell r="H1368">
            <v>6</v>
          </cell>
          <cell r="I1368">
            <v>2</v>
          </cell>
          <cell r="J1368" t="str">
            <v>LG생명과학</v>
          </cell>
          <cell r="K1368">
            <v>84</v>
          </cell>
          <cell r="L1368">
            <v>88</v>
          </cell>
          <cell r="M1368">
            <v>242</v>
          </cell>
          <cell r="N1368">
            <v>246</v>
          </cell>
          <cell r="O1368">
            <v>1590</v>
          </cell>
          <cell r="P1368">
            <v>1360</v>
          </cell>
          <cell r="Q1368">
            <v>350</v>
          </cell>
          <cell r="R1368" t="str">
            <v>비닐</v>
          </cell>
          <cell r="S1368" t="str">
            <v>비닐</v>
          </cell>
          <cell r="T1368" t="str">
            <v>LG4호박스</v>
          </cell>
          <cell r="U1368">
            <v>39595</v>
          </cell>
          <cell r="V1368" t="str">
            <v>삼일금형</v>
          </cell>
          <cell r="AA1368">
            <v>41263</v>
          </cell>
          <cell r="AB1368" t="str">
            <v>아산이피에스</v>
          </cell>
          <cell r="AC1368" t="str">
            <v>아산EPS에서 제품입고</v>
          </cell>
          <cell r="AD1368">
            <v>0.85</v>
          </cell>
          <cell r="AE1368">
            <v>90</v>
          </cell>
          <cell r="AF1368">
            <v>8</v>
          </cell>
        </row>
        <row r="1369">
          <cell r="A1369" t="str">
            <v>LG3호</v>
          </cell>
          <cell r="B1369" t="str">
            <v>BOX</v>
          </cell>
          <cell r="C1369">
            <v>2</v>
          </cell>
          <cell r="D1369">
            <v>118</v>
          </cell>
          <cell r="E1369">
            <v>430</v>
          </cell>
          <cell r="F1369">
            <v>74</v>
          </cell>
          <cell r="G1369" t="str">
            <v>B240NS</v>
          </cell>
          <cell r="H1369">
            <v>3</v>
          </cell>
          <cell r="I1369">
            <v>2</v>
          </cell>
          <cell r="J1369" t="str">
            <v>LG생명과학</v>
          </cell>
          <cell r="K1369">
            <v>55</v>
          </cell>
          <cell r="L1369">
            <v>59</v>
          </cell>
          <cell r="M1369">
            <v>292</v>
          </cell>
          <cell r="N1369">
            <v>296</v>
          </cell>
          <cell r="O1369">
            <v>2020</v>
          </cell>
          <cell r="P1369">
            <v>1360</v>
          </cell>
          <cell r="Q1369">
            <v>400</v>
          </cell>
          <cell r="R1369" t="str">
            <v>비닐</v>
          </cell>
          <cell r="S1369" t="str">
            <v>비닐</v>
          </cell>
          <cell r="T1369" t="str">
            <v>LG3호박스</v>
          </cell>
          <cell r="U1369">
            <v>39597</v>
          </cell>
          <cell r="V1369" t="str">
            <v>삼일금형</v>
          </cell>
          <cell r="AA1369">
            <v>41267</v>
          </cell>
          <cell r="AB1369" t="str">
            <v>아산이피에스</v>
          </cell>
          <cell r="AC1369" t="str">
            <v>아산EPS에서 제품입고</v>
          </cell>
          <cell r="AD1369">
            <v>0.85</v>
          </cell>
          <cell r="AE1369">
            <v>118</v>
          </cell>
          <cell r="AF1369">
            <v>2</v>
          </cell>
        </row>
        <row r="1370">
          <cell r="A1370" t="str">
            <v>LG3-OUT-TOP</v>
          </cell>
          <cell r="B1370" t="str">
            <v>회색</v>
          </cell>
          <cell r="C1370">
            <v>4</v>
          </cell>
          <cell r="D1370">
            <v>130</v>
          </cell>
          <cell r="E1370">
            <v>330</v>
          </cell>
          <cell r="F1370">
            <v>40</v>
          </cell>
          <cell r="G1370" t="str">
            <v>ZP2500</v>
          </cell>
          <cell r="H1370">
            <v>10</v>
          </cell>
          <cell r="I1370">
            <v>1</v>
          </cell>
          <cell r="J1370" t="str">
            <v>㈜탭스</v>
          </cell>
          <cell r="K1370">
            <v>73</v>
          </cell>
          <cell r="L1370">
            <v>77</v>
          </cell>
          <cell r="P1370">
            <v>1600</v>
          </cell>
          <cell r="Q1370">
            <v>200</v>
          </cell>
          <cell r="R1370" t="str">
            <v>비닐</v>
          </cell>
          <cell r="U1370">
            <v>45279</v>
          </cell>
          <cell r="V1370" t="str">
            <v>대양이동입고</v>
          </cell>
          <cell r="W1370" t="str">
            <v>융착,충진불량 주의</v>
          </cell>
          <cell r="AD1370">
            <v>0.85</v>
          </cell>
        </row>
        <row r="1371">
          <cell r="A1371" t="str">
            <v>LG3-OUT-TOP</v>
          </cell>
          <cell r="B1371" t="str">
            <v>BOX</v>
          </cell>
          <cell r="C1371">
            <v>4</v>
          </cell>
          <cell r="D1371">
            <v>130</v>
          </cell>
          <cell r="E1371">
            <v>330</v>
          </cell>
          <cell r="F1371">
            <v>40</v>
          </cell>
          <cell r="G1371" t="str">
            <v>ZP2500</v>
          </cell>
          <cell r="H1371">
            <v>10</v>
          </cell>
          <cell r="I1371">
            <v>1</v>
          </cell>
          <cell r="J1371" t="str">
            <v>㈜탭스</v>
          </cell>
          <cell r="K1371">
            <v>73</v>
          </cell>
          <cell r="L1371">
            <v>77</v>
          </cell>
          <cell r="P1371">
            <v>1600</v>
          </cell>
          <cell r="Q1371">
            <v>200</v>
          </cell>
          <cell r="R1371" t="str">
            <v>비닐</v>
          </cell>
          <cell r="U1371">
            <v>45279</v>
          </cell>
          <cell r="V1371" t="str">
            <v>대양이동입고</v>
          </cell>
          <cell r="AD1371">
            <v>0.85</v>
          </cell>
        </row>
        <row r="1372">
          <cell r="A1372" t="str">
            <v>LG3-OUT-TOP</v>
          </cell>
          <cell r="B1372" t="str">
            <v>BOX</v>
          </cell>
          <cell r="C1372">
            <v>4</v>
          </cell>
          <cell r="D1372">
            <v>130</v>
          </cell>
          <cell r="E1372">
            <v>330</v>
          </cell>
          <cell r="F1372">
            <v>40</v>
          </cell>
          <cell r="G1372" t="str">
            <v>ZP2500</v>
          </cell>
          <cell r="H1372">
            <v>10</v>
          </cell>
          <cell r="I1372">
            <v>1</v>
          </cell>
          <cell r="J1372" t="str">
            <v>㈜탭스</v>
          </cell>
          <cell r="K1372">
            <v>73</v>
          </cell>
          <cell r="L1372">
            <v>77</v>
          </cell>
          <cell r="P1372">
            <v>1600</v>
          </cell>
          <cell r="Q1372">
            <v>200</v>
          </cell>
          <cell r="R1372" t="str">
            <v>비닐</v>
          </cell>
          <cell r="U1372">
            <v>45279</v>
          </cell>
          <cell r="V1372" t="str">
            <v>대양이동입고</v>
          </cell>
          <cell r="AD1372">
            <v>0.85</v>
          </cell>
        </row>
        <row r="1373">
          <cell r="A1373" t="str">
            <v>LG3-OUT-TOP</v>
          </cell>
          <cell r="B1373" t="str">
            <v>BOX</v>
          </cell>
          <cell r="D1373">
            <v>100</v>
          </cell>
          <cell r="E1373">
            <v>1178</v>
          </cell>
          <cell r="F1373">
            <v>40</v>
          </cell>
          <cell r="G1373" t="str">
            <v>ZP2500</v>
          </cell>
          <cell r="J1373" t="str">
            <v>㈜탭스</v>
          </cell>
          <cell r="U1373">
            <v>45279</v>
          </cell>
          <cell r="V1373" t="str">
            <v>대양이동입고</v>
          </cell>
          <cell r="AD1373">
            <v>0.85</v>
          </cell>
        </row>
        <row r="1374">
          <cell r="A1374" t="str">
            <v>LG3-OUT-BOT</v>
          </cell>
          <cell r="B1374" t="str">
            <v>회색</v>
          </cell>
          <cell r="C1374">
            <v>3</v>
          </cell>
          <cell r="D1374">
            <v>180</v>
          </cell>
          <cell r="E1374">
            <v>1100</v>
          </cell>
          <cell r="F1374">
            <v>40</v>
          </cell>
          <cell r="G1374" t="str">
            <v>ZP2500</v>
          </cell>
          <cell r="H1374">
            <v>2</v>
          </cell>
          <cell r="I1374">
            <v>1</v>
          </cell>
          <cell r="J1374" t="str">
            <v>㈜탭스</v>
          </cell>
          <cell r="K1374">
            <v>428</v>
          </cell>
          <cell r="L1374">
            <v>432</v>
          </cell>
          <cell r="P1374">
            <v>1600</v>
          </cell>
          <cell r="Q1374">
            <v>500</v>
          </cell>
          <cell r="R1374" t="str">
            <v>비닐</v>
          </cell>
          <cell r="U1374">
            <v>45279</v>
          </cell>
          <cell r="V1374" t="str">
            <v>대양이동입고</v>
          </cell>
          <cell r="W1374" t="str">
            <v>융착,충진불량 주의</v>
          </cell>
          <cell r="AC1374" t="str">
            <v>고정후레임입고</v>
          </cell>
          <cell r="AD1374">
            <v>0.85</v>
          </cell>
        </row>
        <row r="1375">
          <cell r="A1375" t="str">
            <v>LG3-OUT-BOT</v>
          </cell>
          <cell r="B1375" t="str">
            <v>BOX</v>
          </cell>
          <cell r="C1375">
            <v>3</v>
          </cell>
          <cell r="D1375">
            <v>180</v>
          </cell>
          <cell r="E1375">
            <v>1100</v>
          </cell>
          <cell r="F1375">
            <v>40</v>
          </cell>
          <cell r="G1375" t="str">
            <v>ZP2500</v>
          </cell>
          <cell r="H1375">
            <v>2</v>
          </cell>
          <cell r="I1375">
            <v>1</v>
          </cell>
          <cell r="J1375" t="str">
            <v>㈜탭스</v>
          </cell>
          <cell r="K1375">
            <v>428</v>
          </cell>
          <cell r="L1375">
            <v>432</v>
          </cell>
          <cell r="P1375">
            <v>1600</v>
          </cell>
          <cell r="Q1375">
            <v>500</v>
          </cell>
          <cell r="R1375" t="str">
            <v>비닐</v>
          </cell>
          <cell r="U1375">
            <v>45279</v>
          </cell>
          <cell r="V1375" t="str">
            <v>대양이동입고</v>
          </cell>
          <cell r="AC1375" t="str">
            <v>고정후레임입고</v>
          </cell>
          <cell r="AD1375">
            <v>0.85</v>
          </cell>
        </row>
        <row r="1376">
          <cell r="A1376" t="str">
            <v>LG3-OUT-BOT</v>
          </cell>
          <cell r="B1376" t="str">
            <v>BOX</v>
          </cell>
          <cell r="C1376">
            <v>3</v>
          </cell>
          <cell r="D1376">
            <v>180</v>
          </cell>
          <cell r="E1376">
            <v>1100</v>
          </cell>
          <cell r="F1376">
            <v>40</v>
          </cell>
          <cell r="G1376" t="str">
            <v>ZP2500</v>
          </cell>
          <cell r="H1376">
            <v>2</v>
          </cell>
          <cell r="I1376">
            <v>1</v>
          </cell>
          <cell r="J1376" t="str">
            <v>㈜탭스</v>
          </cell>
          <cell r="K1376">
            <v>428</v>
          </cell>
          <cell r="L1376">
            <v>432</v>
          </cell>
          <cell r="P1376">
            <v>1600</v>
          </cell>
          <cell r="Q1376">
            <v>500</v>
          </cell>
          <cell r="R1376" t="str">
            <v>비닐</v>
          </cell>
          <cell r="U1376">
            <v>45279</v>
          </cell>
          <cell r="V1376" t="str">
            <v>대양이동입고</v>
          </cell>
          <cell r="AC1376" t="str">
            <v>고정후레임입고</v>
          </cell>
          <cell r="AD1376">
            <v>0.85</v>
          </cell>
        </row>
        <row r="1377">
          <cell r="A1377" t="str">
            <v>LG3-OUT-BOT</v>
          </cell>
          <cell r="B1377" t="str">
            <v>BOX</v>
          </cell>
          <cell r="D1377">
            <v>100</v>
          </cell>
          <cell r="F1377">
            <v>40</v>
          </cell>
          <cell r="G1377" t="str">
            <v>ZP2500</v>
          </cell>
          <cell r="J1377" t="str">
            <v>㈜탭스</v>
          </cell>
          <cell r="U1377">
            <v>45279</v>
          </cell>
          <cell r="V1377" t="str">
            <v>대양이동입고</v>
          </cell>
          <cell r="AC1377" t="str">
            <v>고정후레임</v>
          </cell>
          <cell r="AD1377">
            <v>0.85</v>
          </cell>
        </row>
        <row r="1378">
          <cell r="A1378" t="str">
            <v>LG3-IN-TOP</v>
          </cell>
          <cell r="B1378" t="str">
            <v>회색</v>
          </cell>
          <cell r="C1378">
            <v>4</v>
          </cell>
          <cell r="D1378">
            <v>180</v>
          </cell>
          <cell r="E1378">
            <v>177</v>
          </cell>
          <cell r="F1378">
            <v>40</v>
          </cell>
          <cell r="G1378" t="str">
            <v>ZP2500</v>
          </cell>
          <cell r="H1378">
            <v>20</v>
          </cell>
          <cell r="I1378">
            <v>4</v>
          </cell>
          <cell r="J1378" t="str">
            <v>㈜탭스</v>
          </cell>
          <cell r="K1378">
            <v>39</v>
          </cell>
          <cell r="L1378">
            <v>43</v>
          </cell>
          <cell r="P1378">
            <v>1600</v>
          </cell>
          <cell r="Q1378">
            <v>200</v>
          </cell>
          <cell r="R1378" t="str">
            <v>비닐</v>
          </cell>
          <cell r="T1378" t="str">
            <v>LGVER3 TOP-LID</v>
          </cell>
          <cell r="U1378">
            <v>45264</v>
          </cell>
          <cell r="V1378" t="str">
            <v>대양이동입고</v>
          </cell>
          <cell r="W1378" t="str">
            <v>LGVER3 뚜껑(내피)</v>
          </cell>
          <cell r="AD1378">
            <v>0.85</v>
          </cell>
        </row>
        <row r="1379">
          <cell r="A1379" t="str">
            <v>LG3-IN-TOP</v>
          </cell>
          <cell r="B1379" t="str">
            <v>BOX</v>
          </cell>
          <cell r="C1379">
            <v>4</v>
          </cell>
          <cell r="D1379">
            <v>180</v>
          </cell>
          <cell r="E1379">
            <v>177</v>
          </cell>
          <cell r="F1379">
            <v>40</v>
          </cell>
          <cell r="G1379" t="str">
            <v>ZP2500</v>
          </cell>
          <cell r="H1379">
            <v>20</v>
          </cell>
          <cell r="I1379">
            <v>4</v>
          </cell>
          <cell r="J1379" t="str">
            <v>㈜탭스</v>
          </cell>
          <cell r="K1379">
            <v>39</v>
          </cell>
          <cell r="L1379">
            <v>43</v>
          </cell>
          <cell r="P1379">
            <v>1600</v>
          </cell>
          <cell r="Q1379">
            <v>200</v>
          </cell>
          <cell r="R1379" t="str">
            <v>비닐</v>
          </cell>
          <cell r="T1379" t="str">
            <v>LGVER3 TOP-LID</v>
          </cell>
          <cell r="U1379">
            <v>45264</v>
          </cell>
          <cell r="V1379" t="str">
            <v>대양이동입고</v>
          </cell>
          <cell r="W1379" t="str">
            <v>LGVER3 뚜껑(내피)</v>
          </cell>
          <cell r="AD1379">
            <v>0.85</v>
          </cell>
        </row>
        <row r="1380">
          <cell r="A1380" t="str">
            <v>LG3-IN-BOT</v>
          </cell>
          <cell r="B1380" t="str">
            <v>회색</v>
          </cell>
          <cell r="C1380">
            <v>4</v>
          </cell>
          <cell r="D1380">
            <v>180</v>
          </cell>
          <cell r="E1380">
            <v>410</v>
          </cell>
          <cell r="F1380">
            <v>40</v>
          </cell>
          <cell r="G1380" t="str">
            <v>ZP2500</v>
          </cell>
          <cell r="H1380">
            <v>1</v>
          </cell>
          <cell r="I1380">
            <v>4</v>
          </cell>
          <cell r="J1380" t="str">
            <v>㈜탭스</v>
          </cell>
          <cell r="P1380">
            <v>1600</v>
          </cell>
          <cell r="Q1380">
            <v>500</v>
          </cell>
          <cell r="T1380" t="str">
            <v>LGVER3 INNER</v>
          </cell>
          <cell r="U1380">
            <v>45264</v>
          </cell>
          <cell r="V1380" t="str">
            <v>대양이동입고</v>
          </cell>
          <cell r="W1380" t="str">
            <v>VER3 몸통(내피)</v>
          </cell>
          <cell r="AC1380" t="str">
            <v>고정후레임입고</v>
          </cell>
          <cell r="AD1380">
            <v>0.85</v>
          </cell>
        </row>
        <row r="1381">
          <cell r="A1381" t="str">
            <v>LG3-IN-BOT</v>
          </cell>
          <cell r="B1381" t="str">
            <v>BOX</v>
          </cell>
          <cell r="C1381">
            <v>4</v>
          </cell>
          <cell r="D1381">
            <v>180</v>
          </cell>
          <cell r="E1381">
            <v>410</v>
          </cell>
          <cell r="F1381">
            <v>40</v>
          </cell>
          <cell r="G1381" t="str">
            <v>ZP2500</v>
          </cell>
          <cell r="H1381">
            <v>1</v>
          </cell>
          <cell r="I1381">
            <v>4</v>
          </cell>
          <cell r="J1381" t="str">
            <v>㈜탭스</v>
          </cell>
          <cell r="P1381">
            <v>1600</v>
          </cell>
          <cell r="Q1381">
            <v>500</v>
          </cell>
          <cell r="T1381" t="str">
            <v>LGVER3 INNER</v>
          </cell>
          <cell r="U1381">
            <v>45264</v>
          </cell>
          <cell r="V1381" t="str">
            <v>대양이동입고</v>
          </cell>
          <cell r="W1381" t="str">
            <v>VER3 몸통(내피)</v>
          </cell>
          <cell r="AC1381" t="str">
            <v>고정후레임입고</v>
          </cell>
          <cell r="AD1381">
            <v>0.85</v>
          </cell>
        </row>
        <row r="1382">
          <cell r="A1382" t="str">
            <v>LG2호</v>
          </cell>
          <cell r="B1382" t="str">
            <v>BOX</v>
          </cell>
          <cell r="C1382">
            <v>2</v>
          </cell>
          <cell r="D1382">
            <v>120</v>
          </cell>
          <cell r="E1382">
            <v>720</v>
          </cell>
          <cell r="F1382">
            <v>74</v>
          </cell>
          <cell r="G1382" t="str">
            <v>B240NS</v>
          </cell>
          <cell r="H1382">
            <v>2</v>
          </cell>
          <cell r="I1382">
            <v>2</v>
          </cell>
          <cell r="J1382" t="str">
            <v>LG생명과학</v>
          </cell>
          <cell r="K1382">
            <v>75</v>
          </cell>
          <cell r="L1382">
            <v>79</v>
          </cell>
          <cell r="M1382">
            <v>391</v>
          </cell>
          <cell r="N1382">
            <v>395</v>
          </cell>
          <cell r="O1382">
            <v>3400</v>
          </cell>
          <cell r="P1382">
            <v>1360</v>
          </cell>
          <cell r="Q1382">
            <v>500</v>
          </cell>
          <cell r="R1382" t="str">
            <v>비닐</v>
          </cell>
          <cell r="S1382" t="str">
            <v>비닐</v>
          </cell>
          <cell r="T1382" t="str">
            <v>LG2호박스</v>
          </cell>
          <cell r="U1382">
            <v>39591</v>
          </cell>
          <cell r="V1382" t="str">
            <v>삼일금형</v>
          </cell>
          <cell r="AA1382">
            <v>41267</v>
          </cell>
          <cell r="AB1382" t="str">
            <v>아산이피에스</v>
          </cell>
          <cell r="AC1382" t="str">
            <v>2012.09.13기준배율변경(65-&gt;70),아산EPS에서 제품입고</v>
          </cell>
          <cell r="AD1382">
            <v>0.85</v>
          </cell>
          <cell r="AE1382">
            <v>120</v>
          </cell>
          <cell r="AF1382">
            <v>2</v>
          </cell>
        </row>
        <row r="1383">
          <cell r="A1383" t="str">
            <v>LG1호</v>
          </cell>
          <cell r="B1383" t="str">
            <v>BOX</v>
          </cell>
          <cell r="C1383">
            <v>1</v>
          </cell>
          <cell r="D1383">
            <v>145</v>
          </cell>
          <cell r="E1383">
            <v>920</v>
          </cell>
          <cell r="F1383">
            <v>74</v>
          </cell>
          <cell r="G1383" t="str">
            <v>B240NS</v>
          </cell>
          <cell r="H1383">
            <v>2</v>
          </cell>
          <cell r="I1383">
            <v>2</v>
          </cell>
          <cell r="J1383" t="str">
            <v>LG생명과학</v>
          </cell>
          <cell r="K1383">
            <v>85</v>
          </cell>
          <cell r="L1383">
            <v>89</v>
          </cell>
          <cell r="M1383">
            <v>468</v>
          </cell>
          <cell r="N1383">
            <v>472</v>
          </cell>
          <cell r="O1383">
            <v>4300</v>
          </cell>
          <cell r="P1383">
            <v>1360</v>
          </cell>
          <cell r="Q1383">
            <v>550</v>
          </cell>
          <cell r="R1383" t="str">
            <v>비닐</v>
          </cell>
          <cell r="S1383" t="str">
            <v>비닐</v>
          </cell>
          <cell r="T1383" t="str">
            <v>LG1호박스</v>
          </cell>
          <cell r="U1383">
            <v>39590</v>
          </cell>
          <cell r="V1383" t="str">
            <v>삼일금형</v>
          </cell>
          <cell r="AA1383">
            <v>41267</v>
          </cell>
          <cell r="AB1383" t="str">
            <v>아산이피에스</v>
          </cell>
          <cell r="AC1383" t="str">
            <v>2012.09.13기준배율변경(65-&gt;70),아산EPS에서 제품입고</v>
          </cell>
          <cell r="AD1383">
            <v>0.85</v>
          </cell>
          <cell r="AE1383">
            <v>145</v>
          </cell>
          <cell r="AF1383">
            <v>8</v>
          </cell>
        </row>
        <row r="1384">
          <cell r="A1384" t="str">
            <v>LED-GEL</v>
          </cell>
          <cell r="B1384" t="str">
            <v>SET</v>
          </cell>
          <cell r="C1384">
            <v>9</v>
          </cell>
          <cell r="D1384">
            <v>61</v>
          </cell>
          <cell r="E1384">
            <v>40</v>
          </cell>
          <cell r="F1384">
            <v>65</v>
          </cell>
          <cell r="G1384" t="str">
            <v>B240NS</v>
          </cell>
          <cell r="H1384">
            <v>40</v>
          </cell>
          <cell r="I1384">
            <v>2</v>
          </cell>
          <cell r="J1384" t="str">
            <v>미래메디엔텍</v>
          </cell>
          <cell r="K1384">
            <v>46</v>
          </cell>
          <cell r="L1384">
            <v>48</v>
          </cell>
          <cell r="M1384">
            <v>46</v>
          </cell>
          <cell r="N1384">
            <v>48</v>
          </cell>
          <cell r="O1384">
            <v>210</v>
          </cell>
          <cell r="P1384">
            <v>1360</v>
          </cell>
          <cell r="Q1384">
            <v>150</v>
          </cell>
          <cell r="R1384" t="str">
            <v>검정</v>
          </cell>
          <cell r="S1384" t="str">
            <v>검정</v>
          </cell>
          <cell r="T1384" t="str">
            <v>LED-GEL</v>
          </cell>
          <cell r="U1384">
            <v>40949</v>
          </cell>
          <cell r="V1384" t="str">
            <v>금형제조부</v>
          </cell>
          <cell r="X1384" t="str">
            <v>E-0904</v>
          </cell>
          <cell r="AC1384" t="str">
            <v>2012.03.05각인추가</v>
          </cell>
          <cell r="AD1384">
            <v>0.85</v>
          </cell>
          <cell r="AE1384">
            <v>70</v>
          </cell>
          <cell r="AF1384">
            <v>4</v>
          </cell>
        </row>
        <row r="1385">
          <cell r="A1385" t="str">
            <v>LED-CUSHION</v>
          </cell>
          <cell r="B1385" t="str">
            <v>SET</v>
          </cell>
          <cell r="C1385">
            <v>2</v>
          </cell>
          <cell r="D1385">
            <v>150</v>
          </cell>
          <cell r="E1385">
            <v>900</v>
          </cell>
          <cell r="F1385">
            <v>50</v>
          </cell>
          <cell r="G1385" t="str">
            <v>B240NS</v>
          </cell>
          <cell r="H1385">
            <v>2</v>
          </cell>
          <cell r="I1385">
            <v>2</v>
          </cell>
          <cell r="J1385" t="str">
            <v>릴테크</v>
          </cell>
          <cell r="K1385">
            <v>428</v>
          </cell>
          <cell r="L1385">
            <v>432</v>
          </cell>
          <cell r="M1385">
            <v>69</v>
          </cell>
          <cell r="N1385">
            <v>71</v>
          </cell>
          <cell r="O1385">
            <v>5500</v>
          </cell>
          <cell r="P1385">
            <v>1360</v>
          </cell>
          <cell r="Q1385">
            <v>500</v>
          </cell>
          <cell r="R1385" t="str">
            <v>비닐</v>
          </cell>
          <cell r="S1385" t="str">
            <v>비닐</v>
          </cell>
          <cell r="T1385" t="str">
            <v>LED-CUHION</v>
          </cell>
          <cell r="U1385">
            <v>41177</v>
          </cell>
          <cell r="V1385" t="str">
            <v>금형제조부</v>
          </cell>
          <cell r="AC1385" t="str">
            <v>최재학사원, 2012.09.25기준중량변경(920-&gt;900), 2012.10.08 기준배율변경(42-&gt;45)</v>
          </cell>
          <cell r="AD1385">
            <v>0.85</v>
          </cell>
          <cell r="AE1385">
            <v>150</v>
          </cell>
        </row>
        <row r="1386">
          <cell r="A1386" t="str">
            <v>LC470WUF-TOP</v>
          </cell>
          <cell r="B1386" t="str">
            <v>SET</v>
          </cell>
          <cell r="C1386">
            <v>1</v>
          </cell>
          <cell r="D1386">
            <v>100</v>
          </cell>
          <cell r="E1386">
            <v>921</v>
          </cell>
          <cell r="F1386">
            <v>53</v>
          </cell>
          <cell r="G1386" t="str">
            <v>B240NS</v>
          </cell>
          <cell r="H1386">
            <v>1</v>
          </cell>
          <cell r="I1386">
            <v>1</v>
          </cell>
          <cell r="J1386" t="str">
            <v>LG디스플레이</v>
          </cell>
          <cell r="K1386">
            <v>49</v>
          </cell>
          <cell r="L1386">
            <v>51</v>
          </cell>
          <cell r="P1386">
            <v>1600</v>
          </cell>
          <cell r="Q1386">
            <v>300</v>
          </cell>
          <cell r="S1386">
            <v>0</v>
          </cell>
          <cell r="T1386" t="str">
            <v>3920L-1494</v>
          </cell>
          <cell r="U1386">
            <v>42794</v>
          </cell>
          <cell r="V1386" t="str">
            <v>진양이관</v>
          </cell>
          <cell r="W1386" t="str">
            <v>후레임일체(철제후레임),3920L-1494</v>
          </cell>
          <cell r="Y1386">
            <v>40</v>
          </cell>
          <cell r="Z1386">
            <v>36811</v>
          </cell>
          <cell r="AD1386">
            <v>0.85</v>
          </cell>
          <cell r="AE1386">
            <v>100</v>
          </cell>
          <cell r="AF1386">
            <v>2</v>
          </cell>
        </row>
        <row r="1387">
          <cell r="A1387" t="str">
            <v>LC470WUF-BOT</v>
          </cell>
          <cell r="B1387" t="str">
            <v>SET</v>
          </cell>
          <cell r="C1387">
            <v>1</v>
          </cell>
          <cell r="D1387">
            <v>135</v>
          </cell>
          <cell r="E1387">
            <v>1152</v>
          </cell>
          <cell r="F1387">
            <v>53</v>
          </cell>
          <cell r="G1387" t="str">
            <v>B240NS</v>
          </cell>
          <cell r="H1387">
            <v>1</v>
          </cell>
          <cell r="I1387">
            <v>1</v>
          </cell>
          <cell r="J1387" t="str">
            <v>LG디스플레이</v>
          </cell>
          <cell r="K1387">
            <v>153</v>
          </cell>
          <cell r="L1387">
            <v>155</v>
          </cell>
          <cell r="P1387">
            <v>1600</v>
          </cell>
          <cell r="Q1387">
            <v>300</v>
          </cell>
          <cell r="S1387">
            <v>0</v>
          </cell>
          <cell r="T1387" t="str">
            <v>3920L-1495</v>
          </cell>
          <cell r="U1387">
            <v>42794</v>
          </cell>
          <cell r="V1387" t="str">
            <v>진양이관</v>
          </cell>
          <cell r="W1387" t="str">
            <v>후레임일체(철제후레임),3920L-1495</v>
          </cell>
          <cell r="Y1387">
            <v>40</v>
          </cell>
          <cell r="Z1387">
            <v>46068</v>
          </cell>
          <cell r="AD1387">
            <v>0.85</v>
          </cell>
          <cell r="AE1387">
            <v>135</v>
          </cell>
          <cell r="AF1387">
            <v>4</v>
          </cell>
        </row>
        <row r="1388">
          <cell r="A1388" t="str">
            <v>L3PAD</v>
          </cell>
          <cell r="B1388" t="str">
            <v>PAD</v>
          </cell>
          <cell r="E1388">
            <v>88</v>
          </cell>
          <cell r="J1388" t="str">
            <v>삼성전자</v>
          </cell>
          <cell r="O1388">
            <v>460</v>
          </cell>
          <cell r="P1388" t="str">
            <v>410*355*36T</v>
          </cell>
          <cell r="Q1388" t="str">
            <v>L3PAD</v>
          </cell>
          <cell r="R1388" t="str">
            <v>KS테크널러지</v>
          </cell>
        </row>
        <row r="1389">
          <cell r="A1389" t="str">
            <v>KYB-6538</v>
          </cell>
          <cell r="B1389" t="str">
            <v>회색</v>
          </cell>
          <cell r="C1389">
            <v>16</v>
          </cell>
          <cell r="D1389">
            <v>100</v>
          </cell>
          <cell r="E1389">
            <v>13</v>
          </cell>
          <cell r="F1389">
            <v>30</v>
          </cell>
          <cell r="G1389" t="str">
            <v>ZP2500</v>
          </cell>
          <cell r="H1389">
            <v>1</v>
          </cell>
          <cell r="I1389">
            <v>1</v>
          </cell>
          <cell r="J1389" t="str">
            <v>가야</v>
          </cell>
          <cell r="P1389">
            <v>1500</v>
          </cell>
          <cell r="Q1389">
            <v>150</v>
          </cell>
          <cell r="U1389">
            <v>45203</v>
          </cell>
          <cell r="V1389" t="str">
            <v>금형사업부</v>
          </cell>
          <cell r="AD1389">
            <v>0.85</v>
          </cell>
        </row>
        <row r="1390">
          <cell r="A1390" t="str">
            <v>KYB-6538</v>
          </cell>
          <cell r="B1390" t="str">
            <v>SET</v>
          </cell>
          <cell r="C1390">
            <v>16</v>
          </cell>
          <cell r="D1390">
            <v>100</v>
          </cell>
          <cell r="E1390">
            <v>13</v>
          </cell>
          <cell r="F1390">
            <v>30</v>
          </cell>
          <cell r="G1390" t="str">
            <v>ZP2500</v>
          </cell>
          <cell r="H1390">
            <v>1</v>
          </cell>
          <cell r="I1390">
            <v>1</v>
          </cell>
          <cell r="J1390" t="str">
            <v>가야</v>
          </cell>
          <cell r="P1390">
            <v>1500</v>
          </cell>
          <cell r="Q1390">
            <v>150</v>
          </cell>
          <cell r="U1390">
            <v>45203</v>
          </cell>
          <cell r="V1390" t="str">
            <v>금형사업부</v>
          </cell>
          <cell r="AD1390">
            <v>0.85</v>
          </cell>
        </row>
        <row r="1391">
          <cell r="A1391" t="str">
            <v>KURLY-3#8</v>
          </cell>
          <cell r="B1391" t="str">
            <v>BOX</v>
          </cell>
          <cell r="C1391">
            <v>4</v>
          </cell>
          <cell r="D1391">
            <v>60</v>
          </cell>
          <cell r="E1391">
            <v>162</v>
          </cell>
          <cell r="F1391">
            <v>74</v>
          </cell>
          <cell r="G1391" t="str">
            <v>SE2500M</v>
          </cell>
          <cell r="H1391">
            <v>10</v>
          </cell>
          <cell r="I1391">
            <v>2</v>
          </cell>
          <cell r="J1391" t="str">
            <v>삼일이노팩</v>
          </cell>
          <cell r="K1391">
            <v>33</v>
          </cell>
          <cell r="L1391">
            <v>37</v>
          </cell>
          <cell r="M1391">
            <v>189</v>
          </cell>
          <cell r="N1391">
            <v>194</v>
          </cell>
          <cell r="O1391">
            <v>740</v>
          </cell>
          <cell r="P1391">
            <v>1500</v>
          </cell>
          <cell r="Q1391">
            <v>300</v>
          </cell>
          <cell r="R1391" t="str">
            <v>녹색</v>
          </cell>
          <cell r="S1391" t="str">
            <v>녹색</v>
          </cell>
          <cell r="U1391">
            <v>44435</v>
          </cell>
          <cell r="V1391" t="str">
            <v>금형사업부</v>
          </cell>
          <cell r="W1391" t="str">
            <v>수축주의!!!</v>
          </cell>
          <cell r="Y1391">
            <v>64</v>
          </cell>
          <cell r="Z1391">
            <v>10384</v>
          </cell>
          <cell r="AC1391" t="str">
            <v>석상준과장, 코팅완료</v>
          </cell>
          <cell r="AD1391">
            <v>0.85</v>
          </cell>
          <cell r="AE1391">
            <v>65</v>
          </cell>
          <cell r="AF1391">
            <v>4</v>
          </cell>
        </row>
        <row r="1392">
          <cell r="A1392" t="str">
            <v>KURLY-3#7</v>
          </cell>
          <cell r="B1392" t="str">
            <v>BOX</v>
          </cell>
          <cell r="C1392">
            <v>3</v>
          </cell>
          <cell r="D1392">
            <v>60</v>
          </cell>
          <cell r="E1392">
            <v>162</v>
          </cell>
          <cell r="F1392">
            <v>74</v>
          </cell>
          <cell r="G1392" t="str">
            <v>SE2500M</v>
          </cell>
          <cell r="H1392">
            <v>10</v>
          </cell>
          <cell r="I1392">
            <v>2</v>
          </cell>
          <cell r="J1392" t="str">
            <v>삼일이노팩</v>
          </cell>
          <cell r="K1392">
            <v>33</v>
          </cell>
          <cell r="L1392">
            <v>37</v>
          </cell>
          <cell r="M1392">
            <v>189</v>
          </cell>
          <cell r="N1392">
            <v>194</v>
          </cell>
          <cell r="O1392">
            <v>740</v>
          </cell>
          <cell r="P1392">
            <v>1360</v>
          </cell>
          <cell r="Q1392">
            <v>300</v>
          </cell>
          <cell r="R1392" t="str">
            <v>녹색</v>
          </cell>
          <cell r="S1392" t="str">
            <v>녹색</v>
          </cell>
          <cell r="U1392">
            <v>44434</v>
          </cell>
          <cell r="V1392" t="str">
            <v>금형사업부</v>
          </cell>
          <cell r="W1392" t="str">
            <v>수축주의!!!</v>
          </cell>
          <cell r="Y1392">
            <v>64</v>
          </cell>
          <cell r="Z1392">
            <v>10384</v>
          </cell>
          <cell r="AC1392" t="str">
            <v>석상준과장, 코팅완료</v>
          </cell>
          <cell r="AD1392">
            <v>0.85</v>
          </cell>
          <cell r="AE1392">
            <v>65</v>
          </cell>
          <cell r="AF1392">
            <v>4</v>
          </cell>
        </row>
        <row r="1393">
          <cell r="A1393" t="str">
            <v>KURLY-3#6(60배_몸통/뚜껑)</v>
          </cell>
          <cell r="B1393" t="str">
            <v>BOX</v>
          </cell>
          <cell r="C1393">
            <v>4</v>
          </cell>
          <cell r="D1393">
            <v>60</v>
          </cell>
          <cell r="E1393">
            <v>173</v>
          </cell>
          <cell r="F1393">
            <v>70</v>
          </cell>
          <cell r="G1393" t="str">
            <v>SE2501M</v>
          </cell>
          <cell r="H1393" t="str">
            <v>B:12T:48</v>
          </cell>
          <cell r="I1393">
            <v>2</v>
          </cell>
          <cell r="J1393" t="str">
            <v>삼일이노팩</v>
          </cell>
          <cell r="K1393">
            <v>33</v>
          </cell>
          <cell r="L1393">
            <v>37</v>
          </cell>
          <cell r="M1393">
            <v>189</v>
          </cell>
          <cell r="N1393">
            <v>194</v>
          </cell>
          <cell r="O1393">
            <v>740</v>
          </cell>
          <cell r="P1393">
            <v>1500</v>
          </cell>
          <cell r="Q1393">
            <v>300</v>
          </cell>
          <cell r="R1393" t="str">
            <v>보라</v>
          </cell>
          <cell r="S1393" t="str">
            <v>보라</v>
          </cell>
          <cell r="U1393">
            <v>44245</v>
          </cell>
          <cell r="V1393" t="str">
            <v>금형사업부</v>
          </cell>
          <cell r="W1393" t="str">
            <v xml:space="preserve">(열십자(十)로 묶을 것 </v>
          </cell>
          <cell r="Y1393">
            <v>60</v>
          </cell>
          <cell r="AC1393" t="str">
            <v>김영석사원, 금형없음, 동일모델</v>
          </cell>
          <cell r="AD1393">
            <v>0.85</v>
          </cell>
          <cell r="AE1393">
            <v>75</v>
          </cell>
          <cell r="AF1393">
            <v>2</v>
          </cell>
        </row>
        <row r="1394">
          <cell r="A1394" t="str">
            <v>KURLY-3#6</v>
          </cell>
          <cell r="B1394" t="str">
            <v>BOX</v>
          </cell>
          <cell r="C1394">
            <v>4</v>
          </cell>
          <cell r="D1394">
            <v>60</v>
          </cell>
          <cell r="E1394">
            <v>162</v>
          </cell>
          <cell r="F1394">
            <v>74</v>
          </cell>
          <cell r="G1394" t="str">
            <v>SE2500M</v>
          </cell>
          <cell r="H1394">
            <v>10</v>
          </cell>
          <cell r="I1394">
            <v>2</v>
          </cell>
          <cell r="J1394" t="str">
            <v>삼일이노팩</v>
          </cell>
          <cell r="K1394">
            <v>33</v>
          </cell>
          <cell r="L1394">
            <v>37</v>
          </cell>
          <cell r="M1394">
            <v>189</v>
          </cell>
          <cell r="N1394">
            <v>194</v>
          </cell>
          <cell r="O1394">
            <v>740</v>
          </cell>
          <cell r="P1394">
            <v>1500</v>
          </cell>
          <cell r="Q1394">
            <v>300</v>
          </cell>
          <cell r="R1394" t="str">
            <v>녹색</v>
          </cell>
          <cell r="S1394" t="str">
            <v>녹색</v>
          </cell>
          <cell r="U1394">
            <v>44244</v>
          </cell>
          <cell r="V1394" t="str">
            <v>금형사업부</v>
          </cell>
          <cell r="W1394" t="str">
            <v>수축주의!!!</v>
          </cell>
          <cell r="Y1394" t="str">
            <v>64</v>
          </cell>
          <cell r="Z1394">
            <v>10384</v>
          </cell>
          <cell r="AC1394" t="str">
            <v>석상준과장,코팅완료, 2021.05.04 형합부 유격수정</v>
          </cell>
          <cell r="AD1394">
            <v>0.85</v>
          </cell>
          <cell r="AE1394">
            <v>65</v>
          </cell>
          <cell r="AF1394">
            <v>2</v>
          </cell>
        </row>
        <row r="1395">
          <cell r="A1395" t="str">
            <v>KURLY-3#5(60배_몸통/뚜껑)</v>
          </cell>
          <cell r="B1395" t="str">
            <v>BOX</v>
          </cell>
          <cell r="C1395">
            <v>3</v>
          </cell>
          <cell r="D1395">
            <v>60</v>
          </cell>
          <cell r="E1395">
            <v>173</v>
          </cell>
          <cell r="F1395">
            <v>70</v>
          </cell>
          <cell r="G1395" t="str">
            <v>SE2500M</v>
          </cell>
          <cell r="H1395" t="str">
            <v>B:12T:48</v>
          </cell>
          <cell r="I1395">
            <v>2</v>
          </cell>
          <cell r="J1395" t="str">
            <v>삼일이노팩</v>
          </cell>
          <cell r="K1395">
            <v>33</v>
          </cell>
          <cell r="L1395">
            <v>37</v>
          </cell>
          <cell r="M1395">
            <v>189</v>
          </cell>
          <cell r="N1395">
            <v>194</v>
          </cell>
          <cell r="O1395">
            <v>740</v>
          </cell>
          <cell r="P1395">
            <v>1360</v>
          </cell>
          <cell r="Q1395">
            <v>300</v>
          </cell>
          <cell r="R1395" t="str">
            <v>보라</v>
          </cell>
          <cell r="S1395" t="str">
            <v>보라</v>
          </cell>
          <cell r="U1395">
            <v>44244</v>
          </cell>
          <cell r="V1395" t="str">
            <v>금형사업부</v>
          </cell>
          <cell r="W1395" t="str">
            <v xml:space="preserve">(열십자(十)로 묶을 것 </v>
          </cell>
          <cell r="Y1395">
            <v>60</v>
          </cell>
          <cell r="AC1395" t="str">
            <v>김영석사원, 금형없음, 동일모델</v>
          </cell>
          <cell r="AD1395">
            <v>0.85</v>
          </cell>
          <cell r="AE1395">
            <v>75</v>
          </cell>
          <cell r="AF1395">
            <v>2</v>
          </cell>
        </row>
        <row r="1396">
          <cell r="A1396" t="str">
            <v>KURLY-3#5</v>
          </cell>
          <cell r="B1396" t="str">
            <v>BOX</v>
          </cell>
          <cell r="C1396">
            <v>3</v>
          </cell>
          <cell r="D1396">
            <v>60</v>
          </cell>
          <cell r="E1396">
            <v>162</v>
          </cell>
          <cell r="F1396">
            <v>74</v>
          </cell>
          <cell r="G1396" t="str">
            <v>SE2500M</v>
          </cell>
          <cell r="H1396">
            <v>10</v>
          </cell>
          <cell r="I1396">
            <v>2</v>
          </cell>
          <cell r="J1396" t="str">
            <v>삼일이노팩</v>
          </cell>
          <cell r="K1396">
            <v>33</v>
          </cell>
          <cell r="L1396">
            <v>37</v>
          </cell>
          <cell r="M1396">
            <v>189</v>
          </cell>
          <cell r="N1396">
            <v>194</v>
          </cell>
          <cell r="O1396">
            <v>740</v>
          </cell>
          <cell r="P1396">
            <v>1360</v>
          </cell>
          <cell r="Q1396">
            <v>300</v>
          </cell>
          <cell r="R1396" t="str">
            <v>녹색</v>
          </cell>
          <cell r="S1396" t="str">
            <v>녹색</v>
          </cell>
          <cell r="U1396">
            <v>44244</v>
          </cell>
          <cell r="V1396" t="str">
            <v>금형사업부</v>
          </cell>
          <cell r="W1396" t="str">
            <v>수축주의!!!</v>
          </cell>
          <cell r="Y1396" t="str">
            <v>64</v>
          </cell>
          <cell r="Z1396">
            <v>10384</v>
          </cell>
          <cell r="AC1396" t="str">
            <v>석상준과장,코팅완료, 2021.05.04 형합부 유격수정</v>
          </cell>
          <cell r="AD1396">
            <v>0.85</v>
          </cell>
          <cell r="AE1396">
            <v>65</v>
          </cell>
          <cell r="AF1396">
            <v>2</v>
          </cell>
        </row>
        <row r="1397">
          <cell r="A1397" t="str">
            <v>KURLY-3#3(50배)</v>
          </cell>
          <cell r="B1397" t="str">
            <v>BOX</v>
          </cell>
          <cell r="C1397">
            <v>3</v>
          </cell>
          <cell r="D1397">
            <v>60</v>
          </cell>
          <cell r="E1397">
            <v>205</v>
          </cell>
          <cell r="F1397">
            <v>65</v>
          </cell>
          <cell r="G1397" t="str">
            <v>B240NS</v>
          </cell>
          <cell r="H1397">
            <v>10</v>
          </cell>
          <cell r="I1397">
            <v>2</v>
          </cell>
          <cell r="J1397" t="str">
            <v>삼일이노팩</v>
          </cell>
          <cell r="K1397">
            <v>33</v>
          </cell>
          <cell r="L1397">
            <v>37</v>
          </cell>
          <cell r="M1397">
            <v>190</v>
          </cell>
          <cell r="N1397">
            <v>194</v>
          </cell>
          <cell r="O1397">
            <v>740</v>
          </cell>
          <cell r="P1397">
            <v>1360</v>
          </cell>
          <cell r="Q1397">
            <v>300</v>
          </cell>
          <cell r="R1397" t="str">
            <v>노랑</v>
          </cell>
          <cell r="S1397" t="str">
            <v>노랑</v>
          </cell>
          <cell r="U1397">
            <v>43201</v>
          </cell>
          <cell r="V1397" t="str">
            <v>금형제조부</v>
          </cell>
          <cell r="W1397" t="str">
            <v>수축주의!!!, 중량관리 철저!!!</v>
          </cell>
          <cell r="Y1397" t="str">
            <v>64</v>
          </cell>
          <cell r="Z1397">
            <v>10384</v>
          </cell>
          <cell r="AC1397" t="str">
            <v>최재학계장,2018.10.14끈색변경(빨강-&gt;녹색)</v>
          </cell>
          <cell r="AD1397">
            <v>0.85</v>
          </cell>
          <cell r="AE1397">
            <v>70</v>
          </cell>
          <cell r="AF1397">
            <v>4</v>
          </cell>
        </row>
        <row r="1398">
          <cell r="A1398" t="str">
            <v>KURLY-10(아산)</v>
          </cell>
          <cell r="B1398" t="str">
            <v>BOX</v>
          </cell>
          <cell r="E1398">
            <v>280</v>
          </cell>
          <cell r="J1398" t="str">
            <v>아산이피에스</v>
          </cell>
        </row>
        <row r="1399">
          <cell r="A1399" t="str">
            <v>KURLY-10#2</v>
          </cell>
          <cell r="B1399" t="str">
            <v>BOX</v>
          </cell>
          <cell r="C1399">
            <v>3</v>
          </cell>
          <cell r="D1399">
            <v>80</v>
          </cell>
          <cell r="E1399">
            <v>280</v>
          </cell>
          <cell r="F1399">
            <v>74</v>
          </cell>
          <cell r="G1399" t="str">
            <v>SE2500M</v>
          </cell>
          <cell r="H1399">
            <v>10</v>
          </cell>
          <cell r="I1399">
            <v>2</v>
          </cell>
          <cell r="J1399" t="str">
            <v>삼일이노팩</v>
          </cell>
          <cell r="K1399">
            <v>37</v>
          </cell>
          <cell r="L1399">
            <v>41</v>
          </cell>
          <cell r="M1399">
            <v>252</v>
          </cell>
          <cell r="N1399">
            <v>256</v>
          </cell>
          <cell r="O1399">
            <v>1350</v>
          </cell>
          <cell r="P1399">
            <v>1500</v>
          </cell>
          <cell r="Q1399">
            <v>350</v>
          </cell>
          <cell r="R1399" t="str">
            <v>주황</v>
          </cell>
          <cell r="S1399" t="str">
            <v>주황</v>
          </cell>
          <cell r="U1399">
            <v>44559</v>
          </cell>
          <cell r="V1399" t="str">
            <v>금형사업부</v>
          </cell>
          <cell r="Y1399" t="str">
            <v>64</v>
          </cell>
          <cell r="Z1399">
            <v>17933</v>
          </cell>
          <cell r="AC1399" t="str">
            <v>석상준과장,코팅완료</v>
          </cell>
          <cell r="AD1399">
            <v>0.85</v>
          </cell>
          <cell r="AE1399">
            <v>75</v>
          </cell>
          <cell r="AF1399">
            <v>8</v>
          </cell>
        </row>
        <row r="1400">
          <cell r="A1400" t="str">
            <v>KURLY-1#5(몸통/뚜껑)</v>
          </cell>
          <cell r="B1400" t="str">
            <v>BOX</v>
          </cell>
          <cell r="C1400" t="str">
            <v>6</v>
          </cell>
          <cell r="D1400" t="str">
            <v>100</v>
          </cell>
          <cell r="E1400" t="str">
            <v>79</v>
          </cell>
          <cell r="F1400" t="str">
            <v>74</v>
          </cell>
          <cell r="G1400" t="str">
            <v>SE2500M</v>
          </cell>
          <cell r="H1400" t="str">
            <v>T:64 B:32</v>
          </cell>
          <cell r="I1400" t="str">
            <v>2</v>
          </cell>
          <cell r="J1400" t="str">
            <v>삼일이노팩</v>
          </cell>
          <cell r="K1400">
            <v>29</v>
          </cell>
          <cell r="L1400">
            <v>33.5</v>
          </cell>
          <cell r="M1400">
            <v>139</v>
          </cell>
          <cell r="N1400">
            <v>143.5</v>
          </cell>
          <cell r="P1400" t="str">
            <v>1360</v>
          </cell>
          <cell r="Q1400" t="str">
            <v>250</v>
          </cell>
          <cell r="R1400" t="str">
            <v>검정</v>
          </cell>
          <cell r="U1400">
            <v>44244</v>
          </cell>
          <cell r="V1400" t="str">
            <v>금형사업부</v>
          </cell>
          <cell r="W1400" t="str">
            <v>수축주의!!!</v>
          </cell>
          <cell r="Y1400" t="str">
            <v>64</v>
          </cell>
          <cell r="Z1400">
            <v>4995</v>
          </cell>
          <cell r="AC1400" t="str">
            <v>김영석사원</v>
          </cell>
          <cell r="AD1400">
            <v>0.85</v>
          </cell>
          <cell r="AE1400" t="str">
            <v>70</v>
          </cell>
          <cell r="AF1400">
            <v>1</v>
          </cell>
        </row>
        <row r="1401">
          <cell r="A1401" t="str">
            <v>KURLY-1#5(55배)</v>
          </cell>
          <cell r="B1401" t="str">
            <v>BOX</v>
          </cell>
          <cell r="C1401">
            <v>6</v>
          </cell>
          <cell r="D1401">
            <v>70</v>
          </cell>
          <cell r="E1401">
            <v>91</v>
          </cell>
          <cell r="F1401">
            <v>65</v>
          </cell>
          <cell r="G1401" t="str">
            <v>SE2500M</v>
          </cell>
          <cell r="H1401">
            <v>20</v>
          </cell>
          <cell r="I1401">
            <v>2</v>
          </cell>
          <cell r="J1401" t="str">
            <v>삼일이노팩</v>
          </cell>
          <cell r="K1401">
            <v>29</v>
          </cell>
          <cell r="L1401">
            <v>33.5</v>
          </cell>
          <cell r="M1401">
            <v>139</v>
          </cell>
          <cell r="N1401">
            <v>143.5</v>
          </cell>
          <cell r="P1401">
            <v>1360</v>
          </cell>
          <cell r="Q1401">
            <v>250</v>
          </cell>
          <cell r="R1401" t="str">
            <v>주황</v>
          </cell>
          <cell r="S1401" t="str">
            <v>주황</v>
          </cell>
          <cell r="U1401">
            <v>44244</v>
          </cell>
          <cell r="V1401" t="str">
            <v>금형사업부</v>
          </cell>
          <cell r="W1401" t="str">
            <v>수축주의!!!</v>
          </cell>
          <cell r="Y1401">
            <v>55</v>
          </cell>
          <cell r="Z1401">
            <v>4995</v>
          </cell>
          <cell r="AC1401" t="str">
            <v>금형없음 KURLY-1#5 동일금형</v>
          </cell>
          <cell r="AD1401">
            <v>0.88</v>
          </cell>
          <cell r="AE1401">
            <v>60</v>
          </cell>
          <cell r="AF1401">
            <v>2</v>
          </cell>
        </row>
        <row r="1402">
          <cell r="A1402" t="str">
            <v>KURLY-1#5</v>
          </cell>
          <cell r="B1402" t="str">
            <v>BOX</v>
          </cell>
          <cell r="C1402">
            <v>6</v>
          </cell>
          <cell r="D1402">
            <v>65</v>
          </cell>
          <cell r="E1402">
            <v>79</v>
          </cell>
          <cell r="F1402">
            <v>74</v>
          </cell>
          <cell r="G1402" t="str">
            <v>SE2500M</v>
          </cell>
          <cell r="H1402">
            <v>20</v>
          </cell>
          <cell r="I1402">
            <v>2</v>
          </cell>
          <cell r="J1402" t="str">
            <v>삼일이노팩</v>
          </cell>
          <cell r="K1402">
            <v>29</v>
          </cell>
          <cell r="L1402">
            <v>33.5</v>
          </cell>
          <cell r="M1402">
            <v>139</v>
          </cell>
          <cell r="N1402">
            <v>143.5</v>
          </cell>
          <cell r="O1402">
            <v>420</v>
          </cell>
          <cell r="P1402">
            <v>1360</v>
          </cell>
          <cell r="Q1402">
            <v>250</v>
          </cell>
          <cell r="R1402" t="str">
            <v>검정</v>
          </cell>
          <cell r="S1402" t="str">
            <v>검정</v>
          </cell>
          <cell r="U1402">
            <v>44244</v>
          </cell>
          <cell r="V1402" t="str">
            <v>금형사업부</v>
          </cell>
          <cell r="W1402" t="str">
            <v>수축주의!!!</v>
          </cell>
          <cell r="Y1402">
            <v>64</v>
          </cell>
          <cell r="Z1402">
            <v>4995</v>
          </cell>
          <cell r="AC1402" t="str">
            <v>석상준과장,코팅완료, 2022.02.07 전체수리</v>
          </cell>
          <cell r="AD1402">
            <v>0.88</v>
          </cell>
          <cell r="AE1402">
            <v>60</v>
          </cell>
          <cell r="AF1402">
            <v>2</v>
          </cell>
        </row>
        <row r="1403">
          <cell r="A1403" t="str">
            <v>KURLY-1#4</v>
          </cell>
          <cell r="B1403" t="str">
            <v>BOX</v>
          </cell>
          <cell r="C1403">
            <v>6</v>
          </cell>
          <cell r="D1403">
            <v>65</v>
          </cell>
          <cell r="E1403">
            <v>79</v>
          </cell>
          <cell r="F1403">
            <v>74</v>
          </cell>
          <cell r="G1403" t="str">
            <v>SE2500M</v>
          </cell>
          <cell r="H1403">
            <v>20</v>
          </cell>
          <cell r="I1403">
            <v>2</v>
          </cell>
          <cell r="J1403" t="str">
            <v>삼일이노팩</v>
          </cell>
          <cell r="K1403">
            <v>29</v>
          </cell>
          <cell r="L1403">
            <v>33.5</v>
          </cell>
          <cell r="M1403">
            <v>139</v>
          </cell>
          <cell r="N1403">
            <v>143.5</v>
          </cell>
          <cell r="O1403">
            <v>420</v>
          </cell>
          <cell r="P1403">
            <v>1360</v>
          </cell>
          <cell r="Q1403">
            <v>250</v>
          </cell>
          <cell r="R1403" t="str">
            <v>검정</v>
          </cell>
          <cell r="S1403" t="str">
            <v>검정</v>
          </cell>
          <cell r="U1403">
            <v>43980</v>
          </cell>
          <cell r="V1403" t="str">
            <v>금형제조부</v>
          </cell>
          <cell r="W1403" t="str">
            <v>수축주의!</v>
          </cell>
          <cell r="Y1403">
            <v>64</v>
          </cell>
          <cell r="Z1403">
            <v>4995</v>
          </cell>
          <cell r="AC1403" t="str">
            <v>석상준과장,코팅완료</v>
          </cell>
          <cell r="AD1403">
            <v>0.88</v>
          </cell>
          <cell r="AE1403">
            <v>60</v>
          </cell>
          <cell r="AF1403">
            <v>2</v>
          </cell>
        </row>
        <row r="1404">
          <cell r="A1404" t="str">
            <v>KURLY-1#3</v>
          </cell>
          <cell r="B1404" t="str">
            <v>BOX</v>
          </cell>
          <cell r="C1404">
            <v>6</v>
          </cell>
          <cell r="D1404">
            <v>60</v>
          </cell>
          <cell r="E1404">
            <v>79</v>
          </cell>
          <cell r="F1404">
            <v>74</v>
          </cell>
          <cell r="G1404" t="str">
            <v>SE2500M</v>
          </cell>
          <cell r="H1404">
            <v>20</v>
          </cell>
          <cell r="I1404">
            <v>2</v>
          </cell>
          <cell r="J1404" t="str">
            <v>삼일이노팩</v>
          </cell>
          <cell r="K1404">
            <v>29</v>
          </cell>
          <cell r="L1404">
            <v>33.5</v>
          </cell>
          <cell r="M1404">
            <v>139</v>
          </cell>
          <cell r="N1404">
            <v>143.5</v>
          </cell>
          <cell r="O1404">
            <v>420</v>
          </cell>
          <cell r="P1404">
            <v>1360</v>
          </cell>
          <cell r="Q1404">
            <v>250</v>
          </cell>
          <cell r="R1404" t="str">
            <v>검정</v>
          </cell>
          <cell r="S1404" t="str">
            <v>검정</v>
          </cell>
          <cell r="U1404">
            <v>43395</v>
          </cell>
          <cell r="V1404" t="str">
            <v>금형제조부</v>
          </cell>
          <cell r="W1404" t="str">
            <v>수축주의!</v>
          </cell>
          <cell r="Y1404">
            <v>64</v>
          </cell>
          <cell r="Z1404">
            <v>4995</v>
          </cell>
          <cell r="AD1404">
            <v>0.88</v>
          </cell>
          <cell r="AE1404">
            <v>65</v>
          </cell>
          <cell r="AF1404">
            <v>18</v>
          </cell>
        </row>
        <row r="1405">
          <cell r="A1405" t="str">
            <v>KIT FOAM(TOP)</v>
          </cell>
          <cell r="B1405" t="str">
            <v>PYK0-005</v>
          </cell>
          <cell r="J1405" t="str">
            <v>영광금속</v>
          </cell>
          <cell r="O1405">
            <v>420</v>
          </cell>
          <cell r="T1405" t="str">
            <v>850*140*30(wd500005)</v>
          </cell>
          <cell r="U1405">
            <v>39367</v>
          </cell>
        </row>
        <row r="1406">
          <cell r="A1406" t="str">
            <v>KIT FOAM(TOP)</v>
          </cell>
          <cell r="B1406" t="str">
            <v>PAD</v>
          </cell>
          <cell r="E1406">
            <v>0</v>
          </cell>
          <cell r="J1406" t="str">
            <v>영광금속</v>
          </cell>
          <cell r="O1406">
            <v>420</v>
          </cell>
          <cell r="P1406" t="str">
            <v>850*140*30(wd500005)</v>
          </cell>
        </row>
        <row r="1407">
          <cell r="A1407" t="str">
            <v>KIT FOAM(TOP)</v>
          </cell>
          <cell r="B1407" t="str">
            <v>PAD</v>
          </cell>
          <cell r="E1407">
            <v>0</v>
          </cell>
          <cell r="J1407" t="str">
            <v>영광금속</v>
          </cell>
          <cell r="O1407">
            <v>420</v>
          </cell>
          <cell r="P1407" t="str">
            <v>850*140*30(wd500005)</v>
          </cell>
        </row>
        <row r="1408">
          <cell r="A1408" t="str">
            <v>KIT FOAM(SIDE)</v>
          </cell>
          <cell r="B1408" t="str">
            <v>PYK0-006</v>
          </cell>
          <cell r="J1408" t="str">
            <v>영광금속</v>
          </cell>
          <cell r="O1408">
            <v>50</v>
          </cell>
          <cell r="T1408" t="str">
            <v>270*80*20(wd500007)</v>
          </cell>
          <cell r="U1408">
            <v>39367</v>
          </cell>
        </row>
        <row r="1409">
          <cell r="A1409" t="str">
            <v>KIT FOAM(SIDE)</v>
          </cell>
          <cell r="B1409" t="str">
            <v>PAD</v>
          </cell>
          <cell r="E1409">
            <v>0</v>
          </cell>
          <cell r="J1409" t="str">
            <v>영광금속</v>
          </cell>
          <cell r="O1409">
            <v>50</v>
          </cell>
          <cell r="P1409" t="str">
            <v>270*80*20(wd500007)</v>
          </cell>
        </row>
        <row r="1410">
          <cell r="A1410" t="str">
            <v>KIT FOAM(SIDE)</v>
          </cell>
          <cell r="B1410" t="str">
            <v>PAD</v>
          </cell>
          <cell r="E1410">
            <v>0</v>
          </cell>
          <cell r="J1410" t="str">
            <v>영광금속</v>
          </cell>
          <cell r="O1410">
            <v>50</v>
          </cell>
          <cell r="P1410" t="str">
            <v>270*80*20(wd500007)</v>
          </cell>
        </row>
        <row r="1411">
          <cell r="A1411" t="str">
            <v>KIT FOAM(SIDE RH)</v>
          </cell>
          <cell r="B1411" t="str">
            <v>PYK0-007</v>
          </cell>
          <cell r="J1411" t="str">
            <v>영광금속</v>
          </cell>
          <cell r="O1411">
            <v>1455</v>
          </cell>
          <cell r="T1411" t="str">
            <v>435*240*90.5*135*70(wd50008)</v>
          </cell>
          <cell r="U1411">
            <v>39367</v>
          </cell>
        </row>
        <row r="1412">
          <cell r="A1412" t="str">
            <v>KIT FOAM(SIDE RH)</v>
          </cell>
          <cell r="B1412" t="str">
            <v>PAD</v>
          </cell>
          <cell r="E1412">
            <v>0</v>
          </cell>
          <cell r="J1412" t="str">
            <v>영광금속</v>
          </cell>
          <cell r="O1412">
            <v>1455</v>
          </cell>
          <cell r="P1412" t="str">
            <v>435*240*90.5*135*70(wd50008)</v>
          </cell>
        </row>
        <row r="1413">
          <cell r="A1413" t="str">
            <v>KIT FOAM(SIDE RH)</v>
          </cell>
          <cell r="B1413" t="str">
            <v>PAD</v>
          </cell>
          <cell r="E1413">
            <v>0</v>
          </cell>
          <cell r="J1413" t="str">
            <v>영광금속</v>
          </cell>
          <cell r="O1413">
            <v>1455</v>
          </cell>
          <cell r="P1413" t="str">
            <v>435*240*90.5*135*70(wd50008)</v>
          </cell>
        </row>
        <row r="1414">
          <cell r="A1414" t="str">
            <v>KIT FOAM(SIDE B)</v>
          </cell>
          <cell r="B1414" t="str">
            <v>PYK0-009</v>
          </cell>
          <cell r="J1414" t="str">
            <v>영광금속</v>
          </cell>
          <cell r="O1414">
            <v>240</v>
          </cell>
          <cell r="T1414" t="str">
            <v>270*90*80(wd500023)</v>
          </cell>
          <cell r="U1414">
            <v>39367</v>
          </cell>
        </row>
        <row r="1415">
          <cell r="A1415" t="str">
            <v>KIT FOAM(SIDE B)</v>
          </cell>
          <cell r="B1415" t="str">
            <v>PAD</v>
          </cell>
          <cell r="E1415">
            <v>0</v>
          </cell>
          <cell r="J1415" t="str">
            <v>영광금속</v>
          </cell>
          <cell r="O1415">
            <v>240</v>
          </cell>
          <cell r="P1415" t="str">
            <v>270*90*80(wd500023)</v>
          </cell>
        </row>
        <row r="1416">
          <cell r="A1416" t="str">
            <v>KIT FOAM(SIDE B)</v>
          </cell>
          <cell r="B1416" t="str">
            <v>PAD</v>
          </cell>
          <cell r="E1416">
            <v>0</v>
          </cell>
          <cell r="J1416" t="str">
            <v>영광금속</v>
          </cell>
          <cell r="O1416">
            <v>240</v>
          </cell>
          <cell r="P1416" t="str">
            <v>270*90*80(wd500023)</v>
          </cell>
        </row>
        <row r="1417">
          <cell r="A1417" t="str">
            <v>KIT FOAM(BOTTOM)</v>
          </cell>
          <cell r="B1417" t="str">
            <v>PYK0-008</v>
          </cell>
          <cell r="J1417" t="str">
            <v>영광금속</v>
          </cell>
          <cell r="O1417">
            <v>840</v>
          </cell>
          <cell r="T1417" t="str">
            <v>850*150*57.5(wd500006)</v>
          </cell>
          <cell r="U1417">
            <v>39367</v>
          </cell>
        </row>
        <row r="1418">
          <cell r="A1418" t="str">
            <v>KIT FOAM(BOTTOM)</v>
          </cell>
          <cell r="B1418" t="str">
            <v>PAD</v>
          </cell>
          <cell r="E1418">
            <v>0</v>
          </cell>
          <cell r="J1418" t="str">
            <v>영광금속</v>
          </cell>
          <cell r="O1418">
            <v>840</v>
          </cell>
          <cell r="P1418" t="str">
            <v>850*150*57.5(wd500006)</v>
          </cell>
        </row>
        <row r="1419">
          <cell r="A1419" t="str">
            <v>KIT FOAM(BOTTOM)</v>
          </cell>
          <cell r="B1419" t="str">
            <v>PAD</v>
          </cell>
          <cell r="E1419">
            <v>0</v>
          </cell>
          <cell r="J1419" t="str">
            <v>영광금속</v>
          </cell>
          <cell r="O1419">
            <v>840</v>
          </cell>
          <cell r="P1419" t="str">
            <v>850*150*57.5(wd500006)</v>
          </cell>
        </row>
        <row r="1420">
          <cell r="A1420" t="str">
            <v>KEC-T/B</v>
          </cell>
          <cell r="B1420" t="str">
            <v>SET</v>
          </cell>
          <cell r="C1420">
            <v>2</v>
          </cell>
          <cell r="D1420">
            <v>60</v>
          </cell>
          <cell r="E1420">
            <v>158</v>
          </cell>
          <cell r="F1420">
            <v>65</v>
          </cell>
          <cell r="G1420" t="str">
            <v>B240NS</v>
          </cell>
          <cell r="H1420" t="str">
            <v>10조</v>
          </cell>
          <cell r="I1420">
            <v>2</v>
          </cell>
          <cell r="J1420" t="str">
            <v>KEC</v>
          </cell>
          <cell r="K1420">
            <v>58</v>
          </cell>
          <cell r="L1420">
            <v>62</v>
          </cell>
          <cell r="M1420">
            <v>35</v>
          </cell>
          <cell r="N1420">
            <v>39</v>
          </cell>
          <cell r="O1420">
            <v>1200</v>
          </cell>
          <cell r="P1420">
            <v>1360</v>
          </cell>
          <cell r="Q1420">
            <v>150</v>
          </cell>
          <cell r="R1420" t="str">
            <v>오렌지</v>
          </cell>
          <cell r="U1420">
            <v>44054</v>
          </cell>
          <cell r="V1420" t="str">
            <v>경원 ENG</v>
          </cell>
          <cell r="Y1420">
            <v>53</v>
          </cell>
          <cell r="AC1420" t="str">
            <v>석상준과장, 2020.08.27기준중량 및 배율 변경(138-&gt;156, 60-&gt;53)</v>
          </cell>
          <cell r="AD1420">
            <v>0.85</v>
          </cell>
          <cell r="AE1420">
            <v>80</v>
          </cell>
          <cell r="AF1420">
            <v>10</v>
          </cell>
        </row>
        <row r="1421">
          <cell r="A1421" t="str">
            <v>KD2호</v>
          </cell>
          <cell r="B1421" t="str">
            <v>BOX</v>
          </cell>
          <cell r="C1421">
            <v>2</v>
          </cell>
          <cell r="D1421">
            <v>180</v>
          </cell>
          <cell r="E1421">
            <v>1740</v>
          </cell>
          <cell r="F1421">
            <v>52</v>
          </cell>
          <cell r="G1421" t="str">
            <v>B240NS</v>
          </cell>
          <cell r="H1421">
            <v>1</v>
          </cell>
          <cell r="I1421">
            <v>2</v>
          </cell>
          <cell r="J1421" t="str">
            <v>국도첨단소재</v>
          </cell>
          <cell r="P1421">
            <v>1700</v>
          </cell>
          <cell r="Q1421">
            <v>650</v>
          </cell>
          <cell r="U1421">
            <v>45271</v>
          </cell>
          <cell r="V1421" t="str">
            <v>제이엠</v>
          </cell>
          <cell r="AD1421">
            <v>0.85</v>
          </cell>
        </row>
        <row r="1422">
          <cell r="A1422" t="str">
            <v>KD2호</v>
          </cell>
          <cell r="B1422" t="str">
            <v>BOX</v>
          </cell>
          <cell r="C1422">
            <v>2</v>
          </cell>
          <cell r="D1422">
            <v>180</v>
          </cell>
          <cell r="E1422">
            <v>1740</v>
          </cell>
          <cell r="F1422">
            <v>52</v>
          </cell>
          <cell r="G1422" t="str">
            <v>B240NS</v>
          </cell>
          <cell r="H1422">
            <v>1</v>
          </cell>
          <cell r="I1422">
            <v>2</v>
          </cell>
          <cell r="J1422" t="str">
            <v>국도첨단소재</v>
          </cell>
          <cell r="P1422">
            <v>1700</v>
          </cell>
          <cell r="Q1422">
            <v>650</v>
          </cell>
          <cell r="U1422">
            <v>45271</v>
          </cell>
          <cell r="V1422" t="str">
            <v>제이엠</v>
          </cell>
          <cell r="AD1422">
            <v>0.85</v>
          </cell>
        </row>
        <row r="1423">
          <cell r="A1423" t="str">
            <v>KD1호</v>
          </cell>
          <cell r="B1423" t="str">
            <v>BOX</v>
          </cell>
          <cell r="C1423">
            <v>2</v>
          </cell>
          <cell r="D1423">
            <v>180</v>
          </cell>
          <cell r="E1423">
            <v>1350</v>
          </cell>
          <cell r="F1423">
            <v>52</v>
          </cell>
          <cell r="G1423" t="str">
            <v>B240NS</v>
          </cell>
          <cell r="H1423">
            <v>1</v>
          </cell>
          <cell r="I1423">
            <v>1</v>
          </cell>
          <cell r="J1423" t="str">
            <v>국도첨단소재</v>
          </cell>
          <cell r="P1423">
            <v>1300</v>
          </cell>
          <cell r="Q1423">
            <v>550</v>
          </cell>
          <cell r="U1423">
            <v>45271</v>
          </cell>
          <cell r="V1423" t="str">
            <v>제이엠</v>
          </cell>
          <cell r="AD1423">
            <v>0.85</v>
          </cell>
        </row>
        <row r="1424">
          <cell r="A1424" t="str">
            <v>KD1호</v>
          </cell>
          <cell r="B1424" t="str">
            <v>BOX</v>
          </cell>
          <cell r="C1424">
            <v>2</v>
          </cell>
          <cell r="D1424">
            <v>180</v>
          </cell>
          <cell r="E1424">
            <v>1350</v>
          </cell>
          <cell r="F1424">
            <v>52</v>
          </cell>
          <cell r="G1424" t="str">
            <v>B240NS</v>
          </cell>
          <cell r="H1424">
            <v>1</v>
          </cell>
          <cell r="I1424">
            <v>1</v>
          </cell>
          <cell r="J1424" t="str">
            <v>국도첨단소재</v>
          </cell>
          <cell r="P1424">
            <v>1300</v>
          </cell>
          <cell r="Q1424">
            <v>550</v>
          </cell>
          <cell r="U1424">
            <v>45271</v>
          </cell>
          <cell r="V1424" t="str">
            <v>제이엠</v>
          </cell>
          <cell r="AD1424">
            <v>0.85</v>
          </cell>
        </row>
        <row r="1425">
          <cell r="A1425" t="str">
            <v>K-BODY</v>
          </cell>
          <cell r="B1425" t="str">
            <v>저발</v>
          </cell>
          <cell r="C1425">
            <v>0.5</v>
          </cell>
          <cell r="D1425">
            <v>100</v>
          </cell>
          <cell r="E1425">
            <v>520</v>
          </cell>
          <cell r="F1425">
            <v>65</v>
          </cell>
          <cell r="G1425" t="str">
            <v>SG302</v>
          </cell>
          <cell r="H1425">
            <v>5</v>
          </cell>
          <cell r="I1425">
            <v>1</v>
          </cell>
          <cell r="J1425" t="str">
            <v>케이웨더</v>
          </cell>
          <cell r="K1425">
            <v>98</v>
          </cell>
          <cell r="L1425">
            <v>102</v>
          </cell>
          <cell r="M1425">
            <v>98</v>
          </cell>
          <cell r="N1425">
            <v>102</v>
          </cell>
          <cell r="P1425">
            <v>500</v>
          </cell>
          <cell r="R1425" t="str">
            <v>빨강</v>
          </cell>
          <cell r="S1425" t="str">
            <v>빨강</v>
          </cell>
          <cell r="U1425">
            <v>44519</v>
          </cell>
          <cell r="V1425" t="str">
            <v>금형사업부</v>
          </cell>
          <cell r="W1425" t="str">
            <v>2개가 1SET</v>
          </cell>
          <cell r="Y1425">
            <v>55</v>
          </cell>
          <cell r="AC1425" t="str">
            <v>석상준과장, 2021.12.14 케비티 및 기준중량 변경(1*1-&gt;1*0.5, 260-&gt;520), 2021.01.17 코팅</v>
          </cell>
          <cell r="AD1425">
            <v>0.85</v>
          </cell>
          <cell r="AF1425">
            <v>8</v>
          </cell>
        </row>
        <row r="1426">
          <cell r="A1426" t="str">
            <v>K60</v>
          </cell>
          <cell r="B1426" t="str">
            <v>SET</v>
          </cell>
          <cell r="C1426">
            <v>2</v>
          </cell>
          <cell r="D1426">
            <v>76</v>
          </cell>
          <cell r="E1426">
            <v>320</v>
          </cell>
          <cell r="F1426">
            <v>65</v>
          </cell>
          <cell r="G1426" t="str">
            <v>B240NS</v>
          </cell>
          <cell r="H1426">
            <v>10</v>
          </cell>
          <cell r="I1426">
            <v>4</v>
          </cell>
          <cell r="J1426" t="str">
            <v>하츠</v>
          </cell>
          <cell r="K1426">
            <v>77</v>
          </cell>
          <cell r="L1426">
            <v>83</v>
          </cell>
          <cell r="M1426">
            <v>77</v>
          </cell>
          <cell r="N1426">
            <v>83</v>
          </cell>
          <cell r="O1426">
            <v>1660</v>
          </cell>
          <cell r="P1426">
            <v>1360</v>
          </cell>
          <cell r="Q1426">
            <v>150</v>
          </cell>
          <cell r="R1426" t="str">
            <v>빨강</v>
          </cell>
          <cell r="S1426" t="str">
            <v>빨강</v>
          </cell>
          <cell r="T1426" t="str">
            <v>M310-00290/M310-00291/M310-00292/M310-00293</v>
          </cell>
          <cell r="U1426">
            <v>41719</v>
          </cell>
          <cell r="V1426" t="str">
            <v>하츠이동입고</v>
          </cell>
          <cell r="W1426" t="str">
            <v>중량,융착확인필.L/R혼입주의.초물380g내외</v>
          </cell>
          <cell r="X1426" t="str">
            <v>A-0306</v>
          </cell>
          <cell r="AC1426" t="str">
            <v>조우리사원,2014.04.02 묶음단위변경 (1-&gt;10), 2014.06.12개조(각인변경)2014.11.13수정(BURR),2015.10.09배율변경(62-&gt;65), 2021.02.04 사용배율변경(70-&gt;62) ,2021.10.30 사용배율변경(65-&gt;70)</v>
          </cell>
          <cell r="AD1426">
            <v>0.83</v>
          </cell>
          <cell r="AE1426">
            <v>75</v>
          </cell>
          <cell r="AF1426">
            <v>6</v>
          </cell>
        </row>
        <row r="1427">
          <cell r="A1427" t="str">
            <v>JB정육-소</v>
          </cell>
          <cell r="B1427" t="str">
            <v>BOX</v>
          </cell>
          <cell r="C1427">
            <v>3</v>
          </cell>
          <cell r="D1427">
            <v>75</v>
          </cell>
          <cell r="E1427">
            <v>158</v>
          </cell>
          <cell r="F1427">
            <v>74</v>
          </cell>
          <cell r="G1427" t="str">
            <v>SE2500M</v>
          </cell>
          <cell r="H1427" t="str">
            <v>몸통12뚜껑48</v>
          </cell>
          <cell r="I1427">
            <v>2</v>
          </cell>
          <cell r="J1427" t="str">
            <v>중부스치로폼</v>
          </cell>
          <cell r="K1427">
            <v>34</v>
          </cell>
          <cell r="L1427">
            <v>36</v>
          </cell>
          <cell r="M1427">
            <v>128</v>
          </cell>
          <cell r="N1427">
            <v>132</v>
          </cell>
          <cell r="O1427">
            <v>680</v>
          </cell>
          <cell r="P1427">
            <v>1360</v>
          </cell>
          <cell r="Q1427">
            <v>250</v>
          </cell>
          <cell r="R1427" t="str">
            <v>파랑</v>
          </cell>
          <cell r="S1427" t="str">
            <v>파랑</v>
          </cell>
          <cell r="U1427">
            <v>42468</v>
          </cell>
          <cell r="V1427" t="str">
            <v>금형제조부</v>
          </cell>
          <cell r="W1427" t="str">
            <v>융착철저,6~9호기착형금지(휘다부족)</v>
          </cell>
          <cell r="Y1427">
            <v>60</v>
          </cell>
          <cell r="Z1427">
            <v>9484</v>
          </cell>
          <cell r="AC1427" t="str">
            <v>최재학사원,2016.06.07모델명변경(JB-COINBOX-B-&gt;JB정육-소),기준배율변경(50-&gt;60),기준중량변경(190-&gt;158),2016.07.25포장단위변경(12-&gt;BOT:12, TOP:48)</v>
          </cell>
          <cell r="AD1427">
            <v>0.85</v>
          </cell>
          <cell r="AE1427">
            <v>80</v>
          </cell>
          <cell r="AF1427">
            <v>16</v>
          </cell>
        </row>
        <row r="1428">
          <cell r="A1428" t="str">
            <v>JB정육-대</v>
          </cell>
          <cell r="B1428" t="str">
            <v>BOX</v>
          </cell>
          <cell r="C1428">
            <v>2</v>
          </cell>
          <cell r="D1428">
            <v>75</v>
          </cell>
          <cell r="E1428">
            <v>201</v>
          </cell>
          <cell r="F1428">
            <v>74</v>
          </cell>
          <cell r="G1428" t="str">
            <v>B240NS</v>
          </cell>
          <cell r="H1428" t="str">
            <v>몸통12뚜껑48</v>
          </cell>
          <cell r="I1428">
            <v>2</v>
          </cell>
          <cell r="J1428" t="str">
            <v>중부스치로폼</v>
          </cell>
          <cell r="K1428">
            <v>34</v>
          </cell>
          <cell r="L1428">
            <v>36</v>
          </cell>
          <cell r="M1428">
            <v>128</v>
          </cell>
          <cell r="N1428">
            <v>132</v>
          </cell>
          <cell r="O1428">
            <v>856</v>
          </cell>
          <cell r="P1428">
            <v>1360</v>
          </cell>
          <cell r="Q1428">
            <v>250</v>
          </cell>
          <cell r="R1428" t="str">
            <v>검정</v>
          </cell>
          <cell r="S1428" t="str">
            <v>검정</v>
          </cell>
          <cell r="U1428">
            <v>42468</v>
          </cell>
          <cell r="V1428" t="str">
            <v>금형제조부</v>
          </cell>
          <cell r="W1428" t="str">
            <v>융착철저(6~9호기 가능)</v>
          </cell>
          <cell r="Y1428">
            <v>60</v>
          </cell>
          <cell r="Z1428">
            <v>12088</v>
          </cell>
          <cell r="AC1428" t="str">
            <v>최재학사원,2016.06.07모델명변경(JB-COINBOX-A-&gt;JB정육-대),기준배율변경(50-&gt;60),기준중량변경(242-&gt;190),2016.07.25포장단위변경(12-&gt;BOT:12, TOP:48),2016.12.08기준중량변경(190-&gt;201)</v>
          </cell>
          <cell r="AD1428">
            <v>0.85</v>
          </cell>
          <cell r="AE1428">
            <v>75</v>
          </cell>
          <cell r="AF1428">
            <v>0</v>
          </cell>
        </row>
        <row r="1429">
          <cell r="A1429" t="str">
            <v>JB어상자5K</v>
          </cell>
          <cell r="B1429" t="str">
            <v>BOX</v>
          </cell>
          <cell r="C1429">
            <v>3</v>
          </cell>
          <cell r="D1429">
            <v>85</v>
          </cell>
          <cell r="E1429">
            <v>220</v>
          </cell>
          <cell r="F1429">
            <v>74</v>
          </cell>
          <cell r="G1429" t="str">
            <v>SE2500M</v>
          </cell>
          <cell r="H1429">
            <v>8</v>
          </cell>
          <cell r="I1429">
            <v>2</v>
          </cell>
          <cell r="J1429" t="str">
            <v>중부스치로폼</v>
          </cell>
          <cell r="K1429">
            <v>135</v>
          </cell>
          <cell r="L1429">
            <v>139</v>
          </cell>
          <cell r="M1429">
            <v>36</v>
          </cell>
          <cell r="N1429">
            <v>40</v>
          </cell>
          <cell r="O1429">
            <v>100</v>
          </cell>
          <cell r="P1429">
            <v>1360</v>
          </cell>
          <cell r="Q1429">
            <v>250</v>
          </cell>
          <cell r="R1429" t="str">
            <v>노랑</v>
          </cell>
          <cell r="S1429" t="str">
            <v>노랑</v>
          </cell>
          <cell r="T1429" t="str">
            <v>JB-어상자</v>
          </cell>
          <cell r="U1429">
            <v>42140</v>
          </cell>
          <cell r="V1429" t="str">
            <v>보령금형</v>
          </cell>
          <cell r="X1429" t="str">
            <v>A-1002</v>
          </cell>
          <cell r="AC1429" t="str">
            <v>강윤호차장(미코팅입고,기준중량,배율 정보 없음)</v>
          </cell>
          <cell r="AD1429">
            <v>0.85</v>
          </cell>
          <cell r="AE1429">
            <v>65</v>
          </cell>
          <cell r="AF1429">
            <v>4</v>
          </cell>
        </row>
        <row r="1430">
          <cell r="A1430" t="str">
            <v>JB새우4.5K(몸통/뚜껑)</v>
          </cell>
          <cell r="B1430" t="str">
            <v>BOX</v>
          </cell>
          <cell r="C1430">
            <v>3</v>
          </cell>
          <cell r="D1430">
            <v>85</v>
          </cell>
          <cell r="E1430">
            <v>145</v>
          </cell>
          <cell r="F1430">
            <v>74</v>
          </cell>
          <cell r="G1430" t="str">
            <v>SE2500M</v>
          </cell>
          <cell r="H1430" t="str">
            <v>T:32 B:16</v>
          </cell>
          <cell r="I1430">
            <v>2</v>
          </cell>
          <cell r="J1430" t="str">
            <v>중부스치로폼</v>
          </cell>
          <cell r="K1430">
            <v>28</v>
          </cell>
          <cell r="L1430">
            <v>32</v>
          </cell>
          <cell r="M1430">
            <v>118</v>
          </cell>
          <cell r="N1430">
            <v>122</v>
          </cell>
          <cell r="P1430">
            <v>1360</v>
          </cell>
          <cell r="Q1430">
            <v>200</v>
          </cell>
          <cell r="R1430" t="str">
            <v>빨강</v>
          </cell>
          <cell r="S1430" t="str">
            <v>빨강</v>
          </cell>
          <cell r="U1430">
            <v>42142</v>
          </cell>
          <cell r="V1430" t="str">
            <v>보령금형</v>
          </cell>
          <cell r="AD1430">
            <v>0.85</v>
          </cell>
          <cell r="AE1430">
            <v>75</v>
          </cell>
          <cell r="AF1430">
            <v>0</v>
          </cell>
        </row>
        <row r="1431">
          <cell r="A1431" t="str">
            <v>JB새우4.5K(57배)</v>
          </cell>
          <cell r="B1431" t="str">
            <v>BOX</v>
          </cell>
          <cell r="C1431">
            <v>3</v>
          </cell>
          <cell r="D1431">
            <v>65</v>
          </cell>
          <cell r="E1431">
            <v>158</v>
          </cell>
          <cell r="F1431">
            <v>65</v>
          </cell>
          <cell r="G1431" t="str">
            <v>B240NS</v>
          </cell>
          <cell r="H1431">
            <v>12</v>
          </cell>
          <cell r="I1431">
            <v>2</v>
          </cell>
          <cell r="J1431" t="str">
            <v>중부스치로폼</v>
          </cell>
          <cell r="K1431">
            <v>38</v>
          </cell>
          <cell r="L1431">
            <v>32</v>
          </cell>
          <cell r="M1431">
            <v>118</v>
          </cell>
          <cell r="N1431">
            <v>122</v>
          </cell>
          <cell r="O1431">
            <v>1100</v>
          </cell>
          <cell r="P1431">
            <v>1360</v>
          </cell>
          <cell r="Q1431">
            <v>200</v>
          </cell>
          <cell r="R1431" t="str">
            <v>빨강</v>
          </cell>
          <cell r="S1431" t="str">
            <v>빨강</v>
          </cell>
          <cell r="T1431" t="str">
            <v>JB새우4.5K</v>
          </cell>
          <cell r="U1431">
            <v>42142</v>
          </cell>
          <cell r="V1431" t="str">
            <v>보령금형</v>
          </cell>
          <cell r="W1431" t="str">
            <v>JB새우4.5K동일금형</v>
          </cell>
          <cell r="Y1431">
            <v>57</v>
          </cell>
          <cell r="Z1431">
            <v>8965</v>
          </cell>
          <cell r="AC1431" t="str">
            <v>김창준과장,2016.11.24기준중량변경(218-&gt;158),모델명변경(JB새우4.5K(65배)-&gt;JB새우4.5K(57배))</v>
          </cell>
          <cell r="AD1431">
            <v>0.85</v>
          </cell>
          <cell r="AE1431">
            <v>85</v>
          </cell>
          <cell r="AF1431">
            <v>6</v>
          </cell>
        </row>
        <row r="1432">
          <cell r="A1432" t="str">
            <v>JB새우4.5K(40배)</v>
          </cell>
          <cell r="B1432" t="str">
            <v>BOX</v>
          </cell>
          <cell r="C1432">
            <v>3</v>
          </cell>
          <cell r="D1432">
            <v>85</v>
          </cell>
          <cell r="E1432">
            <v>230</v>
          </cell>
          <cell r="F1432">
            <v>50</v>
          </cell>
          <cell r="G1432" t="str">
            <v>B240NS</v>
          </cell>
          <cell r="H1432">
            <v>12</v>
          </cell>
          <cell r="I1432">
            <v>2</v>
          </cell>
          <cell r="J1432" t="str">
            <v>중부스치로폼</v>
          </cell>
          <cell r="K1432">
            <v>28</v>
          </cell>
          <cell r="L1432">
            <v>32</v>
          </cell>
          <cell r="M1432">
            <v>118</v>
          </cell>
          <cell r="N1432">
            <v>122</v>
          </cell>
          <cell r="O1432">
            <v>850</v>
          </cell>
          <cell r="P1432">
            <v>1360</v>
          </cell>
          <cell r="Q1432">
            <v>200</v>
          </cell>
          <cell r="R1432" t="str">
            <v>녹색</v>
          </cell>
          <cell r="S1432" t="str">
            <v>녹색</v>
          </cell>
          <cell r="T1432" t="str">
            <v>JB새우4.5K</v>
          </cell>
          <cell r="U1432">
            <v>42142</v>
          </cell>
          <cell r="V1432" t="str">
            <v>보령금형</v>
          </cell>
          <cell r="X1432" t="str">
            <v>S-0211</v>
          </cell>
          <cell r="Y1432">
            <v>62</v>
          </cell>
          <cell r="Z1432">
            <v>8965</v>
          </cell>
          <cell r="AC1432" t="str">
            <v>김창준과장,2016.07.07끈색 변경(빨강-&gt;파랑),2016.11.23기준중량변경(205-&gt;145)</v>
          </cell>
          <cell r="AD1432">
            <v>0.85</v>
          </cell>
          <cell r="AE1432">
            <v>90</v>
          </cell>
          <cell r="AF1432">
            <v>6</v>
          </cell>
        </row>
        <row r="1433">
          <cell r="A1433" t="str">
            <v>JB새우4.5K</v>
          </cell>
          <cell r="B1433" t="str">
            <v>BOX</v>
          </cell>
          <cell r="C1433">
            <v>3</v>
          </cell>
          <cell r="D1433">
            <v>85</v>
          </cell>
          <cell r="E1433">
            <v>145</v>
          </cell>
          <cell r="F1433">
            <v>74</v>
          </cell>
          <cell r="G1433" t="str">
            <v>SE2500M</v>
          </cell>
          <cell r="H1433">
            <v>12</v>
          </cell>
          <cell r="I1433">
            <v>2</v>
          </cell>
          <cell r="J1433" t="str">
            <v>중부스치로폼</v>
          </cell>
          <cell r="K1433">
            <v>28</v>
          </cell>
          <cell r="L1433">
            <v>32</v>
          </cell>
          <cell r="M1433">
            <v>118</v>
          </cell>
          <cell r="N1433">
            <v>122</v>
          </cell>
          <cell r="O1433">
            <v>850</v>
          </cell>
          <cell r="P1433">
            <v>1360</v>
          </cell>
          <cell r="Q1433">
            <v>200</v>
          </cell>
          <cell r="R1433" t="str">
            <v>파랑</v>
          </cell>
          <cell r="S1433" t="str">
            <v>파랑</v>
          </cell>
          <cell r="T1433" t="str">
            <v>JB새우4.5K</v>
          </cell>
          <cell r="U1433">
            <v>42142</v>
          </cell>
          <cell r="V1433" t="str">
            <v>보령금형</v>
          </cell>
          <cell r="W1433" t="str">
            <v xml:space="preserve">한번에 묶지 말고 따로 묶을 것!! </v>
          </cell>
          <cell r="X1433" t="str">
            <v>S-0211</v>
          </cell>
          <cell r="Y1433">
            <v>62</v>
          </cell>
          <cell r="Z1433">
            <v>8965</v>
          </cell>
          <cell r="AC1433" t="str">
            <v>김창준과장,2016.07.07끈색 변경(빨강-&gt;파랑),2016.11.23기준중량변경(205-&gt;145)</v>
          </cell>
          <cell r="AD1433">
            <v>0.85</v>
          </cell>
          <cell r="AE1433">
            <v>85</v>
          </cell>
          <cell r="AF1433">
            <v>6</v>
          </cell>
        </row>
        <row r="1434">
          <cell r="A1434" t="str">
            <v>JB블루베리5K</v>
          </cell>
          <cell r="B1434" t="str">
            <v>BOX</v>
          </cell>
          <cell r="C1434">
            <v>3</v>
          </cell>
          <cell r="D1434">
            <v>90</v>
          </cell>
          <cell r="E1434">
            <v>235</v>
          </cell>
          <cell r="F1434">
            <v>74</v>
          </cell>
          <cell r="G1434" t="str">
            <v>B240NS</v>
          </cell>
          <cell r="H1434">
            <v>10</v>
          </cell>
          <cell r="I1434">
            <v>2</v>
          </cell>
          <cell r="J1434" t="str">
            <v>중부스치로폼</v>
          </cell>
          <cell r="O1434">
            <v>10</v>
          </cell>
          <cell r="P1434">
            <v>1500</v>
          </cell>
          <cell r="Q1434">
            <v>250</v>
          </cell>
          <cell r="R1434" t="str">
            <v>주황</v>
          </cell>
          <cell r="S1434" t="str">
            <v>주황</v>
          </cell>
          <cell r="U1434">
            <v>43158</v>
          </cell>
          <cell r="V1434" t="str">
            <v>윌닉스이관</v>
          </cell>
          <cell r="AC1434" t="str">
            <v>윌닉스금형이동(태방특수포장금형)</v>
          </cell>
          <cell r="AD1434">
            <v>0.9</v>
          </cell>
          <cell r="AE1434">
            <v>100</v>
          </cell>
          <cell r="AF1434">
            <v>6</v>
          </cell>
        </row>
        <row r="1435">
          <cell r="A1435" t="str">
            <v>JB블루베리1-6</v>
          </cell>
          <cell r="B1435" t="str">
            <v>BOX</v>
          </cell>
          <cell r="C1435">
            <v>2</v>
          </cell>
          <cell r="D1435">
            <v>85</v>
          </cell>
          <cell r="E1435">
            <v>242</v>
          </cell>
          <cell r="F1435">
            <v>74</v>
          </cell>
          <cell r="G1435" t="str">
            <v>B240NS</v>
          </cell>
          <cell r="H1435">
            <v>8</v>
          </cell>
          <cell r="I1435">
            <v>2</v>
          </cell>
          <cell r="J1435" t="str">
            <v>중부스치로폼</v>
          </cell>
          <cell r="K1435">
            <v>43</v>
          </cell>
          <cell r="L1435">
            <v>47</v>
          </cell>
          <cell r="M1435">
            <v>252</v>
          </cell>
          <cell r="N1435">
            <v>256</v>
          </cell>
          <cell r="O1435">
            <v>1030</v>
          </cell>
          <cell r="P1435">
            <v>1360</v>
          </cell>
          <cell r="Q1435">
            <v>350</v>
          </cell>
          <cell r="R1435" t="str">
            <v>보라</v>
          </cell>
          <cell r="S1435" t="str">
            <v>보라</v>
          </cell>
          <cell r="U1435">
            <v>42417</v>
          </cell>
          <cell r="V1435" t="str">
            <v>금형제조부</v>
          </cell>
          <cell r="W1435" t="str">
            <v>융착철저</v>
          </cell>
          <cell r="Y1435">
            <v>60</v>
          </cell>
          <cell r="Z1435">
            <v>14965</v>
          </cell>
          <cell r="AC1435" t="str">
            <v>김창준과장,2016.02.23개조,2016.06.17 수정,2018.04.27기준중량변경(249-&gt;242)</v>
          </cell>
          <cell r="AD1435">
            <v>0.85</v>
          </cell>
          <cell r="AE1435">
            <v>85</v>
          </cell>
          <cell r="AF1435">
            <v>4</v>
          </cell>
        </row>
        <row r="1436">
          <cell r="A1436" t="str">
            <v>JB블루베리1-4</v>
          </cell>
          <cell r="B1436" t="str">
            <v>BOX</v>
          </cell>
          <cell r="C1436">
            <v>3</v>
          </cell>
          <cell r="D1436">
            <v>85</v>
          </cell>
          <cell r="E1436">
            <v>200</v>
          </cell>
          <cell r="F1436">
            <v>74</v>
          </cell>
          <cell r="G1436" t="str">
            <v>B240NS</v>
          </cell>
          <cell r="H1436">
            <v>10</v>
          </cell>
          <cell r="I1436">
            <v>2</v>
          </cell>
          <cell r="J1436" t="str">
            <v>중부스치로폼</v>
          </cell>
          <cell r="K1436">
            <v>43</v>
          </cell>
          <cell r="L1436">
            <v>47</v>
          </cell>
          <cell r="M1436">
            <v>178</v>
          </cell>
          <cell r="N1436">
            <v>182</v>
          </cell>
          <cell r="O1436">
            <v>860</v>
          </cell>
          <cell r="P1436">
            <v>1360</v>
          </cell>
          <cell r="Q1436">
            <v>300</v>
          </cell>
          <cell r="R1436" t="str">
            <v>검정</v>
          </cell>
          <cell r="S1436" t="str">
            <v>검정</v>
          </cell>
          <cell r="U1436">
            <v>42417</v>
          </cell>
          <cell r="V1436" t="str">
            <v>금형제조부</v>
          </cell>
          <cell r="W1436" t="str">
            <v>융착철저</v>
          </cell>
          <cell r="Y1436">
            <v>60</v>
          </cell>
          <cell r="Z1436">
            <v>12428</v>
          </cell>
          <cell r="AC1436" t="str">
            <v>김창준과장,2016.02.23개조,2018.04.27기준중량변경(207-&gt;200)</v>
          </cell>
          <cell r="AD1436">
            <v>0.85</v>
          </cell>
          <cell r="AE1436">
            <v>85</v>
          </cell>
          <cell r="AF1436">
            <v>0</v>
          </cell>
        </row>
        <row r="1437">
          <cell r="A1437" t="str">
            <v>JB블루베리1-2</v>
          </cell>
          <cell r="B1437" t="str">
            <v>BOX</v>
          </cell>
          <cell r="C1437">
            <v>3</v>
          </cell>
          <cell r="D1437">
            <v>75</v>
          </cell>
          <cell r="E1437">
            <v>150</v>
          </cell>
          <cell r="F1437">
            <v>74</v>
          </cell>
          <cell r="G1437" t="str">
            <v>B240NS</v>
          </cell>
          <cell r="H1437">
            <v>14</v>
          </cell>
          <cell r="I1437">
            <v>2</v>
          </cell>
          <cell r="J1437" t="str">
            <v>중부스치로폼</v>
          </cell>
          <cell r="K1437">
            <v>43</v>
          </cell>
          <cell r="L1437">
            <v>47</v>
          </cell>
          <cell r="M1437">
            <v>104</v>
          </cell>
          <cell r="N1437">
            <v>108</v>
          </cell>
          <cell r="O1437">
            <v>675</v>
          </cell>
          <cell r="P1437">
            <v>1360</v>
          </cell>
          <cell r="Q1437">
            <v>200</v>
          </cell>
          <cell r="R1437" t="str">
            <v>녹색</v>
          </cell>
          <cell r="S1437" t="str">
            <v>녹색</v>
          </cell>
          <cell r="U1437">
            <v>42417</v>
          </cell>
          <cell r="V1437" t="str">
            <v>금형제조부</v>
          </cell>
          <cell r="W1437" t="str">
            <v>융착철저</v>
          </cell>
          <cell r="Y1437">
            <v>60</v>
          </cell>
          <cell r="Z1437">
            <v>9812</v>
          </cell>
          <cell r="AC1437" t="str">
            <v>김창준과장,2018.04.27기준중량변경(163-&gt;150)</v>
          </cell>
          <cell r="AD1437">
            <v>0.85</v>
          </cell>
          <cell r="AE1437">
            <v>75</v>
          </cell>
          <cell r="AF1437">
            <v>8</v>
          </cell>
        </row>
        <row r="1438">
          <cell r="A1438" t="str">
            <v>JB블루베리0.5-8</v>
          </cell>
          <cell r="B1438" t="str">
            <v>BOX</v>
          </cell>
          <cell r="C1438">
            <v>3</v>
          </cell>
          <cell r="D1438">
            <v>90</v>
          </cell>
          <cell r="E1438">
            <v>210</v>
          </cell>
          <cell r="F1438">
            <v>74</v>
          </cell>
          <cell r="G1438" t="str">
            <v>B240NS</v>
          </cell>
          <cell r="H1438">
            <v>10</v>
          </cell>
          <cell r="I1438">
            <v>2</v>
          </cell>
          <cell r="J1438" t="str">
            <v>중부스치로폼</v>
          </cell>
          <cell r="K1438">
            <v>43</v>
          </cell>
          <cell r="L1438">
            <v>47</v>
          </cell>
          <cell r="M1438">
            <v>181</v>
          </cell>
          <cell r="N1438">
            <v>185</v>
          </cell>
          <cell r="O1438">
            <v>880</v>
          </cell>
          <cell r="P1438">
            <v>1360</v>
          </cell>
          <cell r="Q1438">
            <v>300</v>
          </cell>
          <cell r="R1438" t="str">
            <v>빨강</v>
          </cell>
          <cell r="S1438" t="str">
            <v>빨강</v>
          </cell>
          <cell r="U1438">
            <v>42542</v>
          </cell>
          <cell r="V1438" t="str">
            <v>금형제조부</v>
          </cell>
          <cell r="W1438" t="str">
            <v>융착철저</v>
          </cell>
          <cell r="Y1438">
            <v>60</v>
          </cell>
          <cell r="Z1438">
            <v>12703</v>
          </cell>
          <cell r="AC1438" t="str">
            <v>최재학사원,2016.06.27 기준중량변경(201-&gt;210)</v>
          </cell>
          <cell r="AD1438">
            <v>0.85</v>
          </cell>
          <cell r="AE1438">
            <v>80</v>
          </cell>
          <cell r="AF1438">
            <v>8</v>
          </cell>
        </row>
        <row r="1439">
          <cell r="A1439" t="str">
            <v>JB블루베리0.5-4</v>
          </cell>
          <cell r="B1439" t="str">
            <v>BOX</v>
          </cell>
          <cell r="C1439">
            <v>3</v>
          </cell>
          <cell r="D1439">
            <v>85</v>
          </cell>
          <cell r="E1439">
            <v>170</v>
          </cell>
          <cell r="F1439">
            <v>74</v>
          </cell>
          <cell r="G1439" t="str">
            <v>B240NS</v>
          </cell>
          <cell r="H1439">
            <v>14</v>
          </cell>
          <cell r="I1439">
            <v>2</v>
          </cell>
          <cell r="J1439" t="str">
            <v>중부스치로폼</v>
          </cell>
          <cell r="K1439">
            <v>43</v>
          </cell>
          <cell r="L1439">
            <v>47</v>
          </cell>
          <cell r="M1439">
            <v>100</v>
          </cell>
          <cell r="N1439">
            <v>104</v>
          </cell>
          <cell r="O1439">
            <v>700</v>
          </cell>
          <cell r="P1439">
            <v>1360</v>
          </cell>
          <cell r="Q1439">
            <v>200</v>
          </cell>
          <cell r="R1439" t="str">
            <v>파랑</v>
          </cell>
          <cell r="S1439" t="str">
            <v>파랑</v>
          </cell>
          <cell r="U1439">
            <v>42417</v>
          </cell>
          <cell r="V1439" t="str">
            <v>금형제조부</v>
          </cell>
          <cell r="W1439" t="str">
            <v>융착철저</v>
          </cell>
          <cell r="Y1439">
            <v>60</v>
          </cell>
          <cell r="Z1439">
            <v>10188</v>
          </cell>
          <cell r="AC1439" t="str">
            <v>김창준과장</v>
          </cell>
          <cell r="AD1439">
            <v>0.85</v>
          </cell>
          <cell r="AE1439">
            <v>75</v>
          </cell>
          <cell r="AF1439">
            <v>0</v>
          </cell>
        </row>
        <row r="1440">
          <cell r="A1440" t="str">
            <v>JB딸기1K(2호)</v>
          </cell>
          <cell r="B1440" t="str">
            <v>BOX</v>
          </cell>
          <cell r="C1440">
            <v>20</v>
          </cell>
          <cell r="D1440">
            <v>80</v>
          </cell>
          <cell r="E1440">
            <v>30</v>
          </cell>
          <cell r="F1440">
            <v>74</v>
          </cell>
          <cell r="G1440" t="str">
            <v>B240NS</v>
          </cell>
          <cell r="H1440">
            <v>60</v>
          </cell>
          <cell r="I1440">
            <v>1</v>
          </cell>
          <cell r="J1440" t="str">
            <v>중부스치로폼</v>
          </cell>
          <cell r="K1440">
            <v>100</v>
          </cell>
          <cell r="L1440">
            <v>104</v>
          </cell>
          <cell r="O1440">
            <v>10</v>
          </cell>
          <cell r="P1440">
            <v>1500</v>
          </cell>
          <cell r="Q1440">
            <v>200</v>
          </cell>
          <cell r="R1440" t="str">
            <v>녹색</v>
          </cell>
          <cell r="S1440" t="str">
            <v>녹색</v>
          </cell>
          <cell r="T1440" t="str">
            <v>JB딸기1K(2호)</v>
          </cell>
          <cell r="U1440">
            <v>42040</v>
          </cell>
          <cell r="V1440" t="str">
            <v>보령금형</v>
          </cell>
          <cell r="W1440" t="str">
            <v>JB딸기1K(2호)</v>
          </cell>
          <cell r="X1440" t="str">
            <v>S-0306</v>
          </cell>
          <cell r="Y1440">
            <v>64</v>
          </cell>
          <cell r="AC1440" t="str">
            <v>김일환계장코팅완료201503.05기준중량변경28-&gt;30</v>
          </cell>
          <cell r="AD1440">
            <v>0.85</v>
          </cell>
          <cell r="AE1440">
            <v>80</v>
          </cell>
          <cell r="AF1440">
            <v>4</v>
          </cell>
        </row>
        <row r="1441">
          <cell r="A1441" t="str">
            <v>JB딸기1K(1호)</v>
          </cell>
          <cell r="B1441" t="str">
            <v>BOX</v>
          </cell>
          <cell r="C1441">
            <v>16</v>
          </cell>
          <cell r="D1441">
            <v>75</v>
          </cell>
          <cell r="E1441">
            <v>30</v>
          </cell>
          <cell r="F1441">
            <v>74</v>
          </cell>
          <cell r="G1441" t="str">
            <v>B240NS</v>
          </cell>
          <cell r="H1441">
            <v>60</v>
          </cell>
          <cell r="I1441">
            <v>1</v>
          </cell>
          <cell r="J1441" t="str">
            <v>중부스치로폼</v>
          </cell>
          <cell r="K1441">
            <v>97</v>
          </cell>
          <cell r="L1441">
            <v>101</v>
          </cell>
          <cell r="O1441">
            <v>130</v>
          </cell>
          <cell r="P1441">
            <v>1360</v>
          </cell>
          <cell r="Q1441">
            <v>200</v>
          </cell>
          <cell r="R1441" t="str">
            <v>보라</v>
          </cell>
          <cell r="S1441" t="str">
            <v>보라</v>
          </cell>
          <cell r="T1441" t="str">
            <v>JB딸기1K(1호), 건조중량 필 확인!!!, 0.2T 파랑비닐 사용!</v>
          </cell>
          <cell r="U1441">
            <v>41988</v>
          </cell>
          <cell r="V1441" t="str">
            <v>보령금형</v>
          </cell>
          <cell r="W1441" t="str">
            <v>JB딸기1K(1호)</v>
          </cell>
          <cell r="Y1441">
            <v>64</v>
          </cell>
          <cell r="Z1441">
            <v>1921</v>
          </cell>
          <cell r="AC1441" t="str">
            <v>김일환사원2014.12.22코팅완료,2015.03.05기준중량변경28-&gt;30g</v>
          </cell>
          <cell r="AD1441">
            <v>0.85</v>
          </cell>
          <cell r="AE1441">
            <v>75</v>
          </cell>
          <cell r="AF1441">
            <v>1</v>
          </cell>
        </row>
        <row r="1442">
          <cell r="A1442" t="str">
            <v>JB등3호(회색40배)</v>
          </cell>
          <cell r="B1442" t="str">
            <v>회색</v>
          </cell>
          <cell r="C1442">
            <v>4</v>
          </cell>
          <cell r="D1442">
            <v>80</v>
          </cell>
          <cell r="E1442">
            <v>225</v>
          </cell>
          <cell r="F1442">
            <v>48</v>
          </cell>
          <cell r="G1442" t="str">
            <v>ZP2500</v>
          </cell>
          <cell r="H1442">
            <v>10</v>
          </cell>
          <cell r="I1442">
            <v>2</v>
          </cell>
          <cell r="J1442" t="str">
            <v>중부스치로폼</v>
          </cell>
          <cell r="K1442">
            <v>36</v>
          </cell>
          <cell r="L1442">
            <v>39</v>
          </cell>
          <cell r="M1442">
            <v>96</v>
          </cell>
          <cell r="N1442">
            <v>99</v>
          </cell>
          <cell r="O1442">
            <v>1220</v>
          </cell>
          <cell r="P1442">
            <v>1500</v>
          </cell>
          <cell r="Q1442">
            <v>200</v>
          </cell>
          <cell r="R1442" t="str">
            <v>빨강</v>
          </cell>
          <cell r="S1442" t="str">
            <v>빨강</v>
          </cell>
          <cell r="T1442" t="str">
            <v>등3호</v>
          </cell>
          <cell r="U1442">
            <v>41835</v>
          </cell>
          <cell r="V1442" t="str">
            <v>금형제조부</v>
          </cell>
          <cell r="W1442" t="str">
            <v>적색무타공비닐포장,중량관리철저!</v>
          </cell>
          <cell r="Y1442">
            <v>40</v>
          </cell>
          <cell r="Z1442">
            <v>9418</v>
          </cell>
          <cell r="AC1442" t="str">
            <v>둥3호 금형동일2014.12.12묶음단위변경(10-&gt;14) 24년1월 코아 몸통5mm 고임</v>
          </cell>
          <cell r="AD1442">
            <v>0.85</v>
          </cell>
          <cell r="AE1442">
            <v>80</v>
          </cell>
          <cell r="AF1442">
            <v>4</v>
          </cell>
        </row>
        <row r="1443">
          <cell r="A1443" t="str">
            <v>JB등3호</v>
          </cell>
          <cell r="B1443" t="str">
            <v>BOX</v>
          </cell>
          <cell r="C1443">
            <v>4</v>
          </cell>
          <cell r="D1443">
            <v>80</v>
          </cell>
          <cell r="E1443">
            <v>165</v>
          </cell>
          <cell r="F1443">
            <v>70</v>
          </cell>
          <cell r="G1443" t="str">
            <v>B240NS</v>
          </cell>
          <cell r="H1443">
            <v>10</v>
          </cell>
          <cell r="I1443">
            <v>2</v>
          </cell>
          <cell r="J1443" t="str">
            <v>중부스치로폼</v>
          </cell>
          <cell r="K1443">
            <v>36</v>
          </cell>
          <cell r="L1443">
            <v>39</v>
          </cell>
          <cell r="M1443">
            <v>96</v>
          </cell>
          <cell r="N1443">
            <v>99</v>
          </cell>
          <cell r="O1443">
            <v>880</v>
          </cell>
          <cell r="P1443">
            <v>1500</v>
          </cell>
          <cell r="Q1443">
            <v>200</v>
          </cell>
          <cell r="R1443" t="str">
            <v>빨강</v>
          </cell>
          <cell r="S1443" t="str">
            <v>빨강</v>
          </cell>
          <cell r="T1443" t="str">
            <v>등3호</v>
          </cell>
          <cell r="U1443">
            <v>41835</v>
          </cell>
          <cell r="V1443" t="str">
            <v>금형제조부</v>
          </cell>
          <cell r="W1443" t="str">
            <v>적색무타공비닐포장,직가래3개설치</v>
          </cell>
          <cell r="X1443" t="str">
            <v>A-0702</v>
          </cell>
          <cell r="Y1443">
            <v>62</v>
          </cell>
          <cell r="Z1443">
            <v>9418</v>
          </cell>
          <cell r="AC1443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1443">
            <v>0.85</v>
          </cell>
          <cell r="AE1443">
            <v>70</v>
          </cell>
          <cell r="AF1443">
            <v>6</v>
          </cell>
        </row>
        <row r="1444">
          <cell r="A1444" t="str">
            <v>JB다용도-소</v>
          </cell>
          <cell r="B1444" t="str">
            <v>BOX</v>
          </cell>
          <cell r="C1444">
            <v>6</v>
          </cell>
          <cell r="D1444">
            <v>80</v>
          </cell>
          <cell r="E1444">
            <v>104</v>
          </cell>
          <cell r="F1444">
            <v>74</v>
          </cell>
          <cell r="G1444" t="str">
            <v>B240NS</v>
          </cell>
          <cell r="H1444">
            <v>20</v>
          </cell>
          <cell r="I1444">
            <v>2</v>
          </cell>
          <cell r="J1444" t="str">
            <v>중부스치로폼</v>
          </cell>
          <cell r="K1444">
            <v>57</v>
          </cell>
          <cell r="L1444">
            <v>61</v>
          </cell>
          <cell r="M1444">
            <v>190</v>
          </cell>
          <cell r="N1444">
            <v>194</v>
          </cell>
          <cell r="O1444">
            <v>440</v>
          </cell>
          <cell r="P1444">
            <v>1360</v>
          </cell>
          <cell r="Q1444">
            <v>300</v>
          </cell>
          <cell r="R1444" t="str">
            <v>보라</v>
          </cell>
          <cell r="S1444" t="str">
            <v>보라</v>
          </cell>
          <cell r="T1444" t="str">
            <v>JB다용도-소</v>
          </cell>
          <cell r="U1444">
            <v>42195</v>
          </cell>
          <cell r="V1444" t="str">
            <v>금형제조부</v>
          </cell>
          <cell r="Y1444">
            <v>65</v>
          </cell>
          <cell r="Z1444">
            <v>6446</v>
          </cell>
          <cell r="AC1444" t="str">
            <v>강윤호차장2015.7.7코팅입고2015.8.10코아치수변경</v>
          </cell>
          <cell r="AD1444">
            <v>0.85</v>
          </cell>
          <cell r="AE1444">
            <v>90</v>
          </cell>
          <cell r="AF1444">
            <v>8</v>
          </cell>
        </row>
        <row r="1445">
          <cell r="A1445" t="str">
            <v>JB그린패키지3구</v>
          </cell>
          <cell r="B1445" t="str">
            <v>BOX</v>
          </cell>
          <cell r="C1445">
            <v>3</v>
          </cell>
          <cell r="D1445">
            <v>75</v>
          </cell>
          <cell r="E1445">
            <v>127</v>
          </cell>
          <cell r="F1445">
            <v>74</v>
          </cell>
          <cell r="G1445" t="str">
            <v>B240NS</v>
          </cell>
          <cell r="H1445" t="str">
            <v>몸통20뚜껑40</v>
          </cell>
          <cell r="I1445">
            <v>2</v>
          </cell>
          <cell r="J1445" t="str">
            <v>중부스치로폼</v>
          </cell>
          <cell r="K1445">
            <v>39</v>
          </cell>
          <cell r="L1445">
            <v>33</v>
          </cell>
          <cell r="M1445">
            <v>115</v>
          </cell>
          <cell r="N1445">
            <v>119</v>
          </cell>
          <cell r="O1445">
            <v>530</v>
          </cell>
          <cell r="P1445">
            <v>1360</v>
          </cell>
          <cell r="Q1445">
            <v>250</v>
          </cell>
          <cell r="R1445" t="str">
            <v>파랑</v>
          </cell>
          <cell r="S1445" t="str">
            <v>파랑</v>
          </cell>
          <cell r="T1445" t="str">
            <v>JB그린패키지3구</v>
          </cell>
          <cell r="U1445">
            <v>42632</v>
          </cell>
          <cell r="V1445" t="str">
            <v>금형제조부</v>
          </cell>
          <cell r="Y1445">
            <v>64</v>
          </cell>
          <cell r="Z1445">
            <v>8113</v>
          </cell>
          <cell r="AC1445" t="str">
            <v>김길영대리</v>
          </cell>
          <cell r="AD1445">
            <v>0.85</v>
          </cell>
          <cell r="AE1445">
            <v>90</v>
          </cell>
          <cell r="AF1445">
            <v>6</v>
          </cell>
        </row>
        <row r="1446">
          <cell r="A1446" t="str">
            <v>JB-N등3호</v>
          </cell>
          <cell r="B1446" t="str">
            <v>BOX</v>
          </cell>
          <cell r="C1446">
            <v>3</v>
          </cell>
          <cell r="D1446">
            <v>80</v>
          </cell>
          <cell r="E1446">
            <v>165</v>
          </cell>
          <cell r="F1446">
            <v>70</v>
          </cell>
          <cell r="G1446" t="str">
            <v>B240NS</v>
          </cell>
          <cell r="H1446">
            <v>10</v>
          </cell>
          <cell r="I1446">
            <v>2</v>
          </cell>
          <cell r="J1446" t="str">
            <v>중부스치로폼</v>
          </cell>
          <cell r="K1446">
            <v>36</v>
          </cell>
          <cell r="L1446">
            <v>39</v>
          </cell>
          <cell r="M1446">
            <v>106</v>
          </cell>
          <cell r="N1446">
            <v>110</v>
          </cell>
          <cell r="O1446">
            <v>880</v>
          </cell>
          <cell r="P1446">
            <v>1360</v>
          </cell>
          <cell r="Q1446">
            <v>200</v>
          </cell>
          <cell r="R1446" t="str">
            <v>녹색</v>
          </cell>
          <cell r="T1446" t="str">
            <v>등3호</v>
          </cell>
          <cell r="U1446">
            <v>45520</v>
          </cell>
          <cell r="V1446" t="str">
            <v>금형제조부</v>
          </cell>
          <cell r="W1446" t="str">
            <v>적색무타공비닐포장,직가래3개설치</v>
          </cell>
          <cell r="X1446" t="str">
            <v>A-0702</v>
          </cell>
          <cell r="Y1446">
            <v>62</v>
          </cell>
          <cell r="Z1446">
            <v>9418</v>
          </cell>
          <cell r="AC1446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1446">
            <v>0.85</v>
          </cell>
          <cell r="AE1446">
            <v>70</v>
          </cell>
        </row>
        <row r="1447">
          <cell r="A1447" t="str">
            <v>JB-N등3호</v>
          </cell>
          <cell r="B1447" t="str">
            <v>BOX</v>
          </cell>
          <cell r="C1447">
            <v>4</v>
          </cell>
          <cell r="D1447">
            <v>80</v>
          </cell>
          <cell r="E1447">
            <v>165</v>
          </cell>
          <cell r="F1447">
            <v>70</v>
          </cell>
          <cell r="G1447" t="str">
            <v>B240NS</v>
          </cell>
          <cell r="H1447">
            <v>10</v>
          </cell>
          <cell r="I1447">
            <v>2</v>
          </cell>
          <cell r="J1447" t="str">
            <v>중부스치로폼</v>
          </cell>
          <cell r="K1447">
            <v>36</v>
          </cell>
          <cell r="L1447">
            <v>39</v>
          </cell>
          <cell r="M1447">
            <v>96</v>
          </cell>
          <cell r="N1447">
            <v>99</v>
          </cell>
          <cell r="O1447">
            <v>880</v>
          </cell>
          <cell r="P1447">
            <v>1500</v>
          </cell>
          <cell r="Q1447">
            <v>200</v>
          </cell>
          <cell r="R1447" t="str">
            <v>녹색</v>
          </cell>
          <cell r="T1447" t="str">
            <v>등3호</v>
          </cell>
          <cell r="U1447">
            <v>45520</v>
          </cell>
          <cell r="V1447" t="str">
            <v>금형제조부</v>
          </cell>
          <cell r="W1447" t="str">
            <v>적색무타공비닐포장,직가래3개설치</v>
          </cell>
          <cell r="X1447" t="str">
            <v>A-0702</v>
          </cell>
          <cell r="Y1447">
            <v>62</v>
          </cell>
          <cell r="Z1447">
            <v>9418</v>
          </cell>
          <cell r="AC1447" t="str">
            <v>조우리사원, 2014.09.15기준중량변경(156-&gt;155),엠코리아외주2014.12.01기준중량,기준배율변경(155-152,62배)2014.12.04수정,코팅완료2014.12.12묶음단위변경(10-&gt;14),2015.01.07 승인중량(152),2015.03.10승인중량변경(152-&gt;176), 2020.06.04파손수리, 2022.01.11사용배율변경(74-&gt;70)</v>
          </cell>
          <cell r="AD1447">
            <v>0.85</v>
          </cell>
          <cell r="AE1447">
            <v>70</v>
          </cell>
          <cell r="AF1447">
            <v>8</v>
          </cell>
        </row>
        <row r="1448">
          <cell r="A1448" t="str">
            <v>JB-C-BOX</v>
          </cell>
          <cell r="B1448" t="str">
            <v>BOX</v>
          </cell>
          <cell r="C1448">
            <v>2</v>
          </cell>
          <cell r="D1448">
            <v>90</v>
          </cell>
          <cell r="E1448">
            <v>410</v>
          </cell>
          <cell r="F1448">
            <v>74</v>
          </cell>
          <cell r="G1448" t="str">
            <v>B240NS</v>
          </cell>
          <cell r="H1448" t="str">
            <v>몸통10뚜껑40</v>
          </cell>
          <cell r="I1448">
            <v>2</v>
          </cell>
          <cell r="J1448" t="str">
            <v>중부스치로폼</v>
          </cell>
          <cell r="O1448">
            <v>10</v>
          </cell>
          <cell r="P1448">
            <v>1360</v>
          </cell>
          <cell r="Q1448">
            <v>300</v>
          </cell>
          <cell r="R1448" t="str">
            <v>주황</v>
          </cell>
          <cell r="S1448" t="str">
            <v>주황</v>
          </cell>
          <cell r="T1448" t="str">
            <v>C형BOX</v>
          </cell>
          <cell r="U1448">
            <v>42292</v>
          </cell>
          <cell r="V1448" t="str">
            <v>보령금형</v>
          </cell>
          <cell r="AC1448" t="str">
            <v>최재학사원</v>
          </cell>
          <cell r="AD1448">
            <v>0.85</v>
          </cell>
          <cell r="AE1448">
            <v>90</v>
          </cell>
          <cell r="AF1448">
            <v>0</v>
          </cell>
        </row>
        <row r="1449">
          <cell r="A1449" t="str">
            <v>JB8K(60배_몸통/뚜껑)</v>
          </cell>
          <cell r="B1449" t="str">
            <v>BOX</v>
          </cell>
          <cell r="C1449">
            <v>3</v>
          </cell>
          <cell r="D1449">
            <v>80</v>
          </cell>
          <cell r="E1449">
            <v>228</v>
          </cell>
          <cell r="F1449">
            <v>70</v>
          </cell>
          <cell r="G1449" t="str">
            <v>B240NS</v>
          </cell>
          <cell r="H1449" t="str">
            <v>몸통12뚜껑36</v>
          </cell>
          <cell r="I1449">
            <v>2</v>
          </cell>
          <cell r="J1449" t="str">
            <v>중부스치로폼</v>
          </cell>
          <cell r="K1449">
            <v>58</v>
          </cell>
          <cell r="L1449">
            <v>62</v>
          </cell>
          <cell r="M1449">
            <v>238</v>
          </cell>
          <cell r="N1449">
            <v>242</v>
          </cell>
          <cell r="O1449">
            <v>915</v>
          </cell>
          <cell r="P1449">
            <v>1360</v>
          </cell>
          <cell r="Q1449">
            <v>350</v>
          </cell>
          <cell r="R1449" t="str">
            <v>노란비닐</v>
          </cell>
          <cell r="S1449" t="str">
            <v>노랑</v>
          </cell>
          <cell r="T1449" t="str">
            <v>JB8K</v>
          </cell>
          <cell r="U1449">
            <v>42167</v>
          </cell>
          <cell r="V1449" t="str">
            <v>금형제조부</v>
          </cell>
          <cell r="W1449" t="str">
            <v xml:space="preserve">노란비닐포장(1150*1800) 열십자(十)로 묶을 것 </v>
          </cell>
          <cell r="X1449" t="str">
            <v>A-1102</v>
          </cell>
          <cell r="Y1449">
            <v>60</v>
          </cell>
          <cell r="Z1449">
            <v>13694</v>
          </cell>
          <cell r="AC1449" t="str">
            <v>김영석사원, 금형없음, 동일모델</v>
          </cell>
          <cell r="AD1449">
            <v>0.85</v>
          </cell>
          <cell r="AE1449">
            <v>80</v>
          </cell>
          <cell r="AF1449">
            <v>4</v>
          </cell>
        </row>
        <row r="1450">
          <cell r="A1450" t="str">
            <v>JB8K</v>
          </cell>
          <cell r="B1450" t="str">
            <v>BOX</v>
          </cell>
          <cell r="C1450">
            <v>3</v>
          </cell>
          <cell r="D1450">
            <v>80</v>
          </cell>
          <cell r="E1450">
            <v>214</v>
          </cell>
          <cell r="F1450">
            <v>74</v>
          </cell>
          <cell r="G1450" t="str">
            <v>B240NS</v>
          </cell>
          <cell r="H1450" t="str">
            <v>몸통12뚜껑24</v>
          </cell>
          <cell r="I1450">
            <v>2</v>
          </cell>
          <cell r="J1450" t="str">
            <v>중부스치로폼</v>
          </cell>
          <cell r="K1450">
            <v>58</v>
          </cell>
          <cell r="L1450">
            <v>62</v>
          </cell>
          <cell r="M1450">
            <v>238</v>
          </cell>
          <cell r="N1450">
            <v>242</v>
          </cell>
          <cell r="O1450">
            <v>915</v>
          </cell>
          <cell r="P1450">
            <v>1360</v>
          </cell>
          <cell r="Q1450">
            <v>350</v>
          </cell>
          <cell r="R1450" t="str">
            <v>흰색</v>
          </cell>
          <cell r="S1450" t="str">
            <v>흰색</v>
          </cell>
          <cell r="T1450" t="str">
            <v>JB8K</v>
          </cell>
          <cell r="U1450">
            <v>42167</v>
          </cell>
          <cell r="V1450" t="str">
            <v>금형제조부</v>
          </cell>
          <cell r="X1450" t="str">
            <v>A-1102</v>
          </cell>
          <cell r="AC1450" t="str">
            <v>김창준과장, 2015.08.27 기준중량변경(304-&gt;214),2018.02.08 끈색변경(녹색-&gt;검정), 2020.01.14 끈색변경(검정-&gt;빨강)</v>
          </cell>
          <cell r="AD1450">
            <v>0.85</v>
          </cell>
          <cell r="AE1450">
            <v>80</v>
          </cell>
          <cell r="AF1450">
            <v>6</v>
          </cell>
        </row>
        <row r="1451">
          <cell r="A1451" t="str">
            <v>JB5K(몸통/뚜껑)</v>
          </cell>
          <cell r="B1451" t="str">
            <v>BOX</v>
          </cell>
          <cell r="C1451">
            <v>3</v>
          </cell>
          <cell r="D1451">
            <v>95</v>
          </cell>
          <cell r="E1451">
            <v>200</v>
          </cell>
          <cell r="F1451">
            <v>74</v>
          </cell>
          <cell r="G1451" t="str">
            <v>SE2500M</v>
          </cell>
          <cell r="H1451" t="str">
            <v>몸통:12뚜껑:48</v>
          </cell>
          <cell r="I1451">
            <v>2</v>
          </cell>
          <cell r="J1451" t="str">
            <v>중부스치로폼</v>
          </cell>
          <cell r="K1451">
            <v>36</v>
          </cell>
          <cell r="L1451">
            <v>40</v>
          </cell>
          <cell r="M1451">
            <v>230</v>
          </cell>
          <cell r="N1451">
            <v>234</v>
          </cell>
          <cell r="O1451">
            <v>945</v>
          </cell>
          <cell r="P1451">
            <v>1360</v>
          </cell>
          <cell r="Q1451">
            <v>350</v>
          </cell>
          <cell r="R1451" t="str">
            <v>노란비닐</v>
          </cell>
          <cell r="S1451" t="str">
            <v>녹색</v>
          </cell>
          <cell r="T1451" t="str">
            <v>JB5K</v>
          </cell>
          <cell r="U1451">
            <v>41899</v>
          </cell>
          <cell r="V1451" t="str">
            <v>금형제조부</v>
          </cell>
          <cell r="W1451" t="str">
            <v xml:space="preserve">노란비닐포장 1150*1800 열십자(十)로 묶을 것 </v>
          </cell>
          <cell r="X1451" t="str">
            <v>E-0108</v>
          </cell>
          <cell r="Y1451">
            <v>64</v>
          </cell>
          <cell r="Z1451">
            <v>12807</v>
          </cell>
          <cell r="AC1451" t="str">
            <v>금형없음 JB5K동일금형</v>
          </cell>
          <cell r="AD1451">
            <v>0.85</v>
          </cell>
          <cell r="AE1451">
            <v>75</v>
          </cell>
          <cell r="AF1451">
            <v>12</v>
          </cell>
        </row>
        <row r="1452">
          <cell r="A1452" t="str">
            <v>JB5K(60배)</v>
          </cell>
          <cell r="B1452" t="str">
            <v>BOX</v>
          </cell>
          <cell r="C1452">
            <v>3</v>
          </cell>
          <cell r="D1452">
            <v>75</v>
          </cell>
          <cell r="E1452">
            <v>215</v>
          </cell>
          <cell r="F1452">
            <v>70</v>
          </cell>
          <cell r="G1452" t="str">
            <v>B240NS</v>
          </cell>
          <cell r="H1452">
            <v>10</v>
          </cell>
          <cell r="I1452">
            <v>2</v>
          </cell>
          <cell r="J1452" t="str">
            <v>중부스치로폼</v>
          </cell>
          <cell r="K1452">
            <v>36</v>
          </cell>
          <cell r="L1452">
            <v>40</v>
          </cell>
          <cell r="M1452">
            <v>230</v>
          </cell>
          <cell r="N1452">
            <v>234</v>
          </cell>
          <cell r="O1452">
            <v>1300</v>
          </cell>
          <cell r="P1452">
            <v>1360</v>
          </cell>
          <cell r="Q1452">
            <v>350</v>
          </cell>
          <cell r="R1452" t="str">
            <v>보라</v>
          </cell>
          <cell r="S1452" t="str">
            <v>보라</v>
          </cell>
          <cell r="T1452" t="str">
            <v>JB5K</v>
          </cell>
          <cell r="U1452">
            <v>41899</v>
          </cell>
          <cell r="V1452" t="str">
            <v>금형제조부</v>
          </cell>
          <cell r="W1452" t="str">
            <v>냉각노즐확인</v>
          </cell>
          <cell r="X1452" t="str">
            <v>E-0108</v>
          </cell>
          <cell r="Y1452">
            <v>60</v>
          </cell>
          <cell r="Z1452">
            <v>12807</v>
          </cell>
          <cell r="AC1452" t="str">
            <v>2018.10.09최재학계장</v>
          </cell>
          <cell r="AD1452">
            <v>0.85</v>
          </cell>
          <cell r="AE1452">
            <v>75</v>
          </cell>
          <cell r="AF1452">
            <v>8</v>
          </cell>
        </row>
        <row r="1453">
          <cell r="A1453" t="str">
            <v>JB5K(50배)</v>
          </cell>
          <cell r="B1453" t="str">
            <v>BOX</v>
          </cell>
          <cell r="C1453">
            <v>3</v>
          </cell>
          <cell r="D1453">
            <v>80</v>
          </cell>
          <cell r="E1453">
            <v>256</v>
          </cell>
          <cell r="F1453">
            <v>65</v>
          </cell>
          <cell r="G1453" t="str">
            <v>B240NS</v>
          </cell>
          <cell r="H1453">
            <v>10</v>
          </cell>
          <cell r="I1453">
            <v>2</v>
          </cell>
          <cell r="J1453" t="str">
            <v>중부스치로폼</v>
          </cell>
          <cell r="K1453">
            <v>36</v>
          </cell>
          <cell r="L1453">
            <v>40</v>
          </cell>
          <cell r="M1453">
            <v>230</v>
          </cell>
          <cell r="N1453">
            <v>234</v>
          </cell>
          <cell r="O1453">
            <v>1300</v>
          </cell>
          <cell r="P1453">
            <v>1360</v>
          </cell>
          <cell r="Q1453">
            <v>350</v>
          </cell>
          <cell r="R1453" t="str">
            <v>파랑</v>
          </cell>
          <cell r="S1453" t="str">
            <v>파랑</v>
          </cell>
          <cell r="T1453" t="str">
            <v>JB5K</v>
          </cell>
          <cell r="U1453">
            <v>41899</v>
          </cell>
          <cell r="V1453" t="str">
            <v>금형제조부</v>
          </cell>
          <cell r="W1453" t="str">
            <v>냉각노즐확인</v>
          </cell>
          <cell r="X1453" t="str">
            <v>E-0108</v>
          </cell>
          <cell r="Y1453">
            <v>50</v>
          </cell>
          <cell r="Z1453">
            <v>12807</v>
          </cell>
          <cell r="AC1453" t="str">
            <v>2017.06.05최재학계장</v>
          </cell>
          <cell r="AD1453">
            <v>0.85</v>
          </cell>
          <cell r="AE1453">
            <v>80</v>
          </cell>
        </row>
        <row r="1454">
          <cell r="A1454" t="str">
            <v>JB5K</v>
          </cell>
          <cell r="B1454" t="str">
            <v>BOX</v>
          </cell>
          <cell r="C1454">
            <v>3</v>
          </cell>
          <cell r="D1454">
            <v>95</v>
          </cell>
          <cell r="E1454">
            <v>200</v>
          </cell>
          <cell r="F1454">
            <v>74</v>
          </cell>
          <cell r="G1454" t="str">
            <v>SE2500M</v>
          </cell>
          <cell r="H1454">
            <v>10</v>
          </cell>
          <cell r="I1454">
            <v>2</v>
          </cell>
          <cell r="J1454" t="str">
            <v>중부스치로폼</v>
          </cell>
          <cell r="K1454">
            <v>36</v>
          </cell>
          <cell r="L1454">
            <v>40</v>
          </cell>
          <cell r="M1454">
            <v>230</v>
          </cell>
          <cell r="N1454">
            <v>234</v>
          </cell>
          <cell r="O1454">
            <v>945</v>
          </cell>
          <cell r="P1454">
            <v>1360</v>
          </cell>
          <cell r="Q1454">
            <v>350</v>
          </cell>
          <cell r="R1454" t="str">
            <v>녹색</v>
          </cell>
          <cell r="S1454" t="str">
            <v>녹색</v>
          </cell>
          <cell r="T1454" t="str">
            <v>JB5K</v>
          </cell>
          <cell r="U1454">
            <v>41899</v>
          </cell>
          <cell r="V1454" t="str">
            <v>금형제조부</v>
          </cell>
          <cell r="W1454" t="str">
            <v>냉각노즐확인</v>
          </cell>
          <cell r="X1454" t="str">
            <v>E-0108</v>
          </cell>
          <cell r="Y1454">
            <v>64</v>
          </cell>
          <cell r="Z1454">
            <v>12807</v>
          </cell>
          <cell r="AC1454" t="str">
            <v>석상준대리, 2014.09.17코팅완료2014.12.01기준중량,기준배율변경(213-200,60-64),2015.01.07 승인중량(200), 묶음단위 변경(10-&gt;TOP:48, BOT:12), 2020.09.04재코팅완료</v>
          </cell>
          <cell r="AD1454">
            <v>0.85</v>
          </cell>
          <cell r="AE1454">
            <v>75</v>
          </cell>
          <cell r="AF1454">
            <v>8</v>
          </cell>
        </row>
        <row r="1455">
          <cell r="A1455" t="str">
            <v>JB4K(60배)</v>
          </cell>
          <cell r="B1455" t="str">
            <v>BOX</v>
          </cell>
          <cell r="C1455">
            <v>4</v>
          </cell>
          <cell r="D1455">
            <v>100</v>
          </cell>
          <cell r="E1455">
            <v>140</v>
          </cell>
          <cell r="F1455">
            <v>70</v>
          </cell>
          <cell r="G1455" t="str">
            <v>B240NS</v>
          </cell>
          <cell r="H1455">
            <v>20</v>
          </cell>
          <cell r="I1455">
            <v>2</v>
          </cell>
          <cell r="J1455" t="str">
            <v>중부스치로폼</v>
          </cell>
          <cell r="K1455">
            <v>31</v>
          </cell>
          <cell r="L1455">
            <v>36</v>
          </cell>
          <cell r="M1455">
            <v>241</v>
          </cell>
          <cell r="N1455">
            <v>245</v>
          </cell>
          <cell r="O1455">
            <v>600</v>
          </cell>
          <cell r="P1455">
            <v>1360</v>
          </cell>
          <cell r="Q1455">
            <v>350</v>
          </cell>
          <cell r="T1455" t="str">
            <v>JB4K동일금형</v>
          </cell>
          <cell r="U1455">
            <v>41899</v>
          </cell>
          <cell r="V1455" t="str">
            <v>금형제조부</v>
          </cell>
          <cell r="W1455" t="str">
            <v>1200*2000비닐사용, 냉각노즐확인</v>
          </cell>
          <cell r="Y1455">
            <v>60</v>
          </cell>
          <cell r="Z1455">
            <v>8374</v>
          </cell>
          <cell r="AC1455" t="str">
            <v>62배생산</v>
          </cell>
          <cell r="AD1455">
            <v>0.85</v>
          </cell>
          <cell r="AE1455">
            <v>80</v>
          </cell>
          <cell r="AF1455">
            <v>1</v>
          </cell>
        </row>
        <row r="1456">
          <cell r="A1456" t="str">
            <v>JB4K(55배)</v>
          </cell>
          <cell r="B1456" t="str">
            <v>BOX</v>
          </cell>
          <cell r="C1456">
            <v>4</v>
          </cell>
          <cell r="D1456">
            <v>80</v>
          </cell>
          <cell r="E1456">
            <v>150</v>
          </cell>
          <cell r="F1456">
            <v>70</v>
          </cell>
          <cell r="G1456" t="str">
            <v>B240NS</v>
          </cell>
          <cell r="H1456">
            <v>20</v>
          </cell>
          <cell r="I1456">
            <v>2</v>
          </cell>
          <cell r="J1456" t="str">
            <v>중부스치로폼</v>
          </cell>
          <cell r="K1456">
            <v>33</v>
          </cell>
          <cell r="L1456">
            <v>37</v>
          </cell>
          <cell r="M1456">
            <v>241</v>
          </cell>
          <cell r="N1456">
            <v>245</v>
          </cell>
          <cell r="O1456">
            <v>600</v>
          </cell>
          <cell r="P1456">
            <v>1360</v>
          </cell>
          <cell r="Q1456">
            <v>350</v>
          </cell>
          <cell r="R1456" t="str">
            <v>노랑</v>
          </cell>
          <cell r="S1456" t="str">
            <v>노랑</v>
          </cell>
          <cell r="T1456" t="str">
            <v>JB4K동일금형</v>
          </cell>
          <cell r="U1456">
            <v>41899</v>
          </cell>
          <cell r="V1456" t="str">
            <v>금형제조부</v>
          </cell>
          <cell r="W1456" t="str">
            <v>1200*2000비닐사용, 냉각노즐확인</v>
          </cell>
          <cell r="Y1456">
            <v>55</v>
          </cell>
          <cell r="Z1456">
            <v>8374</v>
          </cell>
          <cell r="AC1456" t="str">
            <v>62배생산</v>
          </cell>
          <cell r="AD1456">
            <v>0.85</v>
          </cell>
          <cell r="AE1456">
            <v>80</v>
          </cell>
          <cell r="AF1456">
            <v>12</v>
          </cell>
        </row>
        <row r="1457">
          <cell r="A1457" t="str">
            <v>JB4K</v>
          </cell>
          <cell r="B1457" t="str">
            <v>BOX</v>
          </cell>
          <cell r="C1457">
            <v>4</v>
          </cell>
          <cell r="D1457">
            <v>80</v>
          </cell>
          <cell r="E1457">
            <v>130</v>
          </cell>
          <cell r="F1457">
            <v>74</v>
          </cell>
          <cell r="G1457" t="str">
            <v>SE2500M</v>
          </cell>
          <cell r="H1457">
            <v>10</v>
          </cell>
          <cell r="I1457">
            <v>2</v>
          </cell>
          <cell r="J1457" t="str">
            <v>중부스치로폼</v>
          </cell>
          <cell r="K1457">
            <v>34</v>
          </cell>
          <cell r="L1457">
            <v>37</v>
          </cell>
          <cell r="M1457">
            <v>241</v>
          </cell>
          <cell r="N1457">
            <v>245</v>
          </cell>
          <cell r="O1457">
            <v>600</v>
          </cell>
          <cell r="P1457">
            <v>1360</v>
          </cell>
          <cell r="Q1457">
            <v>350</v>
          </cell>
          <cell r="R1457" t="str">
            <v>주황</v>
          </cell>
          <cell r="S1457" t="str">
            <v>주황</v>
          </cell>
          <cell r="T1457" t="str">
            <v>JB4K</v>
          </cell>
          <cell r="U1457">
            <v>41899</v>
          </cell>
          <cell r="V1457" t="str">
            <v>금형제조부</v>
          </cell>
          <cell r="W1457" t="str">
            <v>1200*2000비닐사용, 냉각노즐확인</v>
          </cell>
          <cell r="Y1457">
            <v>64</v>
          </cell>
          <cell r="Z1457">
            <v>8374</v>
          </cell>
          <cell r="AC1457" t="str">
            <v>석상준대리, 2014.09.17코팅완료, 2014.09.20개조2014.09.29끈색변경파랑-&gt;보라, 2014.09.20기준중량변경(140-&gt;145), 2014.09.20수정2014.10.15개조,2015.01.07 승인중량(130),2016.01.06 포장단위변경(20-&gt;10),2016.07.07수정</v>
          </cell>
          <cell r="AD1457">
            <v>0.85</v>
          </cell>
          <cell r="AE1457">
            <v>80</v>
          </cell>
          <cell r="AF1457">
            <v>12</v>
          </cell>
        </row>
        <row r="1458">
          <cell r="A1458" t="str">
            <v>JB4-2K(62배)</v>
          </cell>
          <cell r="B1458" t="str">
            <v>BOX</v>
          </cell>
          <cell r="C1458">
            <v>4</v>
          </cell>
          <cell r="D1458">
            <v>80</v>
          </cell>
          <cell r="E1458">
            <v>161</v>
          </cell>
          <cell r="F1458">
            <v>74</v>
          </cell>
          <cell r="G1458" t="str">
            <v>B240NS</v>
          </cell>
          <cell r="H1458" t="str">
            <v>몸통12뚜껑48</v>
          </cell>
          <cell r="I1458">
            <v>2</v>
          </cell>
          <cell r="J1458" t="str">
            <v>중부스치로폼</v>
          </cell>
          <cell r="K1458">
            <v>46</v>
          </cell>
          <cell r="L1458">
            <v>50</v>
          </cell>
          <cell r="M1458">
            <v>237</v>
          </cell>
          <cell r="N1458">
            <v>241</v>
          </cell>
          <cell r="O1458">
            <v>700</v>
          </cell>
          <cell r="P1458">
            <v>1360</v>
          </cell>
          <cell r="Q1458">
            <v>350</v>
          </cell>
          <cell r="R1458" t="str">
            <v>노란비닐</v>
          </cell>
          <cell r="S1458" t="str">
            <v>검정</v>
          </cell>
          <cell r="U1458">
            <v>42485</v>
          </cell>
          <cell r="V1458" t="str">
            <v>금형제조부</v>
          </cell>
          <cell r="W1458" t="str">
            <v xml:space="preserve">노란비닐포장 1150*1800 열십자(十)로 묶을 것 </v>
          </cell>
          <cell r="Y1458">
            <v>60</v>
          </cell>
          <cell r="Z1458">
            <v>10016</v>
          </cell>
          <cell r="AC1458" t="str">
            <v>최재학사원</v>
          </cell>
          <cell r="AD1458">
            <v>0.85</v>
          </cell>
          <cell r="AE1458">
            <v>85</v>
          </cell>
          <cell r="AF1458">
            <v>8</v>
          </cell>
        </row>
        <row r="1459">
          <cell r="A1459" t="str">
            <v>JB4-2K(60배)</v>
          </cell>
          <cell r="B1459" t="str">
            <v>BOX</v>
          </cell>
          <cell r="C1459">
            <v>4</v>
          </cell>
          <cell r="D1459">
            <v>80</v>
          </cell>
          <cell r="E1459">
            <v>167</v>
          </cell>
          <cell r="F1459">
            <v>74</v>
          </cell>
          <cell r="G1459" t="str">
            <v>B240NS</v>
          </cell>
          <cell r="H1459" t="str">
            <v>몸통12뚜껑24</v>
          </cell>
          <cell r="I1459">
            <v>2</v>
          </cell>
          <cell r="J1459" t="str">
            <v>중부스치로폼</v>
          </cell>
          <cell r="K1459">
            <v>46</v>
          </cell>
          <cell r="L1459">
            <v>50</v>
          </cell>
          <cell r="M1459">
            <v>237</v>
          </cell>
          <cell r="N1459">
            <v>241</v>
          </cell>
          <cell r="O1459">
            <v>700</v>
          </cell>
          <cell r="P1459">
            <v>1360</v>
          </cell>
          <cell r="Q1459">
            <v>350</v>
          </cell>
          <cell r="R1459" t="str">
            <v>보라</v>
          </cell>
          <cell r="S1459" t="str">
            <v>보라</v>
          </cell>
          <cell r="U1459">
            <v>42485</v>
          </cell>
          <cell r="V1459" t="str">
            <v>금형제조부</v>
          </cell>
          <cell r="W1459" t="str">
            <v>융착철저</v>
          </cell>
          <cell r="Y1459">
            <v>60</v>
          </cell>
          <cell r="Z1459">
            <v>10016</v>
          </cell>
          <cell r="AC1459" t="str">
            <v>최재학사원</v>
          </cell>
          <cell r="AD1459">
            <v>0.85</v>
          </cell>
          <cell r="AE1459">
            <v>85</v>
          </cell>
          <cell r="AF1459">
            <v>6</v>
          </cell>
        </row>
        <row r="1460">
          <cell r="A1460" t="str">
            <v>JB4-2K</v>
          </cell>
          <cell r="B1460" t="str">
            <v>BOX</v>
          </cell>
          <cell r="C1460">
            <v>4</v>
          </cell>
          <cell r="D1460">
            <v>85</v>
          </cell>
          <cell r="E1460">
            <v>156</v>
          </cell>
          <cell r="F1460">
            <v>74</v>
          </cell>
          <cell r="G1460" t="str">
            <v>B240NS</v>
          </cell>
          <cell r="H1460">
            <v>8</v>
          </cell>
          <cell r="I1460">
            <v>2</v>
          </cell>
          <cell r="J1460" t="str">
            <v>중부스치로폼</v>
          </cell>
          <cell r="K1460">
            <v>46</v>
          </cell>
          <cell r="L1460">
            <v>50</v>
          </cell>
          <cell r="M1460">
            <v>237</v>
          </cell>
          <cell r="N1460">
            <v>241</v>
          </cell>
          <cell r="O1460">
            <v>700</v>
          </cell>
          <cell r="P1460">
            <v>1360</v>
          </cell>
          <cell r="Q1460">
            <v>350</v>
          </cell>
          <cell r="R1460" t="str">
            <v>주황</v>
          </cell>
          <cell r="S1460" t="str">
            <v>주황</v>
          </cell>
          <cell r="U1460">
            <v>42485</v>
          </cell>
          <cell r="V1460" t="str">
            <v>금형제조부</v>
          </cell>
          <cell r="W1460" t="str">
            <v>융착철저</v>
          </cell>
          <cell r="Y1460">
            <v>64</v>
          </cell>
          <cell r="Z1460">
            <v>10016</v>
          </cell>
          <cell r="AC1460" t="str">
            <v>최재학사원</v>
          </cell>
          <cell r="AD1460">
            <v>0.85</v>
          </cell>
          <cell r="AE1460">
            <v>90</v>
          </cell>
          <cell r="AF1460">
            <v>8</v>
          </cell>
        </row>
        <row r="1461">
          <cell r="A1461" t="str">
            <v>JB20K</v>
          </cell>
          <cell r="B1461" t="str">
            <v>BOX</v>
          </cell>
          <cell r="C1461">
            <v>1</v>
          </cell>
          <cell r="D1461">
            <v>99</v>
          </cell>
          <cell r="E1461">
            <v>485</v>
          </cell>
          <cell r="F1461">
            <v>74</v>
          </cell>
          <cell r="G1461" t="str">
            <v>SE2500M</v>
          </cell>
          <cell r="H1461">
            <v>5</v>
          </cell>
          <cell r="I1461">
            <v>2</v>
          </cell>
          <cell r="J1461" t="str">
            <v>중부스치로폼</v>
          </cell>
          <cell r="K1461">
            <v>36</v>
          </cell>
          <cell r="L1461">
            <v>40</v>
          </cell>
          <cell r="M1461">
            <v>238</v>
          </cell>
          <cell r="N1461">
            <v>242</v>
          </cell>
          <cell r="O1461">
            <v>2500</v>
          </cell>
          <cell r="P1461">
            <v>1360</v>
          </cell>
          <cell r="Q1461">
            <v>350</v>
          </cell>
          <cell r="R1461" t="str">
            <v>검정</v>
          </cell>
          <cell r="S1461" t="str">
            <v>검정</v>
          </cell>
          <cell r="T1461" t="str">
            <v>JB20K</v>
          </cell>
          <cell r="U1461">
            <v>42136</v>
          </cell>
          <cell r="V1461" t="str">
            <v>보령금형</v>
          </cell>
          <cell r="W1461" t="str">
            <v>중량관리 철저!!</v>
          </cell>
          <cell r="Y1461">
            <v>60</v>
          </cell>
          <cell r="AC1461" t="str">
            <v>김창준과장  2015.06.10 코팅 및 핀,휘다 위치 변경 수정 입고</v>
          </cell>
          <cell r="AD1461">
            <v>0.85</v>
          </cell>
          <cell r="AE1461">
            <v>85</v>
          </cell>
          <cell r="AF1461">
            <v>4</v>
          </cell>
        </row>
        <row r="1462">
          <cell r="A1462" t="str">
            <v>JB1K</v>
          </cell>
          <cell r="B1462" t="str">
            <v>BOX</v>
          </cell>
          <cell r="C1462">
            <v>4</v>
          </cell>
          <cell r="D1462">
            <v>60</v>
          </cell>
          <cell r="E1462">
            <v>94</v>
          </cell>
          <cell r="F1462">
            <v>74</v>
          </cell>
          <cell r="G1462" t="str">
            <v>B240NS</v>
          </cell>
          <cell r="H1462">
            <v>20</v>
          </cell>
          <cell r="I1462">
            <v>2</v>
          </cell>
          <cell r="J1462" t="str">
            <v>중부스치로폼</v>
          </cell>
          <cell r="K1462">
            <v>28</v>
          </cell>
          <cell r="L1462">
            <v>32</v>
          </cell>
          <cell r="M1462">
            <v>128</v>
          </cell>
          <cell r="N1462">
            <v>132</v>
          </cell>
          <cell r="O1462">
            <v>430</v>
          </cell>
          <cell r="P1462">
            <v>1360</v>
          </cell>
          <cell r="Q1462">
            <v>250</v>
          </cell>
          <cell r="R1462" t="str">
            <v>녹색</v>
          </cell>
          <cell r="S1462" t="str">
            <v>녹색</v>
          </cell>
          <cell r="U1462">
            <v>42563</v>
          </cell>
          <cell r="V1462" t="str">
            <v>금형제조부</v>
          </cell>
          <cell r="W1462" t="str">
            <v>융착철저</v>
          </cell>
          <cell r="Y1462">
            <v>60</v>
          </cell>
          <cell r="Z1462">
            <v>5587</v>
          </cell>
          <cell r="AC1462" t="str">
            <v>2016.11.23기준중량변경(98-&gt;94)</v>
          </cell>
          <cell r="AD1462">
            <v>0.85</v>
          </cell>
          <cell r="AE1462">
            <v>70</v>
          </cell>
          <cell r="AF1462">
            <v>8</v>
          </cell>
        </row>
        <row r="1463">
          <cell r="A1463" t="str">
            <v>JB15K(50배)</v>
          </cell>
          <cell r="B1463" t="str">
            <v>BOX</v>
          </cell>
          <cell r="C1463">
            <v>2</v>
          </cell>
          <cell r="D1463">
            <v>80</v>
          </cell>
          <cell r="E1463">
            <v>460</v>
          </cell>
          <cell r="F1463">
            <v>65</v>
          </cell>
          <cell r="G1463" t="str">
            <v>SE2500M</v>
          </cell>
          <cell r="H1463">
            <v>4</v>
          </cell>
          <cell r="I1463">
            <v>2</v>
          </cell>
          <cell r="J1463" t="str">
            <v>중부스치로폼</v>
          </cell>
          <cell r="K1463">
            <v>48</v>
          </cell>
          <cell r="L1463">
            <v>52</v>
          </cell>
          <cell r="M1463">
            <v>271</v>
          </cell>
          <cell r="N1463">
            <v>275</v>
          </cell>
          <cell r="O1463">
            <v>2580</v>
          </cell>
          <cell r="P1463">
            <v>1360</v>
          </cell>
          <cell r="Q1463">
            <v>350</v>
          </cell>
          <cell r="R1463" t="str">
            <v>흰색</v>
          </cell>
          <cell r="S1463" t="str">
            <v>흰색</v>
          </cell>
          <cell r="T1463" t="str">
            <v>JB15K</v>
          </cell>
          <cell r="U1463">
            <v>42170</v>
          </cell>
          <cell r="V1463" t="str">
            <v>금형제조부</v>
          </cell>
          <cell r="W1463" t="str">
            <v>중량관리 철저!!</v>
          </cell>
          <cell r="Y1463">
            <v>50</v>
          </cell>
          <cell r="AC1463" t="str">
            <v>20191005 50배 기준 463g</v>
          </cell>
          <cell r="AD1463">
            <v>0.85</v>
          </cell>
          <cell r="AE1463">
            <v>80</v>
          </cell>
          <cell r="AF1463">
            <v>6</v>
          </cell>
        </row>
        <row r="1464">
          <cell r="A1464" t="str">
            <v>JB15K</v>
          </cell>
          <cell r="B1464" t="str">
            <v>BOX</v>
          </cell>
          <cell r="C1464">
            <v>2</v>
          </cell>
          <cell r="D1464">
            <v>80</v>
          </cell>
          <cell r="E1464">
            <v>360</v>
          </cell>
          <cell r="F1464">
            <v>74</v>
          </cell>
          <cell r="G1464" t="str">
            <v>SE2500M</v>
          </cell>
          <cell r="H1464">
            <v>4</v>
          </cell>
          <cell r="I1464">
            <v>2</v>
          </cell>
          <cell r="J1464" t="str">
            <v>중부스치로폼</v>
          </cell>
          <cell r="K1464">
            <v>48</v>
          </cell>
          <cell r="L1464">
            <v>52</v>
          </cell>
          <cell r="M1464">
            <v>271</v>
          </cell>
          <cell r="N1464">
            <v>275</v>
          </cell>
          <cell r="O1464">
            <v>1750</v>
          </cell>
          <cell r="P1464">
            <v>1360</v>
          </cell>
          <cell r="Q1464">
            <v>350</v>
          </cell>
          <cell r="R1464" t="str">
            <v>노랑</v>
          </cell>
          <cell r="S1464" t="str">
            <v>노랑</v>
          </cell>
          <cell r="T1464" t="str">
            <v>JB15K</v>
          </cell>
          <cell r="U1464">
            <v>42170</v>
          </cell>
          <cell r="V1464" t="str">
            <v>금형제조부</v>
          </cell>
          <cell r="W1464" t="str">
            <v>중량관리 철저!!</v>
          </cell>
          <cell r="Y1464">
            <v>60</v>
          </cell>
          <cell r="Z1464">
            <v>23101</v>
          </cell>
          <cell r="AC1464" t="str">
            <v>김창준과장</v>
          </cell>
          <cell r="AD1464">
            <v>0.85</v>
          </cell>
          <cell r="AE1464">
            <v>80</v>
          </cell>
          <cell r="AF1464">
            <v>6</v>
          </cell>
        </row>
        <row r="1465">
          <cell r="A1465" t="str">
            <v>JB12K(55배)</v>
          </cell>
          <cell r="B1465" t="str">
            <v>BOX</v>
          </cell>
          <cell r="C1465">
            <v>3</v>
          </cell>
          <cell r="D1465">
            <v>80</v>
          </cell>
          <cell r="E1465">
            <v>0</v>
          </cell>
          <cell r="F1465">
            <v>65</v>
          </cell>
          <cell r="G1465" t="str">
            <v>SE2500M</v>
          </cell>
          <cell r="H1465">
            <v>8</v>
          </cell>
          <cell r="I1465">
            <v>2</v>
          </cell>
          <cell r="J1465" t="str">
            <v>중부스치로폼</v>
          </cell>
          <cell r="K1465">
            <v>51</v>
          </cell>
          <cell r="L1465">
            <v>55</v>
          </cell>
          <cell r="M1465">
            <v>239</v>
          </cell>
          <cell r="N1465">
            <v>243</v>
          </cell>
          <cell r="O1465">
            <v>111000</v>
          </cell>
          <cell r="P1465">
            <v>1360</v>
          </cell>
          <cell r="Q1465">
            <v>350</v>
          </cell>
          <cell r="T1465" t="str">
            <v>JB12K</v>
          </cell>
          <cell r="U1465">
            <v>42167</v>
          </cell>
          <cell r="V1465" t="str">
            <v>금형제조부</v>
          </cell>
          <cell r="X1465" t="str">
            <v>A-0801</v>
          </cell>
          <cell r="AC1465" t="str">
            <v>김창준과장</v>
          </cell>
          <cell r="AD1465">
            <v>0.85</v>
          </cell>
          <cell r="AE1465">
            <v>80</v>
          </cell>
          <cell r="AF1465">
            <v>6</v>
          </cell>
        </row>
        <row r="1466">
          <cell r="A1466" t="str">
            <v>JB12K</v>
          </cell>
          <cell r="B1466" t="str">
            <v>BOX</v>
          </cell>
          <cell r="C1466">
            <v>3</v>
          </cell>
          <cell r="D1466">
            <v>80</v>
          </cell>
          <cell r="E1466">
            <v>281</v>
          </cell>
          <cell r="F1466">
            <v>74</v>
          </cell>
          <cell r="G1466" t="str">
            <v>SE2500M</v>
          </cell>
          <cell r="H1466">
            <v>8</v>
          </cell>
          <cell r="I1466">
            <v>2</v>
          </cell>
          <cell r="J1466" t="str">
            <v>중부스치로폼</v>
          </cell>
          <cell r="K1466">
            <v>51</v>
          </cell>
          <cell r="L1466">
            <v>55</v>
          </cell>
          <cell r="M1466">
            <v>239</v>
          </cell>
          <cell r="N1466">
            <v>243</v>
          </cell>
          <cell r="O1466">
            <v>111000</v>
          </cell>
          <cell r="P1466">
            <v>1360</v>
          </cell>
          <cell r="Q1466">
            <v>350</v>
          </cell>
          <cell r="R1466" t="str">
            <v>주황</v>
          </cell>
          <cell r="S1466" t="str">
            <v>주황</v>
          </cell>
          <cell r="T1466" t="str">
            <v>JB12K</v>
          </cell>
          <cell r="U1466">
            <v>42167</v>
          </cell>
          <cell r="V1466" t="str">
            <v>금형제조부</v>
          </cell>
          <cell r="X1466" t="str">
            <v>A-0801</v>
          </cell>
          <cell r="AC1466" t="str">
            <v>김창준과장</v>
          </cell>
          <cell r="AD1466">
            <v>0.85</v>
          </cell>
          <cell r="AE1466">
            <v>80</v>
          </cell>
          <cell r="AF1466">
            <v>6</v>
          </cell>
        </row>
        <row r="1467">
          <cell r="A1467" t="str">
            <v>JB10K(55배)</v>
          </cell>
          <cell r="B1467" t="str">
            <v>BOX</v>
          </cell>
          <cell r="C1467">
            <v>3</v>
          </cell>
          <cell r="D1467">
            <v>80</v>
          </cell>
          <cell r="E1467">
            <v>250</v>
          </cell>
          <cell r="F1467">
            <v>65</v>
          </cell>
          <cell r="G1467" t="str">
            <v>SE2500M</v>
          </cell>
          <cell r="H1467" t="str">
            <v>TOP:48/BOT:12</v>
          </cell>
          <cell r="I1467">
            <v>2</v>
          </cell>
          <cell r="J1467" t="str">
            <v>중부스치로폼</v>
          </cell>
          <cell r="K1467">
            <v>38</v>
          </cell>
          <cell r="L1467">
            <v>42</v>
          </cell>
          <cell r="M1467">
            <v>218</v>
          </cell>
          <cell r="N1467">
            <v>222</v>
          </cell>
          <cell r="O1467">
            <v>1080</v>
          </cell>
          <cell r="P1467">
            <v>1500</v>
          </cell>
          <cell r="Q1467">
            <v>350</v>
          </cell>
          <cell r="R1467" t="str">
            <v>노랑</v>
          </cell>
          <cell r="S1467" t="str">
            <v>노랑</v>
          </cell>
          <cell r="T1467" t="str">
            <v>JB10K</v>
          </cell>
          <cell r="U1467">
            <v>41989</v>
          </cell>
          <cell r="V1467" t="str">
            <v>보령금형</v>
          </cell>
          <cell r="W1467" t="str">
            <v>크라킹최소화!, 중량관리 철저!, 수축주의!</v>
          </cell>
          <cell r="X1467" t="str">
            <v>T-0804</v>
          </cell>
          <cell r="Y1467">
            <v>64</v>
          </cell>
          <cell r="Z1467">
            <v>13729</v>
          </cell>
          <cell r="AC1467" t="str">
            <v>2022.02.14 모델명변경(JB10K(50배)-&gt;JB10K(55배))) 및 기준중량 변경(275-&gt;250)</v>
          </cell>
          <cell r="AD1467">
            <v>0.85</v>
          </cell>
          <cell r="AE1467">
            <v>80</v>
          </cell>
          <cell r="AF1467">
            <v>6</v>
          </cell>
        </row>
        <row r="1468">
          <cell r="A1468" t="str">
            <v>JB10K(30배)</v>
          </cell>
          <cell r="B1468" t="str">
            <v>BOX</v>
          </cell>
          <cell r="C1468">
            <v>3</v>
          </cell>
          <cell r="D1468">
            <v>80</v>
          </cell>
          <cell r="E1468">
            <v>458</v>
          </cell>
          <cell r="F1468">
            <v>30</v>
          </cell>
          <cell r="G1468" t="str">
            <v>SE2500M</v>
          </cell>
          <cell r="H1468" t="str">
            <v>TOP:48/BOT:12</v>
          </cell>
          <cell r="I1468">
            <v>2</v>
          </cell>
          <cell r="J1468" t="str">
            <v>중부스치로폼</v>
          </cell>
          <cell r="K1468">
            <v>38</v>
          </cell>
          <cell r="L1468">
            <v>42</v>
          </cell>
          <cell r="M1468">
            <v>218</v>
          </cell>
          <cell r="N1468">
            <v>222</v>
          </cell>
          <cell r="O1468">
            <v>1080</v>
          </cell>
          <cell r="P1468">
            <v>1500</v>
          </cell>
          <cell r="Q1468">
            <v>350</v>
          </cell>
          <cell r="R1468" t="str">
            <v>보라</v>
          </cell>
          <cell r="S1468" t="str">
            <v>보라</v>
          </cell>
          <cell r="T1468" t="str">
            <v>JB10K</v>
          </cell>
          <cell r="U1468">
            <v>41989</v>
          </cell>
          <cell r="V1468" t="str">
            <v>보령금형</v>
          </cell>
          <cell r="W1468" t="str">
            <v>크라킹최소화!, 중량관리 철저!, 수축주의!</v>
          </cell>
          <cell r="X1468" t="str">
            <v>T-0804</v>
          </cell>
          <cell r="Y1468">
            <v>64</v>
          </cell>
          <cell r="Z1468">
            <v>13729</v>
          </cell>
          <cell r="AC1468" t="str">
            <v>2022.02.14 모델명변경(JB10K(50배)-&gt;JB10K(55배))) 및 기준중량 변경(275-&gt;250)</v>
          </cell>
          <cell r="AD1468">
            <v>0.85</v>
          </cell>
          <cell r="AE1468">
            <v>80</v>
          </cell>
          <cell r="AF1468">
            <v>6</v>
          </cell>
        </row>
        <row r="1469">
          <cell r="A1469" t="str">
            <v>JB10K</v>
          </cell>
          <cell r="B1469" t="str">
            <v>BOX</v>
          </cell>
          <cell r="C1469">
            <v>3</v>
          </cell>
          <cell r="D1469">
            <v>75</v>
          </cell>
          <cell r="E1469">
            <v>215</v>
          </cell>
          <cell r="F1469">
            <v>74</v>
          </cell>
          <cell r="G1469" t="str">
            <v>SE2500M</v>
          </cell>
          <cell r="H1469" t="str">
            <v>TOP:48/BOT:12</v>
          </cell>
          <cell r="I1469">
            <v>2</v>
          </cell>
          <cell r="J1469" t="str">
            <v>중부스치로폼</v>
          </cell>
          <cell r="K1469">
            <v>38</v>
          </cell>
          <cell r="L1469">
            <v>42</v>
          </cell>
          <cell r="M1469">
            <v>218</v>
          </cell>
          <cell r="N1469">
            <v>222</v>
          </cell>
          <cell r="O1469">
            <v>1080</v>
          </cell>
          <cell r="P1469">
            <v>1500</v>
          </cell>
          <cell r="Q1469">
            <v>350</v>
          </cell>
          <cell r="R1469" t="str">
            <v>검정</v>
          </cell>
          <cell r="S1469" t="str">
            <v>검정</v>
          </cell>
          <cell r="T1469" t="str">
            <v>JB10K</v>
          </cell>
          <cell r="U1469">
            <v>41989</v>
          </cell>
          <cell r="V1469" t="str">
            <v>보령금형</v>
          </cell>
          <cell r="W1469" t="str">
            <v>크라킹최소화!, 중량관리 철저!, 수축주의!</v>
          </cell>
          <cell r="X1469" t="str">
            <v>T-0804</v>
          </cell>
          <cell r="Y1469">
            <v>64</v>
          </cell>
          <cell r="Z1469">
            <v>13729</v>
          </cell>
          <cell r="AC1469" t="str">
            <v>김일환사원2015.01.02수정코팅완료, 2015.01.07기준중량및체적변경(234g-&gt;200g),2016.11.15중량변경(200-&gt;215)</v>
          </cell>
          <cell r="AD1469">
            <v>0.85</v>
          </cell>
          <cell r="AE1469">
            <v>75</v>
          </cell>
          <cell r="AF1469">
            <v>1</v>
          </cell>
        </row>
        <row r="1470">
          <cell r="A1470" t="str">
            <v>JAC115 T/B</v>
          </cell>
          <cell r="B1470" t="str">
            <v>SET</v>
          </cell>
          <cell r="C1470">
            <v>4</v>
          </cell>
          <cell r="D1470">
            <v>90</v>
          </cell>
          <cell r="E1470">
            <v>188</v>
          </cell>
          <cell r="F1470">
            <v>60</v>
          </cell>
          <cell r="G1470" t="str">
            <v>B240NS</v>
          </cell>
          <cell r="H1470" t="str">
            <v>생산5조,포장10조</v>
          </cell>
          <cell r="I1470">
            <v>2</v>
          </cell>
          <cell r="J1470" t="str">
            <v>SK매직</v>
          </cell>
          <cell r="K1470">
            <v>88.7</v>
          </cell>
          <cell r="L1470">
            <v>91.3</v>
          </cell>
          <cell r="M1470">
            <v>88.7</v>
          </cell>
          <cell r="N1470">
            <v>91.3</v>
          </cell>
          <cell r="P1470">
            <v>1360</v>
          </cell>
          <cell r="Q1470">
            <v>200</v>
          </cell>
          <cell r="R1470" t="str">
            <v>노랑</v>
          </cell>
          <cell r="U1470">
            <v>45693</v>
          </cell>
          <cell r="V1470" t="str">
            <v>금형제조부</v>
          </cell>
          <cell r="W1470" t="str">
            <v>중량관리.건조 불량주의, 2번 돌려 주세요</v>
          </cell>
          <cell r="AC1470" t="str">
            <v>2025-03-26코팅입고</v>
          </cell>
          <cell r="AD1470">
            <v>0.83</v>
          </cell>
          <cell r="AE1470">
            <v>80</v>
          </cell>
        </row>
        <row r="1471">
          <cell r="A1471" t="str">
            <v>JAC115 T/B</v>
          </cell>
          <cell r="B1471" t="str">
            <v>SET</v>
          </cell>
          <cell r="C1471">
            <v>4</v>
          </cell>
          <cell r="D1471">
            <v>90</v>
          </cell>
          <cell r="E1471">
            <v>188</v>
          </cell>
          <cell r="F1471">
            <v>60</v>
          </cell>
          <cell r="G1471" t="str">
            <v>B240NS</v>
          </cell>
          <cell r="H1471" t="str">
            <v>생산5조,포장10조</v>
          </cell>
          <cell r="I1471">
            <v>2</v>
          </cell>
          <cell r="J1471" t="str">
            <v>SK매직</v>
          </cell>
          <cell r="K1471">
            <v>88.7</v>
          </cell>
          <cell r="L1471">
            <v>91.3</v>
          </cell>
          <cell r="M1471">
            <v>88.7</v>
          </cell>
          <cell r="N1471">
            <v>91.3</v>
          </cell>
          <cell r="P1471">
            <v>1360</v>
          </cell>
          <cell r="Q1471">
            <v>200</v>
          </cell>
          <cell r="R1471" t="str">
            <v>노랑</v>
          </cell>
          <cell r="U1471">
            <v>45693</v>
          </cell>
          <cell r="V1471" t="str">
            <v>금형제조부</v>
          </cell>
          <cell r="W1471" t="str">
            <v>중량관리.건조 불량주의, 2번 돌려 주세요</v>
          </cell>
          <cell r="AC1471" t="str">
            <v>2025-03-26코팅입고</v>
          </cell>
          <cell r="AD1471">
            <v>0.83</v>
          </cell>
          <cell r="AE1471">
            <v>80</v>
          </cell>
        </row>
        <row r="1472">
          <cell r="A1472" t="str">
            <v>JAC115 T/B</v>
          </cell>
          <cell r="B1472" t="str">
            <v>SET</v>
          </cell>
          <cell r="C1472">
            <v>4</v>
          </cell>
          <cell r="D1472">
            <v>90</v>
          </cell>
          <cell r="E1472">
            <v>188</v>
          </cell>
          <cell r="F1472">
            <v>60</v>
          </cell>
          <cell r="G1472" t="str">
            <v>B240NS</v>
          </cell>
          <cell r="H1472" t="str">
            <v>생산5조,포장10조</v>
          </cell>
          <cell r="I1472">
            <v>2</v>
          </cell>
          <cell r="J1472" t="str">
            <v>SK매직</v>
          </cell>
          <cell r="K1472">
            <v>88.7</v>
          </cell>
          <cell r="L1472">
            <v>91.3</v>
          </cell>
          <cell r="M1472">
            <v>88.7</v>
          </cell>
          <cell r="N1472">
            <v>91.3</v>
          </cell>
          <cell r="P1472">
            <v>1360</v>
          </cell>
          <cell r="Q1472">
            <v>200</v>
          </cell>
          <cell r="R1472" t="str">
            <v>노랑</v>
          </cell>
          <cell r="U1472">
            <v>45693</v>
          </cell>
          <cell r="V1472" t="str">
            <v>금형제조부</v>
          </cell>
          <cell r="W1472" t="str">
            <v>건조 불량주의, 2번 돌려 주세요</v>
          </cell>
          <cell r="Y1472">
            <v>60</v>
          </cell>
          <cell r="AC1472" t="str">
            <v>김영석계장</v>
          </cell>
          <cell r="AD1472">
            <v>0.85</v>
          </cell>
        </row>
        <row r="1473">
          <cell r="A1473" t="str">
            <v>JAC-103</v>
          </cell>
          <cell r="B1473" t="str">
            <v>SET</v>
          </cell>
          <cell r="C1473">
            <v>2</v>
          </cell>
          <cell r="D1473">
            <v>100</v>
          </cell>
          <cell r="E1473">
            <v>277</v>
          </cell>
          <cell r="F1473">
            <v>65</v>
          </cell>
          <cell r="G1473" t="str">
            <v>B240NS</v>
          </cell>
          <cell r="H1473" t="str">
            <v>TOP:12 / BOT:12</v>
          </cell>
          <cell r="I1473">
            <v>2</v>
          </cell>
          <cell r="J1473" t="str">
            <v>SK매직</v>
          </cell>
          <cell r="K1473">
            <v>178.3</v>
          </cell>
          <cell r="L1473">
            <v>181.7</v>
          </cell>
          <cell r="M1473">
            <v>88.6</v>
          </cell>
          <cell r="N1473">
            <v>91.4</v>
          </cell>
          <cell r="P1473">
            <v>1360</v>
          </cell>
          <cell r="Q1473">
            <v>300</v>
          </cell>
          <cell r="R1473" t="str">
            <v>보라</v>
          </cell>
          <cell r="T1473" t="str">
            <v>폭 치수 확인 필!!</v>
          </cell>
          <cell r="U1473">
            <v>44985</v>
          </cell>
          <cell r="V1473" t="str">
            <v>금형사업부</v>
          </cell>
          <cell r="W1473" t="str">
            <v>T=137,B=140</v>
          </cell>
          <cell r="Y1473">
            <v>60</v>
          </cell>
          <cell r="AC1473" t="str">
            <v>김영석계장</v>
          </cell>
          <cell r="AD1473">
            <v>0.85</v>
          </cell>
        </row>
        <row r="1474">
          <cell r="A1474" t="str">
            <v>JAC-103</v>
          </cell>
          <cell r="B1474" t="str">
            <v>SET</v>
          </cell>
          <cell r="C1474">
            <v>2</v>
          </cell>
          <cell r="D1474">
            <v>100</v>
          </cell>
          <cell r="E1474">
            <v>277</v>
          </cell>
          <cell r="F1474">
            <v>65</v>
          </cell>
          <cell r="G1474" t="str">
            <v>B240NS</v>
          </cell>
          <cell r="H1474" t="str">
            <v>TOP:12 / BOT:12</v>
          </cell>
          <cell r="I1474">
            <v>2</v>
          </cell>
          <cell r="J1474" t="str">
            <v>SK매직</v>
          </cell>
          <cell r="K1474">
            <v>178.3</v>
          </cell>
          <cell r="L1474">
            <v>181.7</v>
          </cell>
          <cell r="M1474">
            <v>88.6</v>
          </cell>
          <cell r="N1474">
            <v>91.4</v>
          </cell>
          <cell r="P1474">
            <v>1360</v>
          </cell>
          <cell r="Q1474">
            <v>300</v>
          </cell>
          <cell r="R1474" t="str">
            <v>보라</v>
          </cell>
          <cell r="T1474" t="str">
            <v>폭 치수 확인 필!!</v>
          </cell>
          <cell r="U1474">
            <v>44985</v>
          </cell>
          <cell r="V1474" t="str">
            <v>금형사업부</v>
          </cell>
          <cell r="W1474" t="str">
            <v>T=137,B=140</v>
          </cell>
          <cell r="Y1474">
            <v>60</v>
          </cell>
          <cell r="AC1474" t="str">
            <v>김영석계장</v>
          </cell>
          <cell r="AD1474">
            <v>0.85</v>
          </cell>
        </row>
        <row r="1475">
          <cell r="A1475" t="str">
            <v>JA/YB</v>
          </cell>
          <cell r="B1475" t="str">
            <v>SET</v>
          </cell>
          <cell r="C1475">
            <v>2</v>
          </cell>
          <cell r="D1475">
            <v>85</v>
          </cell>
          <cell r="E1475">
            <v>920</v>
          </cell>
          <cell r="F1475">
            <v>65</v>
          </cell>
          <cell r="G1475" t="str">
            <v>B240NS</v>
          </cell>
          <cell r="H1475">
            <v>4</v>
          </cell>
          <cell r="I1475">
            <v>2</v>
          </cell>
          <cell r="J1475" t="str">
            <v>모트렉스</v>
          </cell>
          <cell r="K1475">
            <v>108</v>
          </cell>
          <cell r="L1475">
            <v>112</v>
          </cell>
          <cell r="M1475">
            <v>148</v>
          </cell>
          <cell r="N1475">
            <v>152</v>
          </cell>
          <cell r="O1475">
            <v>4950</v>
          </cell>
          <cell r="P1475">
            <v>1360</v>
          </cell>
          <cell r="Q1475">
            <v>250</v>
          </cell>
          <cell r="R1475" t="str">
            <v>노랑</v>
          </cell>
          <cell r="S1475" t="str">
            <v>노랑</v>
          </cell>
          <cell r="U1475">
            <v>42705</v>
          </cell>
          <cell r="V1475" t="str">
            <v>금형제조부</v>
          </cell>
          <cell r="W1475" t="str">
            <v>2번 건조</v>
          </cell>
          <cell r="Y1475">
            <v>50</v>
          </cell>
          <cell r="Z1475">
            <v>46009</v>
          </cell>
          <cell r="AC1475" t="str">
            <v>최재학사원/18.01.19 금형 수정으로 끈색 빨강→흰색 변경, 190102 아산대여, 2020.06.15개조입고</v>
          </cell>
          <cell r="AD1475">
            <v>0.85</v>
          </cell>
          <cell r="AE1475">
            <v>85</v>
          </cell>
        </row>
        <row r="1476">
          <cell r="A1476" t="str">
            <v>JA/YB</v>
          </cell>
          <cell r="B1476" t="str">
            <v>SET</v>
          </cell>
          <cell r="C1476">
            <v>2</v>
          </cell>
          <cell r="D1476">
            <v>85</v>
          </cell>
          <cell r="E1476">
            <v>920</v>
          </cell>
          <cell r="F1476">
            <v>65</v>
          </cell>
          <cell r="G1476" t="str">
            <v>B240NS</v>
          </cell>
          <cell r="H1476">
            <v>4</v>
          </cell>
          <cell r="I1476">
            <v>2</v>
          </cell>
          <cell r="J1476" t="str">
            <v>모트렉스</v>
          </cell>
          <cell r="K1476">
            <v>108</v>
          </cell>
          <cell r="L1476">
            <v>112</v>
          </cell>
          <cell r="M1476">
            <v>148</v>
          </cell>
          <cell r="N1476">
            <v>152</v>
          </cell>
          <cell r="O1476">
            <v>4950</v>
          </cell>
          <cell r="P1476">
            <v>1360</v>
          </cell>
          <cell r="Q1476">
            <v>250</v>
          </cell>
          <cell r="R1476" t="str">
            <v>노랑</v>
          </cell>
          <cell r="S1476" t="str">
            <v>노랑</v>
          </cell>
          <cell r="U1476">
            <v>42705</v>
          </cell>
          <cell r="V1476" t="str">
            <v>금형제조부</v>
          </cell>
          <cell r="W1476" t="str">
            <v>2번 건조</v>
          </cell>
          <cell r="Y1476">
            <v>50</v>
          </cell>
          <cell r="Z1476">
            <v>46009</v>
          </cell>
          <cell r="AC1476" t="str">
            <v>최재학사원/18.01.19 금형 수정으로 끈색 빨강→흰색 변경, 190102 아산대여, 2020.06.15개조입고</v>
          </cell>
          <cell r="AD1476">
            <v>0.85</v>
          </cell>
          <cell r="AE1476">
            <v>85</v>
          </cell>
          <cell r="AF1476">
            <v>4</v>
          </cell>
        </row>
        <row r="1477">
          <cell r="A1477" t="str">
            <v>JA/YB</v>
          </cell>
          <cell r="B1477" t="str">
            <v>SET</v>
          </cell>
          <cell r="C1477">
            <v>2</v>
          </cell>
          <cell r="D1477">
            <v>85</v>
          </cell>
          <cell r="E1477">
            <v>920</v>
          </cell>
          <cell r="F1477">
            <v>65</v>
          </cell>
          <cell r="G1477" t="str">
            <v>SG302AN</v>
          </cell>
          <cell r="H1477">
            <v>4</v>
          </cell>
          <cell r="I1477">
            <v>2</v>
          </cell>
          <cell r="J1477" t="str">
            <v>모트렉스</v>
          </cell>
          <cell r="K1477">
            <v>108</v>
          </cell>
          <cell r="L1477">
            <v>112</v>
          </cell>
          <cell r="M1477">
            <v>148</v>
          </cell>
          <cell r="N1477">
            <v>152</v>
          </cell>
          <cell r="O1477">
            <v>4950</v>
          </cell>
          <cell r="P1477">
            <v>1360</v>
          </cell>
          <cell r="Q1477">
            <v>250</v>
          </cell>
          <cell r="R1477" t="str">
            <v>노랑</v>
          </cell>
          <cell r="S1477" t="str">
            <v>노랑</v>
          </cell>
          <cell r="U1477">
            <v>42705</v>
          </cell>
          <cell r="V1477" t="str">
            <v>금형제조부</v>
          </cell>
          <cell r="W1477" t="str">
            <v>2번 건조</v>
          </cell>
          <cell r="Y1477">
            <v>50</v>
          </cell>
          <cell r="Z1477">
            <v>46009</v>
          </cell>
          <cell r="AC1477" t="str">
            <v>최재학사원/18.01.19 금형 수정으로 끈색 빨강→흰색 변경, 190102 아산대여, 2020.06.15개조입고</v>
          </cell>
          <cell r="AD1477">
            <v>0.85</v>
          </cell>
          <cell r="AE1477">
            <v>85</v>
          </cell>
          <cell r="AF1477">
            <v>4</v>
          </cell>
        </row>
        <row r="1478">
          <cell r="A1478" t="str">
            <v>J-800</v>
          </cell>
          <cell r="B1478" t="str">
            <v>SET</v>
          </cell>
          <cell r="C1478">
            <v>4</v>
          </cell>
          <cell r="D1478">
            <v>130</v>
          </cell>
          <cell r="E1478">
            <v>126</v>
          </cell>
          <cell r="F1478">
            <v>60</v>
          </cell>
          <cell r="G1478" t="str">
            <v>B240NS</v>
          </cell>
          <cell r="H1478">
            <v>10</v>
          </cell>
          <cell r="I1478">
            <v>2</v>
          </cell>
          <cell r="J1478" t="str">
            <v>카스모아이티</v>
          </cell>
          <cell r="K1478">
            <v>80</v>
          </cell>
          <cell r="L1478">
            <v>84</v>
          </cell>
          <cell r="M1478">
            <v>80</v>
          </cell>
          <cell r="N1478">
            <v>84</v>
          </cell>
          <cell r="P1478">
            <v>1360</v>
          </cell>
          <cell r="Q1478">
            <v>200</v>
          </cell>
          <cell r="R1478" t="str">
            <v>노랑</v>
          </cell>
          <cell r="U1478">
            <v>45943</v>
          </cell>
          <cell r="V1478" t="str">
            <v>금형제조부</v>
          </cell>
          <cell r="AD1478">
            <v>0.85</v>
          </cell>
          <cell r="AE1478">
            <v>100</v>
          </cell>
        </row>
        <row r="1479">
          <cell r="A1479" t="str">
            <v>J-800</v>
          </cell>
          <cell r="B1479" t="str">
            <v>SET</v>
          </cell>
          <cell r="C1479">
            <v>4</v>
          </cell>
          <cell r="D1479">
            <v>130</v>
          </cell>
          <cell r="E1479">
            <v>126</v>
          </cell>
          <cell r="F1479">
            <v>60</v>
          </cell>
          <cell r="G1479" t="str">
            <v>B240NS</v>
          </cell>
          <cell r="H1479">
            <v>10</v>
          </cell>
          <cell r="I1479">
            <v>2</v>
          </cell>
          <cell r="J1479" t="str">
            <v>카스모아이티</v>
          </cell>
          <cell r="K1479">
            <v>80</v>
          </cell>
          <cell r="L1479">
            <v>84</v>
          </cell>
          <cell r="M1479">
            <v>80</v>
          </cell>
          <cell r="N1479">
            <v>84</v>
          </cell>
          <cell r="P1479">
            <v>1360</v>
          </cell>
          <cell r="Q1479">
            <v>200</v>
          </cell>
          <cell r="R1479" t="str">
            <v>노랑</v>
          </cell>
          <cell r="U1479">
            <v>45943</v>
          </cell>
          <cell r="V1479" t="str">
            <v>금형제조부</v>
          </cell>
          <cell r="AD1479">
            <v>0.85</v>
          </cell>
          <cell r="AE1479">
            <v>100</v>
          </cell>
        </row>
        <row r="1480">
          <cell r="A1480" t="str">
            <v>J-800</v>
          </cell>
          <cell r="B1480" t="str">
            <v>SET</v>
          </cell>
          <cell r="C1480">
            <v>4</v>
          </cell>
          <cell r="D1480">
            <v>100</v>
          </cell>
          <cell r="E1480">
            <v>126</v>
          </cell>
          <cell r="F1480">
            <v>60</v>
          </cell>
          <cell r="G1480" t="str">
            <v>B240NS</v>
          </cell>
          <cell r="H1480">
            <v>10</v>
          </cell>
          <cell r="I1480">
            <v>2</v>
          </cell>
          <cell r="J1480" t="str">
            <v>카스모아이티</v>
          </cell>
          <cell r="K1480">
            <v>80</v>
          </cell>
          <cell r="L1480">
            <v>84</v>
          </cell>
          <cell r="M1480">
            <v>80</v>
          </cell>
          <cell r="N1480">
            <v>84</v>
          </cell>
          <cell r="P1480">
            <v>1360</v>
          </cell>
          <cell r="Q1480">
            <v>200</v>
          </cell>
          <cell r="R1480" t="str">
            <v>노랑</v>
          </cell>
          <cell r="U1480">
            <v>45943</v>
          </cell>
          <cell r="V1480" t="str">
            <v>금형제조부</v>
          </cell>
          <cell r="W1480" t="str">
            <v>가스레인지-포장재</v>
          </cell>
          <cell r="AD1480">
            <v>0.85</v>
          </cell>
        </row>
        <row r="1481">
          <cell r="A1481" t="str">
            <v>ISH-46S</v>
          </cell>
          <cell r="B1481" t="str">
            <v>SET</v>
          </cell>
          <cell r="C1481">
            <v>4</v>
          </cell>
          <cell r="D1481">
            <v>100</v>
          </cell>
          <cell r="E1481">
            <v>249</v>
          </cell>
          <cell r="F1481">
            <v>58</v>
          </cell>
          <cell r="G1481" t="str">
            <v>B240NS</v>
          </cell>
          <cell r="H1481">
            <v>10</v>
          </cell>
          <cell r="I1481">
            <v>1</v>
          </cell>
          <cell r="J1481" t="str">
            <v>하츠</v>
          </cell>
          <cell r="K1481">
            <v>118</v>
          </cell>
          <cell r="L1481">
            <v>122</v>
          </cell>
          <cell r="M1481">
            <v>118</v>
          </cell>
          <cell r="N1481">
            <v>122</v>
          </cell>
          <cell r="O1481">
            <v>1194</v>
          </cell>
          <cell r="P1481">
            <v>1360</v>
          </cell>
          <cell r="Q1481">
            <v>200</v>
          </cell>
          <cell r="R1481" t="str">
            <v>흰색</v>
          </cell>
          <cell r="U1481">
            <v>43899</v>
          </cell>
          <cell r="V1481" t="str">
            <v>제일EPS</v>
          </cell>
          <cell r="W1481" t="str">
            <v>초물:260~275, 미포장</v>
          </cell>
          <cell r="X1481">
            <v>248.7</v>
          </cell>
          <cell r="Y1481">
            <v>50</v>
          </cell>
          <cell r="Z1481">
            <v>12435</v>
          </cell>
          <cell r="AC1481" t="str">
            <v>석상준과장, 2020.08.06CAVITY(2*2-&gt;1*4) 및 기준중량변경(497-&gt;248.7) 묶음단위(5-&gt;10)</v>
          </cell>
          <cell r="AD1481">
            <v>0.83</v>
          </cell>
          <cell r="AF1481">
            <v>6</v>
          </cell>
        </row>
        <row r="1482">
          <cell r="A1482" t="str">
            <v>IS-H15</v>
          </cell>
          <cell r="B1482" t="str">
            <v>SET</v>
          </cell>
          <cell r="C1482">
            <v>2</v>
          </cell>
          <cell r="D1482">
            <v>100</v>
          </cell>
          <cell r="E1482">
            <v>520</v>
          </cell>
          <cell r="F1482">
            <v>65</v>
          </cell>
          <cell r="G1482" t="str">
            <v>B240NS</v>
          </cell>
          <cell r="H1482">
            <v>1</v>
          </cell>
          <cell r="I1482">
            <v>2</v>
          </cell>
          <cell r="J1482" t="str">
            <v>IS동서/삼홍테크</v>
          </cell>
          <cell r="K1482">
            <v>136</v>
          </cell>
          <cell r="L1482">
            <v>138</v>
          </cell>
          <cell r="M1482">
            <v>77.3</v>
          </cell>
          <cell r="N1482">
            <v>79.3</v>
          </cell>
          <cell r="O1482">
            <v>10</v>
          </cell>
          <cell r="P1482">
            <v>1360</v>
          </cell>
          <cell r="Q1482">
            <v>200</v>
          </cell>
          <cell r="S1482">
            <v>0</v>
          </cell>
          <cell r="T1482" t="str">
            <v>IS-H15</v>
          </cell>
          <cell r="U1482">
            <v>42212</v>
          </cell>
          <cell r="V1482" t="str">
            <v>금형제조부</v>
          </cell>
          <cell r="Y1482">
            <v>50</v>
          </cell>
          <cell r="AC1482" t="str">
            <v>강윤호차장</v>
          </cell>
          <cell r="AD1482">
            <v>0.85</v>
          </cell>
          <cell r="AE1482">
            <v>75</v>
          </cell>
          <cell r="AF1482">
            <v>2</v>
          </cell>
        </row>
        <row r="1483">
          <cell r="A1483" t="str">
            <v>IRPTZ</v>
          </cell>
          <cell r="B1483" t="str">
            <v>SET</v>
          </cell>
          <cell r="C1483">
            <v>3</v>
          </cell>
          <cell r="D1483">
            <v>90</v>
          </cell>
          <cell r="E1483">
            <v>234</v>
          </cell>
          <cell r="F1483">
            <v>70</v>
          </cell>
          <cell r="G1483" t="str">
            <v>B240NS</v>
          </cell>
          <cell r="H1483" t="str">
            <v>T:12B:12</v>
          </cell>
          <cell r="I1483">
            <v>2</v>
          </cell>
          <cell r="J1483" t="str">
            <v>한화테크윈</v>
          </cell>
          <cell r="K1483">
            <v>224</v>
          </cell>
          <cell r="L1483">
            <v>228</v>
          </cell>
          <cell r="M1483">
            <v>166</v>
          </cell>
          <cell r="N1483">
            <v>170</v>
          </cell>
          <cell r="P1483">
            <v>1360</v>
          </cell>
          <cell r="Q1483">
            <v>350</v>
          </cell>
          <cell r="R1483" t="str">
            <v>주황</v>
          </cell>
          <cell r="S1483" t="str">
            <v>녹색</v>
          </cell>
          <cell r="U1483">
            <v>43997</v>
          </cell>
          <cell r="V1483" t="str">
            <v>금형제조부</v>
          </cell>
          <cell r="W1483" t="str">
            <v>PM02-005670A/ PM02-005671A</v>
          </cell>
          <cell r="Y1483">
            <v>60</v>
          </cell>
          <cell r="Z1483">
            <v>14027</v>
          </cell>
          <cell r="AC1483" t="str">
            <v>석상준과장, 2020.08.11 개조, 2020.10.05 기준중량변경(196-&gt;234), 2020.10.05 CAVITY추가(2*1-&gt;2*3) 및 코팅</v>
          </cell>
          <cell r="AD1483">
            <v>0.85</v>
          </cell>
          <cell r="AF1483">
            <v>6</v>
          </cell>
        </row>
        <row r="1484">
          <cell r="A1484" t="str">
            <v>IRON-TOP</v>
          </cell>
          <cell r="B1484" t="str">
            <v>SET</v>
          </cell>
          <cell r="C1484">
            <v>2</v>
          </cell>
          <cell r="D1484">
            <v>90</v>
          </cell>
          <cell r="E1484">
            <v>195</v>
          </cell>
          <cell r="F1484">
            <v>53</v>
          </cell>
          <cell r="G1484" t="str">
            <v>B240NS</v>
          </cell>
          <cell r="H1484">
            <v>12</v>
          </cell>
          <cell r="I1484">
            <v>1</v>
          </cell>
          <cell r="J1484" t="str">
            <v>SK매직</v>
          </cell>
          <cell r="K1484">
            <v>73</v>
          </cell>
          <cell r="L1484">
            <v>74</v>
          </cell>
          <cell r="O1484">
            <v>941</v>
          </cell>
          <cell r="P1484">
            <v>1300</v>
          </cell>
          <cell r="Q1484">
            <v>150</v>
          </cell>
          <cell r="R1484" t="str">
            <v>노랑</v>
          </cell>
          <cell r="S1484" t="str">
            <v>노랑</v>
          </cell>
          <cell r="T1484" t="str">
            <v>IRON-TOP</v>
          </cell>
          <cell r="U1484">
            <v>39556</v>
          </cell>
          <cell r="V1484" t="str">
            <v>삼일금형</v>
          </cell>
          <cell r="W1484" t="str">
            <v>50550-62000</v>
          </cell>
          <cell r="X1484" t="str">
            <v>계양리 J-1</v>
          </cell>
          <cell r="AC1484" t="str">
            <v>2009.07.08 57배에서 48배 변경 기준중량144g-195g</v>
          </cell>
          <cell r="AD1484">
            <v>0.85</v>
          </cell>
          <cell r="AE1484">
            <v>90</v>
          </cell>
          <cell r="AF1484">
            <v>2</v>
          </cell>
        </row>
        <row r="1485">
          <cell r="A1485" t="str">
            <v>INBOX</v>
          </cell>
          <cell r="E1485">
            <v>0</v>
          </cell>
          <cell r="J1485" t="str">
            <v>아드마텍</v>
          </cell>
          <cell r="O1485">
            <v>935</v>
          </cell>
          <cell r="T1485" t="str">
            <v>1000*420*26T</v>
          </cell>
          <cell r="U1485">
            <v>41374</v>
          </cell>
        </row>
        <row r="1486">
          <cell r="A1486" t="str">
            <v>INBOX</v>
          </cell>
          <cell r="J1486" t="str">
            <v>NCK</v>
          </cell>
        </row>
        <row r="1487">
          <cell r="A1487" t="str">
            <v>INBOX</v>
          </cell>
          <cell r="E1487">
            <v>0</v>
          </cell>
          <cell r="J1487" t="str">
            <v>아드마텍</v>
          </cell>
          <cell r="O1487">
            <v>935</v>
          </cell>
        </row>
        <row r="1488">
          <cell r="A1488" t="str">
            <v>IH-TOP</v>
          </cell>
          <cell r="B1488" t="str">
            <v>SET</v>
          </cell>
          <cell r="C1488">
            <v>2</v>
          </cell>
          <cell r="D1488">
            <v>100</v>
          </cell>
          <cell r="E1488">
            <v>280</v>
          </cell>
          <cell r="F1488">
            <v>65</v>
          </cell>
          <cell r="G1488" t="str">
            <v>B240NS</v>
          </cell>
          <cell r="H1488">
            <v>10</v>
          </cell>
          <cell r="I1488">
            <v>1</v>
          </cell>
          <cell r="J1488" t="str">
            <v>경동</v>
          </cell>
          <cell r="P1488">
            <v>1500</v>
          </cell>
          <cell r="Q1488">
            <v>150</v>
          </cell>
          <cell r="R1488" t="str">
            <v>파랑</v>
          </cell>
          <cell r="T1488" t="str">
            <v>308000</v>
          </cell>
          <cell r="U1488">
            <v>44645</v>
          </cell>
          <cell r="V1488" t="str">
            <v>이관금형</v>
          </cell>
          <cell r="W1488" t="str">
            <v>2번 건조 및 포장반에서 끈 묶을 것</v>
          </cell>
          <cell r="Y1488">
            <v>60</v>
          </cell>
          <cell r="AB1488">
            <v>308000</v>
          </cell>
          <cell r="AC1488" t="str">
            <v>김영석사원(모델변경308000→IH-TOP)</v>
          </cell>
          <cell r="AD1488">
            <v>0.85</v>
          </cell>
        </row>
        <row r="1489">
          <cell r="A1489" t="str">
            <v>IH-TOP</v>
          </cell>
          <cell r="B1489" t="str">
            <v>SET</v>
          </cell>
          <cell r="C1489">
            <v>2</v>
          </cell>
          <cell r="D1489">
            <v>100</v>
          </cell>
          <cell r="E1489">
            <v>280</v>
          </cell>
          <cell r="F1489">
            <v>65</v>
          </cell>
          <cell r="G1489" t="str">
            <v>B240NS</v>
          </cell>
          <cell r="H1489">
            <v>10</v>
          </cell>
          <cell r="I1489">
            <v>1</v>
          </cell>
          <cell r="J1489" t="str">
            <v>SK매직</v>
          </cell>
          <cell r="P1489">
            <v>1500</v>
          </cell>
          <cell r="Q1489">
            <v>150</v>
          </cell>
          <cell r="R1489" t="str">
            <v>파랑</v>
          </cell>
          <cell r="T1489" t="str">
            <v>308000</v>
          </cell>
          <cell r="U1489">
            <v>44645</v>
          </cell>
          <cell r="V1489" t="str">
            <v>이관금형</v>
          </cell>
          <cell r="W1489" t="str">
            <v>2번 건조 및 포장반에서 끈 묶을 것</v>
          </cell>
          <cell r="Y1489">
            <v>60</v>
          </cell>
          <cell r="AB1489">
            <v>308000</v>
          </cell>
          <cell r="AC1489" t="str">
            <v>김영석사원(모델변경308000→IH-TOP)</v>
          </cell>
          <cell r="AD1489">
            <v>0.85</v>
          </cell>
        </row>
        <row r="1490">
          <cell r="A1490" t="str">
            <v>IH-BOT</v>
          </cell>
          <cell r="B1490" t="str">
            <v>SET</v>
          </cell>
          <cell r="C1490">
            <v>2</v>
          </cell>
          <cell r="D1490">
            <v>100</v>
          </cell>
          <cell r="E1490">
            <v>210</v>
          </cell>
          <cell r="F1490">
            <v>65</v>
          </cell>
          <cell r="G1490" t="str">
            <v>B240NS</v>
          </cell>
          <cell r="H1490">
            <v>10</v>
          </cell>
          <cell r="I1490">
            <v>1</v>
          </cell>
          <cell r="J1490" t="str">
            <v>경동</v>
          </cell>
          <cell r="P1490">
            <v>1500</v>
          </cell>
          <cell r="Q1490">
            <v>150</v>
          </cell>
          <cell r="R1490" t="str">
            <v>보라</v>
          </cell>
          <cell r="T1490" t="str">
            <v>304000</v>
          </cell>
          <cell r="U1490">
            <v>44645</v>
          </cell>
          <cell r="V1490" t="str">
            <v>이관금형</v>
          </cell>
          <cell r="Y1490">
            <v>60</v>
          </cell>
          <cell r="AB1490" t="str">
            <v>304000</v>
          </cell>
          <cell r="AC1490" t="str">
            <v>김영석사원(모델변경304000→IH-BOT)</v>
          </cell>
          <cell r="AD1490">
            <v>0.85</v>
          </cell>
          <cell r="AF1490">
            <v>16</v>
          </cell>
        </row>
        <row r="1491">
          <cell r="A1491" t="str">
            <v>IH-BOT</v>
          </cell>
          <cell r="B1491" t="str">
            <v>SET</v>
          </cell>
          <cell r="C1491">
            <v>2</v>
          </cell>
          <cell r="D1491">
            <v>100</v>
          </cell>
          <cell r="E1491">
            <v>210</v>
          </cell>
          <cell r="F1491">
            <v>65</v>
          </cell>
          <cell r="G1491" t="str">
            <v>B240NS</v>
          </cell>
          <cell r="H1491">
            <v>10</v>
          </cell>
          <cell r="I1491">
            <v>1</v>
          </cell>
          <cell r="J1491" t="str">
            <v>SK매직</v>
          </cell>
          <cell r="P1491">
            <v>1500</v>
          </cell>
          <cell r="Q1491">
            <v>150</v>
          </cell>
          <cell r="R1491" t="str">
            <v>보라</v>
          </cell>
          <cell r="T1491" t="str">
            <v>304000</v>
          </cell>
          <cell r="U1491">
            <v>44645</v>
          </cell>
          <cell r="V1491" t="str">
            <v>이관금형</v>
          </cell>
          <cell r="Y1491">
            <v>60</v>
          </cell>
          <cell r="AB1491" t="str">
            <v>304000</v>
          </cell>
          <cell r="AC1491" t="str">
            <v>김영석사원(모델변경304000→IH-BOT)</v>
          </cell>
          <cell r="AD1491">
            <v>0.85</v>
          </cell>
        </row>
        <row r="1492">
          <cell r="A1492" t="str">
            <v>IC110</v>
          </cell>
          <cell r="B1492" t="str">
            <v>SET</v>
          </cell>
          <cell r="C1492">
            <v>1</v>
          </cell>
          <cell r="D1492">
            <v>100</v>
          </cell>
          <cell r="E1492">
            <v>1347</v>
          </cell>
          <cell r="F1492">
            <v>50</v>
          </cell>
          <cell r="G1492" t="str">
            <v>B240NS</v>
          </cell>
          <cell r="H1492" t="str">
            <v>UP:5 LOW:5</v>
          </cell>
          <cell r="I1492">
            <v>2</v>
          </cell>
          <cell r="J1492" t="str">
            <v>SK매직</v>
          </cell>
          <cell r="K1492">
            <v>148</v>
          </cell>
          <cell r="L1492">
            <v>152</v>
          </cell>
          <cell r="M1492">
            <v>148</v>
          </cell>
          <cell r="N1492">
            <v>152</v>
          </cell>
          <cell r="P1492">
            <v>1360</v>
          </cell>
          <cell r="Q1492">
            <v>250</v>
          </cell>
          <cell r="R1492" t="str">
            <v>노랑</v>
          </cell>
          <cell r="S1492" t="str">
            <v>파랑</v>
          </cell>
          <cell r="U1492">
            <v>44235</v>
          </cell>
          <cell r="V1492" t="str">
            <v>금형사업부</v>
          </cell>
          <cell r="W1492" t="str">
            <v xml:space="preserve">직가래 3개설치 </v>
          </cell>
          <cell r="Y1492">
            <v>40</v>
          </cell>
          <cell r="Z1492">
            <v>53857</v>
          </cell>
          <cell r="AC1492" t="str">
            <v>석상준과장, 2021.02.16 수정, 2021.02.17수정, 2021.03.25 수정, 2021.04.21 수정 2021.05.06기준중량변경(1359-&gt;1347), 2021.06.10코팅</v>
          </cell>
          <cell r="AD1492">
            <v>0.85</v>
          </cell>
          <cell r="AF1492">
            <v>6</v>
          </cell>
        </row>
        <row r="1493">
          <cell r="A1493" t="str">
            <v>IAC606 T/B</v>
          </cell>
          <cell r="B1493" t="str">
            <v>SET</v>
          </cell>
          <cell r="C1493">
            <v>2</v>
          </cell>
          <cell r="D1493">
            <v>100</v>
          </cell>
          <cell r="E1493">
            <v>230</v>
          </cell>
          <cell r="F1493">
            <v>60</v>
          </cell>
          <cell r="G1493" t="str">
            <v>B240NS</v>
          </cell>
          <cell r="H1493" t="str">
            <v>UP:10 LOW:10</v>
          </cell>
          <cell r="I1493">
            <v>2</v>
          </cell>
          <cell r="J1493" t="str">
            <v>SK매직</v>
          </cell>
          <cell r="P1493">
            <v>1300</v>
          </cell>
          <cell r="Q1493">
            <v>250</v>
          </cell>
          <cell r="R1493" t="str">
            <v>파랑</v>
          </cell>
          <cell r="T1493" t="str">
            <v>T110,B120</v>
          </cell>
          <cell r="U1493">
            <v>46035</v>
          </cell>
          <cell r="V1493" t="str">
            <v>금형제조부</v>
          </cell>
          <cell r="AD1493">
            <v>0.85</v>
          </cell>
          <cell r="AE1493">
            <v>70</v>
          </cell>
        </row>
        <row r="1494">
          <cell r="A1494" t="str">
            <v>IAC606 T/B</v>
          </cell>
          <cell r="B1494" t="str">
            <v>SET</v>
          </cell>
          <cell r="C1494">
            <v>2</v>
          </cell>
          <cell r="D1494">
            <v>100</v>
          </cell>
          <cell r="E1494">
            <v>230</v>
          </cell>
          <cell r="F1494">
            <v>60</v>
          </cell>
          <cell r="G1494" t="str">
            <v>B240NS</v>
          </cell>
          <cell r="H1494" t="str">
            <v>UP:10 LOW:10</v>
          </cell>
          <cell r="I1494">
            <v>2</v>
          </cell>
          <cell r="J1494" t="str">
            <v>SK매직</v>
          </cell>
          <cell r="P1494">
            <v>1300</v>
          </cell>
          <cell r="Q1494">
            <v>250</v>
          </cell>
          <cell r="R1494" t="str">
            <v>파랑</v>
          </cell>
          <cell r="T1494" t="str">
            <v>T110,B120</v>
          </cell>
          <cell r="U1494">
            <v>46035</v>
          </cell>
          <cell r="V1494" t="str">
            <v>금형제조부</v>
          </cell>
          <cell r="AD1494">
            <v>0.85</v>
          </cell>
          <cell r="AE1494">
            <v>70</v>
          </cell>
        </row>
        <row r="1495">
          <cell r="A1495" t="str">
            <v>IAC606 T/B</v>
          </cell>
          <cell r="B1495" t="str">
            <v>SET</v>
          </cell>
          <cell r="C1495">
            <v>2</v>
          </cell>
          <cell r="D1495">
            <v>100</v>
          </cell>
          <cell r="E1495">
            <v>228</v>
          </cell>
          <cell r="F1495">
            <v>60</v>
          </cell>
          <cell r="G1495" t="str">
            <v>B240NS</v>
          </cell>
          <cell r="I1495">
            <v>2</v>
          </cell>
          <cell r="J1495" t="str">
            <v>SK매직</v>
          </cell>
          <cell r="P1495">
            <v>1300</v>
          </cell>
          <cell r="Q1495">
            <v>250</v>
          </cell>
          <cell r="U1495">
            <v>46035</v>
          </cell>
          <cell r="V1495" t="str">
            <v>금형제조부</v>
          </cell>
          <cell r="W1495" t="str">
            <v>건조 불량주의, 2번 돌려 주세요</v>
          </cell>
          <cell r="Y1495">
            <v>60</v>
          </cell>
          <cell r="AC1495" t="str">
            <v>김영석계장</v>
          </cell>
          <cell r="AD1495">
            <v>0.85</v>
          </cell>
        </row>
        <row r="1496">
          <cell r="A1496" t="str">
            <v>IAC606 ICE DOOR</v>
          </cell>
          <cell r="B1496" t="str">
            <v>저발</v>
          </cell>
          <cell r="C1496">
            <v>10</v>
          </cell>
          <cell r="D1496">
            <v>160</v>
          </cell>
          <cell r="E1496">
            <v>1.6</v>
          </cell>
          <cell r="F1496">
            <v>20</v>
          </cell>
          <cell r="G1496" t="str">
            <v>B240NS</v>
          </cell>
          <cell r="H1496">
            <v>100</v>
          </cell>
          <cell r="I1496">
            <v>1</v>
          </cell>
          <cell r="J1496" t="str">
            <v>SK매직</v>
          </cell>
          <cell r="P1496">
            <v>500</v>
          </cell>
          <cell r="R1496" t="str">
            <v>비닐</v>
          </cell>
          <cell r="S1496" t="str">
            <v>박스</v>
          </cell>
          <cell r="U1496">
            <v>46035</v>
          </cell>
          <cell r="V1496" t="str">
            <v>금형제조부</v>
          </cell>
          <cell r="AD1496">
            <v>0.85</v>
          </cell>
          <cell r="AE1496">
            <v>70</v>
          </cell>
        </row>
        <row r="1497">
          <cell r="A1497" t="str">
            <v>IAC606 ICE DOOR</v>
          </cell>
          <cell r="B1497" t="str">
            <v>저발</v>
          </cell>
          <cell r="C1497">
            <v>10</v>
          </cell>
          <cell r="D1497">
            <v>160</v>
          </cell>
          <cell r="E1497">
            <v>1.6</v>
          </cell>
          <cell r="F1497">
            <v>20</v>
          </cell>
          <cell r="G1497" t="str">
            <v>B240NS</v>
          </cell>
          <cell r="H1497">
            <v>100</v>
          </cell>
          <cell r="I1497">
            <v>1</v>
          </cell>
          <cell r="J1497" t="str">
            <v>SK매직</v>
          </cell>
          <cell r="P1497">
            <v>500</v>
          </cell>
          <cell r="R1497" t="str">
            <v>비닐</v>
          </cell>
          <cell r="S1497" t="str">
            <v>박스</v>
          </cell>
          <cell r="U1497">
            <v>46035</v>
          </cell>
          <cell r="V1497" t="str">
            <v>금형제조부</v>
          </cell>
          <cell r="AD1497">
            <v>0.85</v>
          </cell>
          <cell r="AE1497">
            <v>70</v>
          </cell>
        </row>
        <row r="1498">
          <cell r="A1498" t="str">
            <v>IAC606 ICE DOOR</v>
          </cell>
          <cell r="B1498" t="str">
            <v>SET</v>
          </cell>
          <cell r="C1498">
            <v>10</v>
          </cell>
          <cell r="D1498">
            <v>160</v>
          </cell>
          <cell r="E1498">
            <v>1.6</v>
          </cell>
          <cell r="F1498">
            <v>20</v>
          </cell>
          <cell r="G1498" t="str">
            <v>B240NS</v>
          </cell>
          <cell r="I1498">
            <v>1</v>
          </cell>
          <cell r="J1498" t="str">
            <v>SK매직</v>
          </cell>
          <cell r="P1498">
            <v>500</v>
          </cell>
          <cell r="U1498">
            <v>46035</v>
          </cell>
          <cell r="V1498" t="str">
            <v>금형제조부</v>
          </cell>
          <cell r="W1498" t="str">
            <v>T=137,B=140</v>
          </cell>
          <cell r="Y1498">
            <v>60</v>
          </cell>
          <cell r="AC1498" t="str">
            <v>김영석계장</v>
          </cell>
          <cell r="AD1498">
            <v>0.85</v>
          </cell>
        </row>
        <row r="1499">
          <cell r="A1499" t="str">
            <v>IAC425 T/B</v>
          </cell>
          <cell r="B1499" t="str">
            <v>SET</v>
          </cell>
          <cell r="C1499">
            <v>2</v>
          </cell>
          <cell r="D1499">
            <v>100</v>
          </cell>
          <cell r="E1499">
            <v>278</v>
          </cell>
          <cell r="F1499">
            <v>60</v>
          </cell>
          <cell r="G1499" t="str">
            <v>B240NS</v>
          </cell>
          <cell r="H1499" t="str">
            <v>T:8 B:8</v>
          </cell>
          <cell r="I1499">
            <v>2</v>
          </cell>
          <cell r="J1499" t="str">
            <v>SK매직</v>
          </cell>
          <cell r="K1499">
            <v>76.5</v>
          </cell>
          <cell r="L1499">
            <v>79.5</v>
          </cell>
          <cell r="M1499">
            <v>86.5</v>
          </cell>
          <cell r="N1499">
            <v>89.5</v>
          </cell>
          <cell r="P1499">
            <v>1360</v>
          </cell>
          <cell r="Q1499">
            <v>250</v>
          </cell>
          <cell r="R1499" t="str">
            <v>녹색</v>
          </cell>
          <cell r="U1499">
            <v>45645</v>
          </cell>
          <cell r="V1499" t="str">
            <v>금형제조부</v>
          </cell>
          <cell r="W1499" t="str">
            <v>중량관리.건조 불량주의, 2번 돌려 주세요</v>
          </cell>
          <cell r="AD1499">
            <v>0.83</v>
          </cell>
          <cell r="AE1499">
            <v>80</v>
          </cell>
        </row>
        <row r="1500">
          <cell r="A1500" t="str">
            <v>IAC425 T/B</v>
          </cell>
          <cell r="B1500" t="str">
            <v>SET</v>
          </cell>
          <cell r="C1500">
            <v>2</v>
          </cell>
          <cell r="D1500">
            <v>100</v>
          </cell>
          <cell r="E1500">
            <v>278</v>
          </cell>
          <cell r="F1500">
            <v>60</v>
          </cell>
          <cell r="G1500" t="str">
            <v>B240NS</v>
          </cell>
          <cell r="H1500" t="str">
            <v>T:8 B:8</v>
          </cell>
          <cell r="I1500">
            <v>2</v>
          </cell>
          <cell r="J1500" t="str">
            <v>SK매직</v>
          </cell>
          <cell r="K1500">
            <v>76.5</v>
          </cell>
          <cell r="L1500">
            <v>79.5</v>
          </cell>
          <cell r="M1500">
            <v>86.5</v>
          </cell>
          <cell r="N1500">
            <v>89.5</v>
          </cell>
          <cell r="P1500">
            <v>1360</v>
          </cell>
          <cell r="Q1500">
            <v>250</v>
          </cell>
          <cell r="R1500" t="str">
            <v>녹색</v>
          </cell>
          <cell r="U1500">
            <v>45645</v>
          </cell>
          <cell r="V1500" t="str">
            <v>금형제조부</v>
          </cell>
          <cell r="W1500" t="str">
            <v>T=137,B=140</v>
          </cell>
          <cell r="Y1500">
            <v>60</v>
          </cell>
          <cell r="AC1500" t="str">
            <v>김영석계장</v>
          </cell>
          <cell r="AD1500">
            <v>0.85</v>
          </cell>
        </row>
        <row r="1501">
          <cell r="A1501" t="str">
            <v>I-6(64배)</v>
          </cell>
          <cell r="B1501" t="str">
            <v>BOX</v>
          </cell>
          <cell r="C1501">
            <v>3</v>
          </cell>
          <cell r="D1501">
            <v>95</v>
          </cell>
          <cell r="E1501">
            <v>330</v>
          </cell>
          <cell r="F1501">
            <v>74</v>
          </cell>
          <cell r="G1501" t="str">
            <v>B240NS</v>
          </cell>
          <cell r="H1501">
            <v>6</v>
          </cell>
          <cell r="I1501">
            <v>2</v>
          </cell>
          <cell r="J1501" t="str">
            <v>PN</v>
          </cell>
          <cell r="K1501">
            <v>49</v>
          </cell>
          <cell r="L1501">
            <v>53</v>
          </cell>
          <cell r="M1501">
            <v>324</v>
          </cell>
          <cell r="N1501">
            <v>328</v>
          </cell>
          <cell r="O1501">
            <v>1550</v>
          </cell>
          <cell r="P1501">
            <v>1360</v>
          </cell>
          <cell r="Q1501">
            <v>400</v>
          </cell>
          <cell r="R1501" t="str">
            <v>파랑</v>
          </cell>
          <cell r="S1501" t="str">
            <v>파랑</v>
          </cell>
          <cell r="T1501" t="str">
            <v>PN2</v>
          </cell>
          <cell r="Y1501">
            <v>64</v>
          </cell>
          <cell r="Z1501">
            <v>21242</v>
          </cell>
          <cell r="AC1501" t="str">
            <v>I-6동일금형, 다른각인부착2014.12.01기준중량,기준배율변경(332-330,63-64)2015.0106인중량변경(332g-330g), 2020.08.06. 묶음단위 변경(3-&gt;6)</v>
          </cell>
          <cell r="AD1501">
            <v>0.85</v>
          </cell>
          <cell r="AE1501">
            <v>90</v>
          </cell>
          <cell r="AF1501">
            <v>8</v>
          </cell>
        </row>
        <row r="1502">
          <cell r="A1502" t="str">
            <v>I-6(50배)</v>
          </cell>
          <cell r="B1502" t="str">
            <v>BOX</v>
          </cell>
          <cell r="C1502">
            <v>3</v>
          </cell>
          <cell r="D1502">
            <v>95</v>
          </cell>
          <cell r="E1502">
            <v>425</v>
          </cell>
          <cell r="F1502">
            <v>65</v>
          </cell>
          <cell r="G1502" t="str">
            <v>B240NS</v>
          </cell>
          <cell r="H1502">
            <v>3</v>
          </cell>
          <cell r="I1502">
            <v>2</v>
          </cell>
          <cell r="J1502" t="str">
            <v>PN</v>
          </cell>
          <cell r="K1502">
            <v>49</v>
          </cell>
          <cell r="L1502">
            <v>53</v>
          </cell>
          <cell r="M1502">
            <v>324</v>
          </cell>
          <cell r="N1502">
            <v>328</v>
          </cell>
          <cell r="O1502">
            <v>1550</v>
          </cell>
          <cell r="P1502">
            <v>1360</v>
          </cell>
          <cell r="Q1502">
            <v>400</v>
          </cell>
          <cell r="R1502" t="str">
            <v>파랑</v>
          </cell>
          <cell r="S1502" t="str">
            <v>파랑</v>
          </cell>
          <cell r="T1502" t="str">
            <v>PN2</v>
          </cell>
          <cell r="Y1502">
            <v>64</v>
          </cell>
          <cell r="Z1502">
            <v>21242</v>
          </cell>
          <cell r="AC1502" t="str">
            <v>2019.10.10 425g</v>
          </cell>
          <cell r="AD1502">
            <v>0.85</v>
          </cell>
          <cell r="AE1502">
            <v>90</v>
          </cell>
          <cell r="AF1502">
            <v>3</v>
          </cell>
        </row>
        <row r="1503">
          <cell r="A1503" t="str">
            <v>I-6(28QT-XTP스티커)</v>
          </cell>
          <cell r="B1503" t="str">
            <v>BOX</v>
          </cell>
          <cell r="C1503">
            <v>3</v>
          </cell>
          <cell r="D1503">
            <v>95</v>
          </cell>
          <cell r="E1503">
            <v>330</v>
          </cell>
          <cell r="F1503">
            <v>74</v>
          </cell>
          <cell r="G1503" t="str">
            <v>B240NS</v>
          </cell>
          <cell r="H1503" t="str">
            <v>뚜껑:6 몸통:6</v>
          </cell>
          <cell r="I1503">
            <v>2</v>
          </cell>
          <cell r="J1503" t="str">
            <v>PN</v>
          </cell>
          <cell r="K1503">
            <v>49</v>
          </cell>
          <cell r="L1503">
            <v>53</v>
          </cell>
          <cell r="M1503">
            <v>324</v>
          </cell>
          <cell r="N1503">
            <v>328</v>
          </cell>
          <cell r="O1503">
            <v>1550</v>
          </cell>
          <cell r="P1503">
            <v>1360</v>
          </cell>
          <cell r="Q1503">
            <v>400</v>
          </cell>
          <cell r="R1503" t="str">
            <v>파랑</v>
          </cell>
          <cell r="S1503" t="str">
            <v>파랑</v>
          </cell>
          <cell r="T1503" t="str">
            <v>PN2</v>
          </cell>
          <cell r="W1503" t="str">
            <v>포장반 스티커 부착후 6조 포장</v>
          </cell>
          <cell r="Y1503">
            <v>64</v>
          </cell>
          <cell r="Z1503">
            <v>21242</v>
          </cell>
          <cell r="AC1503" t="str">
            <v>I-6동일금형, 다른각인부착2014.12.01기준중량,기준배율변경(332-330,63-64)2015.0106인중량변경(332g-330g), 2020.08.06. 묶음단위 변경(3-&gt;6)</v>
          </cell>
          <cell r="AD1503">
            <v>0.85</v>
          </cell>
          <cell r="AE1503">
            <v>90</v>
          </cell>
          <cell r="AF1503">
            <v>2</v>
          </cell>
        </row>
        <row r="1504">
          <cell r="A1504" t="str">
            <v>I-6</v>
          </cell>
          <cell r="B1504" t="str">
            <v>BOX</v>
          </cell>
          <cell r="C1504">
            <v>3</v>
          </cell>
          <cell r="D1504">
            <v>100</v>
          </cell>
          <cell r="E1504">
            <v>425</v>
          </cell>
          <cell r="F1504">
            <v>65</v>
          </cell>
          <cell r="G1504" t="str">
            <v>B240NS</v>
          </cell>
          <cell r="H1504">
            <v>3</v>
          </cell>
          <cell r="I1504">
            <v>2</v>
          </cell>
          <cell r="J1504" t="str">
            <v>PN</v>
          </cell>
          <cell r="K1504">
            <v>50</v>
          </cell>
          <cell r="L1504">
            <v>52</v>
          </cell>
          <cell r="M1504">
            <v>324</v>
          </cell>
          <cell r="N1504">
            <v>328</v>
          </cell>
          <cell r="O1504">
            <v>2700</v>
          </cell>
          <cell r="P1504">
            <v>1360</v>
          </cell>
          <cell r="Q1504">
            <v>400</v>
          </cell>
          <cell r="R1504" t="str">
            <v>비닐</v>
          </cell>
          <cell r="S1504" t="str">
            <v>비닐</v>
          </cell>
          <cell r="T1504" t="str">
            <v>PN2</v>
          </cell>
          <cell r="U1504">
            <v>40052</v>
          </cell>
          <cell r="V1504" t="str">
            <v>삼일금형</v>
          </cell>
          <cell r="X1504" t="str">
            <v>A-0804</v>
          </cell>
          <cell r="Y1504">
            <v>50</v>
          </cell>
          <cell r="Z1504">
            <v>21250</v>
          </cell>
          <cell r="AC1504" t="str">
            <v>최재학계장20191014 기준중량변경(450--&gt;425g)</v>
          </cell>
          <cell r="AD1504">
            <v>0.85</v>
          </cell>
          <cell r="AE1504">
            <v>110</v>
          </cell>
          <cell r="AF1504">
            <v>1</v>
          </cell>
        </row>
        <row r="1505">
          <cell r="A1505" t="str">
            <v>I-3(64배)</v>
          </cell>
          <cell r="B1505" t="str">
            <v>BOX</v>
          </cell>
          <cell r="C1505">
            <v>1</v>
          </cell>
          <cell r="D1505">
            <v>100</v>
          </cell>
          <cell r="E1505">
            <v>870</v>
          </cell>
          <cell r="F1505">
            <v>74</v>
          </cell>
          <cell r="G1505" t="str">
            <v>B240NS</v>
          </cell>
          <cell r="H1505">
            <v>2</v>
          </cell>
          <cell r="I1505">
            <v>2</v>
          </cell>
          <cell r="J1505" t="str">
            <v>PN</v>
          </cell>
          <cell r="K1505">
            <v>110</v>
          </cell>
          <cell r="L1505">
            <v>114</v>
          </cell>
          <cell r="M1505">
            <v>368</v>
          </cell>
          <cell r="N1505">
            <v>372</v>
          </cell>
          <cell r="O1505">
            <v>3900</v>
          </cell>
          <cell r="P1505">
            <v>1360</v>
          </cell>
          <cell r="Q1505">
            <v>450</v>
          </cell>
          <cell r="R1505" t="str">
            <v>녹색</v>
          </cell>
          <cell r="S1505" t="str">
            <v>녹색</v>
          </cell>
          <cell r="T1505" t="str">
            <v>PN1</v>
          </cell>
          <cell r="Y1505">
            <v>64</v>
          </cell>
          <cell r="Z1505">
            <v>55831</v>
          </cell>
          <cell r="AC1505" t="str">
            <v>I-3동일금형, 다른각인부착2014.12.01기준중량,기준배율변경(886-870,63-64)2015.0106인중량변경(886g-870g)</v>
          </cell>
          <cell r="AD1505">
            <v>0.85</v>
          </cell>
          <cell r="AE1505">
            <v>100</v>
          </cell>
          <cell r="AF1505">
            <v>4</v>
          </cell>
        </row>
        <row r="1506">
          <cell r="A1506" t="str">
            <v>I-3(55배)</v>
          </cell>
          <cell r="B1506" t="str">
            <v>BOX</v>
          </cell>
          <cell r="C1506">
            <v>1</v>
          </cell>
          <cell r="D1506">
            <v>100</v>
          </cell>
          <cell r="E1506">
            <v>1015</v>
          </cell>
          <cell r="F1506">
            <v>70</v>
          </cell>
          <cell r="G1506" t="str">
            <v>B240NS</v>
          </cell>
          <cell r="H1506">
            <v>2</v>
          </cell>
          <cell r="I1506">
            <v>2</v>
          </cell>
          <cell r="J1506" t="str">
            <v>PN</v>
          </cell>
          <cell r="K1506">
            <v>110</v>
          </cell>
          <cell r="L1506">
            <v>114</v>
          </cell>
          <cell r="M1506">
            <v>368</v>
          </cell>
          <cell r="N1506">
            <v>372</v>
          </cell>
          <cell r="O1506">
            <v>6500</v>
          </cell>
          <cell r="P1506">
            <v>1360</v>
          </cell>
          <cell r="Q1506">
            <v>450</v>
          </cell>
          <cell r="R1506" t="str">
            <v>노랑</v>
          </cell>
          <cell r="T1506" t="str">
            <v>PN1</v>
          </cell>
          <cell r="Y1506">
            <v>55</v>
          </cell>
          <cell r="Z1506">
            <v>55831</v>
          </cell>
          <cell r="AD1506">
            <v>0.85</v>
          </cell>
          <cell r="AE1506">
            <v>100</v>
          </cell>
          <cell r="AF1506">
            <v>2</v>
          </cell>
        </row>
        <row r="1507">
          <cell r="A1507" t="str">
            <v>I-3(50배)</v>
          </cell>
          <cell r="B1507" t="str">
            <v>BOX</v>
          </cell>
          <cell r="C1507">
            <v>1</v>
          </cell>
          <cell r="D1507">
            <v>110</v>
          </cell>
          <cell r="E1507">
            <v>1116</v>
          </cell>
          <cell r="F1507">
            <v>65</v>
          </cell>
          <cell r="G1507" t="str">
            <v>B240NS</v>
          </cell>
          <cell r="H1507">
            <v>2</v>
          </cell>
          <cell r="I1507">
            <v>2</v>
          </cell>
          <cell r="J1507" t="str">
            <v>PN</v>
          </cell>
          <cell r="K1507">
            <v>110</v>
          </cell>
          <cell r="L1507">
            <v>114</v>
          </cell>
          <cell r="M1507">
            <v>368</v>
          </cell>
          <cell r="N1507">
            <v>372</v>
          </cell>
          <cell r="O1507">
            <v>10</v>
          </cell>
          <cell r="P1507">
            <v>1360</v>
          </cell>
          <cell r="Q1507">
            <v>450</v>
          </cell>
          <cell r="R1507" t="str">
            <v>주황</v>
          </cell>
          <cell r="S1507">
            <v>0</v>
          </cell>
          <cell r="T1507" t="str">
            <v>PN1</v>
          </cell>
          <cell r="Y1507">
            <v>50</v>
          </cell>
          <cell r="Z1507">
            <v>55831</v>
          </cell>
          <cell r="AD1507">
            <v>0.85</v>
          </cell>
          <cell r="AE1507">
            <v>110</v>
          </cell>
          <cell r="AF1507">
            <v>2</v>
          </cell>
        </row>
        <row r="1508">
          <cell r="A1508" t="str">
            <v>I-3(45배)</v>
          </cell>
          <cell r="B1508" t="str">
            <v>BOX</v>
          </cell>
          <cell r="C1508">
            <v>1</v>
          </cell>
          <cell r="D1508">
            <v>110</v>
          </cell>
          <cell r="E1508">
            <v>1240</v>
          </cell>
          <cell r="F1508">
            <v>58</v>
          </cell>
          <cell r="G1508" t="str">
            <v>B240NS</v>
          </cell>
          <cell r="H1508">
            <v>2</v>
          </cell>
          <cell r="I1508">
            <v>2</v>
          </cell>
          <cell r="J1508" t="str">
            <v>PN</v>
          </cell>
          <cell r="K1508">
            <v>110</v>
          </cell>
          <cell r="L1508">
            <v>114</v>
          </cell>
          <cell r="M1508">
            <v>368</v>
          </cell>
          <cell r="N1508">
            <v>372</v>
          </cell>
          <cell r="O1508">
            <v>12000</v>
          </cell>
          <cell r="P1508">
            <v>1360</v>
          </cell>
          <cell r="Q1508">
            <v>450</v>
          </cell>
          <cell r="R1508" t="str">
            <v>검정</v>
          </cell>
          <cell r="S1508" t="str">
            <v>검정</v>
          </cell>
          <cell r="T1508" t="str">
            <v>PN1</v>
          </cell>
          <cell r="W1508" t="str">
            <v>초물중량 1430g 내외</v>
          </cell>
          <cell r="Y1508">
            <v>45</v>
          </cell>
          <cell r="Z1508">
            <v>55831</v>
          </cell>
          <cell r="AD1508">
            <v>0.9</v>
          </cell>
          <cell r="AE1508">
            <v>110</v>
          </cell>
          <cell r="AF1508">
            <v>2</v>
          </cell>
        </row>
        <row r="1509">
          <cell r="A1509" t="str">
            <v>I-3(30배)</v>
          </cell>
          <cell r="B1509" t="str">
            <v>BOX</v>
          </cell>
          <cell r="C1509">
            <v>1</v>
          </cell>
          <cell r="D1509">
            <v>110</v>
          </cell>
          <cell r="E1509">
            <v>1870</v>
          </cell>
          <cell r="F1509">
            <v>36</v>
          </cell>
          <cell r="G1509" t="str">
            <v>B240NS</v>
          </cell>
          <cell r="H1509">
            <v>2</v>
          </cell>
          <cell r="I1509">
            <v>2</v>
          </cell>
          <cell r="J1509" t="str">
            <v>PN</v>
          </cell>
          <cell r="K1509">
            <v>110</v>
          </cell>
          <cell r="L1509">
            <v>114</v>
          </cell>
          <cell r="M1509">
            <v>368</v>
          </cell>
          <cell r="N1509">
            <v>372</v>
          </cell>
          <cell r="O1509">
            <v>12000</v>
          </cell>
          <cell r="P1509">
            <v>1360</v>
          </cell>
          <cell r="Q1509">
            <v>450</v>
          </cell>
          <cell r="R1509" t="str">
            <v>보라</v>
          </cell>
          <cell r="S1509" t="str">
            <v>보라</v>
          </cell>
          <cell r="T1509" t="str">
            <v>PN1</v>
          </cell>
          <cell r="Y1509">
            <v>30</v>
          </cell>
          <cell r="Z1509">
            <v>55831</v>
          </cell>
          <cell r="AD1509">
            <v>0.9</v>
          </cell>
          <cell r="AE1509">
            <v>110</v>
          </cell>
          <cell r="AF1509">
            <v>2</v>
          </cell>
        </row>
        <row r="1510">
          <cell r="A1510" t="str">
            <v>I-3</v>
          </cell>
          <cell r="B1510" t="str">
            <v>BOX</v>
          </cell>
          <cell r="C1510">
            <v>1</v>
          </cell>
          <cell r="D1510">
            <v>90</v>
          </cell>
          <cell r="E1510">
            <v>1050</v>
          </cell>
          <cell r="F1510">
            <v>70</v>
          </cell>
          <cell r="G1510" t="str">
            <v>B240NS</v>
          </cell>
          <cell r="H1510">
            <v>2</v>
          </cell>
          <cell r="I1510">
            <v>2</v>
          </cell>
          <cell r="J1510" t="str">
            <v>PN</v>
          </cell>
          <cell r="K1510">
            <v>111</v>
          </cell>
          <cell r="L1510">
            <v>113</v>
          </cell>
          <cell r="M1510">
            <v>386</v>
          </cell>
          <cell r="N1510">
            <v>390</v>
          </cell>
          <cell r="O1510">
            <v>6500</v>
          </cell>
          <cell r="P1510">
            <v>1360</v>
          </cell>
          <cell r="Q1510">
            <v>450</v>
          </cell>
          <cell r="R1510" t="str">
            <v>비닐</v>
          </cell>
          <cell r="S1510" t="str">
            <v>비닐</v>
          </cell>
          <cell r="T1510" t="str">
            <v>PN1</v>
          </cell>
          <cell r="U1510">
            <v>40052</v>
          </cell>
          <cell r="V1510" t="str">
            <v>삼일금형</v>
          </cell>
          <cell r="X1510" t="str">
            <v>A-0506</v>
          </cell>
          <cell r="AC1510" t="str">
            <v>2013.04.18배율변경(57-&gt;62), 2020.10.20수리, 2021.12.20 용접수리</v>
          </cell>
          <cell r="AD1510">
            <v>0.85</v>
          </cell>
          <cell r="AE1510">
            <v>100</v>
          </cell>
          <cell r="AF1510">
            <v>2</v>
          </cell>
        </row>
        <row r="1511">
          <cell r="A1511" t="str">
            <v>I-131</v>
          </cell>
          <cell r="B1511" t="str">
            <v>저발</v>
          </cell>
          <cell r="C1511">
            <v>3</v>
          </cell>
          <cell r="D1511">
            <v>100</v>
          </cell>
          <cell r="E1511">
            <v>182</v>
          </cell>
          <cell r="F1511">
            <v>50</v>
          </cell>
          <cell r="G1511" t="str">
            <v>B240NS</v>
          </cell>
          <cell r="H1511" t="str">
            <v>T:30B:30</v>
          </cell>
          <cell r="I1511">
            <v>2</v>
          </cell>
          <cell r="J1511" t="str">
            <v>삼영유니텍</v>
          </cell>
          <cell r="K1511">
            <v>108</v>
          </cell>
          <cell r="L1511">
            <v>112</v>
          </cell>
          <cell r="M1511">
            <v>113</v>
          </cell>
          <cell r="N1511">
            <v>117</v>
          </cell>
          <cell r="P1511">
            <v>500</v>
          </cell>
          <cell r="Q1511">
            <v>0</v>
          </cell>
          <cell r="R1511" t="str">
            <v>노랑</v>
          </cell>
          <cell r="S1511" t="str">
            <v>초록</v>
          </cell>
          <cell r="U1511" t="str">
            <v>2022.09.14</v>
          </cell>
          <cell r="V1511" t="str">
            <v>금형사업부</v>
          </cell>
          <cell r="Y1511">
            <v>40</v>
          </cell>
          <cell r="AC1511" t="str">
            <v>2024-09-11금형수정,파랑→노랑,녹색→초록변경2024-10-31</v>
          </cell>
          <cell r="AD1511">
            <v>0.85</v>
          </cell>
        </row>
        <row r="1512">
          <cell r="A1512" t="str">
            <v>I-131</v>
          </cell>
          <cell r="B1512" t="str">
            <v>SET</v>
          </cell>
          <cell r="C1512">
            <v>3</v>
          </cell>
          <cell r="D1512">
            <v>100</v>
          </cell>
          <cell r="E1512">
            <v>182</v>
          </cell>
          <cell r="F1512">
            <v>50</v>
          </cell>
          <cell r="G1512" t="str">
            <v>B240NS</v>
          </cell>
          <cell r="H1512" t="str">
            <v>T:30B:30</v>
          </cell>
          <cell r="I1512">
            <v>2</v>
          </cell>
          <cell r="J1512" t="str">
            <v>삼영유니텍</v>
          </cell>
          <cell r="K1512">
            <v>108</v>
          </cell>
          <cell r="L1512">
            <v>112</v>
          </cell>
          <cell r="M1512">
            <v>113</v>
          </cell>
          <cell r="N1512">
            <v>117</v>
          </cell>
          <cell r="P1512">
            <v>500</v>
          </cell>
          <cell r="Q1512">
            <v>0</v>
          </cell>
          <cell r="R1512" t="str">
            <v>파란</v>
          </cell>
          <cell r="S1512" t="str">
            <v>녹색</v>
          </cell>
          <cell r="U1512" t="str">
            <v>2022.09.14</v>
          </cell>
          <cell r="V1512" t="str">
            <v>금형사업부</v>
          </cell>
          <cell r="Y1512">
            <v>40</v>
          </cell>
          <cell r="AC1512" t="str">
            <v>김영석사원</v>
          </cell>
          <cell r="AD1512">
            <v>0.85</v>
          </cell>
        </row>
        <row r="1513">
          <cell r="A1513" t="str">
            <v>I-131</v>
          </cell>
          <cell r="B1513" t="str">
            <v>SET</v>
          </cell>
          <cell r="C1513">
            <v>3</v>
          </cell>
          <cell r="D1513">
            <v>100</v>
          </cell>
          <cell r="E1513">
            <v>182</v>
          </cell>
          <cell r="F1513">
            <v>50</v>
          </cell>
          <cell r="G1513" t="str">
            <v>B240NS</v>
          </cell>
          <cell r="H1513" t="str">
            <v>T:30B:30</v>
          </cell>
          <cell r="I1513">
            <v>2</v>
          </cell>
          <cell r="J1513" t="str">
            <v>삼영유니텍</v>
          </cell>
          <cell r="K1513">
            <v>108</v>
          </cell>
          <cell r="L1513">
            <v>112</v>
          </cell>
          <cell r="M1513">
            <v>113</v>
          </cell>
          <cell r="N1513">
            <v>117</v>
          </cell>
          <cell r="P1513">
            <v>500</v>
          </cell>
          <cell r="R1513" t="str">
            <v>파란</v>
          </cell>
          <cell r="S1513" t="str">
            <v>녹색</v>
          </cell>
          <cell r="U1513" t="str">
            <v>2022.09.14</v>
          </cell>
          <cell r="V1513" t="str">
            <v>금형사업부</v>
          </cell>
          <cell r="Y1513">
            <v>40</v>
          </cell>
          <cell r="AC1513" t="str">
            <v>김영석사원</v>
          </cell>
          <cell r="AD1513">
            <v>0.85</v>
          </cell>
        </row>
        <row r="1514">
          <cell r="A1514" t="str">
            <v>I-131</v>
          </cell>
          <cell r="B1514" t="str">
            <v>SET</v>
          </cell>
          <cell r="C1514">
            <v>3</v>
          </cell>
          <cell r="D1514">
            <v>100</v>
          </cell>
          <cell r="E1514">
            <v>182</v>
          </cell>
          <cell r="F1514">
            <v>36</v>
          </cell>
          <cell r="G1514" t="str">
            <v>B240NS</v>
          </cell>
          <cell r="H1514">
            <v>1</v>
          </cell>
          <cell r="I1514">
            <v>2</v>
          </cell>
          <cell r="J1514" t="str">
            <v>삼영유니텍</v>
          </cell>
          <cell r="P1514">
            <v>500</v>
          </cell>
          <cell r="U1514" t="str">
            <v>2022.09.14</v>
          </cell>
          <cell r="V1514" t="str">
            <v>금형사업부</v>
          </cell>
          <cell r="Y1514">
            <v>30</v>
          </cell>
        </row>
        <row r="1515">
          <cell r="A1515" t="str">
            <v>HW-BOX</v>
          </cell>
          <cell r="B1515" t="str">
            <v>SET</v>
          </cell>
          <cell r="E1515">
            <v>424</v>
          </cell>
          <cell r="H1515" t="str">
            <v>U:10/L:10</v>
          </cell>
          <cell r="J1515" t="str">
            <v>알토엔대우</v>
          </cell>
          <cell r="R1515" t="str">
            <v>녹색</v>
          </cell>
          <cell r="S1515" t="str">
            <v>BOX</v>
          </cell>
          <cell r="U1515">
            <v>42742</v>
          </cell>
          <cell r="V1515" t="str">
            <v>금형제조부</v>
          </cell>
          <cell r="W1515" t="str">
            <v>UP/LOW 따로포장</v>
          </cell>
          <cell r="Y1515">
            <v>50</v>
          </cell>
          <cell r="Z1515">
            <v>21208</v>
          </cell>
          <cell r="AC1515" t="str">
            <v>금형없음, HW 금형 박스 CODE</v>
          </cell>
          <cell r="AD1515">
            <v>0.85</v>
          </cell>
          <cell r="AE1515">
            <v>115</v>
          </cell>
          <cell r="AF1515">
            <v>12</v>
          </cell>
        </row>
        <row r="1516">
          <cell r="A1516" t="str">
            <v>HW</v>
          </cell>
          <cell r="B1516" t="str">
            <v>SET</v>
          </cell>
          <cell r="C1516">
            <v>2</v>
          </cell>
          <cell r="D1516">
            <v>85</v>
          </cell>
          <cell r="E1516">
            <v>424</v>
          </cell>
          <cell r="F1516">
            <v>65</v>
          </cell>
          <cell r="G1516" t="str">
            <v>B240NS</v>
          </cell>
          <cell r="H1516" t="str">
            <v>U:10/L:10</v>
          </cell>
          <cell r="I1516">
            <v>2</v>
          </cell>
          <cell r="J1516" t="str">
            <v>알토엔대우</v>
          </cell>
          <cell r="K1516">
            <v>119</v>
          </cell>
          <cell r="L1516">
            <v>121</v>
          </cell>
          <cell r="M1516">
            <v>124</v>
          </cell>
          <cell r="N1516">
            <v>126</v>
          </cell>
          <cell r="O1516">
            <v>10</v>
          </cell>
          <cell r="P1516">
            <v>1360</v>
          </cell>
          <cell r="Q1516">
            <v>250</v>
          </cell>
          <cell r="R1516" t="str">
            <v>녹색</v>
          </cell>
          <cell r="S1516" t="str">
            <v>녹색</v>
          </cell>
          <cell r="U1516">
            <v>42742</v>
          </cell>
          <cell r="V1516" t="str">
            <v>금형제조부</v>
          </cell>
          <cell r="W1516" t="str">
            <v>UP/LOW 따로포장</v>
          </cell>
          <cell r="Y1516">
            <v>50</v>
          </cell>
          <cell r="Z1516">
            <v>21208</v>
          </cell>
          <cell r="AC1516" t="str">
            <v>최재학계장, 2020.06.16 CORE2CAVITY 재제작</v>
          </cell>
          <cell r="AD1516">
            <v>0.85</v>
          </cell>
          <cell r="AE1516">
            <v>115</v>
          </cell>
          <cell r="AF1516">
            <v>6</v>
          </cell>
        </row>
        <row r="1517">
          <cell r="A1517" t="str">
            <v>HUD-EPS</v>
          </cell>
          <cell r="B1517" t="str">
            <v>SET</v>
          </cell>
          <cell r="C1517">
            <v>1</v>
          </cell>
          <cell r="D1517">
            <v>100</v>
          </cell>
          <cell r="E1517">
            <v>356</v>
          </cell>
          <cell r="F1517">
            <v>50</v>
          </cell>
          <cell r="G1517" t="str">
            <v>B240NS</v>
          </cell>
          <cell r="H1517">
            <v>1</v>
          </cell>
          <cell r="I1517">
            <v>2</v>
          </cell>
          <cell r="J1517" t="str">
            <v>세코닉스</v>
          </cell>
          <cell r="K1517">
            <v>91.5</v>
          </cell>
          <cell r="L1517">
            <v>93.5</v>
          </cell>
          <cell r="M1517">
            <v>101.5</v>
          </cell>
          <cell r="N1517">
            <v>103.5</v>
          </cell>
          <cell r="O1517">
            <v>10</v>
          </cell>
          <cell r="P1517">
            <v>1360</v>
          </cell>
          <cell r="Q1517">
            <v>200</v>
          </cell>
          <cell r="S1517">
            <v>0</v>
          </cell>
          <cell r="T1517" t="str">
            <v>HUD-EPS</v>
          </cell>
          <cell r="U1517">
            <v>41956</v>
          </cell>
          <cell r="V1517" t="str">
            <v>금형제조부</v>
          </cell>
          <cell r="X1517" t="str">
            <v>Q-0501</v>
          </cell>
          <cell r="Y1517">
            <v>40</v>
          </cell>
          <cell r="AC1517" t="str">
            <v>김일환사원2014.11.20수정</v>
          </cell>
          <cell r="AD1517">
            <v>0.9</v>
          </cell>
          <cell r="AE1517">
            <v>100</v>
          </cell>
          <cell r="AF1517">
            <v>4</v>
          </cell>
        </row>
        <row r="1518">
          <cell r="A1518" t="str">
            <v>HU357</v>
          </cell>
          <cell r="B1518" t="str">
            <v>SET</v>
          </cell>
          <cell r="C1518">
            <v>4</v>
          </cell>
          <cell r="D1518">
            <v>90</v>
          </cell>
          <cell r="E1518">
            <v>150</v>
          </cell>
          <cell r="F1518">
            <v>70</v>
          </cell>
          <cell r="G1518" t="str">
            <v>B240NS</v>
          </cell>
          <cell r="I1518">
            <v>1</v>
          </cell>
          <cell r="J1518" t="str">
            <v>르비앙</v>
          </cell>
          <cell r="O1518">
            <v>504</v>
          </cell>
          <cell r="P1518">
            <v>1300</v>
          </cell>
          <cell r="Q1518">
            <v>200</v>
          </cell>
          <cell r="S1518">
            <v>0</v>
          </cell>
          <cell r="T1518" t="str">
            <v>HU-357(350)</v>
          </cell>
          <cell r="AD1518">
            <v>0.85</v>
          </cell>
          <cell r="AE1518">
            <v>90</v>
          </cell>
          <cell r="AF1518">
            <v>16</v>
          </cell>
        </row>
        <row r="1519">
          <cell r="A1519" t="str">
            <v>HS-L4(분리54배)</v>
          </cell>
          <cell r="B1519" t="str">
            <v>BOX</v>
          </cell>
          <cell r="C1519">
            <v>3</v>
          </cell>
          <cell r="D1519">
            <v>80</v>
          </cell>
          <cell r="E1519">
            <v>120</v>
          </cell>
          <cell r="F1519">
            <v>65</v>
          </cell>
          <cell r="G1519" t="str">
            <v>B240NS</v>
          </cell>
          <cell r="H1519" t="str">
            <v>T:32 B:16</v>
          </cell>
          <cell r="I1519">
            <v>2</v>
          </cell>
          <cell r="J1519" t="str">
            <v>삼일이노팩</v>
          </cell>
          <cell r="P1519">
            <v>1360</v>
          </cell>
          <cell r="Q1519">
            <v>200</v>
          </cell>
          <cell r="R1519" t="str">
            <v>흰색</v>
          </cell>
          <cell r="S1519" t="str">
            <v>흰색</v>
          </cell>
          <cell r="U1519">
            <v>45532</v>
          </cell>
          <cell r="V1519" t="str">
            <v>금형사업부</v>
          </cell>
          <cell r="AD1519">
            <v>0.85</v>
          </cell>
        </row>
        <row r="1520">
          <cell r="A1520" t="str">
            <v>HS-L4(분리54배)</v>
          </cell>
          <cell r="B1520" t="str">
            <v>BOX</v>
          </cell>
          <cell r="C1520">
            <v>1</v>
          </cell>
          <cell r="D1520">
            <v>80</v>
          </cell>
          <cell r="E1520">
            <v>120</v>
          </cell>
          <cell r="F1520">
            <v>65</v>
          </cell>
          <cell r="G1520" t="str">
            <v>B240NS</v>
          </cell>
          <cell r="H1520" t="str">
            <v>T:32 B:16</v>
          </cell>
          <cell r="I1520">
            <v>1</v>
          </cell>
          <cell r="J1520" t="str">
            <v>삼일이노팩</v>
          </cell>
          <cell r="P1520">
            <v>1360</v>
          </cell>
          <cell r="Q1520">
            <v>200</v>
          </cell>
          <cell r="R1520" t="str">
            <v>흰색</v>
          </cell>
          <cell r="S1520" t="str">
            <v>흰색</v>
          </cell>
          <cell r="U1520">
            <v>45532</v>
          </cell>
          <cell r="V1520" t="str">
            <v>금형사업부</v>
          </cell>
          <cell r="AD1520">
            <v>0.85</v>
          </cell>
          <cell r="AG1520" t="str">
            <v>HS-L4(분리)</v>
          </cell>
        </row>
        <row r="1521">
          <cell r="A1521" t="str">
            <v>HS-L4(분리50배)</v>
          </cell>
          <cell r="B1521" t="str">
            <v>BOX</v>
          </cell>
          <cell r="C1521">
            <v>3</v>
          </cell>
          <cell r="D1521">
            <v>80</v>
          </cell>
          <cell r="E1521">
            <v>132</v>
          </cell>
          <cell r="F1521">
            <v>58</v>
          </cell>
          <cell r="G1521" t="str">
            <v>B240NS</v>
          </cell>
          <cell r="H1521" t="str">
            <v>T:64 B:16</v>
          </cell>
          <cell r="I1521">
            <v>2</v>
          </cell>
          <cell r="J1521" t="str">
            <v>삼일이노팩</v>
          </cell>
          <cell r="P1521">
            <v>1360</v>
          </cell>
          <cell r="Q1521">
            <v>200</v>
          </cell>
          <cell r="R1521" t="str">
            <v>빨강</v>
          </cell>
          <cell r="U1521">
            <v>45532</v>
          </cell>
          <cell r="V1521" t="str">
            <v>금형사업부</v>
          </cell>
          <cell r="AD1521">
            <v>0.85</v>
          </cell>
        </row>
        <row r="1522">
          <cell r="A1522" t="str">
            <v>HS-L4(분리50배)</v>
          </cell>
          <cell r="B1522" t="str">
            <v>BOX</v>
          </cell>
          <cell r="C1522">
            <v>3</v>
          </cell>
          <cell r="D1522">
            <v>80</v>
          </cell>
          <cell r="E1522">
            <v>132</v>
          </cell>
          <cell r="F1522">
            <v>58</v>
          </cell>
          <cell r="G1522" t="str">
            <v>B240NS</v>
          </cell>
          <cell r="H1522" t="str">
            <v>T:64 B:16</v>
          </cell>
          <cell r="I1522">
            <v>2</v>
          </cell>
          <cell r="J1522" t="str">
            <v>삼일이노팩</v>
          </cell>
          <cell r="P1522">
            <v>1360</v>
          </cell>
          <cell r="Q1522">
            <v>200</v>
          </cell>
          <cell r="R1522" t="str">
            <v>빨강</v>
          </cell>
          <cell r="U1522">
            <v>45532</v>
          </cell>
          <cell r="V1522" t="str">
            <v>금형사업부</v>
          </cell>
          <cell r="AD1522">
            <v>0.85</v>
          </cell>
          <cell r="AG1522" t="str">
            <v>HS-L4(분리)</v>
          </cell>
        </row>
        <row r="1523">
          <cell r="A1523" t="str">
            <v>HS-L4(분리)</v>
          </cell>
          <cell r="B1523" t="str">
            <v>BOX</v>
          </cell>
          <cell r="C1523">
            <v>3</v>
          </cell>
          <cell r="D1523">
            <v>80</v>
          </cell>
          <cell r="E1523">
            <v>110</v>
          </cell>
          <cell r="F1523">
            <v>74</v>
          </cell>
          <cell r="G1523" t="str">
            <v>B240NS</v>
          </cell>
          <cell r="H1523" t="str">
            <v>T:32 B:16</v>
          </cell>
          <cell r="I1523">
            <v>2</v>
          </cell>
          <cell r="J1523" t="str">
            <v>삼일이노팩</v>
          </cell>
          <cell r="P1523">
            <v>1360</v>
          </cell>
          <cell r="Q1523">
            <v>200</v>
          </cell>
          <cell r="R1523" t="str">
            <v>흰색</v>
          </cell>
          <cell r="S1523" t="str">
            <v>흰색</v>
          </cell>
          <cell r="U1523">
            <v>45532</v>
          </cell>
          <cell r="V1523" t="str">
            <v>금형사업부</v>
          </cell>
          <cell r="AD1523">
            <v>0.85</v>
          </cell>
        </row>
        <row r="1524">
          <cell r="A1524" t="str">
            <v>HS-L4(분리)</v>
          </cell>
          <cell r="B1524" t="str">
            <v>BOX</v>
          </cell>
          <cell r="C1524">
            <v>1</v>
          </cell>
          <cell r="D1524">
            <v>80</v>
          </cell>
          <cell r="E1524">
            <v>105</v>
          </cell>
          <cell r="F1524">
            <v>74</v>
          </cell>
          <cell r="G1524" t="str">
            <v>B240NS</v>
          </cell>
          <cell r="H1524" t="str">
            <v>T:32 B:16</v>
          </cell>
          <cell r="I1524">
            <v>1</v>
          </cell>
          <cell r="J1524" t="str">
            <v>삼일이노팩</v>
          </cell>
          <cell r="P1524">
            <v>1360</v>
          </cell>
          <cell r="Q1524">
            <v>200</v>
          </cell>
          <cell r="R1524" t="str">
            <v>보라</v>
          </cell>
          <cell r="S1524" t="str">
            <v>보라</v>
          </cell>
          <cell r="U1524">
            <v>45532</v>
          </cell>
          <cell r="V1524" t="str">
            <v>금형사업부</v>
          </cell>
          <cell r="AD1524">
            <v>0.85</v>
          </cell>
          <cell r="AG1524" t="str">
            <v>HS-L4(분리)</v>
          </cell>
        </row>
        <row r="1525">
          <cell r="A1525" t="str">
            <v>HS-L3</v>
          </cell>
          <cell r="B1525" t="str">
            <v>BOX</v>
          </cell>
          <cell r="C1525">
            <v>4</v>
          </cell>
          <cell r="D1525">
            <v>110</v>
          </cell>
          <cell r="E1525">
            <v>147</v>
          </cell>
          <cell r="F1525">
            <v>65</v>
          </cell>
          <cell r="G1525" t="str">
            <v>B240NS</v>
          </cell>
          <cell r="H1525">
            <v>10</v>
          </cell>
          <cell r="I1525">
            <v>2</v>
          </cell>
          <cell r="J1525" t="str">
            <v>삼일이노팩</v>
          </cell>
          <cell r="P1525">
            <v>1360</v>
          </cell>
          <cell r="Q1525">
            <v>200</v>
          </cell>
          <cell r="U1525">
            <v>45450</v>
          </cell>
          <cell r="V1525" t="str">
            <v>금형사업부</v>
          </cell>
          <cell r="AD1525">
            <v>0.85</v>
          </cell>
          <cell r="AE1525">
            <v>100</v>
          </cell>
        </row>
        <row r="1526">
          <cell r="A1526" t="str">
            <v>HS-L3</v>
          </cell>
          <cell r="B1526" t="str">
            <v>BOX</v>
          </cell>
          <cell r="C1526">
            <v>4</v>
          </cell>
          <cell r="D1526">
            <v>100</v>
          </cell>
          <cell r="E1526">
            <v>147</v>
          </cell>
          <cell r="F1526">
            <v>65</v>
          </cell>
          <cell r="G1526" t="str">
            <v>B240NS</v>
          </cell>
          <cell r="H1526">
            <v>10</v>
          </cell>
          <cell r="I1526">
            <v>2</v>
          </cell>
          <cell r="J1526" t="str">
            <v>삼일이노팩</v>
          </cell>
          <cell r="P1526">
            <v>1360</v>
          </cell>
          <cell r="Q1526">
            <v>200</v>
          </cell>
          <cell r="U1526">
            <v>45450</v>
          </cell>
          <cell r="V1526" t="str">
            <v>금형사업부</v>
          </cell>
          <cell r="AD1526">
            <v>0.85</v>
          </cell>
          <cell r="AE1526">
            <v>100</v>
          </cell>
        </row>
        <row r="1527">
          <cell r="A1527" t="str">
            <v>HS-9호(분리)</v>
          </cell>
          <cell r="B1527" t="str">
            <v>BOX</v>
          </cell>
          <cell r="C1527">
            <v>3</v>
          </cell>
          <cell r="D1527">
            <v>90</v>
          </cell>
          <cell r="E1527">
            <v>220</v>
          </cell>
          <cell r="F1527">
            <v>65</v>
          </cell>
          <cell r="G1527" t="str">
            <v>SE2500M</v>
          </cell>
          <cell r="H1527" t="str">
            <v>TOP:20/BOT:10</v>
          </cell>
          <cell r="I1527">
            <v>2</v>
          </cell>
          <cell r="J1527" t="str">
            <v>삼일이노팩</v>
          </cell>
          <cell r="K1527">
            <v>68</v>
          </cell>
          <cell r="L1527">
            <v>72</v>
          </cell>
          <cell r="M1527">
            <v>233</v>
          </cell>
          <cell r="N1527">
            <v>237</v>
          </cell>
          <cell r="P1527">
            <v>1700</v>
          </cell>
          <cell r="Q1527">
            <v>350</v>
          </cell>
          <cell r="R1527" t="str">
            <v>녹색</v>
          </cell>
          <cell r="U1527">
            <v>45425</v>
          </cell>
          <cell r="V1527" t="str">
            <v>금형사업부</v>
          </cell>
          <cell r="Z1527">
            <v>18432</v>
          </cell>
          <cell r="AC1527" t="str">
            <v>2024-05-21코팅입고</v>
          </cell>
          <cell r="AD1527">
            <v>0.85</v>
          </cell>
          <cell r="AE1527">
            <v>70</v>
          </cell>
        </row>
        <row r="1528">
          <cell r="A1528" t="str">
            <v>HS-9호</v>
          </cell>
          <cell r="B1528" t="str">
            <v>BOX</v>
          </cell>
          <cell r="C1528">
            <v>3</v>
          </cell>
          <cell r="D1528">
            <v>70</v>
          </cell>
          <cell r="E1528">
            <v>220</v>
          </cell>
          <cell r="F1528">
            <v>65</v>
          </cell>
          <cell r="G1528" t="str">
            <v>SE2500M</v>
          </cell>
          <cell r="H1528">
            <v>8</v>
          </cell>
          <cell r="I1528">
            <v>2</v>
          </cell>
          <cell r="J1528" t="str">
            <v>삼일이노팩</v>
          </cell>
          <cell r="K1528">
            <v>68</v>
          </cell>
          <cell r="L1528">
            <v>72</v>
          </cell>
          <cell r="M1528">
            <v>233</v>
          </cell>
          <cell r="N1528">
            <v>237</v>
          </cell>
          <cell r="P1528">
            <v>1700</v>
          </cell>
          <cell r="Q1528">
            <v>350</v>
          </cell>
          <cell r="R1528" t="str">
            <v>파랑</v>
          </cell>
          <cell r="U1528">
            <v>45425</v>
          </cell>
          <cell r="V1528" t="str">
            <v>금형사업부</v>
          </cell>
          <cell r="Z1528">
            <v>18432</v>
          </cell>
          <cell r="AC1528" t="str">
            <v>2024-05-21코팅입고</v>
          </cell>
          <cell r="AD1528">
            <v>0.85</v>
          </cell>
          <cell r="AE1528">
            <v>70</v>
          </cell>
        </row>
        <row r="1529">
          <cell r="A1529" t="str">
            <v>HS-9호</v>
          </cell>
          <cell r="B1529" t="str">
            <v>BOX</v>
          </cell>
          <cell r="C1529">
            <v>3</v>
          </cell>
          <cell r="D1529">
            <v>70</v>
          </cell>
          <cell r="E1529">
            <v>220</v>
          </cell>
          <cell r="F1529">
            <v>65</v>
          </cell>
          <cell r="G1529" t="str">
            <v>SE2500M</v>
          </cell>
          <cell r="H1529">
            <v>8</v>
          </cell>
          <cell r="I1529">
            <v>2</v>
          </cell>
          <cell r="J1529" t="str">
            <v>삼일이노팩</v>
          </cell>
          <cell r="K1529">
            <v>68</v>
          </cell>
          <cell r="L1529">
            <v>72</v>
          </cell>
          <cell r="M1529">
            <v>233</v>
          </cell>
          <cell r="N1529">
            <v>237</v>
          </cell>
          <cell r="P1529">
            <v>1700</v>
          </cell>
          <cell r="Q1529">
            <v>350</v>
          </cell>
          <cell r="R1529" t="str">
            <v>파랑</v>
          </cell>
          <cell r="U1529">
            <v>45425</v>
          </cell>
          <cell r="V1529" t="str">
            <v>금형사업부</v>
          </cell>
          <cell r="W1529" t="str">
            <v>SK200 내피몸통</v>
          </cell>
          <cell r="AD1529">
            <v>0.85</v>
          </cell>
        </row>
        <row r="1530">
          <cell r="A1530" t="str">
            <v>HS-8호(분리)</v>
          </cell>
          <cell r="B1530" t="str">
            <v>BOX</v>
          </cell>
          <cell r="C1530">
            <v>3</v>
          </cell>
          <cell r="D1530">
            <v>70</v>
          </cell>
          <cell r="E1530">
            <v>210</v>
          </cell>
          <cell r="F1530">
            <v>62</v>
          </cell>
          <cell r="G1530" t="str">
            <v>B240NS</v>
          </cell>
          <cell r="H1530" t="str">
            <v>생산T:20/B:10,포장T40/B10</v>
          </cell>
          <cell r="I1530">
            <v>2</v>
          </cell>
          <cell r="J1530" t="str">
            <v>삼일이노팩</v>
          </cell>
          <cell r="P1530">
            <v>1360</v>
          </cell>
          <cell r="Q1530">
            <v>350</v>
          </cell>
          <cell r="R1530" t="str">
            <v>노랑</v>
          </cell>
          <cell r="U1530">
            <v>45582</v>
          </cell>
          <cell r="V1530" t="str">
            <v>금형사업부</v>
          </cell>
          <cell r="AD1530">
            <v>0.85</v>
          </cell>
          <cell r="AE1530">
            <v>70</v>
          </cell>
        </row>
        <row r="1531">
          <cell r="A1531" t="str">
            <v>HS-3호#2</v>
          </cell>
          <cell r="B1531" t="str">
            <v>BOX</v>
          </cell>
          <cell r="C1531">
            <v>4</v>
          </cell>
          <cell r="D1531">
            <v>70</v>
          </cell>
          <cell r="E1531">
            <v>144</v>
          </cell>
          <cell r="F1531">
            <v>72</v>
          </cell>
          <cell r="G1531" t="str">
            <v>B240NS</v>
          </cell>
          <cell r="H1531">
            <v>10</v>
          </cell>
          <cell r="I1531">
            <v>2</v>
          </cell>
          <cell r="J1531" t="str">
            <v>용인공장</v>
          </cell>
          <cell r="K1531">
            <v>47.85</v>
          </cell>
          <cell r="L1531">
            <v>49.85</v>
          </cell>
          <cell r="M1531">
            <v>100.85</v>
          </cell>
          <cell r="N1531">
            <v>102.85</v>
          </cell>
          <cell r="P1531">
            <v>1500</v>
          </cell>
          <cell r="Q1531">
            <v>300</v>
          </cell>
          <cell r="R1531" t="str">
            <v>노랑</v>
          </cell>
          <cell r="U1531">
            <v>45706</v>
          </cell>
          <cell r="V1531" t="str">
            <v>삼일 용인(이관)</v>
          </cell>
          <cell r="AD1531">
            <v>0.85</v>
          </cell>
          <cell r="AE1531">
            <v>75</v>
          </cell>
        </row>
        <row r="1532">
          <cell r="A1532" t="str">
            <v>HS-3호</v>
          </cell>
          <cell r="B1532" t="str">
            <v>BOX</v>
          </cell>
          <cell r="C1532">
            <v>4</v>
          </cell>
          <cell r="D1532">
            <v>70</v>
          </cell>
          <cell r="E1532">
            <v>144</v>
          </cell>
          <cell r="F1532">
            <v>72</v>
          </cell>
          <cell r="G1532" t="str">
            <v>B240NS</v>
          </cell>
          <cell r="H1532">
            <v>10</v>
          </cell>
          <cell r="I1532">
            <v>2</v>
          </cell>
          <cell r="J1532" t="str">
            <v>삼일이노팩</v>
          </cell>
          <cell r="K1532">
            <v>47.85</v>
          </cell>
          <cell r="L1532">
            <v>49.85</v>
          </cell>
          <cell r="M1532">
            <v>178</v>
          </cell>
          <cell r="N1532">
            <v>182</v>
          </cell>
          <cell r="P1532">
            <v>1500</v>
          </cell>
          <cell r="Q1532">
            <v>300</v>
          </cell>
          <cell r="R1532" t="str">
            <v>노랑</v>
          </cell>
          <cell r="U1532">
            <v>45706</v>
          </cell>
          <cell r="V1532" t="str">
            <v>삼일 용인(이관)</v>
          </cell>
          <cell r="AD1532">
            <v>0.83</v>
          </cell>
          <cell r="AE1532">
            <v>80</v>
          </cell>
        </row>
        <row r="1533">
          <cell r="A1533" t="str">
            <v>HS-3호</v>
          </cell>
          <cell r="B1533" t="str">
            <v>BOX</v>
          </cell>
          <cell r="C1533">
            <v>4</v>
          </cell>
          <cell r="D1533">
            <v>70</v>
          </cell>
          <cell r="E1533">
            <v>144</v>
          </cell>
          <cell r="F1533">
            <v>72</v>
          </cell>
          <cell r="G1533" t="str">
            <v>B240NS</v>
          </cell>
          <cell r="H1533">
            <v>10</v>
          </cell>
          <cell r="I1533">
            <v>2</v>
          </cell>
          <cell r="J1533" t="str">
            <v>삼일이노팩</v>
          </cell>
          <cell r="K1533">
            <v>47.85</v>
          </cell>
          <cell r="L1533">
            <v>49.85</v>
          </cell>
          <cell r="M1533">
            <v>178</v>
          </cell>
          <cell r="N1533">
            <v>182</v>
          </cell>
          <cell r="P1533">
            <v>1500</v>
          </cell>
          <cell r="Q1533">
            <v>300</v>
          </cell>
          <cell r="R1533" t="str">
            <v>노랑</v>
          </cell>
          <cell r="U1533">
            <v>45706</v>
          </cell>
          <cell r="V1533" t="str">
            <v>삼일 용인(이관)</v>
          </cell>
          <cell r="AD1533">
            <v>0.83</v>
          </cell>
          <cell r="AE1533">
            <v>80</v>
          </cell>
        </row>
        <row r="1534">
          <cell r="A1534" t="str">
            <v>HS-3호</v>
          </cell>
          <cell r="B1534" t="str">
            <v>BOX</v>
          </cell>
          <cell r="C1534">
            <v>4</v>
          </cell>
          <cell r="D1534">
            <v>70</v>
          </cell>
          <cell r="E1534">
            <v>144</v>
          </cell>
          <cell r="F1534">
            <v>72</v>
          </cell>
          <cell r="G1534" t="str">
            <v>B240NS</v>
          </cell>
          <cell r="H1534">
            <v>10</v>
          </cell>
          <cell r="I1534">
            <v>2</v>
          </cell>
          <cell r="J1534" t="str">
            <v>삼일이노팩</v>
          </cell>
          <cell r="K1534">
            <v>47.85</v>
          </cell>
          <cell r="L1534">
            <v>49.85</v>
          </cell>
          <cell r="M1534">
            <v>100.85</v>
          </cell>
          <cell r="N1534">
            <v>102.85</v>
          </cell>
          <cell r="P1534">
            <v>1500</v>
          </cell>
          <cell r="Q1534">
            <v>300</v>
          </cell>
          <cell r="R1534" t="str">
            <v>노랑</v>
          </cell>
          <cell r="U1534">
            <v>45706</v>
          </cell>
          <cell r="V1534" t="str">
            <v>삼일 용인(이관)</v>
          </cell>
          <cell r="AD1534">
            <v>0.85</v>
          </cell>
          <cell r="AE1534">
            <v>75</v>
          </cell>
        </row>
        <row r="1535">
          <cell r="A1535" t="str">
            <v>HS-2호(분리)</v>
          </cell>
          <cell r="B1535" t="str">
            <v>BOX</v>
          </cell>
          <cell r="C1535">
            <v>8</v>
          </cell>
          <cell r="D1535">
            <v>65</v>
          </cell>
          <cell r="E1535">
            <v>95</v>
          </cell>
          <cell r="F1535">
            <v>74</v>
          </cell>
          <cell r="G1535" t="str">
            <v>SE2500M</v>
          </cell>
          <cell r="H1535" t="str">
            <v>TOP:30/BOT:10</v>
          </cell>
          <cell r="I1535">
            <v>2</v>
          </cell>
          <cell r="J1535" t="str">
            <v>삼일이노팩</v>
          </cell>
          <cell r="K1535">
            <v>39</v>
          </cell>
          <cell r="L1535">
            <v>41</v>
          </cell>
          <cell r="M1535">
            <v>145</v>
          </cell>
          <cell r="N1535">
            <v>147</v>
          </cell>
          <cell r="P1535">
            <v>1700</v>
          </cell>
          <cell r="Q1535">
            <v>250</v>
          </cell>
          <cell r="R1535" t="str">
            <v>파랑</v>
          </cell>
          <cell r="U1535">
            <v>45394</v>
          </cell>
          <cell r="V1535" t="str">
            <v>금형사업부</v>
          </cell>
          <cell r="Y1535">
            <v>60</v>
          </cell>
          <cell r="Z1535">
            <v>5272</v>
          </cell>
          <cell r="AC1535" t="str">
            <v>NHD-5에서 사이즈 및 모델명 변경,코팅입고</v>
          </cell>
          <cell r="AD1535">
            <v>0.85</v>
          </cell>
          <cell r="AE1535">
            <v>70</v>
          </cell>
        </row>
        <row r="1536">
          <cell r="A1536" t="str">
            <v>HS-2호(55배)</v>
          </cell>
          <cell r="B1536" t="str">
            <v>BOX</v>
          </cell>
          <cell r="C1536">
            <v>8</v>
          </cell>
          <cell r="D1536">
            <v>65</v>
          </cell>
          <cell r="E1536">
            <v>96</v>
          </cell>
          <cell r="F1536">
            <v>60</v>
          </cell>
          <cell r="G1536" t="str">
            <v>SE2500M</v>
          </cell>
          <cell r="H1536">
            <v>10</v>
          </cell>
          <cell r="I1536">
            <v>2</v>
          </cell>
          <cell r="J1536" t="str">
            <v>삼일이노팩</v>
          </cell>
          <cell r="K1536">
            <v>39</v>
          </cell>
          <cell r="L1536">
            <v>41</v>
          </cell>
          <cell r="M1536">
            <v>145</v>
          </cell>
          <cell r="N1536">
            <v>147</v>
          </cell>
          <cell r="P1536">
            <v>1700</v>
          </cell>
          <cell r="Q1536">
            <v>250</v>
          </cell>
          <cell r="R1536" t="str">
            <v>녹색</v>
          </cell>
          <cell r="U1536">
            <v>45394</v>
          </cell>
          <cell r="V1536" t="str">
            <v>금형사업부</v>
          </cell>
          <cell r="Y1536">
            <v>60</v>
          </cell>
          <cell r="Z1536">
            <v>5272</v>
          </cell>
          <cell r="AC1536" t="str">
            <v>NHD-5에서 사이즈 및 모델명 변경,코팅입고</v>
          </cell>
          <cell r="AD1536">
            <v>0.85</v>
          </cell>
          <cell r="AE1536">
            <v>70</v>
          </cell>
        </row>
        <row r="1537">
          <cell r="A1537" t="str">
            <v>HS-2호(55배)</v>
          </cell>
          <cell r="B1537" t="str">
            <v>BOX</v>
          </cell>
          <cell r="C1537">
            <v>8</v>
          </cell>
          <cell r="D1537">
            <v>65</v>
          </cell>
          <cell r="E1537">
            <v>96</v>
          </cell>
          <cell r="F1537">
            <v>60</v>
          </cell>
          <cell r="G1537" t="str">
            <v>SE2500M</v>
          </cell>
          <cell r="H1537">
            <v>10</v>
          </cell>
          <cell r="I1537">
            <v>2</v>
          </cell>
          <cell r="J1537" t="str">
            <v>삼일이노팩</v>
          </cell>
          <cell r="K1537">
            <v>39</v>
          </cell>
          <cell r="L1537">
            <v>41</v>
          </cell>
          <cell r="M1537">
            <v>145</v>
          </cell>
          <cell r="N1537">
            <v>147</v>
          </cell>
          <cell r="P1537">
            <v>1700</v>
          </cell>
          <cell r="Q1537">
            <v>250</v>
          </cell>
          <cell r="R1537" t="str">
            <v>녹색</v>
          </cell>
          <cell r="U1537">
            <v>45394</v>
          </cell>
          <cell r="V1537" t="str">
            <v>금형사업부</v>
          </cell>
          <cell r="Y1537">
            <v>60</v>
          </cell>
          <cell r="Z1537">
            <v>5272</v>
          </cell>
          <cell r="AC1537" t="str">
            <v>NHD-5에서 사이즈 및 모델명 변경,코팅입고</v>
          </cell>
          <cell r="AD1537">
            <v>0.85</v>
          </cell>
          <cell r="AE1537">
            <v>70</v>
          </cell>
        </row>
        <row r="1538">
          <cell r="A1538" t="str">
            <v>HS-2호</v>
          </cell>
          <cell r="B1538" t="str">
            <v>BOX</v>
          </cell>
          <cell r="C1538">
            <v>8</v>
          </cell>
          <cell r="D1538">
            <v>65</v>
          </cell>
          <cell r="E1538">
            <v>83</v>
          </cell>
          <cell r="F1538">
            <v>74</v>
          </cell>
          <cell r="G1538" t="str">
            <v>SE2500M</v>
          </cell>
          <cell r="H1538">
            <v>10</v>
          </cell>
          <cell r="I1538">
            <v>2</v>
          </cell>
          <cell r="J1538" t="str">
            <v>삼일이노팩</v>
          </cell>
          <cell r="K1538">
            <v>39</v>
          </cell>
          <cell r="L1538">
            <v>41</v>
          </cell>
          <cell r="M1538">
            <v>145</v>
          </cell>
          <cell r="N1538">
            <v>147</v>
          </cell>
          <cell r="P1538">
            <v>1700</v>
          </cell>
          <cell r="Q1538">
            <v>250</v>
          </cell>
          <cell r="R1538" t="str">
            <v>파랑</v>
          </cell>
          <cell r="U1538">
            <v>45394</v>
          </cell>
          <cell r="V1538" t="str">
            <v>금형사업부</v>
          </cell>
          <cell r="Y1538">
            <v>60</v>
          </cell>
          <cell r="Z1538">
            <v>5272</v>
          </cell>
          <cell r="AC1538" t="str">
            <v>NHD-5에서 사이즈 및 모델명 변경,코팅입고</v>
          </cell>
          <cell r="AD1538">
            <v>0.85</v>
          </cell>
          <cell r="AE1538">
            <v>70</v>
          </cell>
        </row>
        <row r="1539">
          <cell r="A1539" t="str">
            <v>HS-2호</v>
          </cell>
          <cell r="B1539" t="str">
            <v>BOX</v>
          </cell>
          <cell r="C1539">
            <v>8</v>
          </cell>
          <cell r="D1539">
            <v>65</v>
          </cell>
          <cell r="E1539">
            <v>83</v>
          </cell>
          <cell r="F1539">
            <v>74</v>
          </cell>
          <cell r="G1539" t="str">
            <v>SE2500M</v>
          </cell>
          <cell r="H1539">
            <v>10</v>
          </cell>
          <cell r="I1539">
            <v>2</v>
          </cell>
          <cell r="J1539" t="str">
            <v>삼일이노팩</v>
          </cell>
          <cell r="K1539">
            <v>39</v>
          </cell>
          <cell r="L1539">
            <v>41</v>
          </cell>
          <cell r="M1539">
            <v>145</v>
          </cell>
          <cell r="N1539">
            <v>147</v>
          </cell>
          <cell r="P1539">
            <v>1700</v>
          </cell>
          <cell r="Q1539">
            <v>250</v>
          </cell>
          <cell r="R1539" t="str">
            <v>파랑</v>
          </cell>
          <cell r="U1539">
            <v>45394</v>
          </cell>
          <cell r="V1539" t="str">
            <v>금형사업부</v>
          </cell>
          <cell r="Y1539">
            <v>60</v>
          </cell>
          <cell r="Z1539">
            <v>5272</v>
          </cell>
          <cell r="AC1539" t="str">
            <v>NHD-5에서 사이즈 및 모델명 변경,코팅입고</v>
          </cell>
          <cell r="AD1539">
            <v>0.85</v>
          </cell>
          <cell r="AE1539">
            <v>70</v>
          </cell>
        </row>
        <row r="1540">
          <cell r="A1540" t="str">
            <v>HS-16호#2</v>
          </cell>
          <cell r="B1540" t="str">
            <v>BOX</v>
          </cell>
          <cell r="C1540">
            <v>2</v>
          </cell>
          <cell r="D1540">
            <v>80</v>
          </cell>
          <cell r="E1540">
            <v>355</v>
          </cell>
          <cell r="F1540">
            <v>78</v>
          </cell>
          <cell r="G1540" t="str">
            <v>B240NS</v>
          </cell>
          <cell r="H1540">
            <v>6</v>
          </cell>
          <cell r="I1540">
            <v>2</v>
          </cell>
          <cell r="J1540" t="str">
            <v>삼일이노팩</v>
          </cell>
          <cell r="P1540">
            <v>1360</v>
          </cell>
          <cell r="Q1540">
            <v>350</v>
          </cell>
          <cell r="R1540" t="str">
            <v>주황</v>
          </cell>
          <cell r="U1540">
            <v>45548</v>
          </cell>
          <cell r="V1540" t="str">
            <v>삼일 용인(이관)</v>
          </cell>
          <cell r="W1540" t="str">
            <v>융착,버(BURR)불량 확인할것!!</v>
          </cell>
          <cell r="AD1540">
            <v>0.85</v>
          </cell>
          <cell r="AE1540">
            <v>80</v>
          </cell>
        </row>
        <row r="1541">
          <cell r="A1541" t="str">
            <v>HS-10호</v>
          </cell>
          <cell r="B1541" t="str">
            <v>BOX</v>
          </cell>
          <cell r="C1541">
            <v>3</v>
          </cell>
          <cell r="D1541">
            <v>100</v>
          </cell>
          <cell r="E1541">
            <v>288</v>
          </cell>
          <cell r="F1541">
            <v>74</v>
          </cell>
          <cell r="G1541" t="str">
            <v>SE2500M</v>
          </cell>
          <cell r="H1541">
            <v>6</v>
          </cell>
          <cell r="I1541">
            <v>2</v>
          </cell>
          <cell r="J1541" t="str">
            <v>삼일이노팩</v>
          </cell>
          <cell r="P1541">
            <v>1700</v>
          </cell>
          <cell r="Q1541">
            <v>350</v>
          </cell>
          <cell r="R1541" t="str">
            <v>녹색</v>
          </cell>
          <cell r="U1541">
            <v>45404</v>
          </cell>
          <cell r="V1541" t="str">
            <v>금형사업부</v>
          </cell>
          <cell r="Z1541">
            <v>18432</v>
          </cell>
          <cell r="AC1541" t="str">
            <v>SI-20에서 사이즈 및 모델명 변경,코팅입고</v>
          </cell>
          <cell r="AD1541">
            <v>0.85</v>
          </cell>
        </row>
        <row r="1542">
          <cell r="A1542" t="str">
            <v>HS-10호</v>
          </cell>
          <cell r="B1542" t="str">
            <v>BOX</v>
          </cell>
          <cell r="C1542">
            <v>3</v>
          </cell>
          <cell r="D1542">
            <v>100</v>
          </cell>
          <cell r="E1542">
            <v>288</v>
          </cell>
          <cell r="F1542">
            <v>74</v>
          </cell>
          <cell r="G1542" t="str">
            <v>SE2500M</v>
          </cell>
          <cell r="H1542">
            <v>6</v>
          </cell>
          <cell r="I1542">
            <v>2</v>
          </cell>
          <cell r="J1542" t="str">
            <v>삼일이노팩</v>
          </cell>
          <cell r="P1542">
            <v>1700</v>
          </cell>
          <cell r="Q1542">
            <v>350</v>
          </cell>
          <cell r="R1542" t="str">
            <v>녹색</v>
          </cell>
          <cell r="U1542">
            <v>45404</v>
          </cell>
          <cell r="V1542" t="str">
            <v>금형사업부</v>
          </cell>
          <cell r="Z1542">
            <v>18432</v>
          </cell>
          <cell r="AC1542" t="str">
            <v>SI-20에서 사이즈 및 모델명 변경,코팅입고</v>
          </cell>
        </row>
        <row r="1543">
          <cell r="A1543" t="str">
            <v>HS-10호</v>
          </cell>
          <cell r="B1543" t="str">
            <v>BOX</v>
          </cell>
          <cell r="C1543">
            <v>3</v>
          </cell>
          <cell r="D1543">
            <v>100</v>
          </cell>
          <cell r="E1543">
            <v>288</v>
          </cell>
          <cell r="F1543">
            <v>74</v>
          </cell>
          <cell r="G1543" t="str">
            <v>SE2500M</v>
          </cell>
          <cell r="H1543">
            <v>6</v>
          </cell>
          <cell r="I1543">
            <v>2</v>
          </cell>
          <cell r="J1543" t="str">
            <v>삼일이노팩</v>
          </cell>
          <cell r="P1543">
            <v>1700</v>
          </cell>
          <cell r="U1543">
            <v>45404</v>
          </cell>
          <cell r="V1543" t="str">
            <v>금형사업부</v>
          </cell>
          <cell r="W1543" t="str">
            <v>후레임 일체형</v>
          </cell>
          <cell r="Z1543">
            <v>18432</v>
          </cell>
          <cell r="AC1543" t="str">
            <v>NHD-5에서 사이즈 및 모델명 변경</v>
          </cell>
        </row>
        <row r="1544">
          <cell r="A1544" t="str">
            <v>HS-0.5호(분리)</v>
          </cell>
          <cell r="B1544" t="str">
            <v>BOX</v>
          </cell>
          <cell r="C1544">
            <v>6</v>
          </cell>
          <cell r="D1544">
            <v>70</v>
          </cell>
          <cell r="E1544">
            <v>73</v>
          </cell>
          <cell r="F1544">
            <v>65</v>
          </cell>
          <cell r="G1544" t="str">
            <v>SE2500M</v>
          </cell>
          <cell r="H1544" t="str">
            <v>TOP:40포80/BOT:20</v>
          </cell>
          <cell r="I1544">
            <v>2</v>
          </cell>
          <cell r="J1544" t="str">
            <v>삼일이노팩</v>
          </cell>
          <cell r="K1544">
            <v>58</v>
          </cell>
          <cell r="L1544">
            <v>62</v>
          </cell>
          <cell r="M1544">
            <v>96</v>
          </cell>
          <cell r="N1544">
            <v>100</v>
          </cell>
          <cell r="P1544">
            <v>1700</v>
          </cell>
          <cell r="Q1544">
            <v>250</v>
          </cell>
          <cell r="R1544" t="str">
            <v>파랑</v>
          </cell>
          <cell r="U1544">
            <v>45425</v>
          </cell>
          <cell r="V1544" t="str">
            <v>금형사업부</v>
          </cell>
          <cell r="Y1544">
            <v>60</v>
          </cell>
          <cell r="Z1544">
            <v>5272</v>
          </cell>
          <cell r="AC1544" t="str">
            <v>2024-05-21코팅입고</v>
          </cell>
          <cell r="AD1544">
            <v>0.85</v>
          </cell>
          <cell r="AE1544">
            <v>70</v>
          </cell>
        </row>
        <row r="1545">
          <cell r="A1545" t="str">
            <v>HS-0.5호(분리)</v>
          </cell>
          <cell r="B1545" t="str">
            <v>BOX</v>
          </cell>
          <cell r="C1545">
            <v>6</v>
          </cell>
          <cell r="D1545">
            <v>70</v>
          </cell>
          <cell r="E1545">
            <v>73</v>
          </cell>
          <cell r="F1545">
            <v>65</v>
          </cell>
          <cell r="G1545" t="str">
            <v>SE2500M</v>
          </cell>
          <cell r="H1545" t="str">
            <v>TOP:40/BOT:20</v>
          </cell>
          <cell r="I1545">
            <v>2</v>
          </cell>
          <cell r="J1545" t="str">
            <v>삼일이노팩</v>
          </cell>
          <cell r="K1545">
            <v>58</v>
          </cell>
          <cell r="L1545">
            <v>62</v>
          </cell>
          <cell r="M1545">
            <v>96</v>
          </cell>
          <cell r="N1545">
            <v>100</v>
          </cell>
          <cell r="P1545">
            <v>1700</v>
          </cell>
          <cell r="Q1545">
            <v>250</v>
          </cell>
          <cell r="R1545" t="str">
            <v>파랑</v>
          </cell>
          <cell r="U1545">
            <v>45425</v>
          </cell>
          <cell r="V1545" t="str">
            <v>금형사업부</v>
          </cell>
          <cell r="Y1545">
            <v>60</v>
          </cell>
          <cell r="Z1545">
            <v>5272</v>
          </cell>
          <cell r="AC1545" t="str">
            <v>2024-05-21코팅입고</v>
          </cell>
          <cell r="AD1545">
            <v>0.85</v>
          </cell>
          <cell r="AE1545">
            <v>70</v>
          </cell>
        </row>
        <row r="1546">
          <cell r="A1546" t="str">
            <v>HS-0.5호</v>
          </cell>
          <cell r="B1546" t="str">
            <v>BOX</v>
          </cell>
          <cell r="C1546">
            <v>6</v>
          </cell>
          <cell r="D1546">
            <v>70</v>
          </cell>
          <cell r="E1546">
            <v>73</v>
          </cell>
          <cell r="F1546">
            <v>65</v>
          </cell>
          <cell r="G1546" t="str">
            <v>SE2500M</v>
          </cell>
          <cell r="H1546">
            <v>24</v>
          </cell>
          <cell r="I1546">
            <v>2</v>
          </cell>
          <cell r="J1546" t="str">
            <v>삼일이노팩</v>
          </cell>
          <cell r="K1546">
            <v>58</v>
          </cell>
          <cell r="L1546">
            <v>62</v>
          </cell>
          <cell r="M1546">
            <v>96</v>
          </cell>
          <cell r="N1546">
            <v>100</v>
          </cell>
          <cell r="P1546">
            <v>1700</v>
          </cell>
          <cell r="Q1546">
            <v>250</v>
          </cell>
          <cell r="R1546" t="str">
            <v>파랑</v>
          </cell>
          <cell r="U1546">
            <v>45425</v>
          </cell>
          <cell r="V1546" t="str">
            <v>금형사업부</v>
          </cell>
          <cell r="Y1546">
            <v>60</v>
          </cell>
          <cell r="Z1546">
            <v>5272</v>
          </cell>
          <cell r="AC1546" t="str">
            <v>2024-05-21코팅입고</v>
          </cell>
          <cell r="AD1546">
            <v>0.85</v>
          </cell>
          <cell r="AE1546">
            <v>70</v>
          </cell>
        </row>
        <row r="1547">
          <cell r="A1547" t="str">
            <v>HS-0.5호</v>
          </cell>
          <cell r="B1547" t="str">
            <v>BOX</v>
          </cell>
          <cell r="C1547">
            <v>6</v>
          </cell>
          <cell r="D1547">
            <v>70</v>
          </cell>
          <cell r="E1547">
            <v>73</v>
          </cell>
          <cell r="F1547">
            <v>65</v>
          </cell>
          <cell r="G1547" t="str">
            <v>SE2500M</v>
          </cell>
          <cell r="H1547">
            <v>24</v>
          </cell>
          <cell r="I1547">
            <v>2</v>
          </cell>
          <cell r="J1547" t="str">
            <v>삼일이노팩</v>
          </cell>
          <cell r="K1547">
            <v>58</v>
          </cell>
          <cell r="L1547">
            <v>62</v>
          </cell>
          <cell r="M1547">
            <v>96</v>
          </cell>
          <cell r="N1547">
            <v>100</v>
          </cell>
          <cell r="P1547">
            <v>1700</v>
          </cell>
          <cell r="Q1547">
            <v>250</v>
          </cell>
          <cell r="R1547" t="str">
            <v>파랑</v>
          </cell>
          <cell r="U1547">
            <v>45425</v>
          </cell>
          <cell r="V1547" t="str">
            <v>금형사업부</v>
          </cell>
          <cell r="Y1547">
            <v>60</v>
          </cell>
          <cell r="Z1547">
            <v>5272</v>
          </cell>
          <cell r="AC1547" t="str">
            <v>2024-05-21코팅입고</v>
          </cell>
          <cell r="AD1547">
            <v>0.85</v>
          </cell>
          <cell r="AE1547">
            <v>70</v>
          </cell>
        </row>
        <row r="1548">
          <cell r="A1548" t="str">
            <v>HS-0.5호</v>
          </cell>
          <cell r="B1548" t="str">
            <v>BOX</v>
          </cell>
          <cell r="C1548">
            <v>6</v>
          </cell>
          <cell r="D1548">
            <v>70</v>
          </cell>
          <cell r="E1548">
            <v>73</v>
          </cell>
          <cell r="F1548">
            <v>65</v>
          </cell>
          <cell r="G1548" t="str">
            <v>SE2500M</v>
          </cell>
          <cell r="H1548">
            <v>24</v>
          </cell>
          <cell r="I1548">
            <v>2</v>
          </cell>
          <cell r="J1548" t="str">
            <v>삼일이노팩</v>
          </cell>
          <cell r="K1548">
            <v>58</v>
          </cell>
          <cell r="L1548">
            <v>62</v>
          </cell>
          <cell r="M1548">
            <v>96</v>
          </cell>
          <cell r="N1548">
            <v>100</v>
          </cell>
          <cell r="P1548">
            <v>1700</v>
          </cell>
          <cell r="Q1548">
            <v>250</v>
          </cell>
          <cell r="R1548" t="str">
            <v>파랑</v>
          </cell>
          <cell r="U1548">
            <v>45425</v>
          </cell>
          <cell r="V1548" t="str">
            <v>금형사업부</v>
          </cell>
          <cell r="Y1548">
            <v>60</v>
          </cell>
          <cell r="Z1548">
            <v>5272</v>
          </cell>
          <cell r="AC1548" t="str">
            <v>2024-05-21코팅입고</v>
          </cell>
          <cell r="AD1548">
            <v>0.85</v>
          </cell>
          <cell r="AE1548">
            <v>70</v>
          </cell>
        </row>
        <row r="1549">
          <cell r="A1549" t="str">
            <v>HRX-420</v>
          </cell>
          <cell r="B1549" t="str">
            <v>SET</v>
          </cell>
          <cell r="C1549">
            <v>14</v>
          </cell>
          <cell r="D1549">
            <v>100</v>
          </cell>
          <cell r="E1549">
            <v>23</v>
          </cell>
          <cell r="F1549">
            <v>70</v>
          </cell>
          <cell r="G1549" t="str">
            <v>B240NS</v>
          </cell>
          <cell r="H1549">
            <v>60</v>
          </cell>
          <cell r="I1549">
            <v>1</v>
          </cell>
          <cell r="J1549" t="str">
            <v>한화테크윈</v>
          </cell>
          <cell r="K1549">
            <v>60</v>
          </cell>
          <cell r="L1549">
            <v>62</v>
          </cell>
          <cell r="P1549">
            <v>1360</v>
          </cell>
          <cell r="Q1549">
            <v>150</v>
          </cell>
          <cell r="R1549" t="str">
            <v>빨강</v>
          </cell>
          <cell r="U1549">
            <v>43922</v>
          </cell>
          <cell r="V1549" t="str">
            <v>금형제조부</v>
          </cell>
          <cell r="W1549" t="str">
            <v>PM02-00597A</v>
          </cell>
          <cell r="Y1549">
            <v>60</v>
          </cell>
          <cell r="Z1549">
            <v>1379</v>
          </cell>
          <cell r="AC1549" t="str">
            <v>석상준과장, 2020.04.08 BURR 및 파손 수리</v>
          </cell>
          <cell r="AD1549">
            <v>0.85</v>
          </cell>
          <cell r="AF1549">
            <v>4</v>
          </cell>
        </row>
        <row r="1550">
          <cell r="A1550" t="str">
            <v>HRH#2</v>
          </cell>
          <cell r="B1550" t="str">
            <v>SET</v>
          </cell>
          <cell r="C1550">
            <v>2</v>
          </cell>
          <cell r="D1550">
            <v>70</v>
          </cell>
          <cell r="E1550">
            <v>340</v>
          </cell>
          <cell r="F1550">
            <v>70</v>
          </cell>
          <cell r="G1550" t="str">
            <v>B240NS</v>
          </cell>
          <cell r="H1550">
            <v>5</v>
          </cell>
          <cell r="I1550">
            <v>2</v>
          </cell>
          <cell r="J1550" t="str">
            <v>하츠</v>
          </cell>
          <cell r="K1550">
            <v>99</v>
          </cell>
          <cell r="L1550">
            <v>101</v>
          </cell>
          <cell r="M1550">
            <v>99</v>
          </cell>
          <cell r="N1550">
            <v>101</v>
          </cell>
          <cell r="O1550">
            <v>2100</v>
          </cell>
          <cell r="P1550">
            <v>1360</v>
          </cell>
          <cell r="Q1550">
            <v>200</v>
          </cell>
          <cell r="R1550" t="str">
            <v>흰색</v>
          </cell>
          <cell r="U1550">
            <v>45555</v>
          </cell>
          <cell r="V1550" t="str">
            <v>금형제조부</v>
          </cell>
          <cell r="X1550" t="str">
            <v>E-0706</v>
          </cell>
          <cell r="Y1550">
            <v>50</v>
          </cell>
          <cell r="AD1550">
            <v>0.83</v>
          </cell>
          <cell r="AE1550">
            <v>80</v>
          </cell>
        </row>
        <row r="1551">
          <cell r="A1551" t="str">
            <v>HRH</v>
          </cell>
          <cell r="B1551" t="str">
            <v>SET</v>
          </cell>
          <cell r="C1551">
            <v>2</v>
          </cell>
          <cell r="D1551">
            <v>70</v>
          </cell>
          <cell r="E1551">
            <v>270</v>
          </cell>
          <cell r="F1551">
            <v>58</v>
          </cell>
          <cell r="G1551" t="str">
            <v>B240NS</v>
          </cell>
          <cell r="H1551">
            <v>5</v>
          </cell>
          <cell r="I1551">
            <v>2</v>
          </cell>
          <cell r="J1551" t="str">
            <v>하츠</v>
          </cell>
          <cell r="K1551">
            <v>68</v>
          </cell>
          <cell r="L1551">
            <v>72</v>
          </cell>
          <cell r="M1551">
            <v>68</v>
          </cell>
          <cell r="N1551">
            <v>72</v>
          </cell>
          <cell r="O1551">
            <v>1430</v>
          </cell>
          <cell r="P1551">
            <v>1300</v>
          </cell>
          <cell r="Q1551">
            <v>150</v>
          </cell>
          <cell r="R1551" t="str">
            <v>검정</v>
          </cell>
          <cell r="S1551" t="str">
            <v>검정</v>
          </cell>
          <cell r="T1551" t="str">
            <v>M310-00202/M310-00203</v>
          </cell>
          <cell r="U1551">
            <v>41719</v>
          </cell>
          <cell r="V1551" t="str">
            <v>하츠이동입고</v>
          </cell>
          <cell r="W1551" t="str">
            <v>중량,융착확인필.초물330g내외, 62배 확인!</v>
          </cell>
          <cell r="X1551" t="str">
            <v>E-0706</v>
          </cell>
          <cell r="Y1551">
            <v>50</v>
          </cell>
          <cell r="AC1551" t="str">
            <v>조우리사원,2014.08.19배율변경(57배-&gt;65배)2015.02.09생산배율변경(65-&gt;57배),2015.10.22 끈색 및 묶음단위변경 (노랑,파랑-&gt;검정 , 10-&gt;5) 18.10.26 62배--&gt;68배(실중량327g), 2021.01.15배율변경(62-&gt;56), 2021.11.08코팅</v>
          </cell>
          <cell r="AD1551">
            <v>0.83</v>
          </cell>
          <cell r="AE1551">
            <v>80</v>
          </cell>
          <cell r="AF1551">
            <v>6</v>
          </cell>
        </row>
        <row r="1552">
          <cell r="A1552" t="str">
            <v>HRD-1661</v>
          </cell>
          <cell r="B1552" t="str">
            <v>SET</v>
          </cell>
          <cell r="C1552">
            <v>4</v>
          </cell>
          <cell r="D1552">
            <v>100</v>
          </cell>
          <cell r="E1552">
            <v>110</v>
          </cell>
          <cell r="F1552">
            <v>65</v>
          </cell>
          <cell r="G1552" t="str">
            <v>B240NS</v>
          </cell>
          <cell r="H1552">
            <v>20</v>
          </cell>
          <cell r="I1552">
            <v>2</v>
          </cell>
          <cell r="J1552" t="str">
            <v>한화테크윈</v>
          </cell>
          <cell r="K1552">
            <v>108</v>
          </cell>
          <cell r="L1552">
            <v>112</v>
          </cell>
          <cell r="M1552">
            <v>108</v>
          </cell>
          <cell r="N1552">
            <v>112</v>
          </cell>
          <cell r="P1552">
            <v>1360</v>
          </cell>
          <cell r="Q1552">
            <v>200</v>
          </cell>
          <cell r="R1552" t="str">
            <v>빨강</v>
          </cell>
          <cell r="S1552" t="str">
            <v>빨강</v>
          </cell>
          <cell r="T1552" t="str">
            <v>간이(2*1), HRX-1620/820/421</v>
          </cell>
          <cell r="U1552">
            <v>43637</v>
          </cell>
          <cell r="V1552" t="str">
            <v>세일하이테크</v>
          </cell>
          <cell r="W1552" t="str">
            <v>MF02-005343A/44A</v>
          </cell>
          <cell r="Y1552">
            <v>50</v>
          </cell>
          <cell r="Z1552">
            <v>5449</v>
          </cell>
          <cell r="AC1552" t="str">
            <v>19.09.02모델명변경(HRD-1661-&gt;HRX-1620),2021.04.13 수정, 2021.01.03 개조</v>
          </cell>
          <cell r="AD1552">
            <v>0.85</v>
          </cell>
          <cell r="AE1552">
            <v>100</v>
          </cell>
          <cell r="AF1552">
            <v>6</v>
          </cell>
        </row>
        <row r="1553">
          <cell r="A1553" t="str">
            <v>HRC-PKG-STD</v>
          </cell>
          <cell r="B1553" t="str">
            <v>SET</v>
          </cell>
          <cell r="C1553">
            <v>3</v>
          </cell>
          <cell r="D1553">
            <v>100</v>
          </cell>
          <cell r="E1553">
            <v>242</v>
          </cell>
          <cell r="F1553">
            <v>70</v>
          </cell>
          <cell r="G1553" t="str">
            <v>B240NS</v>
          </cell>
          <cell r="H1553">
            <v>5</v>
          </cell>
          <cell r="I1553">
            <v>2</v>
          </cell>
          <cell r="J1553" t="str">
            <v>오비오</v>
          </cell>
          <cell r="O1553">
            <v>1640</v>
          </cell>
          <cell r="P1553">
            <v>1360</v>
          </cell>
          <cell r="Q1553">
            <v>200</v>
          </cell>
          <cell r="R1553" t="str">
            <v>보라</v>
          </cell>
          <cell r="U1553">
            <v>44662</v>
          </cell>
          <cell r="V1553" t="str">
            <v>이관금형</v>
          </cell>
          <cell r="W1553" t="str">
            <v>60100195,  60100205</v>
          </cell>
          <cell r="Y1553">
            <v>50</v>
          </cell>
          <cell r="AC1553" t="str">
            <v>김영석사원</v>
          </cell>
          <cell r="AD1553">
            <v>0.85</v>
          </cell>
        </row>
        <row r="1554">
          <cell r="A1554" t="str">
            <v>HRC-PKG-STD</v>
          </cell>
          <cell r="B1554" t="str">
            <v>SET</v>
          </cell>
          <cell r="C1554">
            <v>3</v>
          </cell>
          <cell r="D1554">
            <v>100</v>
          </cell>
          <cell r="E1554">
            <v>242</v>
          </cell>
          <cell r="F1554">
            <v>58</v>
          </cell>
          <cell r="G1554" t="str">
            <v>B240NS</v>
          </cell>
          <cell r="H1554">
            <v>5</v>
          </cell>
          <cell r="I1554">
            <v>2</v>
          </cell>
          <cell r="J1554" t="str">
            <v>오비오</v>
          </cell>
          <cell r="O1554">
            <v>1640</v>
          </cell>
          <cell r="P1554">
            <v>1360</v>
          </cell>
          <cell r="Q1554">
            <v>200</v>
          </cell>
          <cell r="R1554" t="str">
            <v>보라</v>
          </cell>
          <cell r="U1554">
            <v>44662</v>
          </cell>
          <cell r="V1554" t="str">
            <v>이관금형</v>
          </cell>
          <cell r="W1554" t="str">
            <v>60100195,  60100205</v>
          </cell>
          <cell r="Y1554">
            <v>50</v>
          </cell>
          <cell r="AC1554" t="str">
            <v>김영석사원</v>
          </cell>
          <cell r="AD1554">
            <v>0.85</v>
          </cell>
        </row>
        <row r="1555">
          <cell r="A1555" t="str">
            <v>HRC-PKG-C</v>
          </cell>
          <cell r="B1555" t="str">
            <v>SET</v>
          </cell>
          <cell r="C1555">
            <v>3</v>
          </cell>
          <cell r="D1555">
            <v>100</v>
          </cell>
          <cell r="E1555">
            <v>244</v>
          </cell>
          <cell r="F1555">
            <v>70</v>
          </cell>
          <cell r="G1555" t="str">
            <v>B240NS</v>
          </cell>
          <cell r="H1555">
            <v>10</v>
          </cell>
          <cell r="I1555">
            <v>2</v>
          </cell>
          <cell r="J1555" t="str">
            <v>오비오</v>
          </cell>
          <cell r="O1555">
            <v>1710</v>
          </cell>
          <cell r="P1555">
            <v>1360</v>
          </cell>
          <cell r="Q1555">
            <v>200</v>
          </cell>
          <cell r="R1555" t="str">
            <v>빨강</v>
          </cell>
          <cell r="U1555">
            <v>44662</v>
          </cell>
          <cell r="V1555" t="str">
            <v>이관금형</v>
          </cell>
          <cell r="W1555" t="str">
            <v>60100194,  60100204</v>
          </cell>
          <cell r="Y1555">
            <v>50</v>
          </cell>
          <cell r="AC1555" t="str">
            <v>김영석사원</v>
          </cell>
          <cell r="AD1555">
            <v>0.85</v>
          </cell>
        </row>
        <row r="1556">
          <cell r="A1556" t="str">
            <v>HRC-PKG-C</v>
          </cell>
          <cell r="B1556" t="str">
            <v>SET</v>
          </cell>
          <cell r="C1556">
            <v>3</v>
          </cell>
          <cell r="D1556">
            <v>100</v>
          </cell>
          <cell r="E1556">
            <v>244</v>
          </cell>
          <cell r="F1556">
            <v>58</v>
          </cell>
          <cell r="G1556" t="str">
            <v>B240NS</v>
          </cell>
          <cell r="H1556">
            <v>1</v>
          </cell>
          <cell r="I1556">
            <v>2</v>
          </cell>
          <cell r="J1556" t="str">
            <v>오비오</v>
          </cell>
          <cell r="O1556">
            <v>1710</v>
          </cell>
          <cell r="P1556">
            <v>1300</v>
          </cell>
          <cell r="U1556">
            <v>44662</v>
          </cell>
          <cell r="V1556" t="str">
            <v>이관금형</v>
          </cell>
          <cell r="W1556" t="str">
            <v>60100194,  60100204</v>
          </cell>
          <cell r="Y1556">
            <v>50</v>
          </cell>
          <cell r="AC1556" t="str">
            <v>김영석사원</v>
          </cell>
          <cell r="AD1556">
            <v>0.85</v>
          </cell>
        </row>
        <row r="1557">
          <cell r="A1557" t="str">
            <v>HRC-F/R</v>
          </cell>
          <cell r="B1557" t="str">
            <v>저발</v>
          </cell>
          <cell r="C1557">
            <v>3</v>
          </cell>
          <cell r="D1557">
            <v>100</v>
          </cell>
          <cell r="E1557">
            <v>86</v>
          </cell>
          <cell r="F1557">
            <v>58</v>
          </cell>
          <cell r="G1557" t="str">
            <v>B240NS</v>
          </cell>
          <cell r="H1557">
            <v>24</v>
          </cell>
          <cell r="I1557">
            <v>2</v>
          </cell>
          <cell r="J1557" t="str">
            <v>오비오</v>
          </cell>
          <cell r="O1557">
            <v>760</v>
          </cell>
          <cell r="P1557">
            <v>500</v>
          </cell>
          <cell r="R1557" t="str">
            <v>빨강</v>
          </cell>
          <cell r="U1557">
            <v>44662</v>
          </cell>
          <cell r="V1557" t="str">
            <v>이관금형</v>
          </cell>
          <cell r="W1557" t="str">
            <v>60100200, 60100199</v>
          </cell>
          <cell r="Y1557">
            <v>50</v>
          </cell>
          <cell r="AC1557" t="str">
            <v>김영석사원</v>
          </cell>
          <cell r="AD1557">
            <v>0.85</v>
          </cell>
        </row>
        <row r="1558">
          <cell r="A1558" t="str">
            <v>HRC-F/R</v>
          </cell>
          <cell r="B1558" t="str">
            <v>SET</v>
          </cell>
          <cell r="C1558">
            <v>3</v>
          </cell>
          <cell r="D1558">
            <v>100</v>
          </cell>
          <cell r="E1558">
            <v>145</v>
          </cell>
          <cell r="F1558">
            <v>58</v>
          </cell>
          <cell r="G1558" t="str">
            <v>B240NS</v>
          </cell>
          <cell r="H1558">
            <v>24</v>
          </cell>
          <cell r="I1558">
            <v>2</v>
          </cell>
          <cell r="J1558" t="str">
            <v>오비오</v>
          </cell>
          <cell r="O1558">
            <v>760</v>
          </cell>
          <cell r="P1558">
            <v>500</v>
          </cell>
          <cell r="R1558" t="str">
            <v>빨강</v>
          </cell>
          <cell r="U1558">
            <v>44662</v>
          </cell>
          <cell r="V1558" t="str">
            <v>이관금형</v>
          </cell>
          <cell r="W1558" t="str">
            <v>60100200, 60100199</v>
          </cell>
          <cell r="Y1558">
            <v>50</v>
          </cell>
          <cell r="AC1558" t="str">
            <v>김영석사원</v>
          </cell>
          <cell r="AD1558">
            <v>0.85</v>
          </cell>
        </row>
        <row r="1559">
          <cell r="A1559" t="str">
            <v>HRC-BOT</v>
          </cell>
          <cell r="B1559" t="str">
            <v>저발</v>
          </cell>
          <cell r="C1559">
            <v>4</v>
          </cell>
          <cell r="D1559">
            <v>100</v>
          </cell>
          <cell r="E1559">
            <v>145</v>
          </cell>
          <cell r="F1559">
            <v>50</v>
          </cell>
          <cell r="G1559" t="str">
            <v>B240NS</v>
          </cell>
          <cell r="H1559">
            <v>8</v>
          </cell>
          <cell r="I1559">
            <v>1</v>
          </cell>
          <cell r="J1559" t="str">
            <v>오비오</v>
          </cell>
          <cell r="O1559">
            <v>520</v>
          </cell>
          <cell r="P1559">
            <v>500</v>
          </cell>
          <cell r="R1559" t="str">
            <v>검정</v>
          </cell>
          <cell r="U1559">
            <v>44662</v>
          </cell>
          <cell r="V1559" t="str">
            <v>이관금형</v>
          </cell>
          <cell r="W1559">
            <v>60100198</v>
          </cell>
          <cell r="Y1559">
            <v>50</v>
          </cell>
          <cell r="AC1559" t="str">
            <v>김영석사원</v>
          </cell>
          <cell r="AD1559">
            <v>0.85</v>
          </cell>
        </row>
        <row r="1560">
          <cell r="A1560" t="str">
            <v>HRC-BOT</v>
          </cell>
          <cell r="B1560" t="str">
            <v>SET</v>
          </cell>
          <cell r="C1560">
            <v>4</v>
          </cell>
          <cell r="D1560">
            <v>100</v>
          </cell>
          <cell r="E1560">
            <v>86</v>
          </cell>
          <cell r="F1560">
            <v>58</v>
          </cell>
          <cell r="G1560" t="str">
            <v>B240NS</v>
          </cell>
          <cell r="H1560">
            <v>8</v>
          </cell>
          <cell r="I1560">
            <v>1</v>
          </cell>
          <cell r="J1560" t="str">
            <v>오비오</v>
          </cell>
          <cell r="O1560">
            <v>520</v>
          </cell>
          <cell r="P1560">
            <v>500</v>
          </cell>
          <cell r="R1560" t="str">
            <v>검정</v>
          </cell>
          <cell r="U1560">
            <v>44662</v>
          </cell>
          <cell r="V1560" t="str">
            <v>이관금형</v>
          </cell>
          <cell r="W1560">
            <v>60100198</v>
          </cell>
          <cell r="Y1560">
            <v>50</v>
          </cell>
          <cell r="AC1560" t="str">
            <v>김영석사원</v>
          </cell>
          <cell r="AD1560">
            <v>0.85</v>
          </cell>
        </row>
        <row r="1561">
          <cell r="A1561" t="str">
            <v>HQ-P2010</v>
          </cell>
          <cell r="B1561" t="str">
            <v>회색</v>
          </cell>
          <cell r="C1561">
            <v>4</v>
          </cell>
          <cell r="D1561">
            <v>150</v>
          </cell>
          <cell r="E1561">
            <v>53</v>
          </cell>
          <cell r="F1561">
            <v>24</v>
          </cell>
          <cell r="G1561" t="str">
            <v>ZP2500</v>
          </cell>
          <cell r="H1561">
            <v>40</v>
          </cell>
          <cell r="I1561">
            <v>3</v>
          </cell>
          <cell r="J1561" t="str">
            <v>유노이아</v>
          </cell>
          <cell r="K1561">
            <v>31.9</v>
          </cell>
          <cell r="L1561">
            <v>33.9</v>
          </cell>
          <cell r="M1561">
            <v>68.7</v>
          </cell>
          <cell r="N1561">
            <v>70.7</v>
          </cell>
          <cell r="O1561">
            <v>660</v>
          </cell>
          <cell r="P1561">
            <v>1360</v>
          </cell>
          <cell r="Q1561">
            <v>200</v>
          </cell>
          <cell r="R1561" t="str">
            <v>흰색</v>
          </cell>
          <cell r="U1561">
            <v>43920</v>
          </cell>
          <cell r="V1561" t="str">
            <v>세일하이테크</v>
          </cell>
          <cell r="W1561" t="str">
            <v>융착관리 및 파손주의 (세아전자 ~유노이아 사명 변경2022.05.30)</v>
          </cell>
          <cell r="Y1561">
            <v>20</v>
          </cell>
          <cell r="Z1561">
            <v>1126</v>
          </cell>
          <cell r="AC1561" t="str">
            <v>석상준과장, FRAME(CORE,CAVITY), 핀, 휘다 일체, 2020.04.03수리입고, 2020.06.09 개조입고, 2021.07.19 이동재코팅, 2021.09.07 핀재제작</v>
          </cell>
          <cell r="AD1561">
            <v>0.85</v>
          </cell>
          <cell r="AE1561">
            <v>120</v>
          </cell>
          <cell r="AF1561">
            <v>6</v>
          </cell>
        </row>
        <row r="1562">
          <cell r="A1562" t="str">
            <v>HPF300-L/R</v>
          </cell>
          <cell r="B1562" t="str">
            <v>저발</v>
          </cell>
          <cell r="C1562">
            <v>2</v>
          </cell>
          <cell r="D1562">
            <v>90</v>
          </cell>
          <cell r="E1562">
            <v>82</v>
          </cell>
          <cell r="F1562">
            <v>74</v>
          </cell>
          <cell r="G1562" t="str">
            <v>B240NS</v>
          </cell>
          <cell r="H1562">
            <v>1</v>
          </cell>
          <cell r="I1562">
            <v>4</v>
          </cell>
          <cell r="J1562" t="str">
            <v>한일전기</v>
          </cell>
          <cell r="P1562">
            <v>500</v>
          </cell>
          <cell r="Q1562">
            <v>0</v>
          </cell>
          <cell r="R1562" t="str">
            <v>검정</v>
          </cell>
          <cell r="U1562">
            <v>44767</v>
          </cell>
          <cell r="V1562" t="str">
            <v>이관금형</v>
          </cell>
          <cell r="AC1562" t="str">
            <v>김영석사원</v>
          </cell>
          <cell r="AD1562">
            <v>0.85</v>
          </cell>
        </row>
        <row r="1563">
          <cell r="A1563" t="str">
            <v>HPF300-L/R</v>
          </cell>
          <cell r="B1563" t="str">
            <v>SET</v>
          </cell>
          <cell r="C1563">
            <v>2</v>
          </cell>
          <cell r="D1563">
            <v>100</v>
          </cell>
          <cell r="E1563">
            <v>82</v>
          </cell>
          <cell r="F1563">
            <v>74</v>
          </cell>
          <cell r="G1563" t="str">
            <v>B240NS</v>
          </cell>
          <cell r="H1563">
            <v>1</v>
          </cell>
          <cell r="I1563">
            <v>4</v>
          </cell>
          <cell r="J1563" t="str">
            <v>한일전기</v>
          </cell>
          <cell r="P1563">
            <v>500</v>
          </cell>
          <cell r="U1563">
            <v>44767</v>
          </cell>
          <cell r="V1563" t="str">
            <v>이관금형</v>
          </cell>
          <cell r="AC1563" t="str">
            <v>김영석사원</v>
          </cell>
          <cell r="AD1563">
            <v>0.85</v>
          </cell>
        </row>
        <row r="1564">
          <cell r="A1564" t="str">
            <v>HOOK-DIE</v>
          </cell>
          <cell r="B1564" t="str">
            <v>SET</v>
          </cell>
          <cell r="C1564">
            <v>9</v>
          </cell>
          <cell r="D1564">
            <v>70</v>
          </cell>
          <cell r="E1564">
            <v>45</v>
          </cell>
          <cell r="F1564">
            <v>50</v>
          </cell>
          <cell r="G1564" t="str">
            <v>B240NS</v>
          </cell>
          <cell r="H1564">
            <v>60</v>
          </cell>
          <cell r="I1564">
            <v>1</v>
          </cell>
          <cell r="J1564" t="str">
            <v>릴테크</v>
          </cell>
          <cell r="K1564">
            <v>39</v>
          </cell>
          <cell r="L1564">
            <v>41</v>
          </cell>
          <cell r="O1564">
            <v>320</v>
          </cell>
          <cell r="P1564">
            <v>1300</v>
          </cell>
          <cell r="Q1564">
            <v>150</v>
          </cell>
          <cell r="R1564" t="str">
            <v>녹색</v>
          </cell>
          <cell r="S1564" t="str">
            <v>녹색</v>
          </cell>
          <cell r="T1564" t="str">
            <v>HOOK-DIE(후크다이)</v>
          </cell>
          <cell r="U1564">
            <v>39777</v>
          </cell>
          <cell r="V1564" t="str">
            <v>삼일금형</v>
          </cell>
          <cell r="X1564" t="str">
            <v>P-0401</v>
          </cell>
          <cell r="AC1564" t="str">
            <v>개 / 2023.04.03 (코아교체완료)</v>
          </cell>
          <cell r="AD1564">
            <v>0.85</v>
          </cell>
          <cell r="AE1564">
            <v>70</v>
          </cell>
          <cell r="AF1564">
            <v>10</v>
          </cell>
        </row>
        <row r="1565">
          <cell r="A1565" t="str">
            <v>HK-케비어(회색30배)</v>
          </cell>
          <cell r="B1565" t="str">
            <v>저발</v>
          </cell>
          <cell r="C1565">
            <v>1</v>
          </cell>
          <cell r="D1565">
            <v>200</v>
          </cell>
          <cell r="E1565">
            <v>140</v>
          </cell>
          <cell r="F1565">
            <v>36</v>
          </cell>
          <cell r="G1565" t="str">
            <v>ZP2500</v>
          </cell>
          <cell r="H1565" t="str">
            <v>몸통15뚜껑15</v>
          </cell>
          <cell r="I1565">
            <v>5</v>
          </cell>
          <cell r="J1565" t="str">
            <v>한국이노팩</v>
          </cell>
          <cell r="K1565">
            <v>54</v>
          </cell>
          <cell r="L1565">
            <v>56</v>
          </cell>
          <cell r="M1565">
            <v>66</v>
          </cell>
          <cell r="N1565">
            <v>68</v>
          </cell>
          <cell r="P1565">
            <v>700</v>
          </cell>
          <cell r="Q1565">
            <v>150</v>
          </cell>
          <cell r="R1565" t="str">
            <v>검정</v>
          </cell>
          <cell r="S1565" t="str">
            <v>검정</v>
          </cell>
          <cell r="U1565">
            <v>43781</v>
          </cell>
          <cell r="V1565" t="str">
            <v>금형제조부</v>
          </cell>
          <cell r="W1565" t="str">
            <v>코아4개 분리</v>
          </cell>
          <cell r="Y1565">
            <v>30</v>
          </cell>
          <cell r="Z1565">
            <v>5846</v>
          </cell>
          <cell r="AC1565" t="str">
            <v>191127 캐비티/코어1개 막음(6*1 --&gt;5*1로 변경)</v>
          </cell>
          <cell r="AD1565">
            <v>0.85</v>
          </cell>
          <cell r="AE1565">
            <v>100</v>
          </cell>
          <cell r="AF1565">
            <v>6</v>
          </cell>
        </row>
        <row r="1566">
          <cell r="A1566" t="str">
            <v>HK-초콜릿박스</v>
          </cell>
          <cell r="B1566" t="str">
            <v>BOX</v>
          </cell>
          <cell r="C1566">
            <v>8</v>
          </cell>
          <cell r="D1566">
            <v>70</v>
          </cell>
          <cell r="E1566">
            <v>52</v>
          </cell>
          <cell r="F1566">
            <v>74</v>
          </cell>
          <cell r="G1566" t="str">
            <v>SE2500M</v>
          </cell>
          <cell r="H1566">
            <v>20</v>
          </cell>
          <cell r="I1566">
            <v>2</v>
          </cell>
          <cell r="J1566" t="str">
            <v>한국이노팩</v>
          </cell>
          <cell r="K1566">
            <v>36</v>
          </cell>
          <cell r="L1566">
            <v>40</v>
          </cell>
          <cell r="M1566">
            <v>138</v>
          </cell>
          <cell r="N1566">
            <v>142</v>
          </cell>
          <cell r="P1566">
            <v>1360</v>
          </cell>
          <cell r="Q1566">
            <v>250</v>
          </cell>
          <cell r="R1566" t="str">
            <v>검정</v>
          </cell>
          <cell r="S1566" t="str">
            <v>검정</v>
          </cell>
          <cell r="U1566">
            <v>44295</v>
          </cell>
          <cell r="V1566" t="str">
            <v>세일하이테크</v>
          </cell>
          <cell r="Y1566">
            <v>64</v>
          </cell>
          <cell r="Z1566">
            <v>3300</v>
          </cell>
          <cell r="AC1566" t="str">
            <v>석상준과장, 2021.06.14 CAVITY추가(2*4-&gt;2*8)</v>
          </cell>
          <cell r="AD1566">
            <v>0.85</v>
          </cell>
          <cell r="AF1566">
            <v>3</v>
          </cell>
        </row>
        <row r="1567">
          <cell r="A1567" t="str">
            <v>HK와인박스6구</v>
          </cell>
          <cell r="B1567" t="str">
            <v>BOX</v>
          </cell>
          <cell r="C1567">
            <v>5</v>
          </cell>
          <cell r="D1567">
            <v>100</v>
          </cell>
          <cell r="E1567">
            <v>266</v>
          </cell>
          <cell r="F1567">
            <v>58</v>
          </cell>
          <cell r="G1567" t="str">
            <v>SE2500M</v>
          </cell>
          <cell r="H1567">
            <v>6</v>
          </cell>
          <cell r="I1567">
            <v>2</v>
          </cell>
          <cell r="J1567" t="str">
            <v>한국이노팩</v>
          </cell>
          <cell r="K1567">
            <v>93</v>
          </cell>
          <cell r="L1567">
            <v>97</v>
          </cell>
          <cell r="M1567">
            <v>234</v>
          </cell>
          <cell r="N1567">
            <v>241</v>
          </cell>
          <cell r="P1567">
            <v>1360</v>
          </cell>
          <cell r="Q1567">
            <v>350</v>
          </cell>
          <cell r="R1567" t="str">
            <v>녹색</v>
          </cell>
          <cell r="S1567" t="str">
            <v>녹색</v>
          </cell>
          <cell r="U1567">
            <v>44505</v>
          </cell>
          <cell r="V1567" t="str">
            <v>금형사업부</v>
          </cell>
          <cell r="Y1567">
            <v>50</v>
          </cell>
          <cell r="AC1567" t="str">
            <v>김영석사원, 2021.01.17 코팅</v>
          </cell>
          <cell r="AD1567">
            <v>0.85</v>
          </cell>
          <cell r="AF1567">
            <v>2</v>
          </cell>
        </row>
        <row r="1568">
          <cell r="A1568" t="str">
            <v>HK와인박스2구</v>
          </cell>
          <cell r="B1568" t="str">
            <v>BOX</v>
          </cell>
          <cell r="C1568">
            <v>7</v>
          </cell>
          <cell r="D1568">
            <v>80</v>
          </cell>
          <cell r="E1568">
            <v>120</v>
          </cell>
          <cell r="F1568">
            <v>58</v>
          </cell>
          <cell r="G1568" t="str">
            <v>SE2500M</v>
          </cell>
          <cell r="H1568">
            <v>12</v>
          </cell>
          <cell r="I1568">
            <v>2</v>
          </cell>
          <cell r="J1568" t="str">
            <v>한국이노팩</v>
          </cell>
          <cell r="K1568">
            <v>93</v>
          </cell>
          <cell r="L1568">
            <v>97</v>
          </cell>
          <cell r="M1568">
            <v>237</v>
          </cell>
          <cell r="N1568">
            <v>241</v>
          </cell>
          <cell r="P1568">
            <v>1360</v>
          </cell>
          <cell r="Q1568">
            <v>350</v>
          </cell>
          <cell r="R1568" t="str">
            <v>노랑</v>
          </cell>
          <cell r="S1568" t="str">
            <v>노랑</v>
          </cell>
          <cell r="U1568">
            <v>44299</v>
          </cell>
          <cell r="V1568" t="str">
            <v>금형사업부</v>
          </cell>
          <cell r="Y1568">
            <v>50</v>
          </cell>
          <cell r="Z1568">
            <v>6015</v>
          </cell>
          <cell r="AC1568" t="str">
            <v>김영석사원, 2021.05.18 코팅</v>
          </cell>
          <cell r="AD1568">
            <v>0.85</v>
          </cell>
          <cell r="AF1568">
            <v>6</v>
          </cell>
        </row>
        <row r="1569">
          <cell r="A1569" t="str">
            <v>HK-HANDSOME</v>
          </cell>
          <cell r="B1569" t="str">
            <v>회색</v>
          </cell>
          <cell r="C1569">
            <v>4</v>
          </cell>
          <cell r="D1569">
            <v>100</v>
          </cell>
          <cell r="E1569">
            <v>231</v>
          </cell>
          <cell r="F1569">
            <v>48</v>
          </cell>
          <cell r="G1569" t="str">
            <v>ZP2500</v>
          </cell>
          <cell r="H1569">
            <v>1</v>
          </cell>
          <cell r="I1569">
            <v>2</v>
          </cell>
          <cell r="J1569" t="str">
            <v>한국이노팩</v>
          </cell>
          <cell r="K1569">
            <v>28</v>
          </cell>
          <cell r="L1569">
            <v>32</v>
          </cell>
          <cell r="M1569">
            <v>116</v>
          </cell>
          <cell r="N1569">
            <v>120</v>
          </cell>
          <cell r="P1569">
            <v>1360</v>
          </cell>
          <cell r="Q1569">
            <v>200</v>
          </cell>
          <cell r="T1569" t="str">
            <v>GIFTBOX</v>
          </cell>
          <cell r="U1569">
            <v>44208</v>
          </cell>
          <cell r="V1569" t="str">
            <v>세일하이테크</v>
          </cell>
          <cell r="Y1569">
            <v>40</v>
          </cell>
          <cell r="AC1569" t="str">
            <v>석상준과장</v>
          </cell>
          <cell r="AD1569">
            <v>0.85</v>
          </cell>
          <cell r="AF1569">
            <v>6</v>
          </cell>
        </row>
        <row r="1570">
          <cell r="A1570" t="str">
            <v>HK-BOX(30배)</v>
          </cell>
          <cell r="B1570" t="str">
            <v>BOX</v>
          </cell>
          <cell r="C1570">
            <v>2</v>
          </cell>
          <cell r="D1570">
            <v>110</v>
          </cell>
          <cell r="E1570">
            <v>1506</v>
          </cell>
          <cell r="F1570">
            <v>36</v>
          </cell>
          <cell r="G1570" t="str">
            <v>B240NS</v>
          </cell>
          <cell r="H1570">
            <v>2</v>
          </cell>
          <cell r="I1570">
            <v>2</v>
          </cell>
          <cell r="J1570" t="str">
            <v>한국이노팩</v>
          </cell>
          <cell r="K1570">
            <v>47.4</v>
          </cell>
          <cell r="L1570">
            <v>51.4</v>
          </cell>
          <cell r="M1570">
            <v>341.4</v>
          </cell>
          <cell r="N1570">
            <v>345.4</v>
          </cell>
          <cell r="P1570">
            <v>1360</v>
          </cell>
          <cell r="Q1570">
            <v>450</v>
          </cell>
          <cell r="R1570" t="str">
            <v>비닐</v>
          </cell>
          <cell r="T1570" t="str">
            <v>1506, 1129</v>
          </cell>
          <cell r="U1570">
            <v>43853</v>
          </cell>
          <cell r="V1570" t="str">
            <v>금형제조부</v>
          </cell>
          <cell r="W1570" t="str">
            <v>냉각불량 주의!!</v>
          </cell>
          <cell r="Y1570">
            <v>40</v>
          </cell>
          <cell r="Z1570">
            <v>45168</v>
          </cell>
          <cell r="AC1570" t="str">
            <v>석상준과장, 2020.04.03 개조입고, 2020.04.27 BURR수리 및 코팅</v>
          </cell>
          <cell r="AD1570">
            <v>0.85</v>
          </cell>
          <cell r="AE1570">
            <v>100</v>
          </cell>
          <cell r="AF1570">
            <v>4</v>
          </cell>
        </row>
        <row r="1571">
          <cell r="A1571" t="str">
            <v>HK-BOX</v>
          </cell>
          <cell r="B1571" t="str">
            <v>BOX</v>
          </cell>
          <cell r="C1571">
            <v>2</v>
          </cell>
          <cell r="D1571">
            <v>110</v>
          </cell>
          <cell r="E1571">
            <v>1129</v>
          </cell>
          <cell r="F1571">
            <v>50</v>
          </cell>
          <cell r="G1571" t="str">
            <v>B240NS</v>
          </cell>
          <cell r="H1571">
            <v>2</v>
          </cell>
          <cell r="I1571">
            <v>2</v>
          </cell>
          <cell r="J1571" t="str">
            <v>한국이노팩</v>
          </cell>
          <cell r="K1571">
            <v>47.4</v>
          </cell>
          <cell r="L1571">
            <v>51.4</v>
          </cell>
          <cell r="M1571">
            <v>341.4</v>
          </cell>
          <cell r="N1571">
            <v>345.4</v>
          </cell>
          <cell r="P1571">
            <v>1360</v>
          </cell>
          <cell r="Q1571">
            <v>450</v>
          </cell>
          <cell r="R1571" t="str">
            <v>비닐</v>
          </cell>
          <cell r="T1571" t="str">
            <v>1506, 1129</v>
          </cell>
          <cell r="U1571">
            <v>43853</v>
          </cell>
          <cell r="V1571" t="str">
            <v>금형제조부</v>
          </cell>
          <cell r="W1571" t="str">
            <v>냉각불량 주의!!</v>
          </cell>
          <cell r="Y1571">
            <v>40</v>
          </cell>
          <cell r="Z1571">
            <v>45168</v>
          </cell>
          <cell r="AC1571" t="str">
            <v>석상준과장, 2020.04.03 개조입고, 2020.04.27 BURR수리 및 코팅</v>
          </cell>
          <cell r="AD1571">
            <v>0.85</v>
          </cell>
          <cell r="AE1571">
            <v>100</v>
          </cell>
          <cell r="AF1571">
            <v>6</v>
          </cell>
        </row>
        <row r="1572">
          <cell r="A1572" t="str">
            <v>HK-8K(64배)</v>
          </cell>
          <cell r="B1572" t="str">
            <v>BOX</v>
          </cell>
          <cell r="C1572">
            <v>4</v>
          </cell>
          <cell r="D1572">
            <v>74</v>
          </cell>
          <cell r="E1572">
            <v>154</v>
          </cell>
          <cell r="F1572">
            <v>65</v>
          </cell>
          <cell r="G1572" t="str">
            <v>B240NS</v>
          </cell>
          <cell r="H1572" t="str">
            <v>몸통10뚜껑20</v>
          </cell>
          <cell r="I1572">
            <v>2</v>
          </cell>
          <cell r="J1572" t="str">
            <v>한국이노팩</v>
          </cell>
          <cell r="K1572">
            <v>58</v>
          </cell>
          <cell r="L1572">
            <v>62</v>
          </cell>
          <cell r="M1572">
            <v>224</v>
          </cell>
          <cell r="N1572">
            <v>229</v>
          </cell>
          <cell r="P1572">
            <v>1360</v>
          </cell>
          <cell r="Q1572">
            <v>300</v>
          </cell>
          <cell r="R1572" t="str">
            <v>검정</v>
          </cell>
          <cell r="S1572" t="str">
            <v>검정</v>
          </cell>
          <cell r="U1572">
            <v>43580</v>
          </cell>
          <cell r="V1572" t="str">
            <v>금형제조부</v>
          </cell>
          <cell r="Y1572">
            <v>50</v>
          </cell>
          <cell r="Z1572">
            <v>9843</v>
          </cell>
          <cell r="AD1572">
            <v>0.85</v>
          </cell>
          <cell r="AE1572">
            <v>70</v>
          </cell>
          <cell r="AF1572">
            <v>6</v>
          </cell>
        </row>
        <row r="1573">
          <cell r="A1573" t="str">
            <v>HK-8K</v>
          </cell>
          <cell r="B1573" t="str">
            <v>BOX</v>
          </cell>
          <cell r="C1573">
            <v>4</v>
          </cell>
          <cell r="D1573">
            <v>68</v>
          </cell>
          <cell r="E1573">
            <v>197</v>
          </cell>
          <cell r="F1573">
            <v>65</v>
          </cell>
          <cell r="G1573" t="str">
            <v>B240NS</v>
          </cell>
          <cell r="H1573" t="str">
            <v>몸통10뚜껑20</v>
          </cell>
          <cell r="I1573">
            <v>2</v>
          </cell>
          <cell r="J1573" t="str">
            <v>한국이노팩</v>
          </cell>
          <cell r="K1573">
            <v>58</v>
          </cell>
          <cell r="L1573">
            <v>62</v>
          </cell>
          <cell r="M1573">
            <v>224</v>
          </cell>
          <cell r="N1573">
            <v>229</v>
          </cell>
          <cell r="P1573">
            <v>1360</v>
          </cell>
          <cell r="Q1573">
            <v>300</v>
          </cell>
          <cell r="R1573" t="str">
            <v>흰색</v>
          </cell>
          <cell r="S1573" t="str">
            <v>흰색</v>
          </cell>
          <cell r="U1573">
            <v>43580</v>
          </cell>
          <cell r="V1573" t="str">
            <v>금형제조부</v>
          </cell>
          <cell r="Y1573">
            <v>50</v>
          </cell>
          <cell r="Z1573">
            <v>9843</v>
          </cell>
          <cell r="AD1573">
            <v>0.85</v>
          </cell>
          <cell r="AE1573">
            <v>70</v>
          </cell>
          <cell r="AF1573">
            <v>6</v>
          </cell>
        </row>
        <row r="1574">
          <cell r="A1574" t="str">
            <v>HK-4구</v>
          </cell>
          <cell r="B1574" t="str">
            <v>SET</v>
          </cell>
          <cell r="C1574">
            <v>2</v>
          </cell>
          <cell r="D1574">
            <v>65</v>
          </cell>
          <cell r="E1574">
            <v>221</v>
          </cell>
          <cell r="F1574">
            <v>74</v>
          </cell>
          <cell r="G1574" t="str">
            <v>SE2500M</v>
          </cell>
          <cell r="H1574">
            <v>6</v>
          </cell>
          <cell r="I1574">
            <v>2</v>
          </cell>
          <cell r="J1574" t="str">
            <v>한국이노팩</v>
          </cell>
          <cell r="K1574">
            <v>73</v>
          </cell>
          <cell r="L1574">
            <v>77</v>
          </cell>
          <cell r="M1574">
            <v>89</v>
          </cell>
          <cell r="N1574">
            <v>93</v>
          </cell>
          <cell r="P1574">
            <v>1360</v>
          </cell>
          <cell r="Q1574">
            <v>200</v>
          </cell>
          <cell r="R1574" t="str">
            <v>빨강</v>
          </cell>
          <cell r="S1574" t="str">
            <v>빨강</v>
          </cell>
          <cell r="U1574">
            <v>44424</v>
          </cell>
          <cell r="V1574" t="str">
            <v>경원 ENG</v>
          </cell>
          <cell r="Y1574">
            <v>64</v>
          </cell>
          <cell r="Z1574">
            <v>14173</v>
          </cell>
          <cell r="AC1574" t="str">
            <v>석상준과장</v>
          </cell>
          <cell r="AD1574">
            <v>0.85</v>
          </cell>
          <cell r="AF1574">
            <v>4</v>
          </cell>
        </row>
        <row r="1575">
          <cell r="A1575" t="str">
            <v>HK-3구</v>
          </cell>
          <cell r="B1575" t="str">
            <v>SET</v>
          </cell>
          <cell r="C1575">
            <v>2</v>
          </cell>
          <cell r="D1575">
            <v>70</v>
          </cell>
          <cell r="E1575">
            <v>187</v>
          </cell>
          <cell r="F1575">
            <v>74</v>
          </cell>
          <cell r="G1575" t="str">
            <v>SE2500M</v>
          </cell>
          <cell r="H1575">
            <v>12</v>
          </cell>
          <cell r="I1575">
            <v>2</v>
          </cell>
          <cell r="J1575" t="str">
            <v>한국이노팩</v>
          </cell>
          <cell r="K1575">
            <v>73</v>
          </cell>
          <cell r="L1575">
            <v>77</v>
          </cell>
          <cell r="M1575">
            <v>92</v>
          </cell>
          <cell r="N1575">
            <v>96</v>
          </cell>
          <cell r="P1575">
            <v>1360</v>
          </cell>
          <cell r="Q1575">
            <v>200</v>
          </cell>
          <cell r="R1575" t="str">
            <v>흰색</v>
          </cell>
          <cell r="S1575" t="str">
            <v>흰색</v>
          </cell>
          <cell r="U1575">
            <v>44424</v>
          </cell>
          <cell r="V1575" t="str">
            <v>경원 ENG</v>
          </cell>
          <cell r="Y1575">
            <v>64</v>
          </cell>
          <cell r="Z1575">
            <v>11983</v>
          </cell>
          <cell r="AC1575" t="str">
            <v>석상준과장</v>
          </cell>
          <cell r="AD1575">
            <v>0.85</v>
          </cell>
          <cell r="AF1575">
            <v>4</v>
          </cell>
        </row>
        <row r="1576">
          <cell r="A1576" t="str">
            <v>HK-3K(64배)</v>
          </cell>
          <cell r="B1576" t="str">
            <v>BOX</v>
          </cell>
          <cell r="C1576">
            <v>4</v>
          </cell>
          <cell r="D1576">
            <v>68</v>
          </cell>
          <cell r="E1576">
            <v>119</v>
          </cell>
          <cell r="F1576">
            <v>74</v>
          </cell>
          <cell r="G1576" t="str">
            <v>B240NS</v>
          </cell>
          <cell r="H1576" t="str">
            <v>몸통10뚜껑20</v>
          </cell>
          <cell r="I1576">
            <v>2</v>
          </cell>
          <cell r="J1576" t="str">
            <v>한국이노팩</v>
          </cell>
          <cell r="K1576">
            <v>59</v>
          </cell>
          <cell r="L1576">
            <v>63</v>
          </cell>
          <cell r="M1576">
            <v>147</v>
          </cell>
          <cell r="N1576">
            <v>152</v>
          </cell>
          <cell r="P1576">
            <v>1360</v>
          </cell>
          <cell r="Q1576">
            <v>250</v>
          </cell>
          <cell r="R1576" t="str">
            <v>녹색</v>
          </cell>
          <cell r="S1576" t="str">
            <v>녹색</v>
          </cell>
          <cell r="U1576">
            <v>43580</v>
          </cell>
          <cell r="V1576" t="str">
            <v>금형제조부</v>
          </cell>
          <cell r="Y1576">
            <v>64</v>
          </cell>
          <cell r="Z1576">
            <v>7624</v>
          </cell>
          <cell r="AC1576" t="str">
            <v>금형없음, HK-3K 동일금형</v>
          </cell>
          <cell r="AD1576">
            <v>0.85</v>
          </cell>
          <cell r="AE1576">
            <v>70</v>
          </cell>
          <cell r="AF1576">
            <v>16</v>
          </cell>
        </row>
        <row r="1577">
          <cell r="A1577" t="str">
            <v>HK-3K</v>
          </cell>
          <cell r="B1577" t="str">
            <v>BOX</v>
          </cell>
          <cell r="C1577">
            <v>4</v>
          </cell>
          <cell r="D1577">
            <v>68</v>
          </cell>
          <cell r="E1577">
            <v>151</v>
          </cell>
          <cell r="F1577">
            <v>65</v>
          </cell>
          <cell r="G1577" t="str">
            <v>B240NS</v>
          </cell>
          <cell r="H1577" t="str">
            <v>몸통10뚜껑20</v>
          </cell>
          <cell r="I1577">
            <v>2</v>
          </cell>
          <cell r="J1577" t="str">
            <v>한국이노팩</v>
          </cell>
          <cell r="K1577">
            <v>59</v>
          </cell>
          <cell r="L1577">
            <v>63</v>
          </cell>
          <cell r="M1577">
            <v>147</v>
          </cell>
          <cell r="N1577">
            <v>152</v>
          </cell>
          <cell r="P1577">
            <v>1360</v>
          </cell>
          <cell r="Q1577">
            <v>250</v>
          </cell>
          <cell r="R1577" t="str">
            <v>노랑</v>
          </cell>
          <cell r="S1577" t="str">
            <v>노랑</v>
          </cell>
          <cell r="U1577">
            <v>43580</v>
          </cell>
          <cell r="V1577" t="str">
            <v>금형제조부</v>
          </cell>
          <cell r="Y1577">
            <v>50</v>
          </cell>
          <cell r="Z1577">
            <v>7624</v>
          </cell>
          <cell r="AD1577">
            <v>0.85</v>
          </cell>
          <cell r="AE1577">
            <v>70</v>
          </cell>
          <cell r="AF1577">
            <v>8</v>
          </cell>
        </row>
        <row r="1578">
          <cell r="A1578" t="str">
            <v>HISENSE-43</v>
          </cell>
          <cell r="B1578" t="str">
            <v>SPL</v>
          </cell>
          <cell r="C1578">
            <v>1</v>
          </cell>
          <cell r="D1578">
            <v>150</v>
          </cell>
          <cell r="E1578">
            <v>366</v>
          </cell>
          <cell r="F1578">
            <v>70</v>
          </cell>
          <cell r="G1578" t="str">
            <v>B240NS</v>
          </cell>
          <cell r="H1578">
            <v>1</v>
          </cell>
          <cell r="I1578">
            <v>1</v>
          </cell>
          <cell r="J1578" t="str">
            <v>KB-FOAM</v>
          </cell>
          <cell r="P1578">
            <v>1600</v>
          </cell>
          <cell r="U1578">
            <v>44323</v>
          </cell>
          <cell r="V1578" t="str">
            <v>금형사업부</v>
          </cell>
          <cell r="AD1578">
            <v>0.85</v>
          </cell>
          <cell r="AF1578">
            <v>4</v>
          </cell>
        </row>
        <row r="1579">
          <cell r="A1579" t="str">
            <v>HIDDEN-가로형-UP</v>
          </cell>
          <cell r="B1579" t="str">
            <v>SET</v>
          </cell>
          <cell r="C1579" t="str">
            <v>3</v>
          </cell>
          <cell r="D1579" t="str">
            <v>100</v>
          </cell>
          <cell r="E1579">
            <v>123</v>
          </cell>
          <cell r="F1579" t="str">
            <v>70</v>
          </cell>
          <cell r="G1579" t="str">
            <v>B240NS</v>
          </cell>
          <cell r="H1579" t="str">
            <v>10</v>
          </cell>
          <cell r="I1579" t="str">
            <v>2</v>
          </cell>
          <cell r="J1579" t="str">
            <v>코웨이</v>
          </cell>
          <cell r="K1579">
            <v>98</v>
          </cell>
          <cell r="L1579">
            <v>102</v>
          </cell>
          <cell r="P1579">
            <v>1360</v>
          </cell>
          <cell r="Q1579">
            <v>200</v>
          </cell>
          <cell r="R1579" t="str">
            <v>흰색</v>
          </cell>
          <cell r="S1579" t="str">
            <v>흰색</v>
          </cell>
          <cell r="U1579">
            <v>44379</v>
          </cell>
          <cell r="V1579" t="str">
            <v>세일하이테크</v>
          </cell>
          <cell r="Y1579" t="str">
            <v>60</v>
          </cell>
          <cell r="Z1579">
            <v>7336</v>
          </cell>
          <cell r="AC1579" t="str">
            <v>김영석사원</v>
          </cell>
          <cell r="AD1579">
            <v>0.85</v>
          </cell>
          <cell r="AF1579">
            <v>6</v>
          </cell>
        </row>
        <row r="1580">
          <cell r="A1580" t="str">
            <v>HIDDEN-가로형-LOW</v>
          </cell>
          <cell r="B1580" t="str">
            <v>SET</v>
          </cell>
          <cell r="C1580" t="str">
            <v>3</v>
          </cell>
          <cell r="D1580" t="str">
            <v>100</v>
          </cell>
          <cell r="E1580">
            <v>103</v>
          </cell>
          <cell r="F1580" t="str">
            <v>70</v>
          </cell>
          <cell r="G1580" t="str">
            <v>B240NS</v>
          </cell>
          <cell r="H1580" t="str">
            <v>10</v>
          </cell>
          <cell r="I1580" t="str">
            <v>2</v>
          </cell>
          <cell r="J1580" t="str">
            <v>코웨이</v>
          </cell>
          <cell r="K1580">
            <v>98</v>
          </cell>
          <cell r="L1580">
            <v>102</v>
          </cell>
          <cell r="P1580">
            <v>1360</v>
          </cell>
          <cell r="Q1580">
            <v>200</v>
          </cell>
          <cell r="R1580" t="str">
            <v>흰색</v>
          </cell>
          <cell r="S1580" t="str">
            <v>PAD</v>
          </cell>
          <cell r="U1580">
            <v>44379</v>
          </cell>
          <cell r="V1580" t="str">
            <v>세일하이테크</v>
          </cell>
          <cell r="Y1580" t="str">
            <v>60</v>
          </cell>
          <cell r="Z1580">
            <v>6105</v>
          </cell>
          <cell r="AC1580" t="str">
            <v>김영석사원</v>
          </cell>
          <cell r="AD1580">
            <v>0.85</v>
          </cell>
          <cell r="AF1580">
            <v>6</v>
          </cell>
        </row>
        <row r="1581">
          <cell r="A1581" t="str">
            <v>HIDDEN-가로형</v>
          </cell>
          <cell r="B1581" t="str">
            <v>SET</v>
          </cell>
          <cell r="C1581" t="str">
            <v>3</v>
          </cell>
          <cell r="D1581" t="str">
            <v>95</v>
          </cell>
          <cell r="E1581">
            <v>226</v>
          </cell>
          <cell r="F1581" t="str">
            <v>70</v>
          </cell>
          <cell r="G1581" t="str">
            <v>B240NS</v>
          </cell>
          <cell r="H1581" t="str">
            <v>UP:10 LOW:10</v>
          </cell>
          <cell r="I1581" t="str">
            <v>2</v>
          </cell>
          <cell r="J1581" t="str">
            <v>코웨이</v>
          </cell>
          <cell r="K1581">
            <v>98</v>
          </cell>
          <cell r="L1581">
            <v>102</v>
          </cell>
          <cell r="M1581">
            <v>98</v>
          </cell>
          <cell r="N1581">
            <v>102</v>
          </cell>
          <cell r="P1581">
            <v>1360</v>
          </cell>
          <cell r="Q1581">
            <v>200</v>
          </cell>
          <cell r="R1581" t="str">
            <v>흰색</v>
          </cell>
          <cell r="S1581" t="str">
            <v>PAD</v>
          </cell>
          <cell r="U1581">
            <v>44379</v>
          </cell>
          <cell r="V1581" t="str">
            <v>세일하이테크</v>
          </cell>
          <cell r="W1581" t="str">
            <v>HIDDEN-가로형 LOWER A'SSY 제품 (비닐포장 X)</v>
          </cell>
          <cell r="Y1581" t="str">
            <v>60</v>
          </cell>
          <cell r="Z1581">
            <v>13440</v>
          </cell>
          <cell r="AC1581" t="str">
            <v>김영석사원, 개조전 금형</v>
          </cell>
          <cell r="AD1581">
            <v>0.85</v>
          </cell>
          <cell r="AF1581">
            <v>6</v>
          </cell>
        </row>
        <row r="1582">
          <cell r="A1582" t="str">
            <v>HFG</v>
          </cell>
          <cell r="B1582" t="str">
            <v>SET</v>
          </cell>
          <cell r="C1582">
            <v>3</v>
          </cell>
          <cell r="D1582">
            <v>80</v>
          </cell>
          <cell r="E1582">
            <v>193</v>
          </cell>
          <cell r="F1582">
            <v>50</v>
          </cell>
          <cell r="G1582" t="str">
            <v>B240NS</v>
          </cell>
          <cell r="H1582" t="str">
            <v>TOP:10/BOT:10</v>
          </cell>
          <cell r="I1582">
            <v>2</v>
          </cell>
          <cell r="J1582" t="str">
            <v>하츠</v>
          </cell>
          <cell r="K1582">
            <v>79</v>
          </cell>
          <cell r="L1582">
            <v>81</v>
          </cell>
          <cell r="M1582">
            <v>79</v>
          </cell>
          <cell r="N1582">
            <v>81</v>
          </cell>
          <cell r="P1582">
            <v>1360</v>
          </cell>
          <cell r="Q1582">
            <v>200</v>
          </cell>
          <cell r="R1582" t="str">
            <v>녹색</v>
          </cell>
          <cell r="T1582" t="str">
            <v>가스레인지-포장재</v>
          </cell>
          <cell r="U1582">
            <v>45390</v>
          </cell>
          <cell r="V1582" t="str">
            <v>금형사업부</v>
          </cell>
          <cell r="W1582" t="str">
            <v>가스레인지-포장재</v>
          </cell>
          <cell r="AD1582">
            <v>0.85</v>
          </cell>
        </row>
        <row r="1583">
          <cell r="A1583" t="str">
            <v>HFG</v>
          </cell>
          <cell r="B1583" t="str">
            <v>SET</v>
          </cell>
          <cell r="C1583">
            <v>3</v>
          </cell>
          <cell r="D1583">
            <v>80</v>
          </cell>
          <cell r="E1583">
            <v>193</v>
          </cell>
          <cell r="F1583">
            <v>50</v>
          </cell>
          <cell r="G1583" t="str">
            <v>B240NS</v>
          </cell>
          <cell r="H1583" t="str">
            <v>TOP:10/BOT:10</v>
          </cell>
          <cell r="I1583">
            <v>2</v>
          </cell>
          <cell r="J1583" t="str">
            <v>하츠</v>
          </cell>
          <cell r="K1583">
            <v>79</v>
          </cell>
          <cell r="L1583">
            <v>81</v>
          </cell>
          <cell r="M1583">
            <v>79</v>
          </cell>
          <cell r="N1583">
            <v>81</v>
          </cell>
          <cell r="P1583">
            <v>1360</v>
          </cell>
          <cell r="Q1583">
            <v>200</v>
          </cell>
          <cell r="R1583" t="str">
            <v>녹색</v>
          </cell>
          <cell r="T1583" t="str">
            <v>가스레인지-포장재</v>
          </cell>
          <cell r="U1583">
            <v>45390</v>
          </cell>
          <cell r="V1583" t="str">
            <v>금형사업부</v>
          </cell>
          <cell r="W1583" t="str">
            <v>가스레인지-포장재</v>
          </cell>
          <cell r="AD1583">
            <v>0.85</v>
          </cell>
        </row>
        <row r="1584">
          <cell r="A1584" t="str">
            <v>HF9000</v>
          </cell>
          <cell r="B1584" t="str">
            <v>SET</v>
          </cell>
          <cell r="C1584">
            <v>4</v>
          </cell>
          <cell r="D1584">
            <v>90</v>
          </cell>
          <cell r="E1584">
            <v>140</v>
          </cell>
          <cell r="F1584">
            <v>50</v>
          </cell>
          <cell r="G1584" t="str">
            <v>B240NS</v>
          </cell>
          <cell r="H1584">
            <v>10</v>
          </cell>
          <cell r="I1584">
            <v>2</v>
          </cell>
          <cell r="J1584" t="str">
            <v>하이필</v>
          </cell>
          <cell r="K1584">
            <v>218.6</v>
          </cell>
          <cell r="L1584">
            <v>222.6</v>
          </cell>
          <cell r="M1584">
            <v>52</v>
          </cell>
          <cell r="N1584">
            <v>56</v>
          </cell>
          <cell r="O1584">
            <v>715</v>
          </cell>
          <cell r="P1584">
            <v>1360</v>
          </cell>
          <cell r="Q1584">
            <v>300</v>
          </cell>
          <cell r="R1584" t="str">
            <v>보라</v>
          </cell>
          <cell r="S1584" t="str">
            <v>보라</v>
          </cell>
          <cell r="T1584" t="str">
            <v>HF-9000 / 구멍없는 노란봉투 4줄씩 포장</v>
          </cell>
          <cell r="U1584">
            <v>40794</v>
          </cell>
          <cell r="V1584" t="str">
            <v>금형제조부</v>
          </cell>
          <cell r="W1584" t="str">
            <v>전용핀 사용!!!</v>
          </cell>
          <cell r="AC1584" t="str">
            <v>2011.09.17, 2011.09.27개조, 2011.10.01수정</v>
          </cell>
          <cell r="AD1584">
            <v>0.85</v>
          </cell>
          <cell r="AE1584">
            <v>110</v>
          </cell>
          <cell r="AF1584">
            <v>6</v>
          </cell>
        </row>
        <row r="1585">
          <cell r="A1585" t="str">
            <v>HF7000D</v>
          </cell>
          <cell r="B1585" t="str">
            <v>SET</v>
          </cell>
          <cell r="C1585">
            <v>4</v>
          </cell>
          <cell r="D1585">
            <v>85</v>
          </cell>
          <cell r="E1585">
            <v>110</v>
          </cell>
          <cell r="F1585">
            <v>65</v>
          </cell>
          <cell r="G1585" t="str">
            <v>B240NS</v>
          </cell>
          <cell r="H1585">
            <v>10</v>
          </cell>
          <cell r="I1585">
            <v>2</v>
          </cell>
          <cell r="J1585" t="str">
            <v>하이필</v>
          </cell>
          <cell r="K1585">
            <v>197.2</v>
          </cell>
          <cell r="L1585">
            <v>201.2</v>
          </cell>
          <cell r="M1585">
            <v>62</v>
          </cell>
          <cell r="N1585">
            <v>66</v>
          </cell>
          <cell r="O1585">
            <v>550</v>
          </cell>
          <cell r="P1585">
            <v>1360</v>
          </cell>
          <cell r="Q1585">
            <v>300</v>
          </cell>
          <cell r="R1585" t="str">
            <v>파랑</v>
          </cell>
          <cell r="S1585" t="str">
            <v>파랑</v>
          </cell>
          <cell r="T1585" t="str">
            <v>HF7000D-EPS</v>
          </cell>
          <cell r="U1585">
            <v>40711</v>
          </cell>
          <cell r="V1585" t="str">
            <v>금형제조부</v>
          </cell>
          <cell r="W1585" t="str">
            <v>전용핀 사용!!!</v>
          </cell>
          <cell r="X1585" t="str">
            <v>D-1208</v>
          </cell>
          <cell r="AC1585" t="str">
            <v>2011.06.24cavity추가(2*1~2*4), 2011.10.18승인완료</v>
          </cell>
          <cell r="AD1585">
            <v>0.85</v>
          </cell>
          <cell r="AE1585">
            <v>90</v>
          </cell>
          <cell r="AF1585">
            <v>4</v>
          </cell>
        </row>
        <row r="1586">
          <cell r="A1586" t="str">
            <v>HDD-PAD</v>
          </cell>
          <cell r="B1586" t="str">
            <v>PAD</v>
          </cell>
          <cell r="E1586">
            <v>0</v>
          </cell>
          <cell r="J1586" t="str">
            <v>삼성전기</v>
          </cell>
          <cell r="O1586">
            <v>160</v>
          </cell>
          <cell r="P1586" t="str">
            <v>HDD-MOTOR-PAD</v>
          </cell>
          <cell r="Q1586" t="str">
            <v>HQ69-00044W</v>
          </cell>
          <cell r="R1586" t="str">
            <v>396*276*10T</v>
          </cell>
        </row>
        <row r="1587">
          <cell r="A1587" t="str">
            <v>HD-BOX2호#2</v>
          </cell>
          <cell r="B1587" t="str">
            <v>BOX</v>
          </cell>
          <cell r="C1587">
            <v>4</v>
          </cell>
          <cell r="D1587">
            <v>100</v>
          </cell>
          <cell r="E1587">
            <v>150</v>
          </cell>
          <cell r="F1587">
            <v>74</v>
          </cell>
          <cell r="G1587" t="str">
            <v>B240NS</v>
          </cell>
          <cell r="H1587" t="str">
            <v>TOP:36/BOT:12</v>
          </cell>
          <cell r="I1587">
            <v>2</v>
          </cell>
          <cell r="J1587" t="str">
            <v>삼일용인</v>
          </cell>
          <cell r="P1587">
            <v>1360</v>
          </cell>
          <cell r="Q1587">
            <v>300</v>
          </cell>
          <cell r="R1587" t="str">
            <v>빨강</v>
          </cell>
          <cell r="V1587" t="str">
            <v>삼일 용인(이관)</v>
          </cell>
          <cell r="W1587" t="str">
            <v>융착,중량,이물 필히 확인 ,후레임일체</v>
          </cell>
          <cell r="AD1587">
            <v>0.85</v>
          </cell>
          <cell r="AE1587">
            <v>70</v>
          </cell>
        </row>
        <row r="1588">
          <cell r="A1588" t="str">
            <v>HD-BOX2호#2</v>
          </cell>
          <cell r="B1588" t="str">
            <v>BOX</v>
          </cell>
          <cell r="C1588">
            <v>4</v>
          </cell>
          <cell r="D1588">
            <v>100</v>
          </cell>
          <cell r="E1588">
            <v>150</v>
          </cell>
          <cell r="F1588">
            <v>74</v>
          </cell>
          <cell r="G1588" t="str">
            <v>B240NS</v>
          </cell>
          <cell r="H1588" t="str">
            <v>TOP:36/BOT:12</v>
          </cell>
          <cell r="I1588">
            <v>2</v>
          </cell>
          <cell r="J1588" t="str">
            <v>삼일용인</v>
          </cell>
          <cell r="P1588">
            <v>1360</v>
          </cell>
          <cell r="Q1588">
            <v>300</v>
          </cell>
          <cell r="R1588" t="str">
            <v>빨강</v>
          </cell>
          <cell r="V1588" t="str">
            <v>삼일 용인(이관)</v>
          </cell>
          <cell r="W1588" t="str">
            <v>융착,중량,이물 필히 확인 ,후레임일체</v>
          </cell>
          <cell r="AD1588">
            <v>0.85</v>
          </cell>
          <cell r="AE1588">
            <v>70</v>
          </cell>
        </row>
        <row r="1589">
          <cell r="A1589" t="str">
            <v>HDBOX</v>
          </cell>
          <cell r="B1589" t="str">
            <v>BOX</v>
          </cell>
          <cell r="C1589">
            <v>4</v>
          </cell>
          <cell r="D1589">
            <v>100</v>
          </cell>
          <cell r="E1589">
            <v>210</v>
          </cell>
          <cell r="F1589">
            <v>74</v>
          </cell>
          <cell r="G1589" t="str">
            <v>B240NS</v>
          </cell>
          <cell r="H1589" t="str">
            <v>T:24 L:72 B:12</v>
          </cell>
          <cell r="I1589">
            <v>3</v>
          </cell>
          <cell r="J1589" t="str">
            <v>용인공장</v>
          </cell>
          <cell r="P1589">
            <v>1500</v>
          </cell>
          <cell r="Q1589">
            <v>250</v>
          </cell>
          <cell r="R1589" t="str">
            <v>파랑</v>
          </cell>
          <cell r="U1589" t="str">
            <v>2023.05.16</v>
          </cell>
          <cell r="V1589" t="str">
            <v>삼일 용인(이관)</v>
          </cell>
          <cell r="AD1589">
            <v>0.85</v>
          </cell>
        </row>
        <row r="1590">
          <cell r="A1590" t="str">
            <v>HDBOX</v>
          </cell>
          <cell r="B1590" t="str">
            <v>BOX</v>
          </cell>
          <cell r="C1590">
            <v>4</v>
          </cell>
          <cell r="D1590">
            <v>100</v>
          </cell>
          <cell r="E1590">
            <v>210</v>
          </cell>
          <cell r="F1590">
            <v>74</v>
          </cell>
          <cell r="G1590" t="str">
            <v>B240NS</v>
          </cell>
          <cell r="H1590" t="str">
            <v>T:24 L:72 B:12</v>
          </cell>
          <cell r="I1590">
            <v>3</v>
          </cell>
          <cell r="J1590" t="str">
            <v>용인공장</v>
          </cell>
          <cell r="P1590">
            <v>1500</v>
          </cell>
          <cell r="Q1590">
            <v>250</v>
          </cell>
          <cell r="R1590" t="str">
            <v>파랑</v>
          </cell>
          <cell r="U1590" t="str">
            <v>2023.05.16</v>
          </cell>
          <cell r="V1590" t="str">
            <v>삼일 용인(이관)</v>
          </cell>
          <cell r="AD1590">
            <v>0.85</v>
          </cell>
        </row>
        <row r="1591">
          <cell r="A1591" t="str">
            <v>HD4</v>
          </cell>
          <cell r="B1591" t="str">
            <v>BOX</v>
          </cell>
          <cell r="C1591">
            <v>4</v>
          </cell>
          <cell r="D1591">
            <v>70</v>
          </cell>
          <cell r="E1591">
            <v>122</v>
          </cell>
          <cell r="F1591">
            <v>74</v>
          </cell>
          <cell r="G1591" t="str">
            <v>SE2500M</v>
          </cell>
          <cell r="H1591">
            <v>10</v>
          </cell>
          <cell r="I1591">
            <v>2</v>
          </cell>
          <cell r="J1591" t="str">
            <v>삼일이노팩</v>
          </cell>
          <cell r="K1591">
            <v>23</v>
          </cell>
          <cell r="L1591">
            <v>25</v>
          </cell>
          <cell r="M1591">
            <v>153</v>
          </cell>
          <cell r="N1591">
            <v>157</v>
          </cell>
          <cell r="O1591">
            <v>610</v>
          </cell>
          <cell r="P1591">
            <v>1360</v>
          </cell>
          <cell r="Q1591">
            <v>250</v>
          </cell>
          <cell r="R1591" t="str">
            <v>흰색</v>
          </cell>
          <cell r="S1591" t="str">
            <v>흰색</v>
          </cell>
          <cell r="AD1591">
            <v>0.85</v>
          </cell>
          <cell r="AE1591">
            <v>70</v>
          </cell>
          <cell r="AF1591">
            <v>4</v>
          </cell>
        </row>
        <row r="1592">
          <cell r="A1592" t="str">
            <v>HD3#3(40배)</v>
          </cell>
          <cell r="B1592" t="str">
            <v>BOX</v>
          </cell>
          <cell r="C1592">
            <v>3</v>
          </cell>
          <cell r="D1592">
            <v>90</v>
          </cell>
          <cell r="E1592">
            <v>260</v>
          </cell>
          <cell r="F1592">
            <v>50</v>
          </cell>
          <cell r="G1592" t="str">
            <v>B240NS</v>
          </cell>
          <cell r="H1592">
            <v>8</v>
          </cell>
          <cell r="I1592">
            <v>2</v>
          </cell>
          <cell r="J1592" t="str">
            <v>삼일이노팩</v>
          </cell>
          <cell r="K1592">
            <v>34</v>
          </cell>
          <cell r="L1592">
            <v>36</v>
          </cell>
          <cell r="M1592">
            <v>221</v>
          </cell>
          <cell r="N1592">
            <v>226</v>
          </cell>
          <cell r="O1592">
            <v>1400</v>
          </cell>
          <cell r="P1592">
            <v>1500</v>
          </cell>
          <cell r="Q1592">
            <v>300</v>
          </cell>
          <cell r="R1592" t="str">
            <v>흰색</v>
          </cell>
          <cell r="S1592" t="str">
            <v>흰색</v>
          </cell>
          <cell r="T1592" t="str">
            <v>HD#3</v>
          </cell>
          <cell r="Y1592">
            <v>40</v>
          </cell>
          <cell r="Z1592">
            <v>10403</v>
          </cell>
          <cell r="AC1592" t="str">
            <v>금형없음, HD3#2동일금형</v>
          </cell>
          <cell r="AD1592">
            <v>0.85</v>
          </cell>
          <cell r="AE1592">
            <v>70</v>
          </cell>
          <cell r="AF1592">
            <v>6</v>
          </cell>
        </row>
        <row r="1593">
          <cell r="A1593" t="str">
            <v>HD2(몸통,뚜껑따로)</v>
          </cell>
          <cell r="B1593" t="str">
            <v>BOX</v>
          </cell>
          <cell r="C1593">
            <v>3</v>
          </cell>
          <cell r="D1593">
            <v>55</v>
          </cell>
          <cell r="E1593">
            <v>235</v>
          </cell>
          <cell r="F1593">
            <v>74</v>
          </cell>
          <cell r="G1593" t="str">
            <v>SE2500M</v>
          </cell>
          <cell r="H1593" t="str">
            <v>몸통10뚜껑40</v>
          </cell>
          <cell r="I1593">
            <v>2</v>
          </cell>
          <cell r="J1593" t="str">
            <v>삼일이노팩</v>
          </cell>
          <cell r="K1593">
            <v>36</v>
          </cell>
          <cell r="L1593">
            <v>41</v>
          </cell>
          <cell r="M1593">
            <v>173</v>
          </cell>
          <cell r="N1593">
            <v>177</v>
          </cell>
          <cell r="O1593">
            <v>1030</v>
          </cell>
          <cell r="P1593">
            <v>1360</v>
          </cell>
          <cell r="Q1593">
            <v>250</v>
          </cell>
          <cell r="R1593" t="str">
            <v>보라</v>
          </cell>
          <cell r="S1593" t="str">
            <v>보라</v>
          </cell>
          <cell r="T1593" t="str">
            <v>HD#2</v>
          </cell>
          <cell r="U1593">
            <v>39786</v>
          </cell>
          <cell r="V1593" t="str">
            <v>삼일금형</v>
          </cell>
          <cell r="Y1593">
            <v>60</v>
          </cell>
          <cell r="Z1593">
            <v>14121</v>
          </cell>
          <cell r="AC1593" t="str">
            <v>2014.11.17 몸통,뚜껑따로 표준서 재정2015.03.11 기준중량변경(208-&gt;195)HD2와 금형 동일,2016.11.16 기준중량변경(195 -&gt;221)</v>
          </cell>
          <cell r="AD1593">
            <v>0.85</v>
          </cell>
          <cell r="AE1593">
            <v>60</v>
          </cell>
          <cell r="AF1593">
            <v>1</v>
          </cell>
        </row>
        <row r="1594">
          <cell r="A1594" t="str">
            <v>HD2</v>
          </cell>
          <cell r="B1594" t="str">
            <v>BOX</v>
          </cell>
          <cell r="C1594">
            <v>3</v>
          </cell>
          <cell r="D1594">
            <v>70</v>
          </cell>
          <cell r="E1594">
            <v>235</v>
          </cell>
          <cell r="F1594">
            <v>74</v>
          </cell>
          <cell r="G1594" t="str">
            <v>B240NS</v>
          </cell>
          <cell r="H1594">
            <v>6</v>
          </cell>
          <cell r="I1594">
            <v>2</v>
          </cell>
          <cell r="J1594" t="str">
            <v>삼일이노팩</v>
          </cell>
          <cell r="K1594">
            <v>36</v>
          </cell>
          <cell r="L1594">
            <v>41</v>
          </cell>
          <cell r="M1594">
            <v>173</v>
          </cell>
          <cell r="N1594">
            <v>177</v>
          </cell>
          <cell r="O1594">
            <v>1000</v>
          </cell>
          <cell r="P1594">
            <v>1360</v>
          </cell>
          <cell r="Q1594">
            <v>250</v>
          </cell>
          <cell r="R1594" t="str">
            <v>주황</v>
          </cell>
          <cell r="S1594" t="str">
            <v>주황</v>
          </cell>
          <cell r="T1594" t="str">
            <v>HD#2</v>
          </cell>
          <cell r="U1594">
            <v>39786</v>
          </cell>
          <cell r="V1594" t="str">
            <v>삼일금형</v>
          </cell>
          <cell r="X1594" t="str">
            <v>A-0505</v>
          </cell>
          <cell r="Y1594">
            <v>60</v>
          </cell>
          <cell r="Z1594">
            <v>14121</v>
          </cell>
          <cell r="AC1594" t="str">
            <v>2013.03.28 기준치수변경(36~38-&gt;36~41) 2014.06.02기준중량변경(240-&gt;208,65-&gt;70), 2014.10.21수정2014.12.01기준중량,기준배율변경(208-195,60-64)2015.0106인중량변경(208g-195g)2015.01.14끈색변경(초록-&gt;주황),2016.11.16 기준중량변경(195 -&gt;221)</v>
          </cell>
          <cell r="AD1594">
            <v>0.85</v>
          </cell>
          <cell r="AE1594">
            <v>65</v>
          </cell>
          <cell r="AF1594">
            <v>2</v>
          </cell>
        </row>
        <row r="1595">
          <cell r="A1595" t="str">
            <v>HD1-TOP#5</v>
          </cell>
          <cell r="B1595" t="str">
            <v>BOX</v>
          </cell>
          <cell r="C1595">
            <v>4</v>
          </cell>
          <cell r="D1595">
            <v>60</v>
          </cell>
          <cell r="E1595">
            <v>78</v>
          </cell>
          <cell r="F1595">
            <v>74</v>
          </cell>
          <cell r="G1595" t="str">
            <v>SE2500M</v>
          </cell>
          <cell r="H1595">
            <v>40</v>
          </cell>
          <cell r="I1595">
            <v>1</v>
          </cell>
          <cell r="J1595" t="str">
            <v>삼일이노팩</v>
          </cell>
          <cell r="K1595">
            <v>41</v>
          </cell>
          <cell r="L1595">
            <v>45</v>
          </cell>
          <cell r="O1595">
            <v>390</v>
          </cell>
          <cell r="P1595">
            <v>1360</v>
          </cell>
          <cell r="Q1595">
            <v>150</v>
          </cell>
          <cell r="R1595" t="str">
            <v>녹색</v>
          </cell>
          <cell r="U1595">
            <v>44662</v>
          </cell>
          <cell r="V1595" t="str">
            <v>금형사업부</v>
          </cell>
          <cell r="AC1595" t="str">
            <v>김영석사원</v>
          </cell>
          <cell r="AD1595">
            <v>0.82</v>
          </cell>
          <cell r="AE1595">
            <v>60</v>
          </cell>
        </row>
        <row r="1596">
          <cell r="A1596" t="str">
            <v>HD1-TOP#5</v>
          </cell>
          <cell r="B1596" t="str">
            <v>BOX</v>
          </cell>
          <cell r="C1596">
            <v>4</v>
          </cell>
          <cell r="D1596">
            <v>60</v>
          </cell>
          <cell r="E1596">
            <v>78</v>
          </cell>
          <cell r="F1596">
            <v>74</v>
          </cell>
          <cell r="G1596" t="str">
            <v>SE2500M</v>
          </cell>
          <cell r="H1596">
            <v>40</v>
          </cell>
          <cell r="I1596">
            <v>1</v>
          </cell>
          <cell r="J1596" t="str">
            <v>삼일이노팩</v>
          </cell>
          <cell r="K1596">
            <v>41</v>
          </cell>
          <cell r="L1596">
            <v>45</v>
          </cell>
          <cell r="O1596">
            <v>390</v>
          </cell>
          <cell r="P1596">
            <v>1360</v>
          </cell>
          <cell r="Q1596">
            <v>150</v>
          </cell>
          <cell r="R1596" t="str">
            <v>녹색</v>
          </cell>
          <cell r="U1596">
            <v>44662</v>
          </cell>
          <cell r="V1596" t="str">
            <v>금형사업부</v>
          </cell>
          <cell r="AC1596" t="str">
            <v>김영석사원</v>
          </cell>
          <cell r="AD1596">
            <v>0.82</v>
          </cell>
        </row>
        <row r="1597">
          <cell r="A1597" t="str">
            <v>HD1-TOP#4(55배)</v>
          </cell>
          <cell r="B1597" t="str">
            <v>BOX</v>
          </cell>
          <cell r="C1597">
            <v>4</v>
          </cell>
          <cell r="D1597">
            <v>60</v>
          </cell>
          <cell r="E1597">
            <v>92</v>
          </cell>
          <cell r="F1597">
            <v>65</v>
          </cell>
          <cell r="G1597" t="str">
            <v>SE2500M</v>
          </cell>
          <cell r="H1597" t="str">
            <v>40</v>
          </cell>
          <cell r="I1597" t="str">
            <v>1</v>
          </cell>
          <cell r="J1597" t="str">
            <v>삼일이노팩</v>
          </cell>
          <cell r="K1597">
            <v>41</v>
          </cell>
          <cell r="L1597">
            <v>45</v>
          </cell>
          <cell r="P1597">
            <v>1360</v>
          </cell>
          <cell r="Q1597">
            <v>150</v>
          </cell>
          <cell r="R1597" t="str">
            <v>파랑</v>
          </cell>
          <cell r="S1597" t="str">
            <v>파란비닐</v>
          </cell>
          <cell r="Y1597" t="str">
            <v>52</v>
          </cell>
          <cell r="AC1597" t="str">
            <v>김영석사원</v>
          </cell>
          <cell r="AD1597">
            <v>0.85</v>
          </cell>
          <cell r="AE1597" t="str">
            <v>70</v>
          </cell>
          <cell r="AF1597">
            <v>6</v>
          </cell>
        </row>
        <row r="1598">
          <cell r="A1598" t="str">
            <v>HD1-TOP#4</v>
          </cell>
          <cell r="B1598" t="str">
            <v>BOX</v>
          </cell>
          <cell r="C1598">
            <v>4</v>
          </cell>
          <cell r="D1598">
            <v>60</v>
          </cell>
          <cell r="E1598">
            <v>78</v>
          </cell>
          <cell r="F1598">
            <v>74</v>
          </cell>
          <cell r="G1598" t="str">
            <v>SE2500M</v>
          </cell>
          <cell r="H1598">
            <v>40</v>
          </cell>
          <cell r="I1598">
            <v>1</v>
          </cell>
          <cell r="J1598" t="str">
            <v>삼일이노팩</v>
          </cell>
          <cell r="K1598">
            <v>41</v>
          </cell>
          <cell r="L1598">
            <v>45</v>
          </cell>
          <cell r="O1598">
            <v>390</v>
          </cell>
          <cell r="P1598">
            <v>1360</v>
          </cell>
          <cell r="Q1598">
            <v>150</v>
          </cell>
          <cell r="R1598" t="str">
            <v>녹색</v>
          </cell>
          <cell r="T1598" t="str">
            <v>HD1-TOP</v>
          </cell>
          <cell r="U1598">
            <v>44356</v>
          </cell>
          <cell r="V1598" t="str">
            <v>금형제조부</v>
          </cell>
          <cell r="Y1598">
            <v>60</v>
          </cell>
          <cell r="Z1598">
            <v>5038</v>
          </cell>
          <cell r="AC1598" t="str">
            <v>석상준과장, 2021.08.31 수리,2021.12.14 수리, 2021.12.20 BURR수리</v>
          </cell>
          <cell r="AD1598">
            <v>0.85</v>
          </cell>
          <cell r="AE1598" t="str">
            <v>70</v>
          </cell>
          <cell r="AF1598">
            <v>6</v>
          </cell>
        </row>
        <row r="1599">
          <cell r="A1599" t="str">
            <v>HD1-TOP#2</v>
          </cell>
          <cell r="B1599" t="str">
            <v>BOX</v>
          </cell>
          <cell r="C1599">
            <v>4</v>
          </cell>
          <cell r="D1599">
            <v>60</v>
          </cell>
          <cell r="E1599">
            <v>84</v>
          </cell>
          <cell r="F1599">
            <v>74</v>
          </cell>
          <cell r="G1599" t="str">
            <v>SE2500M</v>
          </cell>
          <cell r="H1599">
            <v>40</v>
          </cell>
          <cell r="I1599">
            <v>1</v>
          </cell>
          <cell r="J1599" t="str">
            <v>삼일이노팩</v>
          </cell>
          <cell r="K1599">
            <v>41</v>
          </cell>
          <cell r="L1599">
            <v>45</v>
          </cell>
          <cell r="O1599">
            <v>390</v>
          </cell>
          <cell r="P1599">
            <v>1360</v>
          </cell>
          <cell r="Q1599">
            <v>150</v>
          </cell>
          <cell r="R1599" t="str">
            <v>녹색</v>
          </cell>
          <cell r="T1599" t="str">
            <v>HD1-TOP</v>
          </cell>
          <cell r="U1599">
            <v>41997</v>
          </cell>
          <cell r="V1599" t="str">
            <v>금형제조부</v>
          </cell>
          <cell r="W1599" t="str">
            <v>밀핀 중앙 앏은것 사용!</v>
          </cell>
          <cell r="X1599" t="str">
            <v>A-1005</v>
          </cell>
          <cell r="Y1599">
            <v>60</v>
          </cell>
          <cell r="Z1599">
            <v>5038</v>
          </cell>
          <cell r="AC1599" t="str">
            <v>김일환사원코팅완료2015.01.05모델명변경(HD1#2뚜껑-&gt;HD1-TOP#2),2017.01.09기준중량변경(88-&gt;84), 190422 삼일하우징 대여, 2020.07.21끈색상변경(노랑-&gt;녹색)</v>
          </cell>
          <cell r="AD1599">
            <v>0.85</v>
          </cell>
          <cell r="AE1599">
            <v>60</v>
          </cell>
          <cell r="AF1599">
            <v>9</v>
          </cell>
        </row>
        <row r="1600">
          <cell r="A1600" t="str">
            <v>HD1-BOT#6</v>
          </cell>
          <cell r="B1600" t="str">
            <v>BOX</v>
          </cell>
          <cell r="C1600">
            <v>4</v>
          </cell>
          <cell r="D1600">
            <v>100</v>
          </cell>
          <cell r="E1600">
            <v>204</v>
          </cell>
          <cell r="F1600">
            <v>70</v>
          </cell>
          <cell r="G1600" t="str">
            <v>SE2500M</v>
          </cell>
          <cell r="H1600">
            <v>5</v>
          </cell>
          <cell r="I1600">
            <v>1</v>
          </cell>
          <cell r="J1600" t="str">
            <v>삼일이노팩</v>
          </cell>
          <cell r="K1600">
            <v>208</v>
          </cell>
          <cell r="L1600">
            <v>213</v>
          </cell>
          <cell r="P1600">
            <v>1360</v>
          </cell>
          <cell r="Q1600">
            <v>350</v>
          </cell>
          <cell r="U1600">
            <v>44755</v>
          </cell>
          <cell r="V1600" t="str">
            <v>금형사업부</v>
          </cell>
          <cell r="AC1600" t="str">
            <v>김영석사원</v>
          </cell>
          <cell r="AD1600">
            <v>0.85</v>
          </cell>
          <cell r="AE1600">
            <v>80</v>
          </cell>
        </row>
        <row r="1601">
          <cell r="A1601" t="str">
            <v>HD1-BOT#6</v>
          </cell>
          <cell r="B1601" t="str">
            <v>BOX</v>
          </cell>
          <cell r="C1601">
            <v>4</v>
          </cell>
          <cell r="D1601">
            <v>100</v>
          </cell>
          <cell r="E1601">
            <v>204</v>
          </cell>
          <cell r="F1601">
            <v>70</v>
          </cell>
          <cell r="G1601" t="str">
            <v>SE2500M</v>
          </cell>
          <cell r="H1601">
            <v>5</v>
          </cell>
          <cell r="I1601">
            <v>1</v>
          </cell>
          <cell r="J1601" t="str">
            <v>삼일이노팩</v>
          </cell>
          <cell r="K1601">
            <v>208</v>
          </cell>
          <cell r="L1601">
            <v>213</v>
          </cell>
          <cell r="P1601">
            <v>1360</v>
          </cell>
          <cell r="Q1601">
            <v>350</v>
          </cell>
          <cell r="U1601">
            <v>44755</v>
          </cell>
          <cell r="V1601" t="str">
            <v>금형사업부</v>
          </cell>
          <cell r="AC1601" t="str">
            <v>김영석사원</v>
          </cell>
          <cell r="AD1601">
            <v>0.85</v>
          </cell>
        </row>
        <row r="1602">
          <cell r="A1602" t="str">
            <v>HD1-BOT#5</v>
          </cell>
          <cell r="B1602" t="str">
            <v>BOX</v>
          </cell>
          <cell r="C1602">
            <v>4</v>
          </cell>
          <cell r="D1602">
            <v>90</v>
          </cell>
          <cell r="E1602">
            <v>204</v>
          </cell>
          <cell r="F1602">
            <v>70</v>
          </cell>
          <cell r="G1602" t="str">
            <v>SE2500M</v>
          </cell>
          <cell r="H1602">
            <v>5</v>
          </cell>
          <cell r="I1602">
            <v>1</v>
          </cell>
          <cell r="J1602" t="str">
            <v>삼일이노팩</v>
          </cell>
          <cell r="K1602">
            <v>223</v>
          </cell>
          <cell r="L1602">
            <v>227</v>
          </cell>
          <cell r="O1602">
            <v>1020</v>
          </cell>
          <cell r="P1602">
            <v>1360</v>
          </cell>
          <cell r="Q1602">
            <v>300</v>
          </cell>
          <cell r="R1602" t="str">
            <v>녹색</v>
          </cell>
          <cell r="U1602">
            <v>44662</v>
          </cell>
          <cell r="V1602" t="str">
            <v>금형사업부</v>
          </cell>
          <cell r="Y1602">
            <v>60</v>
          </cell>
          <cell r="AC1602" t="str">
            <v>김영석사원</v>
          </cell>
          <cell r="AD1602">
            <v>0.82</v>
          </cell>
          <cell r="AE1602">
            <v>70</v>
          </cell>
        </row>
        <row r="1603">
          <cell r="A1603" t="str">
            <v>HD1-BOT#5</v>
          </cell>
          <cell r="B1603" t="str">
            <v>BOX</v>
          </cell>
          <cell r="C1603">
            <v>4</v>
          </cell>
          <cell r="D1603">
            <v>90</v>
          </cell>
          <cell r="E1603">
            <v>204</v>
          </cell>
          <cell r="F1603">
            <v>70</v>
          </cell>
          <cell r="G1603" t="str">
            <v>SE2500M</v>
          </cell>
          <cell r="H1603">
            <v>5</v>
          </cell>
          <cell r="I1603">
            <v>1</v>
          </cell>
          <cell r="J1603" t="str">
            <v>삼일이노팩</v>
          </cell>
          <cell r="K1603">
            <v>223</v>
          </cell>
          <cell r="L1603">
            <v>227</v>
          </cell>
          <cell r="O1603">
            <v>1020</v>
          </cell>
          <cell r="P1603">
            <v>1360</v>
          </cell>
          <cell r="Q1603">
            <v>300</v>
          </cell>
          <cell r="R1603" t="str">
            <v>녹색</v>
          </cell>
          <cell r="U1603">
            <v>44662</v>
          </cell>
          <cell r="V1603" t="str">
            <v>금형사업부</v>
          </cell>
          <cell r="Y1603">
            <v>60</v>
          </cell>
          <cell r="AC1603" t="str">
            <v>김영석사원</v>
          </cell>
          <cell r="AD1603">
            <v>0.82</v>
          </cell>
        </row>
        <row r="1604">
          <cell r="A1604" t="str">
            <v>HD1-BOT#4(55배)</v>
          </cell>
          <cell r="B1604" t="str">
            <v>BOX</v>
          </cell>
          <cell r="C1604">
            <v>4</v>
          </cell>
          <cell r="D1604">
            <v>100</v>
          </cell>
          <cell r="E1604">
            <v>244</v>
          </cell>
          <cell r="F1604">
            <v>65</v>
          </cell>
          <cell r="G1604" t="str">
            <v>SE2500M</v>
          </cell>
          <cell r="H1604">
            <v>5</v>
          </cell>
          <cell r="I1604">
            <v>1</v>
          </cell>
          <cell r="J1604" t="str">
            <v>삼일이노팩</v>
          </cell>
          <cell r="K1604">
            <v>223</v>
          </cell>
          <cell r="L1604">
            <v>227</v>
          </cell>
          <cell r="P1604">
            <v>1360</v>
          </cell>
          <cell r="Q1604">
            <v>300</v>
          </cell>
          <cell r="R1604" t="str">
            <v>파랑</v>
          </cell>
          <cell r="S1604" t="str">
            <v>파란비닐</v>
          </cell>
          <cell r="Y1604">
            <v>52</v>
          </cell>
          <cell r="Z1604">
            <v>12688</v>
          </cell>
          <cell r="AC1604" t="str">
            <v>석상준차장, 금형없음 HD1-BOT#4동일금형</v>
          </cell>
          <cell r="AD1604">
            <v>0.85</v>
          </cell>
          <cell r="AE1604">
            <v>75</v>
          </cell>
          <cell r="AF1604">
            <v>0</v>
          </cell>
        </row>
        <row r="1605">
          <cell r="A1605" t="str">
            <v>HD1-BOT#4(55배)</v>
          </cell>
          <cell r="B1605" t="str">
            <v>BOX</v>
          </cell>
          <cell r="C1605">
            <v>4</v>
          </cell>
          <cell r="D1605">
            <v>100</v>
          </cell>
          <cell r="E1605">
            <v>244</v>
          </cell>
          <cell r="F1605">
            <v>65</v>
          </cell>
          <cell r="G1605" t="str">
            <v>SE2500M</v>
          </cell>
          <cell r="H1605">
            <v>5</v>
          </cell>
          <cell r="I1605">
            <v>1</v>
          </cell>
          <cell r="J1605" t="str">
            <v>삼일이노팩</v>
          </cell>
          <cell r="K1605">
            <v>223</v>
          </cell>
          <cell r="L1605">
            <v>227</v>
          </cell>
          <cell r="P1605">
            <v>1360</v>
          </cell>
          <cell r="Q1605">
            <v>300</v>
          </cell>
          <cell r="R1605" t="str">
            <v>파랑</v>
          </cell>
          <cell r="S1605" t="str">
            <v>파란비닐</v>
          </cell>
          <cell r="Y1605">
            <v>52</v>
          </cell>
          <cell r="Z1605">
            <v>12688</v>
          </cell>
          <cell r="AC1605" t="str">
            <v>석상준차장, 금형없음 HD1-BOT#4동일금형</v>
          </cell>
          <cell r="AD1605">
            <v>0.85</v>
          </cell>
          <cell r="AE1605">
            <v>80</v>
          </cell>
        </row>
        <row r="1606">
          <cell r="A1606" t="str">
            <v>HD1-BOT#4</v>
          </cell>
          <cell r="B1606" t="str">
            <v>BOX</v>
          </cell>
          <cell r="C1606">
            <v>4</v>
          </cell>
          <cell r="D1606">
            <v>90</v>
          </cell>
          <cell r="E1606">
            <v>204</v>
          </cell>
          <cell r="F1606">
            <v>70</v>
          </cell>
          <cell r="G1606" t="str">
            <v>SE2500M</v>
          </cell>
          <cell r="H1606">
            <v>5</v>
          </cell>
          <cell r="I1606">
            <v>1</v>
          </cell>
          <cell r="J1606" t="str">
            <v>삼일이노팩</v>
          </cell>
          <cell r="K1606">
            <v>223</v>
          </cell>
          <cell r="L1606">
            <v>227</v>
          </cell>
          <cell r="O1606">
            <v>1020</v>
          </cell>
          <cell r="P1606">
            <v>1360</v>
          </cell>
          <cell r="Q1606">
            <v>300</v>
          </cell>
          <cell r="R1606" t="str">
            <v>검정</v>
          </cell>
          <cell r="U1606">
            <v>44586</v>
          </cell>
          <cell r="V1606" t="str">
            <v>금형사업부</v>
          </cell>
          <cell r="Y1606">
            <v>57</v>
          </cell>
          <cell r="Z1606">
            <v>12688</v>
          </cell>
          <cell r="AC1606" t="str">
            <v>석상준차장,코팅완료</v>
          </cell>
          <cell r="AD1606">
            <v>0.85</v>
          </cell>
          <cell r="AE1606">
            <v>75</v>
          </cell>
          <cell r="AF1606">
            <v>4</v>
          </cell>
        </row>
        <row r="1607">
          <cell r="A1607" t="str">
            <v>HD1-BOT#4</v>
          </cell>
          <cell r="B1607" t="str">
            <v>BOX</v>
          </cell>
          <cell r="C1607">
            <v>4</v>
          </cell>
          <cell r="D1607">
            <v>90</v>
          </cell>
          <cell r="E1607">
            <v>204</v>
          </cell>
          <cell r="F1607">
            <v>70</v>
          </cell>
          <cell r="G1607" t="str">
            <v>SE2500M</v>
          </cell>
          <cell r="H1607">
            <v>5</v>
          </cell>
          <cell r="I1607">
            <v>1</v>
          </cell>
          <cell r="J1607" t="str">
            <v>삼일이노팩</v>
          </cell>
          <cell r="K1607">
            <v>223</v>
          </cell>
          <cell r="L1607">
            <v>227</v>
          </cell>
          <cell r="O1607">
            <v>1020</v>
          </cell>
          <cell r="P1607">
            <v>1360</v>
          </cell>
          <cell r="Q1607">
            <v>300</v>
          </cell>
          <cell r="R1607" t="str">
            <v>검정</v>
          </cell>
          <cell r="U1607">
            <v>44586</v>
          </cell>
          <cell r="V1607" t="str">
            <v>금형사업부</v>
          </cell>
          <cell r="Y1607">
            <v>57</v>
          </cell>
          <cell r="Z1607">
            <v>12688</v>
          </cell>
          <cell r="AC1607" t="str">
            <v>석상준차장,코팅완료</v>
          </cell>
          <cell r="AD1607">
            <v>0.85</v>
          </cell>
          <cell r="AE1607">
            <v>80</v>
          </cell>
          <cell r="AF1607">
            <v>4</v>
          </cell>
        </row>
        <row r="1608">
          <cell r="A1608" t="str">
            <v>HD1-BOT#3(55배)</v>
          </cell>
          <cell r="B1608" t="str">
            <v>BOX</v>
          </cell>
          <cell r="C1608">
            <v>4</v>
          </cell>
          <cell r="D1608">
            <v>100</v>
          </cell>
          <cell r="E1608">
            <v>231</v>
          </cell>
          <cell r="F1608">
            <v>65</v>
          </cell>
          <cell r="G1608" t="str">
            <v>SE2500M</v>
          </cell>
          <cell r="H1608">
            <v>5</v>
          </cell>
          <cell r="I1608">
            <v>1</v>
          </cell>
          <cell r="J1608" t="str">
            <v>삼일이노팩</v>
          </cell>
          <cell r="K1608">
            <v>223</v>
          </cell>
          <cell r="L1608">
            <v>227</v>
          </cell>
          <cell r="P1608">
            <v>1360</v>
          </cell>
          <cell r="Q1608">
            <v>300</v>
          </cell>
          <cell r="R1608" t="str">
            <v>파랑</v>
          </cell>
          <cell r="S1608" t="str">
            <v>파랑</v>
          </cell>
          <cell r="Y1608">
            <v>52</v>
          </cell>
          <cell r="AC1608" t="str">
            <v>김영석사원</v>
          </cell>
          <cell r="AD1608">
            <v>0.85</v>
          </cell>
          <cell r="AE1608">
            <v>75</v>
          </cell>
          <cell r="AF1608">
            <v>6</v>
          </cell>
        </row>
        <row r="1609">
          <cell r="A1609" t="str">
            <v>HD1-BOT#3</v>
          </cell>
          <cell r="B1609" t="str">
            <v>BOX</v>
          </cell>
          <cell r="C1609">
            <v>4</v>
          </cell>
          <cell r="D1609">
            <v>90</v>
          </cell>
          <cell r="E1609">
            <v>222</v>
          </cell>
          <cell r="F1609">
            <v>70</v>
          </cell>
          <cell r="G1609" t="str">
            <v>SE2500M</v>
          </cell>
          <cell r="H1609">
            <v>5</v>
          </cell>
          <cell r="I1609">
            <v>1</v>
          </cell>
          <cell r="J1609" t="str">
            <v>삼일이노팩</v>
          </cell>
          <cell r="K1609">
            <v>223</v>
          </cell>
          <cell r="L1609">
            <v>227</v>
          </cell>
          <cell r="O1609">
            <v>1020</v>
          </cell>
          <cell r="P1609">
            <v>1360</v>
          </cell>
          <cell r="Q1609">
            <v>300</v>
          </cell>
          <cell r="R1609" t="str">
            <v>녹색</v>
          </cell>
          <cell r="T1609" t="str">
            <v>HD1-BOTTOM,301(74배)211(68배)</v>
          </cell>
          <cell r="U1609">
            <v>42289</v>
          </cell>
          <cell r="V1609" t="str">
            <v>금형제조부</v>
          </cell>
          <cell r="Y1609">
            <v>57</v>
          </cell>
          <cell r="Z1609">
            <v>12688</v>
          </cell>
          <cell r="AC1609" t="str">
            <v>김창준입고, 190422 삼일하우징 대여, 2020.07.20 배율변경(74-&gt;68), 2020.07.21끈색상변경(노랑-&gt;녹색), 2021.03.15 수리, 2021.12.20BURR수리</v>
          </cell>
          <cell r="AD1609">
            <v>0.85</v>
          </cell>
          <cell r="AE1609">
            <v>70</v>
          </cell>
          <cell r="AF1609">
            <v>4</v>
          </cell>
        </row>
        <row r="1610">
          <cell r="A1610" t="str">
            <v>HC-MODULE</v>
          </cell>
          <cell r="B1610" t="str">
            <v>SET</v>
          </cell>
          <cell r="C1610">
            <v>3</v>
          </cell>
          <cell r="D1610">
            <v>100</v>
          </cell>
          <cell r="E1610">
            <v>232</v>
          </cell>
          <cell r="F1610">
            <v>58</v>
          </cell>
          <cell r="G1610" t="str">
            <v>B240NS</v>
          </cell>
          <cell r="H1610">
            <v>10</v>
          </cell>
          <cell r="I1610">
            <v>2</v>
          </cell>
          <cell r="J1610" t="str">
            <v>오비오</v>
          </cell>
          <cell r="K1610">
            <v>8</v>
          </cell>
          <cell r="L1610">
            <v>87</v>
          </cell>
          <cell r="M1610">
            <v>73</v>
          </cell>
          <cell r="N1610">
            <v>77</v>
          </cell>
          <cell r="P1610">
            <v>1360</v>
          </cell>
          <cell r="Q1610">
            <v>200</v>
          </cell>
          <cell r="R1610" t="str">
            <v>파랑</v>
          </cell>
          <cell r="U1610">
            <v>44069</v>
          </cell>
          <cell r="V1610" t="str">
            <v>금형사업부</v>
          </cell>
          <cell r="Y1610">
            <v>50</v>
          </cell>
          <cell r="Z1610">
            <v>11578</v>
          </cell>
          <cell r="AC1610" t="str">
            <v>2021.03.14 CAVITY 추가, 2021.03.22 코팅완료</v>
          </cell>
          <cell r="AD1610">
            <v>0.85</v>
          </cell>
          <cell r="AF1610">
            <v>6</v>
          </cell>
        </row>
        <row r="1611">
          <cell r="A1611" t="str">
            <v>HC-CUSHION</v>
          </cell>
          <cell r="B1611" t="str">
            <v>SET</v>
          </cell>
          <cell r="C1611">
            <v>3</v>
          </cell>
          <cell r="D1611">
            <v>100</v>
          </cell>
          <cell r="E1611">
            <v>214</v>
          </cell>
          <cell r="F1611">
            <v>58</v>
          </cell>
          <cell r="G1611" t="str">
            <v>B240NS</v>
          </cell>
          <cell r="H1611" t="str">
            <v>UP:20 LOW:20</v>
          </cell>
          <cell r="I1611">
            <v>2</v>
          </cell>
          <cell r="J1611" t="str">
            <v>오비오</v>
          </cell>
          <cell r="K1611">
            <v>83</v>
          </cell>
          <cell r="L1611">
            <v>87</v>
          </cell>
          <cell r="M1611">
            <v>73</v>
          </cell>
          <cell r="N1611">
            <v>77</v>
          </cell>
          <cell r="P1611">
            <v>1360</v>
          </cell>
          <cell r="Q1611">
            <v>200</v>
          </cell>
          <cell r="R1611" t="str">
            <v>검정</v>
          </cell>
          <cell r="S1611" t="str">
            <v>빨강</v>
          </cell>
          <cell r="U1611">
            <v>44607</v>
          </cell>
          <cell r="V1611" t="str">
            <v>금형사업부</v>
          </cell>
          <cell r="W1611" t="str">
            <v>꺼구로조립, UP: 검정 LOW: 빨강끈</v>
          </cell>
          <cell r="Y1611">
            <v>50</v>
          </cell>
          <cell r="Z1611">
            <v>10714</v>
          </cell>
          <cell r="AC1611" t="str">
            <v>석상준차장</v>
          </cell>
          <cell r="AD1611">
            <v>0.85</v>
          </cell>
        </row>
        <row r="1612">
          <cell r="A1612" t="str">
            <v>HC-CUSHION</v>
          </cell>
          <cell r="B1612" t="str">
            <v>SET</v>
          </cell>
          <cell r="C1612">
            <v>3</v>
          </cell>
          <cell r="D1612">
            <v>100</v>
          </cell>
          <cell r="E1612">
            <v>214</v>
          </cell>
          <cell r="F1612">
            <v>58</v>
          </cell>
          <cell r="G1612" t="str">
            <v>B240NS</v>
          </cell>
          <cell r="H1612">
            <v>10</v>
          </cell>
          <cell r="I1612">
            <v>2</v>
          </cell>
          <cell r="J1612" t="str">
            <v>오비오</v>
          </cell>
          <cell r="K1612">
            <v>83</v>
          </cell>
          <cell r="L1612">
            <v>87</v>
          </cell>
          <cell r="M1612">
            <v>73</v>
          </cell>
          <cell r="N1612">
            <v>77</v>
          </cell>
          <cell r="P1612">
            <v>1360</v>
          </cell>
          <cell r="Q1612">
            <v>200</v>
          </cell>
          <cell r="R1612" t="str">
            <v>검정</v>
          </cell>
          <cell r="U1612">
            <v>44607</v>
          </cell>
          <cell r="V1612" t="str">
            <v>금형사업부</v>
          </cell>
          <cell r="W1612" t="str">
            <v>꺼구로조립</v>
          </cell>
          <cell r="Y1612">
            <v>50</v>
          </cell>
          <cell r="Z1612">
            <v>10714</v>
          </cell>
          <cell r="AC1612" t="str">
            <v>석상준차장</v>
          </cell>
          <cell r="AD1612">
            <v>0.85</v>
          </cell>
        </row>
        <row r="1613">
          <cell r="A1613" t="str">
            <v>HB스치로폼</v>
          </cell>
          <cell r="B1613" t="str">
            <v>SET</v>
          </cell>
          <cell r="C1613">
            <v>2</v>
          </cell>
          <cell r="D1613">
            <v>80</v>
          </cell>
          <cell r="F1613">
            <v>74</v>
          </cell>
          <cell r="G1613" t="str">
            <v>B240NS</v>
          </cell>
          <cell r="H1613">
            <v>1</v>
          </cell>
          <cell r="I1613">
            <v>2</v>
          </cell>
          <cell r="J1613" t="str">
            <v>모트렉스</v>
          </cell>
          <cell r="O1613">
            <v>2350</v>
          </cell>
          <cell r="P1613">
            <v>1360</v>
          </cell>
          <cell r="Q1613">
            <v>200</v>
          </cell>
          <cell r="S1613">
            <v>0</v>
          </cell>
          <cell r="T1613" t="str">
            <v>HB스티로폼</v>
          </cell>
          <cell r="U1613">
            <v>42825</v>
          </cell>
          <cell r="V1613" t="str">
            <v>이관금형</v>
          </cell>
          <cell r="W1613" t="str">
            <v>2번 건조</v>
          </cell>
          <cell r="Y1613">
            <v>64</v>
          </cell>
          <cell r="AC1613" t="str">
            <v>최재학계장</v>
          </cell>
          <cell r="AD1613">
            <v>0.85</v>
          </cell>
          <cell r="AE1613">
            <v>80</v>
          </cell>
          <cell r="AF1613">
            <v>2</v>
          </cell>
        </row>
        <row r="1614">
          <cell r="A1614" t="str">
            <v>HASWELL</v>
          </cell>
          <cell r="B1614" t="str">
            <v>SET</v>
          </cell>
          <cell r="C1614">
            <v>3</v>
          </cell>
          <cell r="D1614">
            <v>75</v>
          </cell>
          <cell r="E1614">
            <v>180</v>
          </cell>
          <cell r="F1614">
            <v>65</v>
          </cell>
          <cell r="G1614" t="str">
            <v>B240NS</v>
          </cell>
          <cell r="H1614">
            <v>10</v>
          </cell>
          <cell r="I1614">
            <v>2</v>
          </cell>
          <cell r="J1614" t="str">
            <v>에이텍</v>
          </cell>
          <cell r="K1614">
            <v>89</v>
          </cell>
          <cell r="L1614">
            <v>91</v>
          </cell>
          <cell r="M1614">
            <v>89</v>
          </cell>
          <cell r="N1614">
            <v>91</v>
          </cell>
          <cell r="O1614">
            <v>930</v>
          </cell>
          <cell r="P1614">
            <v>1360</v>
          </cell>
          <cell r="Q1614">
            <v>200</v>
          </cell>
          <cell r="R1614" t="str">
            <v>보라</v>
          </cell>
          <cell r="S1614" t="str">
            <v>보라</v>
          </cell>
          <cell r="T1614" t="str">
            <v>HASWELL</v>
          </cell>
          <cell r="U1614">
            <v>41627</v>
          </cell>
          <cell r="V1614" t="str">
            <v>금형제조부</v>
          </cell>
          <cell r="W1614" t="str">
            <v>PPACRCUS0249(50)B</v>
          </cell>
          <cell r="X1614" t="str">
            <v>E-0602</v>
          </cell>
          <cell r="AC1614" t="str">
            <v>(241kg)김길영계장</v>
          </cell>
          <cell r="AD1614">
            <v>0.85</v>
          </cell>
          <cell r="AE1614">
            <v>80</v>
          </cell>
          <cell r="AF1614">
            <v>12</v>
          </cell>
        </row>
        <row r="1615">
          <cell r="A1615" t="str">
            <v>HANWOO NO7</v>
          </cell>
          <cell r="B1615" t="str">
            <v>BOX</v>
          </cell>
          <cell r="C1615">
            <v>3</v>
          </cell>
          <cell r="D1615">
            <v>180</v>
          </cell>
          <cell r="E1615">
            <v>280</v>
          </cell>
          <cell r="F1615">
            <v>60</v>
          </cell>
          <cell r="G1615" t="str">
            <v>B240NS</v>
          </cell>
          <cell r="H1615">
            <v>10</v>
          </cell>
          <cell r="I1615">
            <v>3</v>
          </cell>
          <cell r="J1615" t="str">
            <v>㈜탭스</v>
          </cell>
          <cell r="K1615">
            <v>40</v>
          </cell>
          <cell r="L1615">
            <v>44</v>
          </cell>
          <cell r="O1615">
            <v>2263</v>
          </cell>
          <cell r="P1615">
            <v>1600</v>
          </cell>
          <cell r="Q1615">
            <v>300</v>
          </cell>
          <cell r="R1615" t="str">
            <v>보라</v>
          </cell>
          <cell r="T1615" t="str">
            <v>HANWOO NO7</v>
          </cell>
          <cell r="U1615">
            <v>45267</v>
          </cell>
          <cell r="V1615" t="str">
            <v>대양이동입고</v>
          </cell>
          <cell r="W1615" t="str">
            <v>한우7호</v>
          </cell>
          <cell r="AD1615">
            <v>0.85</v>
          </cell>
        </row>
        <row r="1616">
          <cell r="A1616" t="str">
            <v>HANWOO NO7</v>
          </cell>
          <cell r="B1616" t="str">
            <v>BOX</v>
          </cell>
          <cell r="C1616">
            <v>3</v>
          </cell>
          <cell r="D1616">
            <v>180</v>
          </cell>
          <cell r="E1616">
            <v>280</v>
          </cell>
          <cell r="F1616">
            <v>60</v>
          </cell>
          <cell r="G1616" t="str">
            <v>B240NS</v>
          </cell>
          <cell r="H1616">
            <v>10</v>
          </cell>
          <cell r="I1616">
            <v>3</v>
          </cell>
          <cell r="J1616" t="str">
            <v>㈜탭스</v>
          </cell>
          <cell r="K1616">
            <v>40</v>
          </cell>
          <cell r="L1616">
            <v>44</v>
          </cell>
          <cell r="O1616">
            <v>2263</v>
          </cell>
          <cell r="P1616">
            <v>1600</v>
          </cell>
          <cell r="Q1616">
            <v>300</v>
          </cell>
          <cell r="R1616" t="str">
            <v>보라</v>
          </cell>
          <cell r="T1616" t="str">
            <v>HANWOO NO7</v>
          </cell>
          <cell r="U1616">
            <v>45267</v>
          </cell>
          <cell r="V1616" t="str">
            <v>대양이동입고</v>
          </cell>
          <cell r="W1616" t="str">
            <v>한우7호</v>
          </cell>
          <cell r="AD1616">
            <v>0.85</v>
          </cell>
        </row>
        <row r="1617">
          <cell r="A1617" t="str">
            <v>HANWOO NO7</v>
          </cell>
          <cell r="B1617" t="str">
            <v>BOX</v>
          </cell>
          <cell r="C1617">
            <v>3</v>
          </cell>
          <cell r="D1617">
            <v>180</v>
          </cell>
          <cell r="E1617">
            <v>280</v>
          </cell>
          <cell r="F1617">
            <v>60</v>
          </cell>
          <cell r="G1617" t="str">
            <v>B240NS</v>
          </cell>
          <cell r="H1617">
            <v>10</v>
          </cell>
          <cell r="I1617">
            <v>3</v>
          </cell>
          <cell r="J1617" t="str">
            <v>㈜탭스</v>
          </cell>
          <cell r="K1617">
            <v>40</v>
          </cell>
          <cell r="L1617">
            <v>44</v>
          </cell>
          <cell r="O1617">
            <v>2263</v>
          </cell>
          <cell r="P1617">
            <v>1600</v>
          </cell>
          <cell r="Q1617">
            <v>300</v>
          </cell>
          <cell r="R1617" t="str">
            <v>보라</v>
          </cell>
          <cell r="T1617" t="str">
            <v>HANWOO NO7</v>
          </cell>
          <cell r="U1617">
            <v>45267</v>
          </cell>
          <cell r="V1617" t="str">
            <v>대양이동입고</v>
          </cell>
          <cell r="W1617" t="str">
            <v>한우7호</v>
          </cell>
          <cell r="AD1617">
            <v>0.85</v>
          </cell>
        </row>
        <row r="1618">
          <cell r="A1618" t="str">
            <v>HANWOO NO7</v>
          </cell>
          <cell r="B1618" t="str">
            <v>BOX</v>
          </cell>
          <cell r="D1618">
            <v>100</v>
          </cell>
          <cell r="E1618">
            <v>410</v>
          </cell>
          <cell r="F1618">
            <v>60</v>
          </cell>
          <cell r="G1618" t="str">
            <v>B240NS</v>
          </cell>
          <cell r="J1618" t="str">
            <v>㈜탭스</v>
          </cell>
          <cell r="T1618" t="str">
            <v>HANWOO NO7</v>
          </cell>
          <cell r="U1618">
            <v>45267</v>
          </cell>
          <cell r="V1618" t="str">
            <v>대양이동입고</v>
          </cell>
          <cell r="W1618" t="str">
            <v>한우7호</v>
          </cell>
          <cell r="AD1618">
            <v>0.85</v>
          </cell>
        </row>
        <row r="1619">
          <cell r="A1619" t="str">
            <v>HANWOO NO6</v>
          </cell>
          <cell r="B1619" t="str">
            <v>BOX</v>
          </cell>
          <cell r="C1619">
            <v>3</v>
          </cell>
          <cell r="D1619">
            <v>100</v>
          </cell>
          <cell r="E1619">
            <v>300</v>
          </cell>
          <cell r="F1619">
            <v>60</v>
          </cell>
          <cell r="G1619" t="str">
            <v>B240NS</v>
          </cell>
          <cell r="H1619">
            <v>1</v>
          </cell>
          <cell r="I1619">
            <v>2</v>
          </cell>
          <cell r="J1619" t="str">
            <v>㈜탭스</v>
          </cell>
          <cell r="O1619">
            <v>1661</v>
          </cell>
          <cell r="P1619">
            <v>1300</v>
          </cell>
          <cell r="Q1619">
            <v>250</v>
          </cell>
          <cell r="T1619" t="str">
            <v>HANWOO NO6</v>
          </cell>
          <cell r="U1619">
            <v>45267</v>
          </cell>
          <cell r="V1619" t="str">
            <v>대양이동입고</v>
          </cell>
          <cell r="W1619" t="str">
            <v>한우 6호</v>
          </cell>
          <cell r="AD1619">
            <v>0.85</v>
          </cell>
        </row>
        <row r="1620">
          <cell r="A1620" t="str">
            <v>HANWOO NO6</v>
          </cell>
          <cell r="B1620" t="str">
            <v>BOX</v>
          </cell>
          <cell r="C1620">
            <v>3</v>
          </cell>
          <cell r="D1620">
            <v>100</v>
          </cell>
          <cell r="E1620">
            <v>300</v>
          </cell>
          <cell r="F1620">
            <v>60</v>
          </cell>
          <cell r="G1620" t="str">
            <v>B240NS</v>
          </cell>
          <cell r="H1620">
            <v>1</v>
          </cell>
          <cell r="I1620">
            <v>2</v>
          </cell>
          <cell r="J1620" t="str">
            <v>㈜탭스</v>
          </cell>
          <cell r="O1620">
            <v>1661</v>
          </cell>
          <cell r="P1620">
            <v>1300</v>
          </cell>
          <cell r="Q1620">
            <v>250</v>
          </cell>
          <cell r="T1620" t="str">
            <v>HANWOO NO6</v>
          </cell>
          <cell r="U1620">
            <v>45267</v>
          </cell>
          <cell r="V1620" t="str">
            <v>대양이동입고</v>
          </cell>
          <cell r="W1620" t="str">
            <v>한우 6호</v>
          </cell>
          <cell r="AD1620">
            <v>0.85</v>
          </cell>
        </row>
        <row r="1621">
          <cell r="A1621" t="str">
            <v>HANWOO NO6</v>
          </cell>
          <cell r="B1621" t="str">
            <v>BOX</v>
          </cell>
          <cell r="C1621">
            <v>3</v>
          </cell>
          <cell r="D1621">
            <v>100</v>
          </cell>
          <cell r="E1621">
            <v>300</v>
          </cell>
          <cell r="F1621">
            <v>60</v>
          </cell>
          <cell r="G1621" t="str">
            <v>B240NS</v>
          </cell>
          <cell r="H1621">
            <v>1</v>
          </cell>
          <cell r="I1621">
            <v>2</v>
          </cell>
          <cell r="J1621" t="str">
            <v>㈜탭스</v>
          </cell>
          <cell r="O1621">
            <v>1661</v>
          </cell>
          <cell r="P1621">
            <v>1300</v>
          </cell>
          <cell r="Q1621">
            <v>250</v>
          </cell>
          <cell r="T1621" t="str">
            <v>HANWOO NO6</v>
          </cell>
          <cell r="U1621">
            <v>45267</v>
          </cell>
          <cell r="V1621" t="str">
            <v>대양이동입고</v>
          </cell>
          <cell r="W1621" t="str">
            <v>한우 6호</v>
          </cell>
          <cell r="AD1621">
            <v>0.85</v>
          </cell>
        </row>
        <row r="1622">
          <cell r="A1622" t="str">
            <v>HANWOO NO6</v>
          </cell>
          <cell r="B1622" t="str">
            <v>BOX</v>
          </cell>
          <cell r="D1622">
            <v>100</v>
          </cell>
          <cell r="E1622">
            <v>300</v>
          </cell>
          <cell r="F1622">
            <v>60</v>
          </cell>
          <cell r="G1622" t="str">
            <v>B240NS</v>
          </cell>
          <cell r="J1622" t="str">
            <v>㈜탭스</v>
          </cell>
          <cell r="T1622" t="str">
            <v>HANWOO NO6</v>
          </cell>
          <cell r="U1622">
            <v>45267</v>
          </cell>
          <cell r="V1622" t="str">
            <v>대양이동입고</v>
          </cell>
          <cell r="W1622" t="str">
            <v>한우 6호</v>
          </cell>
          <cell r="AD1622">
            <v>0.85</v>
          </cell>
        </row>
        <row r="1623">
          <cell r="A1623" t="str">
            <v>HANWOO NO3</v>
          </cell>
          <cell r="B1623" t="str">
            <v>BOX</v>
          </cell>
          <cell r="D1623">
            <v>100</v>
          </cell>
          <cell r="E1623">
            <v>560</v>
          </cell>
          <cell r="F1623">
            <v>60</v>
          </cell>
          <cell r="G1623" t="str">
            <v>B240NS</v>
          </cell>
          <cell r="H1623">
            <v>1</v>
          </cell>
          <cell r="J1623" t="str">
            <v>㈜탭스</v>
          </cell>
          <cell r="O1623">
            <v>433</v>
          </cell>
          <cell r="T1623" t="str">
            <v>HANWOO NO3</v>
          </cell>
          <cell r="U1623">
            <v>45267</v>
          </cell>
          <cell r="V1623" t="str">
            <v>대양이동입고</v>
          </cell>
          <cell r="W1623" t="str">
            <v>한우 3호</v>
          </cell>
          <cell r="AD1623">
            <v>0.85</v>
          </cell>
        </row>
        <row r="1624">
          <cell r="A1624" t="str">
            <v>HANWOO NO3</v>
          </cell>
          <cell r="B1624" t="str">
            <v>BOX</v>
          </cell>
          <cell r="D1624">
            <v>100</v>
          </cell>
          <cell r="E1624">
            <v>560</v>
          </cell>
          <cell r="F1624">
            <v>60</v>
          </cell>
          <cell r="G1624" t="str">
            <v>B240NS</v>
          </cell>
          <cell r="H1624">
            <v>1</v>
          </cell>
          <cell r="J1624" t="str">
            <v>㈜탭스</v>
          </cell>
          <cell r="O1624">
            <v>433</v>
          </cell>
          <cell r="T1624" t="str">
            <v>HANWOO NO3</v>
          </cell>
          <cell r="U1624">
            <v>45267</v>
          </cell>
          <cell r="V1624" t="str">
            <v>대양이동입고</v>
          </cell>
          <cell r="W1624" t="str">
            <v>한우 3호</v>
          </cell>
          <cell r="AD1624">
            <v>0.85</v>
          </cell>
        </row>
        <row r="1625">
          <cell r="A1625" t="str">
            <v>HANWOO NO3</v>
          </cell>
          <cell r="B1625" t="str">
            <v>BOX</v>
          </cell>
          <cell r="D1625">
            <v>100</v>
          </cell>
          <cell r="E1625">
            <v>560</v>
          </cell>
          <cell r="F1625">
            <v>60</v>
          </cell>
          <cell r="G1625" t="str">
            <v>B240NS</v>
          </cell>
          <cell r="H1625">
            <v>1</v>
          </cell>
          <cell r="J1625" t="str">
            <v>㈜탭스</v>
          </cell>
          <cell r="O1625">
            <v>433</v>
          </cell>
          <cell r="T1625" t="str">
            <v>HANWOO NO3</v>
          </cell>
          <cell r="U1625">
            <v>45267</v>
          </cell>
          <cell r="V1625" t="str">
            <v>대양이동입고</v>
          </cell>
          <cell r="W1625" t="str">
            <v>한우 3호</v>
          </cell>
          <cell r="AD1625">
            <v>0.85</v>
          </cell>
        </row>
        <row r="1626">
          <cell r="A1626" t="str">
            <v>HANWOO NO3</v>
          </cell>
          <cell r="B1626" t="str">
            <v>BOX</v>
          </cell>
          <cell r="D1626">
            <v>100</v>
          </cell>
          <cell r="E1626">
            <v>560</v>
          </cell>
          <cell r="F1626">
            <v>60</v>
          </cell>
          <cell r="G1626" t="str">
            <v>B240NS</v>
          </cell>
          <cell r="J1626" t="str">
            <v>㈜탭스</v>
          </cell>
          <cell r="T1626" t="str">
            <v>HANWOO NO3</v>
          </cell>
          <cell r="U1626">
            <v>45267</v>
          </cell>
          <cell r="V1626" t="str">
            <v>대양이동입고</v>
          </cell>
          <cell r="W1626" t="str">
            <v>한우 3호</v>
          </cell>
          <cell r="AD1626">
            <v>0.85</v>
          </cell>
        </row>
        <row r="1627">
          <cell r="A1627" t="str">
            <v>HANWOO NO2</v>
          </cell>
          <cell r="B1627" t="str">
            <v>BOX</v>
          </cell>
          <cell r="C1627">
            <v>3</v>
          </cell>
          <cell r="D1627">
            <v>180</v>
          </cell>
          <cell r="E1627">
            <v>500</v>
          </cell>
          <cell r="F1627">
            <v>60</v>
          </cell>
          <cell r="G1627" t="str">
            <v>B240NS</v>
          </cell>
          <cell r="H1627">
            <v>1</v>
          </cell>
          <cell r="I1627">
            <v>2</v>
          </cell>
          <cell r="J1627" t="str">
            <v>㈜탭스</v>
          </cell>
          <cell r="O1627">
            <v>2750</v>
          </cell>
          <cell r="P1627">
            <v>1360</v>
          </cell>
          <cell r="Q1627">
            <v>300</v>
          </cell>
          <cell r="T1627" t="str">
            <v>HANWOO NO2</v>
          </cell>
          <cell r="U1627">
            <v>45267</v>
          </cell>
          <cell r="V1627" t="str">
            <v>대양이동입고</v>
          </cell>
          <cell r="W1627" t="str">
            <v>한우 2호</v>
          </cell>
          <cell r="AD1627">
            <v>0.85</v>
          </cell>
        </row>
        <row r="1628">
          <cell r="A1628" t="str">
            <v>HANWOO NO2</v>
          </cell>
          <cell r="B1628" t="str">
            <v>BOX</v>
          </cell>
          <cell r="C1628">
            <v>3</v>
          </cell>
          <cell r="D1628">
            <v>180</v>
          </cell>
          <cell r="E1628">
            <v>500</v>
          </cell>
          <cell r="F1628">
            <v>60</v>
          </cell>
          <cell r="G1628" t="str">
            <v>B240NS</v>
          </cell>
          <cell r="H1628">
            <v>1</v>
          </cell>
          <cell r="I1628">
            <v>2</v>
          </cell>
          <cell r="J1628" t="str">
            <v>㈜탭스</v>
          </cell>
          <cell r="O1628">
            <v>2750</v>
          </cell>
          <cell r="P1628">
            <v>1360</v>
          </cell>
          <cell r="Q1628">
            <v>300</v>
          </cell>
          <cell r="T1628" t="str">
            <v>HANWOO NO2</v>
          </cell>
          <cell r="U1628">
            <v>45267</v>
          </cell>
          <cell r="V1628" t="str">
            <v>대양이동입고</v>
          </cell>
          <cell r="W1628" t="str">
            <v>한우 2호</v>
          </cell>
          <cell r="AD1628">
            <v>0.85</v>
          </cell>
        </row>
        <row r="1629">
          <cell r="A1629" t="str">
            <v>HANWOO NO2</v>
          </cell>
          <cell r="B1629" t="str">
            <v>BOX</v>
          </cell>
          <cell r="C1629">
            <v>3</v>
          </cell>
          <cell r="D1629">
            <v>180</v>
          </cell>
          <cell r="E1629">
            <v>500</v>
          </cell>
          <cell r="F1629">
            <v>60</v>
          </cell>
          <cell r="G1629" t="str">
            <v>B240NS</v>
          </cell>
          <cell r="H1629">
            <v>1</v>
          </cell>
          <cell r="I1629">
            <v>2</v>
          </cell>
          <cell r="J1629" t="str">
            <v>㈜탭스</v>
          </cell>
          <cell r="O1629">
            <v>2750</v>
          </cell>
          <cell r="P1629">
            <v>1360</v>
          </cell>
          <cell r="Q1629">
            <v>300</v>
          </cell>
          <cell r="T1629" t="str">
            <v>HANWOO NO2</v>
          </cell>
          <cell r="U1629">
            <v>45267</v>
          </cell>
          <cell r="V1629" t="str">
            <v>대양이동입고</v>
          </cell>
          <cell r="W1629" t="str">
            <v>한우 2호</v>
          </cell>
          <cell r="AD1629">
            <v>0.85</v>
          </cell>
        </row>
        <row r="1630">
          <cell r="A1630" t="str">
            <v>HANWOO NO2</v>
          </cell>
          <cell r="B1630" t="str">
            <v>BOX</v>
          </cell>
          <cell r="D1630">
            <v>100</v>
          </cell>
          <cell r="E1630">
            <v>500</v>
          </cell>
          <cell r="F1630">
            <v>60</v>
          </cell>
          <cell r="G1630" t="str">
            <v>B240NS</v>
          </cell>
          <cell r="J1630" t="str">
            <v>㈜탭스</v>
          </cell>
          <cell r="T1630" t="str">
            <v>HANWOO NO2</v>
          </cell>
          <cell r="U1630">
            <v>45267</v>
          </cell>
          <cell r="V1630" t="str">
            <v>대양이동입고</v>
          </cell>
          <cell r="W1630" t="str">
            <v>한우 2호</v>
          </cell>
          <cell r="AD1630">
            <v>0.85</v>
          </cell>
        </row>
        <row r="1631">
          <cell r="A1631" t="str">
            <v>HANWOO NO1</v>
          </cell>
          <cell r="B1631" t="str">
            <v>BOX</v>
          </cell>
          <cell r="C1631">
            <v>3</v>
          </cell>
          <cell r="D1631">
            <v>150</v>
          </cell>
          <cell r="E1631">
            <v>270</v>
          </cell>
          <cell r="F1631">
            <v>60</v>
          </cell>
          <cell r="G1631" t="str">
            <v>B240NS</v>
          </cell>
          <cell r="H1631">
            <v>10</v>
          </cell>
          <cell r="I1631">
            <v>2</v>
          </cell>
          <cell r="J1631" t="str">
            <v>㈜탭스</v>
          </cell>
          <cell r="K1631">
            <v>41</v>
          </cell>
          <cell r="L1631">
            <v>43</v>
          </cell>
          <cell r="M1631">
            <v>147</v>
          </cell>
          <cell r="N1631">
            <v>149</v>
          </cell>
          <cell r="O1631">
            <v>2241</v>
          </cell>
          <cell r="P1631">
            <v>1600</v>
          </cell>
          <cell r="Q1631">
            <v>300</v>
          </cell>
          <cell r="R1631" t="str">
            <v>블랙</v>
          </cell>
          <cell r="T1631" t="str">
            <v>HANWOO NO1</v>
          </cell>
          <cell r="U1631">
            <v>45267</v>
          </cell>
          <cell r="V1631" t="str">
            <v>대양이동입고</v>
          </cell>
          <cell r="W1631" t="str">
            <v>한우1호</v>
          </cell>
          <cell r="AD1631">
            <v>0.85</v>
          </cell>
        </row>
        <row r="1632">
          <cell r="A1632" t="str">
            <v>HANWOO NO1</v>
          </cell>
          <cell r="B1632" t="str">
            <v>BOX</v>
          </cell>
          <cell r="C1632">
            <v>3</v>
          </cell>
          <cell r="D1632">
            <v>150</v>
          </cell>
          <cell r="E1632">
            <v>270</v>
          </cell>
          <cell r="F1632">
            <v>60</v>
          </cell>
          <cell r="G1632" t="str">
            <v>B240NS</v>
          </cell>
          <cell r="H1632">
            <v>10</v>
          </cell>
          <cell r="I1632">
            <v>2</v>
          </cell>
          <cell r="J1632" t="str">
            <v>㈜탭스</v>
          </cell>
          <cell r="K1632">
            <v>40</v>
          </cell>
          <cell r="L1632">
            <v>44</v>
          </cell>
          <cell r="O1632">
            <v>2241</v>
          </cell>
          <cell r="P1632">
            <v>1600</v>
          </cell>
          <cell r="Q1632">
            <v>300</v>
          </cell>
          <cell r="R1632" t="str">
            <v>블랙</v>
          </cell>
          <cell r="T1632" t="str">
            <v>HANWOO NO1</v>
          </cell>
          <cell r="U1632">
            <v>45267</v>
          </cell>
          <cell r="V1632" t="str">
            <v>대양이동입고</v>
          </cell>
          <cell r="W1632" t="str">
            <v>한우1호</v>
          </cell>
          <cell r="AD1632">
            <v>0.85</v>
          </cell>
        </row>
        <row r="1633">
          <cell r="A1633" t="str">
            <v>HANWOO NO1</v>
          </cell>
          <cell r="B1633" t="str">
            <v>BOX</v>
          </cell>
          <cell r="C1633">
            <v>3</v>
          </cell>
          <cell r="D1633">
            <v>150</v>
          </cell>
          <cell r="E1633">
            <v>270</v>
          </cell>
          <cell r="F1633">
            <v>60</v>
          </cell>
          <cell r="G1633" t="str">
            <v>B240NS</v>
          </cell>
          <cell r="H1633">
            <v>10</v>
          </cell>
          <cell r="I1633">
            <v>2</v>
          </cell>
          <cell r="J1633" t="str">
            <v>㈜탭스</v>
          </cell>
          <cell r="K1633">
            <v>40</v>
          </cell>
          <cell r="L1633">
            <v>44</v>
          </cell>
          <cell r="O1633">
            <v>2241</v>
          </cell>
          <cell r="P1633">
            <v>1600</v>
          </cell>
          <cell r="Q1633">
            <v>300</v>
          </cell>
          <cell r="R1633" t="str">
            <v>블랙</v>
          </cell>
          <cell r="T1633" t="str">
            <v>HANWOO NO1</v>
          </cell>
          <cell r="U1633">
            <v>45267</v>
          </cell>
          <cell r="V1633" t="str">
            <v>대양이동입고</v>
          </cell>
          <cell r="W1633" t="str">
            <v>한우1호</v>
          </cell>
          <cell r="AD1633">
            <v>0.85</v>
          </cell>
        </row>
        <row r="1634">
          <cell r="A1634" t="str">
            <v>HANWOO NO1</v>
          </cell>
          <cell r="B1634" t="str">
            <v>BOX</v>
          </cell>
          <cell r="D1634">
            <v>100</v>
          </cell>
          <cell r="E1634">
            <v>520</v>
          </cell>
          <cell r="F1634">
            <v>60</v>
          </cell>
          <cell r="G1634" t="str">
            <v>B240NS</v>
          </cell>
          <cell r="J1634" t="str">
            <v>㈜탭스</v>
          </cell>
          <cell r="T1634" t="str">
            <v>HANWOO NO1</v>
          </cell>
          <cell r="U1634">
            <v>45267</v>
          </cell>
          <cell r="V1634" t="str">
            <v>대양이동입고</v>
          </cell>
          <cell r="W1634" t="str">
            <v>한우1호</v>
          </cell>
          <cell r="AD1634">
            <v>0.85</v>
          </cell>
        </row>
        <row r="1635">
          <cell r="A1635" t="str">
            <v>HANGING-TOP/BOT</v>
          </cell>
          <cell r="B1635" t="str">
            <v>SET</v>
          </cell>
          <cell r="C1635">
            <v>1</v>
          </cell>
          <cell r="D1635">
            <v>100</v>
          </cell>
          <cell r="E1635">
            <v>1460</v>
          </cell>
          <cell r="F1635">
            <v>65</v>
          </cell>
          <cell r="G1635" t="str">
            <v>B240NS</v>
          </cell>
          <cell r="H1635" t="str">
            <v>3</v>
          </cell>
          <cell r="I1635">
            <v>2</v>
          </cell>
          <cell r="J1635" t="str">
            <v>이시다</v>
          </cell>
          <cell r="P1635" t="str">
            <v>1500</v>
          </cell>
          <cell r="Q1635" t="str">
            <v>350</v>
          </cell>
          <cell r="R1635" t="str">
            <v>비닐</v>
          </cell>
          <cell r="U1635">
            <v>44714</v>
          </cell>
          <cell r="V1635" t="str">
            <v>금형사업부</v>
          </cell>
          <cell r="W1635" t="str">
            <v>비닐포장만2번</v>
          </cell>
          <cell r="Y1635">
            <v>60</v>
          </cell>
          <cell r="AC1635" t="str">
            <v>김영석사원</v>
          </cell>
          <cell r="AD1635">
            <v>0.85</v>
          </cell>
        </row>
        <row r="1636">
          <cell r="A1636" t="str">
            <v>HANGING-TOP/BOT</v>
          </cell>
          <cell r="B1636" t="str">
            <v>SET</v>
          </cell>
          <cell r="C1636">
            <v>1</v>
          </cell>
          <cell r="D1636">
            <v>100</v>
          </cell>
          <cell r="E1636">
            <v>1460</v>
          </cell>
          <cell r="F1636">
            <v>65</v>
          </cell>
          <cell r="G1636" t="str">
            <v>B240NS</v>
          </cell>
          <cell r="H1636" t="str">
            <v>3</v>
          </cell>
          <cell r="I1636">
            <v>2</v>
          </cell>
          <cell r="J1636" t="str">
            <v>이시다</v>
          </cell>
          <cell r="P1636" t="str">
            <v>1500</v>
          </cell>
          <cell r="R1636" t="str">
            <v>노랑</v>
          </cell>
          <cell r="U1636">
            <v>44714</v>
          </cell>
          <cell r="V1636" t="str">
            <v>금형사업부</v>
          </cell>
          <cell r="Y1636">
            <v>60</v>
          </cell>
          <cell r="AC1636" t="str">
            <v>김영석사원</v>
          </cell>
          <cell r="AD1636">
            <v>0.85</v>
          </cell>
        </row>
        <row r="1637">
          <cell r="A1637" t="str">
            <v>HANGING-MIDDLE</v>
          </cell>
          <cell r="B1637" t="str">
            <v>SET</v>
          </cell>
          <cell r="C1637">
            <v>1</v>
          </cell>
          <cell r="D1637">
            <v>100</v>
          </cell>
          <cell r="E1637">
            <v>675</v>
          </cell>
          <cell r="F1637">
            <v>65</v>
          </cell>
          <cell r="G1637" t="str">
            <v>B240NS</v>
          </cell>
          <cell r="H1637" t="str">
            <v>5</v>
          </cell>
          <cell r="I1637">
            <v>1</v>
          </cell>
          <cell r="J1637" t="str">
            <v>이시다</v>
          </cell>
          <cell r="P1637" t="str">
            <v>1360</v>
          </cell>
          <cell r="Q1637" t="str">
            <v>200</v>
          </cell>
          <cell r="R1637" t="str">
            <v>비닐</v>
          </cell>
          <cell r="U1637">
            <v>44714</v>
          </cell>
          <cell r="V1637" t="str">
            <v>금형사업부</v>
          </cell>
          <cell r="W1637" t="str">
            <v>비닐포장만2번</v>
          </cell>
          <cell r="Y1637">
            <v>60</v>
          </cell>
          <cell r="AC1637" t="str">
            <v>김영석사원</v>
          </cell>
          <cell r="AD1637">
            <v>0.85</v>
          </cell>
        </row>
        <row r="1638">
          <cell r="A1638" t="str">
            <v>HANGING-MIDDLE</v>
          </cell>
          <cell r="B1638" t="str">
            <v>SET</v>
          </cell>
          <cell r="C1638">
            <v>1</v>
          </cell>
          <cell r="D1638">
            <v>100</v>
          </cell>
          <cell r="E1638">
            <v>675</v>
          </cell>
          <cell r="F1638">
            <v>65</v>
          </cell>
          <cell r="G1638" t="str">
            <v>B240NS</v>
          </cell>
          <cell r="H1638" t="str">
            <v>5</v>
          </cell>
          <cell r="I1638">
            <v>1</v>
          </cell>
          <cell r="J1638" t="str">
            <v>이시다</v>
          </cell>
          <cell r="P1638" t="str">
            <v>1500</v>
          </cell>
          <cell r="R1638" t="str">
            <v>빨강</v>
          </cell>
          <cell r="U1638">
            <v>44714</v>
          </cell>
          <cell r="V1638" t="str">
            <v>금형사업부</v>
          </cell>
          <cell r="Y1638">
            <v>60</v>
          </cell>
          <cell r="AC1638" t="str">
            <v>김영석사원</v>
          </cell>
          <cell r="AD1638">
            <v>0.85</v>
          </cell>
        </row>
        <row r="1639">
          <cell r="A1639" t="str">
            <v>HANDLE PACKING</v>
          </cell>
          <cell r="B1639" t="str">
            <v>SET</v>
          </cell>
          <cell r="C1639">
            <v>2</v>
          </cell>
          <cell r="D1639">
            <v>100</v>
          </cell>
          <cell r="E1639">
            <v>472</v>
          </cell>
          <cell r="F1639">
            <v>50</v>
          </cell>
          <cell r="G1639" t="str">
            <v>B240NS</v>
          </cell>
          <cell r="H1639">
            <v>4</v>
          </cell>
          <cell r="I1639">
            <v>1</v>
          </cell>
          <cell r="J1639" t="str">
            <v>파버나인</v>
          </cell>
          <cell r="O1639">
            <v>3400</v>
          </cell>
          <cell r="P1639">
            <v>1500</v>
          </cell>
          <cell r="Q1639">
            <v>300</v>
          </cell>
          <cell r="R1639" t="str">
            <v>흰색</v>
          </cell>
          <cell r="U1639">
            <v>43642</v>
          </cell>
          <cell r="V1639" t="str">
            <v>코모텍</v>
          </cell>
          <cell r="Y1639">
            <v>40</v>
          </cell>
          <cell r="AC1639" t="str">
            <v>진양에서 이관 190626</v>
          </cell>
          <cell r="AD1639">
            <v>0.85</v>
          </cell>
          <cell r="AE1639">
            <v>100</v>
          </cell>
          <cell r="AF1639">
            <v>8</v>
          </cell>
        </row>
        <row r="1640">
          <cell r="A1640" t="str">
            <v>H50M</v>
          </cell>
          <cell r="B1640" t="str">
            <v>SET</v>
          </cell>
          <cell r="C1640">
            <v>1</v>
          </cell>
          <cell r="D1640">
            <v>80</v>
          </cell>
          <cell r="E1640">
            <v>434</v>
          </cell>
          <cell r="F1640">
            <v>70</v>
          </cell>
          <cell r="G1640" t="str">
            <v>B240NS</v>
          </cell>
          <cell r="H1640">
            <v>10</v>
          </cell>
          <cell r="I1640">
            <v>2</v>
          </cell>
          <cell r="J1640" t="str">
            <v>아이두잇</v>
          </cell>
          <cell r="K1640">
            <v>72.5</v>
          </cell>
          <cell r="L1640">
            <v>76.5</v>
          </cell>
          <cell r="M1640">
            <v>83</v>
          </cell>
          <cell r="N1640">
            <v>87</v>
          </cell>
          <cell r="O1640">
            <v>2660</v>
          </cell>
          <cell r="P1640">
            <v>1360</v>
          </cell>
          <cell r="Q1640">
            <v>200</v>
          </cell>
          <cell r="R1640" t="str">
            <v>주황</v>
          </cell>
          <cell r="S1640" t="str">
            <v>주황</v>
          </cell>
          <cell r="U1640">
            <v>41870</v>
          </cell>
          <cell r="V1640" t="str">
            <v>금형제조부</v>
          </cell>
          <cell r="W1640" t="str">
            <v>이물,2번건조, 냉각수1초이하</v>
          </cell>
          <cell r="X1640" t="str">
            <v>A-1310</v>
          </cell>
          <cell r="AC1640" t="str">
            <v>석상준대리</v>
          </cell>
          <cell r="AD1640">
            <v>0.85</v>
          </cell>
          <cell r="AE1640">
            <v>85</v>
          </cell>
          <cell r="AF1640">
            <v>4</v>
          </cell>
        </row>
        <row r="1641">
          <cell r="A1641" t="str">
            <v>H50D</v>
          </cell>
          <cell r="B1641" t="str">
            <v>SET</v>
          </cell>
          <cell r="C1641">
            <v>1</v>
          </cell>
          <cell r="D1641">
            <v>80</v>
          </cell>
          <cell r="E1641">
            <v>400</v>
          </cell>
          <cell r="F1641">
            <v>70</v>
          </cell>
          <cell r="G1641" t="str">
            <v>B240NS</v>
          </cell>
          <cell r="H1641">
            <v>10</v>
          </cell>
          <cell r="I1641">
            <v>2</v>
          </cell>
          <cell r="J1641" t="str">
            <v>아이두잇</v>
          </cell>
          <cell r="K1641">
            <v>41</v>
          </cell>
          <cell r="L1641">
            <v>45</v>
          </cell>
          <cell r="M1641">
            <v>114.3</v>
          </cell>
          <cell r="N1641">
            <v>118.3</v>
          </cell>
          <cell r="O1641">
            <v>2695</v>
          </cell>
          <cell r="P1641">
            <v>1360</v>
          </cell>
          <cell r="Q1641">
            <v>200</v>
          </cell>
          <cell r="R1641" t="str">
            <v>빨강</v>
          </cell>
          <cell r="S1641" t="str">
            <v>빨강</v>
          </cell>
          <cell r="T1641" t="str">
            <v>H50D</v>
          </cell>
          <cell r="U1641">
            <v>41619</v>
          </cell>
          <cell r="V1641" t="str">
            <v>금형제조부</v>
          </cell>
          <cell r="W1641" t="str">
            <v>이물,2번건조, 냉각수1초이하</v>
          </cell>
          <cell r="X1641" t="str">
            <v>A-1202</v>
          </cell>
          <cell r="AC1641" t="str">
            <v xml:space="preserve">(215kg)김길영계장,2013.12.18 묶음단위변경 </v>
          </cell>
          <cell r="AD1641">
            <v>0.85</v>
          </cell>
          <cell r="AE1641">
            <v>135</v>
          </cell>
          <cell r="AF1641">
            <v>4</v>
          </cell>
        </row>
        <row r="1642">
          <cell r="A1642" t="str">
            <v>H35D</v>
          </cell>
          <cell r="B1642" t="str">
            <v>SET</v>
          </cell>
          <cell r="C1642">
            <v>2</v>
          </cell>
          <cell r="D1642">
            <v>70</v>
          </cell>
          <cell r="E1642">
            <v>270</v>
          </cell>
          <cell r="F1642">
            <v>74</v>
          </cell>
          <cell r="G1642" t="str">
            <v>B240NS</v>
          </cell>
          <cell r="H1642">
            <v>20</v>
          </cell>
          <cell r="I1642">
            <v>2</v>
          </cell>
          <cell r="J1642" t="str">
            <v>아이두잇</v>
          </cell>
          <cell r="K1642">
            <v>46.5</v>
          </cell>
          <cell r="L1642">
            <v>48.5</v>
          </cell>
          <cell r="M1642">
            <v>81</v>
          </cell>
          <cell r="N1642">
            <v>83</v>
          </cell>
          <cell r="O1642">
            <v>1510</v>
          </cell>
          <cell r="P1642">
            <v>1300</v>
          </cell>
          <cell r="Q1642">
            <v>200</v>
          </cell>
          <cell r="R1642" t="str">
            <v>주황</v>
          </cell>
          <cell r="S1642" t="str">
            <v>주황</v>
          </cell>
          <cell r="T1642" t="str">
            <v>H350D</v>
          </cell>
          <cell r="U1642">
            <v>40848</v>
          </cell>
          <cell r="V1642" t="str">
            <v>한일폼케미칼이동입고</v>
          </cell>
          <cell r="W1642" t="str">
            <v>이물,2번건조, 냉각수1초이하, 직가래3개사용!</v>
          </cell>
          <cell r="X1642" t="str">
            <v>C-1201</v>
          </cell>
          <cell r="AC1642" t="str">
            <v>장혁민사원2011.11.01(한일폼케미칼에서이관)</v>
          </cell>
          <cell r="AD1642">
            <v>0.85</v>
          </cell>
          <cell r="AE1642">
            <v>180</v>
          </cell>
          <cell r="AF1642">
            <v>6</v>
          </cell>
        </row>
        <row r="1643">
          <cell r="A1643" t="str">
            <v>H34/36D</v>
          </cell>
          <cell r="B1643" t="str">
            <v>SET</v>
          </cell>
          <cell r="C1643">
            <v>3</v>
          </cell>
          <cell r="D1643">
            <v>80</v>
          </cell>
          <cell r="E1643">
            <v>156</v>
          </cell>
          <cell r="F1643">
            <v>74</v>
          </cell>
          <cell r="G1643" t="str">
            <v>B240NS</v>
          </cell>
          <cell r="H1643">
            <v>20</v>
          </cell>
          <cell r="I1643">
            <v>2</v>
          </cell>
          <cell r="J1643" t="str">
            <v>아이두잇</v>
          </cell>
          <cell r="K1643">
            <v>54.5</v>
          </cell>
          <cell r="L1643">
            <v>58.5</v>
          </cell>
          <cell r="M1643">
            <v>81.5</v>
          </cell>
          <cell r="N1643">
            <v>85.5</v>
          </cell>
          <cell r="O1643">
            <v>1080</v>
          </cell>
          <cell r="P1643">
            <v>1360</v>
          </cell>
          <cell r="Q1643">
            <v>200</v>
          </cell>
          <cell r="R1643" t="str">
            <v>검정</v>
          </cell>
          <cell r="S1643" t="str">
            <v>검정</v>
          </cell>
          <cell r="T1643" t="str">
            <v>H34-36D</v>
          </cell>
          <cell r="U1643">
            <v>42088</v>
          </cell>
          <cell r="V1643" t="str">
            <v>금형제조부</v>
          </cell>
          <cell r="W1643" t="str">
            <v>고치수 확인철저, 중량확인</v>
          </cell>
          <cell r="X1643" t="str">
            <v>T-0308</v>
          </cell>
          <cell r="AC1643" t="str">
            <v>김창준과장코팅입고,2015.04.03수정입고2015.04.13수정입고,2015.06.15수정입고,2017.04.17배율변경(62배-&gt;65배)</v>
          </cell>
          <cell r="AD1643">
            <v>0.85</v>
          </cell>
          <cell r="AE1643">
            <v>90</v>
          </cell>
          <cell r="AF1643">
            <v>4</v>
          </cell>
        </row>
        <row r="1644">
          <cell r="A1644" t="str">
            <v>H33D</v>
          </cell>
          <cell r="B1644" t="str">
            <v>SET</v>
          </cell>
          <cell r="C1644">
            <v>2</v>
          </cell>
          <cell r="D1644">
            <v>70</v>
          </cell>
          <cell r="E1644">
            <v>238</v>
          </cell>
          <cell r="F1644">
            <v>70</v>
          </cell>
          <cell r="G1644" t="str">
            <v>B240NS</v>
          </cell>
          <cell r="H1644">
            <v>20</v>
          </cell>
          <cell r="I1644">
            <v>2</v>
          </cell>
          <cell r="J1644" t="str">
            <v>아이두잇</v>
          </cell>
          <cell r="K1644">
            <v>54.5</v>
          </cell>
          <cell r="L1644">
            <v>58.5</v>
          </cell>
          <cell r="M1644">
            <v>81.5</v>
          </cell>
          <cell r="N1644">
            <v>85.5</v>
          </cell>
          <cell r="O1644">
            <v>1440</v>
          </cell>
          <cell r="P1644">
            <v>1360</v>
          </cell>
          <cell r="Q1644">
            <v>200</v>
          </cell>
          <cell r="R1644" t="str">
            <v>녹색</v>
          </cell>
          <cell r="S1644" t="str">
            <v>녹색</v>
          </cell>
          <cell r="T1644" t="str">
            <v>H33D</v>
          </cell>
          <cell r="U1644">
            <v>42090</v>
          </cell>
          <cell r="V1644" t="str">
            <v>금형제조부</v>
          </cell>
          <cell r="W1644" t="str">
            <v>이물,2번건조, 냉각수1초이하,고치수 중요</v>
          </cell>
          <cell r="X1644" t="str">
            <v>R-0201</v>
          </cell>
          <cell r="AC1644" t="str">
            <v>김일환계장,2015.04.06개조입고</v>
          </cell>
          <cell r="AD1644">
            <v>0.85</v>
          </cell>
          <cell r="AE1644">
            <v>70</v>
          </cell>
          <cell r="AF1644">
            <v>4</v>
          </cell>
        </row>
        <row r="1645">
          <cell r="A1645" t="str">
            <v>H30DASTRO</v>
          </cell>
          <cell r="B1645" t="str">
            <v>SET</v>
          </cell>
          <cell r="C1645">
            <v>3</v>
          </cell>
          <cell r="D1645">
            <v>75</v>
          </cell>
          <cell r="E1645">
            <v>195</v>
          </cell>
          <cell r="F1645">
            <v>70</v>
          </cell>
          <cell r="G1645" t="str">
            <v>B240NS</v>
          </cell>
          <cell r="H1645">
            <v>20</v>
          </cell>
          <cell r="I1645">
            <v>2</v>
          </cell>
          <cell r="J1645" t="str">
            <v>아이두잇</v>
          </cell>
          <cell r="K1645">
            <v>46.5</v>
          </cell>
          <cell r="L1645">
            <v>48.5</v>
          </cell>
          <cell r="M1645">
            <v>81</v>
          </cell>
          <cell r="N1645">
            <v>83</v>
          </cell>
          <cell r="O1645">
            <v>1190</v>
          </cell>
          <cell r="P1645">
            <v>1360</v>
          </cell>
          <cell r="Q1645">
            <v>200</v>
          </cell>
          <cell r="R1645" t="str">
            <v>흰색</v>
          </cell>
          <cell r="S1645" t="str">
            <v>흰색</v>
          </cell>
          <cell r="T1645" t="str">
            <v>H30DASTRO</v>
          </cell>
          <cell r="U1645">
            <v>41459</v>
          </cell>
          <cell r="V1645" t="str">
            <v>금형제조부</v>
          </cell>
          <cell r="W1645" t="str">
            <v>이물,2번건조, 냉각수1초이하</v>
          </cell>
          <cell r="AC1645" t="str">
            <v>조우리사원 2014.04.11 묶음단위변경 (20-&gt;12),2017.05.02기준중량변경(220-&gt;195)</v>
          </cell>
          <cell r="AD1645">
            <v>0.85</v>
          </cell>
          <cell r="AE1645">
            <v>80</v>
          </cell>
          <cell r="AF1645">
            <v>4</v>
          </cell>
        </row>
        <row r="1646">
          <cell r="A1646" t="str">
            <v>H30D</v>
          </cell>
          <cell r="B1646" t="str">
            <v>SET</v>
          </cell>
          <cell r="C1646">
            <v>3</v>
          </cell>
          <cell r="D1646">
            <v>85</v>
          </cell>
          <cell r="E1646">
            <v>200</v>
          </cell>
          <cell r="F1646">
            <v>70</v>
          </cell>
          <cell r="G1646" t="str">
            <v>B240NS</v>
          </cell>
          <cell r="H1646">
            <v>20</v>
          </cell>
          <cell r="I1646">
            <v>2</v>
          </cell>
          <cell r="J1646" t="str">
            <v>아이두잇</v>
          </cell>
          <cell r="K1646">
            <v>45.5</v>
          </cell>
          <cell r="L1646">
            <v>47.5</v>
          </cell>
          <cell r="M1646">
            <v>80</v>
          </cell>
          <cell r="N1646">
            <v>82</v>
          </cell>
          <cell r="O1646">
            <v>1080</v>
          </cell>
          <cell r="P1646">
            <v>1360</v>
          </cell>
          <cell r="Q1646">
            <v>150</v>
          </cell>
          <cell r="R1646" t="str">
            <v>파랑</v>
          </cell>
          <cell r="S1646" t="str">
            <v>파랑</v>
          </cell>
          <cell r="T1646" t="str">
            <v>H30D</v>
          </cell>
          <cell r="U1646">
            <v>40788</v>
          </cell>
          <cell r="V1646" t="str">
            <v>한일폼케미칼이동입고</v>
          </cell>
          <cell r="W1646" t="str">
            <v>이물,2번건조, 냉각수1초이하</v>
          </cell>
          <cell r="AC1646" t="str">
            <v>2011.09.02(한일폼케미칼에서이관), 2011.09.21고치수변경, 2011.11.01 57배~62배로변경, 2014.07.31배율변경(57-&gt;65)2014.10.27코팅완료,2016.07.05수정</v>
          </cell>
          <cell r="AD1646">
            <v>0.85</v>
          </cell>
          <cell r="AE1646">
            <v>70</v>
          </cell>
          <cell r="AF1646">
            <v>6</v>
          </cell>
        </row>
        <row r="1647">
          <cell r="A1647" t="str">
            <v>H21D-SCR</v>
          </cell>
          <cell r="B1647" t="str">
            <v>SET</v>
          </cell>
          <cell r="C1647">
            <v>2</v>
          </cell>
          <cell r="D1647">
            <v>72</v>
          </cell>
          <cell r="E1647">
            <v>200</v>
          </cell>
          <cell r="F1647">
            <v>65</v>
          </cell>
          <cell r="G1647" t="str">
            <v>B240NS</v>
          </cell>
          <cell r="H1647">
            <v>20</v>
          </cell>
          <cell r="I1647">
            <v>2</v>
          </cell>
          <cell r="J1647" t="str">
            <v>아이두잇</v>
          </cell>
          <cell r="K1647">
            <v>66.5</v>
          </cell>
          <cell r="L1647">
            <v>68.5</v>
          </cell>
          <cell r="M1647">
            <v>82.5</v>
          </cell>
          <cell r="N1647">
            <v>84.5</v>
          </cell>
          <cell r="O1647">
            <v>1145</v>
          </cell>
          <cell r="P1647">
            <v>1360</v>
          </cell>
          <cell r="Q1647">
            <v>200</v>
          </cell>
          <cell r="R1647" t="str">
            <v>흰색</v>
          </cell>
          <cell r="S1647" t="str">
            <v>흰색</v>
          </cell>
          <cell r="U1647">
            <v>42558</v>
          </cell>
          <cell r="V1647" t="str">
            <v>금형제조부</v>
          </cell>
          <cell r="W1647" t="str">
            <v>냉각불량 확인, 냉각노즐 확인! 건조2번</v>
          </cell>
          <cell r="Y1647">
            <v>50</v>
          </cell>
          <cell r="AC1647" t="str">
            <v>최재학 사원</v>
          </cell>
          <cell r="AD1647">
            <v>0.85</v>
          </cell>
          <cell r="AE1647">
            <v>80</v>
          </cell>
          <cell r="AF1647">
            <v>6</v>
          </cell>
        </row>
        <row r="1648">
          <cell r="A1648" t="str">
            <v>H21D</v>
          </cell>
          <cell r="B1648" t="str">
            <v>SET</v>
          </cell>
          <cell r="C1648">
            <v>2</v>
          </cell>
          <cell r="D1648">
            <v>70</v>
          </cell>
          <cell r="E1648">
            <v>224</v>
          </cell>
          <cell r="F1648">
            <v>70</v>
          </cell>
          <cell r="G1648" t="str">
            <v>B240NS</v>
          </cell>
          <cell r="H1648">
            <v>20</v>
          </cell>
          <cell r="I1648">
            <v>2</v>
          </cell>
          <cell r="J1648" t="str">
            <v>아이두잇</v>
          </cell>
          <cell r="K1648">
            <v>57</v>
          </cell>
          <cell r="L1648">
            <v>61</v>
          </cell>
          <cell r="M1648">
            <v>81.5</v>
          </cell>
          <cell r="N1648">
            <v>85.5</v>
          </cell>
          <cell r="O1648">
            <v>1240</v>
          </cell>
          <cell r="P1648">
            <v>1360</v>
          </cell>
          <cell r="Q1648">
            <v>200</v>
          </cell>
          <cell r="R1648" t="str">
            <v>빨강</v>
          </cell>
          <cell r="S1648" t="str">
            <v>빨강</v>
          </cell>
          <cell r="T1648" t="str">
            <v>H21D</v>
          </cell>
          <cell r="U1648">
            <v>42096</v>
          </cell>
          <cell r="V1648" t="str">
            <v>금형제조부</v>
          </cell>
          <cell r="W1648" t="str">
            <v>이물,2번건조, 냉각수1초이하,고치수 중요</v>
          </cell>
          <cell r="AC1648" t="str">
            <v>김창준과장코팅입고,2017.06.19 끈색변경(녹색-&gt;빨강)</v>
          </cell>
          <cell r="AD1648">
            <v>0.85</v>
          </cell>
          <cell r="AE1648">
            <v>85</v>
          </cell>
          <cell r="AF1648">
            <v>4</v>
          </cell>
        </row>
        <row r="1649">
          <cell r="A1649" t="str">
            <v>H210D</v>
          </cell>
          <cell r="B1649" t="str">
            <v>SET</v>
          </cell>
          <cell r="C1649">
            <v>2</v>
          </cell>
          <cell r="D1649">
            <v>80</v>
          </cell>
          <cell r="E1649">
            <v>230</v>
          </cell>
          <cell r="F1649">
            <v>65</v>
          </cell>
          <cell r="G1649" t="str">
            <v>B240NS</v>
          </cell>
          <cell r="H1649">
            <v>20</v>
          </cell>
          <cell r="I1649">
            <v>2</v>
          </cell>
          <cell r="J1649" t="str">
            <v>태석정공</v>
          </cell>
          <cell r="K1649">
            <v>51</v>
          </cell>
          <cell r="L1649">
            <v>53</v>
          </cell>
          <cell r="M1649">
            <v>79</v>
          </cell>
          <cell r="N1649">
            <v>81</v>
          </cell>
          <cell r="O1649">
            <v>1150</v>
          </cell>
          <cell r="P1649">
            <v>1360</v>
          </cell>
          <cell r="Q1649">
            <v>150</v>
          </cell>
          <cell r="R1649" t="str">
            <v>빨강</v>
          </cell>
          <cell r="S1649" t="str">
            <v>빨강</v>
          </cell>
          <cell r="T1649" t="str">
            <v>H210D</v>
          </cell>
          <cell r="U1649">
            <v>39510</v>
          </cell>
          <cell r="V1649" t="str">
            <v>삼일금형</v>
          </cell>
          <cell r="X1649" t="str">
            <v>Q-0502</v>
          </cell>
          <cell r="AD1649">
            <v>0.85</v>
          </cell>
          <cell r="AE1649">
            <v>80</v>
          </cell>
          <cell r="AF1649">
            <v>4</v>
          </cell>
        </row>
        <row r="1650">
          <cell r="A1650" t="str">
            <v>G-완충제(40배)</v>
          </cell>
          <cell r="B1650" t="str">
            <v>SET</v>
          </cell>
          <cell r="C1650">
            <v>3</v>
          </cell>
          <cell r="D1650">
            <v>110</v>
          </cell>
          <cell r="E1650">
            <v>727</v>
          </cell>
          <cell r="F1650">
            <v>50</v>
          </cell>
          <cell r="G1650" t="str">
            <v>B240NS</v>
          </cell>
          <cell r="H1650">
            <v>6</v>
          </cell>
          <cell r="I1650">
            <v>2</v>
          </cell>
          <cell r="J1650" t="str">
            <v>삼영유니텍</v>
          </cell>
          <cell r="K1650">
            <v>99</v>
          </cell>
          <cell r="L1650">
            <v>101</v>
          </cell>
          <cell r="M1650">
            <v>278</v>
          </cell>
          <cell r="N1650">
            <v>282</v>
          </cell>
          <cell r="O1650">
            <v>4800</v>
          </cell>
          <cell r="P1650">
            <v>1300</v>
          </cell>
          <cell r="Q1650">
            <v>350</v>
          </cell>
          <cell r="R1650" t="str">
            <v>검정</v>
          </cell>
          <cell r="S1650" t="str">
            <v>검정</v>
          </cell>
          <cell r="T1650" t="str">
            <v>한국원자력기술연구소BOX</v>
          </cell>
          <cell r="U1650">
            <v>39328</v>
          </cell>
          <cell r="V1650" t="str">
            <v>삼일금형</v>
          </cell>
          <cell r="W1650" t="str">
            <v>원자력박스</v>
          </cell>
          <cell r="X1650" t="str">
            <v>A-0602</v>
          </cell>
          <cell r="AC1650" t="str">
            <v>06.10.26일 1SET재제작후 입고.06.12.12일 TOP코아재제작,09.06.16 한국원자력-삼영유니텍으로 거래처 변경,2015.07.14모델명변경(원자력박스-&gt;G-완충제)</v>
          </cell>
          <cell r="AD1650">
            <v>0.85</v>
          </cell>
          <cell r="AE1650">
            <v>110</v>
          </cell>
          <cell r="AF1650">
            <v>2</v>
          </cell>
        </row>
        <row r="1651">
          <cell r="A1651" t="str">
            <v>G-완충제</v>
          </cell>
          <cell r="B1651" t="str">
            <v>SET</v>
          </cell>
          <cell r="C1651">
            <v>3</v>
          </cell>
          <cell r="D1651">
            <v>110</v>
          </cell>
          <cell r="E1651">
            <v>552</v>
          </cell>
          <cell r="F1651">
            <v>65</v>
          </cell>
          <cell r="G1651" t="str">
            <v>B240NS</v>
          </cell>
          <cell r="H1651">
            <v>6</v>
          </cell>
          <cell r="I1651">
            <v>2</v>
          </cell>
          <cell r="J1651" t="str">
            <v>삼영유니텍</v>
          </cell>
          <cell r="K1651">
            <v>98</v>
          </cell>
          <cell r="L1651">
            <v>102</v>
          </cell>
          <cell r="M1651">
            <v>278</v>
          </cell>
          <cell r="N1651">
            <v>282</v>
          </cell>
          <cell r="O1651">
            <v>3650</v>
          </cell>
          <cell r="P1651">
            <v>1300</v>
          </cell>
          <cell r="Q1651">
            <v>350</v>
          </cell>
          <cell r="R1651" t="str">
            <v>주황</v>
          </cell>
          <cell r="S1651" t="str">
            <v>주황</v>
          </cell>
          <cell r="T1651" t="str">
            <v>한국원자력기술연구소BOX</v>
          </cell>
          <cell r="U1651">
            <v>39328</v>
          </cell>
          <cell r="V1651" t="str">
            <v>삼일금형</v>
          </cell>
          <cell r="W1651" t="str">
            <v>원자력박스</v>
          </cell>
          <cell r="X1651" t="str">
            <v>A-0602</v>
          </cell>
          <cell r="AC1651" t="str">
            <v>06.10.26일 1SET재제작후 입고.06.12.12일 TOP코아재제작,09.06.16 한국원자력-삼영유니텍으로 거래처 변경,2015.07.14모델명변경(원자력박스-&gt;G-완충제)</v>
          </cell>
          <cell r="AD1651">
            <v>0.85</v>
          </cell>
          <cell r="AE1651">
            <v>110</v>
          </cell>
          <cell r="AF1651">
            <v>2</v>
          </cell>
        </row>
        <row r="1652">
          <cell r="A1652" t="str">
            <v>GWI-65C7500U</v>
          </cell>
          <cell r="B1652" t="str">
            <v>SET</v>
          </cell>
          <cell r="C1652">
            <v>2</v>
          </cell>
          <cell r="D1652">
            <v>100</v>
          </cell>
          <cell r="E1652">
            <v>650</v>
          </cell>
          <cell r="F1652">
            <v>65</v>
          </cell>
          <cell r="G1652" t="str">
            <v>B240NS</v>
          </cell>
          <cell r="H1652" t="str">
            <v>UP10LOW10F10</v>
          </cell>
          <cell r="I1652">
            <v>3</v>
          </cell>
          <cell r="J1652" t="str">
            <v>청호나이스</v>
          </cell>
          <cell r="K1652">
            <v>88.6</v>
          </cell>
          <cell r="L1652">
            <v>91.4</v>
          </cell>
          <cell r="M1652">
            <v>71.599999999999994</v>
          </cell>
          <cell r="N1652">
            <v>74.400000000000006</v>
          </cell>
          <cell r="P1652">
            <v>1500</v>
          </cell>
          <cell r="Q1652">
            <v>250</v>
          </cell>
          <cell r="R1652" t="str">
            <v>파랑</v>
          </cell>
          <cell r="S1652" t="str">
            <v>파랑</v>
          </cell>
          <cell r="T1652" t="str">
            <v>61-1879-0/61-1907-0/61-1908-0</v>
          </cell>
          <cell r="U1652">
            <v>43958</v>
          </cell>
          <cell r="V1652" t="str">
            <v>세일하이테크</v>
          </cell>
          <cell r="W1652" t="str">
            <v>61-1879, 61-1907, 61-1908,</v>
          </cell>
          <cell r="Y1652">
            <v>50</v>
          </cell>
          <cell r="Z1652">
            <v>37566</v>
          </cell>
          <cell r="AC1652" t="str">
            <v>2020.07.24 코팅완료</v>
          </cell>
          <cell r="AD1652">
            <v>0.85</v>
          </cell>
        </row>
        <row r="1653">
          <cell r="A1653" t="str">
            <v>GUIDE-R2</v>
          </cell>
          <cell r="J1653" t="str">
            <v>동양매직</v>
          </cell>
          <cell r="T1653" t="str">
            <v>30*30*35T</v>
          </cell>
        </row>
        <row r="1654">
          <cell r="A1654" t="str">
            <v>GS</v>
          </cell>
          <cell r="B1654" t="str">
            <v>SET</v>
          </cell>
          <cell r="C1654">
            <v>2</v>
          </cell>
          <cell r="D1654">
            <v>80</v>
          </cell>
          <cell r="E1654">
            <v>390</v>
          </cell>
          <cell r="F1654">
            <v>74</v>
          </cell>
          <cell r="G1654" t="str">
            <v>B240NS</v>
          </cell>
          <cell r="H1654">
            <v>1</v>
          </cell>
          <cell r="I1654">
            <v>2</v>
          </cell>
          <cell r="J1654" t="str">
            <v>모트렉스</v>
          </cell>
          <cell r="O1654">
            <v>2250</v>
          </cell>
          <cell r="P1654">
            <v>1360</v>
          </cell>
          <cell r="Q1654">
            <v>200</v>
          </cell>
          <cell r="S1654">
            <v>0</v>
          </cell>
          <cell r="T1654" t="str">
            <v>GS(600*490*245)</v>
          </cell>
          <cell r="U1654">
            <v>43243</v>
          </cell>
          <cell r="V1654" t="str">
            <v>이관금형</v>
          </cell>
          <cell r="W1654" t="str">
            <v>2번 건조, 생성예정(A)</v>
          </cell>
          <cell r="Y1654">
            <v>64</v>
          </cell>
          <cell r="AC1654" t="str">
            <v>최재학계장</v>
          </cell>
          <cell r="AD1654">
            <v>0.85</v>
          </cell>
          <cell r="AE1654">
            <v>80</v>
          </cell>
          <cell r="AF1654">
            <v>16</v>
          </cell>
        </row>
        <row r="1655">
          <cell r="A1655" t="str">
            <v>GLASS</v>
          </cell>
          <cell r="B1655" t="str">
            <v>BOX</v>
          </cell>
          <cell r="C1655">
            <v>2</v>
          </cell>
          <cell r="D1655">
            <v>100</v>
          </cell>
          <cell r="E1655">
            <v>1095</v>
          </cell>
          <cell r="F1655">
            <v>70</v>
          </cell>
          <cell r="G1655" t="str">
            <v>B240NS</v>
          </cell>
          <cell r="H1655">
            <v>2</v>
          </cell>
          <cell r="I1655">
            <v>2</v>
          </cell>
          <cell r="J1655" t="str">
            <v>동진화성</v>
          </cell>
          <cell r="K1655">
            <v>133</v>
          </cell>
          <cell r="L1655">
            <v>137</v>
          </cell>
          <cell r="M1655">
            <v>258</v>
          </cell>
          <cell r="N1655">
            <v>262</v>
          </cell>
          <cell r="O1655">
            <v>5800</v>
          </cell>
          <cell r="P1655">
            <v>1360</v>
          </cell>
          <cell r="Q1655">
            <v>400</v>
          </cell>
          <cell r="R1655" t="str">
            <v>밴딩</v>
          </cell>
          <cell r="S1655" t="str">
            <v>밴딩</v>
          </cell>
          <cell r="T1655" t="str">
            <v>GLASS</v>
          </cell>
          <cell r="U1655">
            <v>39025</v>
          </cell>
          <cell r="V1655" t="str">
            <v>삼일금형</v>
          </cell>
          <cell r="W1655" t="str">
            <v>거꾸로 조립, 냉각불량확인</v>
          </cell>
          <cell r="X1655" t="str">
            <v>C-0106</v>
          </cell>
          <cell r="AC1655" t="str">
            <v>2011.12.22기준중량변경(1370-&gt;1250 2012.01.01적용),2013.03.10기준중량및배율변경(57배.1250g-&gt;65배.1095g)2014.10.29수정(휘더추가), 2020.05.08BURR수리, 2021.01.20사용배율변경(74-&gt;70)</v>
          </cell>
          <cell r="AD1655">
            <v>0.85</v>
          </cell>
          <cell r="AE1655">
            <v>110</v>
          </cell>
          <cell r="AF1655">
            <v>1</v>
          </cell>
        </row>
        <row r="1656">
          <cell r="A1656" t="str">
            <v>GIW 외피 몸통</v>
          </cell>
          <cell r="B1656" t="str">
            <v>회색</v>
          </cell>
          <cell r="C1656">
            <v>2</v>
          </cell>
          <cell r="D1656">
            <v>260</v>
          </cell>
          <cell r="E1656">
            <v>1650</v>
          </cell>
          <cell r="F1656">
            <v>40</v>
          </cell>
          <cell r="G1656" t="str">
            <v>ZP2500</v>
          </cell>
          <cell r="H1656">
            <v>1</v>
          </cell>
          <cell r="I1656">
            <v>2</v>
          </cell>
          <cell r="J1656" t="str">
            <v>㈜탭스</v>
          </cell>
          <cell r="O1656">
            <v>12788</v>
          </cell>
          <cell r="P1656">
            <v>1600</v>
          </cell>
          <cell r="Q1656">
            <v>550</v>
          </cell>
          <cell r="U1656">
            <v>45300</v>
          </cell>
          <cell r="V1656" t="str">
            <v>진양이동입고</v>
          </cell>
          <cell r="W1656" t="str">
            <v>GIW 외피 몸통</v>
          </cell>
          <cell r="AC1656" t="str">
            <v>후레임 일체형</v>
          </cell>
          <cell r="AD1656">
            <v>0.85</v>
          </cell>
        </row>
        <row r="1657">
          <cell r="A1657" t="str">
            <v>GIW 외피 몸통</v>
          </cell>
          <cell r="B1657" t="str">
            <v>BOX</v>
          </cell>
          <cell r="C1657">
            <v>2</v>
          </cell>
          <cell r="D1657">
            <v>180</v>
          </cell>
          <cell r="E1657">
            <v>1650</v>
          </cell>
          <cell r="F1657">
            <v>40</v>
          </cell>
          <cell r="G1657" t="str">
            <v>ZP2500</v>
          </cell>
          <cell r="H1657">
            <v>1</v>
          </cell>
          <cell r="I1657">
            <v>2</v>
          </cell>
          <cell r="J1657" t="str">
            <v>㈜탭스</v>
          </cell>
          <cell r="O1657">
            <v>12788</v>
          </cell>
          <cell r="P1657">
            <v>1600</v>
          </cell>
          <cell r="Q1657">
            <v>550</v>
          </cell>
          <cell r="U1657">
            <v>45300</v>
          </cell>
          <cell r="V1657" t="str">
            <v>진양이동입고</v>
          </cell>
          <cell r="W1657" t="str">
            <v>GIW 외피 몸통</v>
          </cell>
          <cell r="AC1657" t="str">
            <v>후레임 일체형</v>
          </cell>
          <cell r="AD1657">
            <v>0.85</v>
          </cell>
        </row>
        <row r="1658">
          <cell r="A1658" t="str">
            <v>GIW 외피 몸통</v>
          </cell>
          <cell r="B1658" t="str">
            <v>BOX</v>
          </cell>
          <cell r="C1658">
            <v>2</v>
          </cell>
          <cell r="D1658">
            <v>180</v>
          </cell>
          <cell r="E1658">
            <v>1650</v>
          </cell>
          <cell r="F1658">
            <v>40</v>
          </cell>
          <cell r="G1658" t="str">
            <v>ZP2500</v>
          </cell>
          <cell r="H1658">
            <v>1</v>
          </cell>
          <cell r="I1658">
            <v>2</v>
          </cell>
          <cell r="J1658" t="str">
            <v>㈜탭스</v>
          </cell>
          <cell r="O1658">
            <v>12788</v>
          </cell>
          <cell r="P1658">
            <v>1600</v>
          </cell>
          <cell r="Q1658">
            <v>550</v>
          </cell>
          <cell r="U1658">
            <v>45300</v>
          </cell>
          <cell r="V1658" t="str">
            <v>진양이동입고</v>
          </cell>
          <cell r="W1658" t="str">
            <v>GIW 외피 몸통</v>
          </cell>
          <cell r="AC1658" t="str">
            <v>후레임 일체형</v>
          </cell>
          <cell r="AD1658">
            <v>0.85</v>
          </cell>
        </row>
        <row r="1659">
          <cell r="A1659" t="str">
            <v>GIW 외피 뚜껑</v>
          </cell>
          <cell r="B1659" t="str">
            <v>회색</v>
          </cell>
          <cell r="C1659">
            <v>2</v>
          </cell>
          <cell r="D1659">
            <v>250</v>
          </cell>
          <cell r="E1659">
            <v>770</v>
          </cell>
          <cell r="F1659">
            <v>40</v>
          </cell>
          <cell r="G1659" t="str">
            <v>ZP2500</v>
          </cell>
          <cell r="H1659">
            <v>1</v>
          </cell>
          <cell r="I1659">
            <v>2</v>
          </cell>
          <cell r="J1659" t="str">
            <v>㈜탭스</v>
          </cell>
          <cell r="O1659">
            <v>6148</v>
          </cell>
          <cell r="P1659">
            <v>1600</v>
          </cell>
          <cell r="Q1659">
            <v>200</v>
          </cell>
          <cell r="U1659">
            <v>45300</v>
          </cell>
          <cell r="V1659" t="str">
            <v>진양이동입고</v>
          </cell>
          <cell r="W1659" t="str">
            <v>GIW 외피 뚜껑</v>
          </cell>
          <cell r="AC1659" t="str">
            <v>후레임 일체형</v>
          </cell>
          <cell r="AD1659">
            <v>0.85</v>
          </cell>
        </row>
        <row r="1660">
          <cell r="A1660" t="str">
            <v>GIW 외피 뚜껑</v>
          </cell>
          <cell r="B1660" t="str">
            <v>BOX</v>
          </cell>
          <cell r="C1660">
            <v>2</v>
          </cell>
          <cell r="D1660">
            <v>130</v>
          </cell>
          <cell r="E1660">
            <v>770</v>
          </cell>
          <cell r="F1660">
            <v>40</v>
          </cell>
          <cell r="G1660" t="str">
            <v>ZP2500</v>
          </cell>
          <cell r="H1660">
            <v>1</v>
          </cell>
          <cell r="I1660">
            <v>2</v>
          </cell>
          <cell r="J1660" t="str">
            <v>㈜탭스</v>
          </cell>
          <cell r="O1660">
            <v>6148</v>
          </cell>
          <cell r="P1660">
            <v>1600</v>
          </cell>
          <cell r="Q1660">
            <v>200</v>
          </cell>
          <cell r="U1660">
            <v>45300</v>
          </cell>
          <cell r="V1660" t="str">
            <v>진양이동입고</v>
          </cell>
          <cell r="W1660" t="str">
            <v>GIW 외피 뚜껑</v>
          </cell>
          <cell r="AC1660" t="str">
            <v>후레임 일체형</v>
          </cell>
          <cell r="AD1660">
            <v>0.85</v>
          </cell>
        </row>
        <row r="1661">
          <cell r="A1661" t="str">
            <v>GIW 외피 뚜껑</v>
          </cell>
          <cell r="B1661" t="str">
            <v>BOX</v>
          </cell>
          <cell r="C1661">
            <v>2</v>
          </cell>
          <cell r="D1661">
            <v>130</v>
          </cell>
          <cell r="E1661">
            <v>770</v>
          </cell>
          <cell r="F1661">
            <v>40</v>
          </cell>
          <cell r="G1661" t="str">
            <v>ZP2500</v>
          </cell>
          <cell r="H1661">
            <v>1</v>
          </cell>
          <cell r="I1661">
            <v>2</v>
          </cell>
          <cell r="J1661" t="str">
            <v>㈜탭스</v>
          </cell>
          <cell r="O1661">
            <v>6148</v>
          </cell>
          <cell r="P1661">
            <v>1600</v>
          </cell>
          <cell r="Q1661">
            <v>200</v>
          </cell>
          <cell r="U1661">
            <v>45300</v>
          </cell>
          <cell r="V1661" t="str">
            <v>진양이동입고</v>
          </cell>
          <cell r="W1661" t="str">
            <v>GIW 외피 뚜껑</v>
          </cell>
          <cell r="AC1661" t="str">
            <v>후레임 일체형</v>
          </cell>
          <cell r="AD1661">
            <v>0.85</v>
          </cell>
        </row>
        <row r="1662">
          <cell r="A1662" t="str">
            <v>GIFT-TLE-1개입</v>
          </cell>
          <cell r="B1662" t="str">
            <v>SET</v>
          </cell>
          <cell r="C1662">
            <v>4</v>
          </cell>
          <cell r="D1662">
            <v>85</v>
          </cell>
          <cell r="E1662">
            <v>130</v>
          </cell>
          <cell r="F1662">
            <v>74</v>
          </cell>
          <cell r="G1662" t="str">
            <v>B240NS</v>
          </cell>
          <cell r="H1662">
            <v>1</v>
          </cell>
          <cell r="I1662">
            <v>2</v>
          </cell>
          <cell r="J1662" t="str">
            <v>모트렉스</v>
          </cell>
          <cell r="O1662">
            <v>820</v>
          </cell>
          <cell r="P1662">
            <v>1300</v>
          </cell>
          <cell r="Q1662">
            <v>200</v>
          </cell>
          <cell r="S1662">
            <v>0</v>
          </cell>
          <cell r="T1662" t="str">
            <v>GIFT스티로폼(TL/CKD/325*255*210)</v>
          </cell>
          <cell r="U1662">
            <v>43243</v>
          </cell>
          <cell r="V1662" t="str">
            <v>이관금형</v>
          </cell>
          <cell r="W1662" t="str">
            <v>2번 건조, SC721026A</v>
          </cell>
          <cell r="Y1662">
            <v>64</v>
          </cell>
          <cell r="AC1662" t="str">
            <v>최재학계장</v>
          </cell>
          <cell r="AD1662">
            <v>0.85</v>
          </cell>
          <cell r="AE1662">
            <v>85</v>
          </cell>
          <cell r="AF1662">
            <v>4</v>
          </cell>
        </row>
        <row r="1663">
          <cell r="A1663" t="str">
            <v>GIFT-BOX(회색)</v>
          </cell>
          <cell r="B1663" t="str">
            <v>회색</v>
          </cell>
          <cell r="C1663">
            <v>3</v>
          </cell>
          <cell r="D1663">
            <v>120</v>
          </cell>
          <cell r="E1663">
            <v>295</v>
          </cell>
          <cell r="F1663">
            <v>65</v>
          </cell>
          <cell r="G1663" t="str">
            <v>ZP2500</v>
          </cell>
          <cell r="H1663" t="str">
            <v>몸통10뚜껑20</v>
          </cell>
          <cell r="I1663">
            <v>3</v>
          </cell>
          <cell r="J1663" t="str">
            <v>아워홈</v>
          </cell>
          <cell r="K1663">
            <v>29</v>
          </cell>
          <cell r="L1663">
            <v>31</v>
          </cell>
          <cell r="M1663">
            <v>174</v>
          </cell>
          <cell r="N1663">
            <v>176</v>
          </cell>
          <cell r="O1663">
            <v>1690</v>
          </cell>
          <cell r="P1663">
            <v>1360</v>
          </cell>
          <cell r="Q1663">
            <v>250</v>
          </cell>
          <cell r="R1663" t="str">
            <v>녹색</v>
          </cell>
          <cell r="S1663" t="str">
            <v>녹색</v>
          </cell>
          <cell r="U1663">
            <v>41484</v>
          </cell>
          <cell r="V1663" t="str">
            <v>금형제조부</v>
          </cell>
          <cell r="W1663" t="str">
            <v>금형 거꾸로 조립</v>
          </cell>
          <cell r="AC1663" t="str">
            <v>GIFT-BOX 동일금형, 2013.12.26 기준중량변경(250-&gt;280), 2014.01.07 기준중량변경(280-&gt;295)</v>
          </cell>
          <cell r="AD1663">
            <v>0.85</v>
          </cell>
          <cell r="AE1663">
            <v>80</v>
          </cell>
          <cell r="AF1663">
            <v>6</v>
          </cell>
        </row>
        <row r="1664">
          <cell r="A1664" t="str">
            <v>GIFT-BOX</v>
          </cell>
          <cell r="B1664" t="str">
            <v>SET</v>
          </cell>
          <cell r="C1664">
            <v>3</v>
          </cell>
          <cell r="D1664">
            <v>80</v>
          </cell>
          <cell r="E1664">
            <v>230</v>
          </cell>
          <cell r="F1664">
            <v>74</v>
          </cell>
          <cell r="G1664" t="str">
            <v>B240NS</v>
          </cell>
          <cell r="H1664" t="str">
            <v>몸통10뚜껑20</v>
          </cell>
          <cell r="I1664">
            <v>3</v>
          </cell>
          <cell r="J1664" t="str">
            <v>아워홈</v>
          </cell>
          <cell r="K1664">
            <v>29</v>
          </cell>
          <cell r="L1664">
            <v>31</v>
          </cell>
          <cell r="M1664">
            <v>174</v>
          </cell>
          <cell r="N1664">
            <v>176</v>
          </cell>
          <cell r="O1664">
            <v>1150</v>
          </cell>
          <cell r="P1664">
            <v>1360</v>
          </cell>
          <cell r="Q1664">
            <v>250</v>
          </cell>
          <cell r="R1664" t="str">
            <v>녹색</v>
          </cell>
          <cell r="S1664" t="str">
            <v>녹색</v>
          </cell>
          <cell r="U1664">
            <v>41484</v>
          </cell>
          <cell r="V1664" t="str">
            <v>금형제조부</v>
          </cell>
          <cell r="W1664" t="str">
            <v>금형 거꾸로 조립, 휨불량주의,6~9호기금지, 사용</v>
          </cell>
          <cell r="X1664" t="str">
            <v>P-0101</v>
          </cell>
          <cell r="AC1664" t="str">
            <v>조우리사원,2013.08.08 수정, 2013.08.18승인완료(220-&gt;230), 2013.12.24개조 고치수변경(20-&gt;30),2014.01.07 개조,180824 아산eps대여</v>
          </cell>
          <cell r="AD1664">
            <v>0.9</v>
          </cell>
          <cell r="AE1664">
            <v>105</v>
          </cell>
          <cell r="AF1664">
            <v>6</v>
          </cell>
        </row>
        <row r="1665">
          <cell r="A1665" t="str">
            <v>GA2</v>
          </cell>
          <cell r="B1665" t="str">
            <v>SET</v>
          </cell>
          <cell r="C1665">
            <v>1</v>
          </cell>
          <cell r="D1665">
            <v>100</v>
          </cell>
          <cell r="E1665">
            <v>2443</v>
          </cell>
          <cell r="F1665">
            <v>58</v>
          </cell>
          <cell r="G1665" t="str">
            <v>B240NS</v>
          </cell>
          <cell r="H1665">
            <v>1</v>
          </cell>
          <cell r="I1665">
            <v>2</v>
          </cell>
          <cell r="J1665" t="str">
            <v>뉴옵틱스</v>
          </cell>
          <cell r="K1665">
            <v>273</v>
          </cell>
          <cell r="L1665">
            <v>279</v>
          </cell>
          <cell r="M1665">
            <v>472</v>
          </cell>
          <cell r="N1665">
            <v>478</v>
          </cell>
          <cell r="P1665">
            <v>1360</v>
          </cell>
          <cell r="Q1665">
            <v>600</v>
          </cell>
          <cell r="T1665" t="str">
            <v>GA2 HQ 016 / 끈 작업 없음 / 
PE폼 TOP(458*48*5T 2EA) BOT (554*40*5T 8EA / 25*40*5T 8EA)</v>
          </cell>
          <cell r="U1665" t="str">
            <v>2023.01.17</v>
          </cell>
          <cell r="V1665" t="str">
            <v>금형사업부</v>
          </cell>
          <cell r="Y1665">
            <v>50</v>
          </cell>
          <cell r="AC1665" t="str">
            <v>김영석계장</v>
          </cell>
          <cell r="AD1665">
            <v>0.85</v>
          </cell>
        </row>
        <row r="1666">
          <cell r="A1666" t="str">
            <v>GA2</v>
          </cell>
          <cell r="B1666" t="str">
            <v>SET</v>
          </cell>
          <cell r="C1666">
            <v>1</v>
          </cell>
          <cell r="D1666">
            <v>100</v>
          </cell>
          <cell r="E1666">
            <v>2443</v>
          </cell>
          <cell r="F1666">
            <v>58</v>
          </cell>
          <cell r="G1666" t="str">
            <v>B240NS</v>
          </cell>
          <cell r="H1666">
            <v>1</v>
          </cell>
          <cell r="I1666">
            <v>2</v>
          </cell>
          <cell r="J1666" t="str">
            <v>뉴옵틱스</v>
          </cell>
          <cell r="K1666">
            <v>273</v>
          </cell>
          <cell r="L1666">
            <v>279</v>
          </cell>
          <cell r="M1666">
            <v>472</v>
          </cell>
          <cell r="N1666">
            <v>478</v>
          </cell>
          <cell r="P1666">
            <v>1360</v>
          </cell>
          <cell r="Q1666">
            <v>600</v>
          </cell>
          <cell r="T1666" t="str">
            <v>GA2 HQ 016 / 끈 작업 없음 / 
PE폼 TOP(458*48*5T 2EA) BOT (554*40*5T 8EA / 25*40*5T 8EA)</v>
          </cell>
          <cell r="U1666" t="str">
            <v>2023.01.17</v>
          </cell>
          <cell r="V1666" t="str">
            <v>금형사업부</v>
          </cell>
          <cell r="Y1666">
            <v>50</v>
          </cell>
          <cell r="AC1666" t="str">
            <v>김영석계장</v>
          </cell>
          <cell r="AD1666">
            <v>0.85</v>
          </cell>
        </row>
        <row r="1667">
          <cell r="A1667" t="str">
            <v>G1-포장재</v>
          </cell>
          <cell r="B1667" t="str">
            <v>SET</v>
          </cell>
          <cell r="C1667">
            <v>8</v>
          </cell>
          <cell r="D1667">
            <v>100</v>
          </cell>
          <cell r="E1667">
            <v>101</v>
          </cell>
          <cell r="F1667">
            <v>58</v>
          </cell>
          <cell r="G1667" t="str">
            <v>SG302</v>
          </cell>
          <cell r="H1667">
            <v>10</v>
          </cell>
          <cell r="I1667">
            <v>1</v>
          </cell>
          <cell r="J1667" t="str">
            <v>윈스터</v>
          </cell>
          <cell r="K1667">
            <v>113</v>
          </cell>
          <cell r="L1667">
            <v>117</v>
          </cell>
          <cell r="P1667">
            <v>1360</v>
          </cell>
          <cell r="Q1667">
            <v>200</v>
          </cell>
          <cell r="R1667" t="str">
            <v>녹색</v>
          </cell>
          <cell r="S1667" t="str">
            <v>녹색</v>
          </cell>
          <cell r="U1667">
            <v>44467</v>
          </cell>
          <cell r="V1667" t="str">
            <v>경원 ENG</v>
          </cell>
          <cell r="Y1667">
            <v>50</v>
          </cell>
          <cell r="Z1667">
            <v>5038</v>
          </cell>
          <cell r="AC1667" t="str">
            <v>석상준과장, 코팅완료</v>
          </cell>
          <cell r="AD1667">
            <v>0.85</v>
          </cell>
          <cell r="AF1667">
            <v>6</v>
          </cell>
        </row>
        <row r="1668">
          <cell r="A1668" t="str">
            <v>G1단열재A/B</v>
          </cell>
          <cell r="B1668" t="str">
            <v>SET</v>
          </cell>
          <cell r="C1668">
            <v>2</v>
          </cell>
          <cell r="D1668">
            <v>160</v>
          </cell>
          <cell r="E1668">
            <v>344</v>
          </cell>
          <cell r="F1668">
            <v>36</v>
          </cell>
          <cell r="G1668" t="str">
            <v>SG302</v>
          </cell>
          <cell r="H1668">
            <v>10</v>
          </cell>
          <cell r="I1668">
            <v>2</v>
          </cell>
          <cell r="J1668" t="str">
            <v>윈스터</v>
          </cell>
          <cell r="K1668">
            <v>42</v>
          </cell>
          <cell r="L1668">
            <v>45.5</v>
          </cell>
          <cell r="M1668">
            <v>18</v>
          </cell>
          <cell r="N1668">
            <v>21.5</v>
          </cell>
          <cell r="P1668">
            <v>1360</v>
          </cell>
          <cell r="Q1668">
            <v>150</v>
          </cell>
          <cell r="R1668" t="str">
            <v>비닐</v>
          </cell>
          <cell r="S1668" t="str">
            <v>테이프</v>
          </cell>
          <cell r="U1668">
            <v>44517</v>
          </cell>
          <cell r="V1668" t="str">
            <v>금형사업부</v>
          </cell>
          <cell r="W1668" t="str">
            <v>고치수 필히 측정 할 것 , 이물 및 휘다부위 사상작업</v>
          </cell>
          <cell r="Y1668">
            <v>30</v>
          </cell>
          <cell r="AC1668" t="str">
            <v>김영석사원, 2021.11.29 수정(2mm낮춤) 및 코팅완료</v>
          </cell>
          <cell r="AD1668">
            <v>0.85</v>
          </cell>
          <cell r="AF1668">
            <v>8</v>
          </cell>
        </row>
        <row r="1669">
          <cell r="A1669" t="str">
            <v>G1(찐빵)-형합</v>
          </cell>
          <cell r="J1669" t="str">
            <v>삼일이노팩</v>
          </cell>
        </row>
        <row r="1670">
          <cell r="A1670" t="str">
            <v>FULL-FREE</v>
          </cell>
          <cell r="B1670" t="str">
            <v>SET</v>
          </cell>
          <cell r="C1670">
            <v>3</v>
          </cell>
          <cell r="D1670">
            <v>100</v>
          </cell>
          <cell r="E1670">
            <v>699</v>
          </cell>
          <cell r="F1670">
            <v>50</v>
          </cell>
          <cell r="G1670" t="str">
            <v>B240NS</v>
          </cell>
          <cell r="H1670">
            <v>5</v>
          </cell>
          <cell r="I1670">
            <v>2</v>
          </cell>
          <cell r="J1670" t="str">
            <v>코웨이</v>
          </cell>
          <cell r="K1670">
            <v>248</v>
          </cell>
          <cell r="L1670">
            <v>252</v>
          </cell>
          <cell r="M1670">
            <v>248</v>
          </cell>
          <cell r="N1670">
            <v>252</v>
          </cell>
          <cell r="P1670">
            <v>1360</v>
          </cell>
          <cell r="Q1670">
            <v>350</v>
          </cell>
          <cell r="R1670" t="str">
            <v>흰색</v>
          </cell>
          <cell r="U1670">
            <v>44326</v>
          </cell>
          <cell r="V1670" t="str">
            <v>대원금형</v>
          </cell>
          <cell r="W1670" t="str">
            <v>CIR-F40GS</v>
          </cell>
          <cell r="Y1670">
            <v>40</v>
          </cell>
          <cell r="AC1670" t="str">
            <v xml:space="preserve">석상준과장 2021.07.02 코팅완료, 김영석사원 2021.08.20 사용배율변경 (70→48), 기준중량변경(317→699), </v>
          </cell>
          <cell r="AD1670">
            <v>0.85</v>
          </cell>
          <cell r="AF1670">
            <v>6</v>
          </cell>
        </row>
        <row r="1671">
          <cell r="A1671" t="str">
            <v>FRONT COVER</v>
          </cell>
          <cell r="B1671" t="str">
            <v>PAD</v>
          </cell>
          <cell r="E1671">
            <v>0</v>
          </cell>
          <cell r="J1671" t="str">
            <v>위니아만도</v>
          </cell>
          <cell r="O1671">
            <v>100</v>
          </cell>
          <cell r="R1671" t="str">
            <v xml:space="preserve">    </v>
          </cell>
        </row>
        <row r="1672">
          <cell r="A1672" t="str">
            <v>FRONT COVER</v>
          </cell>
          <cell r="B1672" t="str">
            <v>PAD</v>
          </cell>
          <cell r="E1672">
            <v>0</v>
          </cell>
          <cell r="J1672" t="str">
            <v>위니아만도</v>
          </cell>
          <cell r="O1672">
            <v>100</v>
          </cell>
          <cell r="R1672" t="str">
            <v xml:space="preserve">    </v>
          </cell>
        </row>
        <row r="1673">
          <cell r="A1673" t="str">
            <v>FR16#2</v>
          </cell>
          <cell r="B1673" t="str">
            <v>저발</v>
          </cell>
          <cell r="C1673">
            <v>1</v>
          </cell>
          <cell r="D1673">
            <v>470</v>
          </cell>
          <cell r="E1673">
            <v>1200</v>
          </cell>
          <cell r="F1673">
            <v>18</v>
          </cell>
          <cell r="G1673" t="str">
            <v>B240NS</v>
          </cell>
          <cell r="H1673">
            <v>5</v>
          </cell>
          <cell r="I1673">
            <v>1</v>
          </cell>
          <cell r="J1673" t="str">
            <v>RPGKOREA</v>
          </cell>
          <cell r="O1673">
            <v>11000</v>
          </cell>
          <cell r="P1673">
            <v>700</v>
          </cell>
          <cell r="S1673">
            <v>0</v>
          </cell>
          <cell r="T1673" t="str">
            <v>OMNI-FR16#2</v>
          </cell>
          <cell r="U1673">
            <v>38064</v>
          </cell>
          <cell r="V1673" t="str">
            <v>삼일금형</v>
          </cell>
          <cell r="AC1673" t="str">
            <v>신작,2015.04.10 업체명 크라텍에서 RPGKOREA로 변경 재입고</v>
          </cell>
          <cell r="AD1673">
            <v>0.9</v>
          </cell>
          <cell r="AE1673">
            <v>470</v>
          </cell>
          <cell r="AF1673">
            <v>4</v>
          </cell>
        </row>
        <row r="1674">
          <cell r="A1674" t="str">
            <v>FR16</v>
          </cell>
          <cell r="B1674" t="str">
            <v>저발</v>
          </cell>
          <cell r="C1674">
            <v>1</v>
          </cell>
          <cell r="D1674">
            <v>500</v>
          </cell>
          <cell r="E1674">
            <v>1200</v>
          </cell>
          <cell r="F1674">
            <v>24</v>
          </cell>
          <cell r="G1674" t="str">
            <v>B240NS</v>
          </cell>
          <cell r="H1674">
            <v>5</v>
          </cell>
          <cell r="I1674">
            <v>1</v>
          </cell>
          <cell r="J1674" t="str">
            <v>RPGKOREA</v>
          </cell>
          <cell r="O1674">
            <v>10000</v>
          </cell>
          <cell r="P1674">
            <v>700</v>
          </cell>
          <cell r="S1674">
            <v>0</v>
          </cell>
          <cell r="T1674" t="str">
            <v>OMNI-FR16</v>
          </cell>
          <cell r="U1674">
            <v>42104</v>
          </cell>
          <cell r="V1674" t="str">
            <v>크라탴</v>
          </cell>
          <cell r="AC1674" t="str">
            <v>2014.04.10입고(이동측)</v>
          </cell>
          <cell r="AD1674">
            <v>0.9</v>
          </cell>
          <cell r="AE1674">
            <v>500</v>
          </cell>
          <cell r="AF1674">
            <v>8</v>
          </cell>
        </row>
        <row r="1675">
          <cell r="A1675" t="str">
            <v>FHC/MHC-6000</v>
          </cell>
          <cell r="B1675" t="str">
            <v>저발</v>
          </cell>
          <cell r="C1675">
            <v>3</v>
          </cell>
          <cell r="D1675">
            <v>100</v>
          </cell>
          <cell r="E1675">
            <v>74</v>
          </cell>
          <cell r="F1675">
            <v>58</v>
          </cell>
          <cell r="G1675" t="str">
            <v>B240NS</v>
          </cell>
          <cell r="H1675">
            <v>20</v>
          </cell>
          <cell r="I1675">
            <v>2</v>
          </cell>
          <cell r="J1675" t="str">
            <v>오비오</v>
          </cell>
          <cell r="O1675">
            <v>780</v>
          </cell>
          <cell r="P1675">
            <v>500</v>
          </cell>
          <cell r="R1675" t="str">
            <v>검정</v>
          </cell>
          <cell r="U1675">
            <v>44662</v>
          </cell>
          <cell r="V1675" t="str">
            <v>이관금형</v>
          </cell>
          <cell r="W1675">
            <v>50400004</v>
          </cell>
          <cell r="Y1675">
            <v>50</v>
          </cell>
          <cell r="AC1675" t="str">
            <v>김영석사원</v>
          </cell>
          <cell r="AD1675">
            <v>0.85</v>
          </cell>
        </row>
        <row r="1676">
          <cell r="A1676" t="str">
            <v>FHC/MHC-6000</v>
          </cell>
          <cell r="B1676" t="str">
            <v>SET</v>
          </cell>
          <cell r="C1676">
            <v>3</v>
          </cell>
          <cell r="D1676">
            <v>100</v>
          </cell>
          <cell r="E1676">
            <v>74</v>
          </cell>
          <cell r="F1676">
            <v>58</v>
          </cell>
          <cell r="G1676" t="str">
            <v>B240NS</v>
          </cell>
          <cell r="H1676">
            <v>20</v>
          </cell>
          <cell r="I1676">
            <v>2</v>
          </cell>
          <cell r="J1676" t="str">
            <v>오비오</v>
          </cell>
          <cell r="O1676">
            <v>780</v>
          </cell>
          <cell r="P1676">
            <v>500</v>
          </cell>
          <cell r="R1676" t="str">
            <v>검정</v>
          </cell>
          <cell r="U1676">
            <v>44662</v>
          </cell>
          <cell r="V1676" t="str">
            <v>이관금형</v>
          </cell>
          <cell r="W1676">
            <v>50400004</v>
          </cell>
          <cell r="Y1676">
            <v>50</v>
          </cell>
          <cell r="AC1676" t="str">
            <v>김영석사원</v>
          </cell>
          <cell r="AD1676">
            <v>0.85</v>
          </cell>
        </row>
        <row r="1677">
          <cell r="A1677" t="str">
            <v>FDDFM-SIDE(60배)</v>
          </cell>
          <cell r="B1677" t="str">
            <v>SET</v>
          </cell>
          <cell r="C1677">
            <v>4</v>
          </cell>
          <cell r="D1677">
            <v>110</v>
          </cell>
          <cell r="E1677">
            <v>157</v>
          </cell>
          <cell r="F1677">
            <v>60</v>
          </cell>
          <cell r="G1677" t="str">
            <v>B240NS</v>
          </cell>
          <cell r="H1677">
            <v>8</v>
          </cell>
          <cell r="I1677">
            <v>4</v>
          </cell>
          <cell r="J1677" t="str">
            <v>SK매직</v>
          </cell>
          <cell r="K1677">
            <v>193</v>
          </cell>
          <cell r="L1677">
            <v>197</v>
          </cell>
          <cell r="P1677">
            <v>1360</v>
          </cell>
          <cell r="Q1677">
            <v>300</v>
          </cell>
          <cell r="R1677" t="str">
            <v>파랑</v>
          </cell>
          <cell r="T1677" t="str">
            <v>중량 확인 철저 / 지그재그 건조</v>
          </cell>
          <cell r="U1677">
            <v>44617</v>
          </cell>
          <cell r="V1677" t="str">
            <v>경원 ENG</v>
          </cell>
          <cell r="W1677" t="str">
            <v>음식물처리기-SIDE</v>
          </cell>
          <cell r="Y1677">
            <v>40</v>
          </cell>
          <cell r="Z1677">
            <v>9438</v>
          </cell>
          <cell r="AC1677" t="str">
            <v>석상준차장</v>
          </cell>
          <cell r="AD1677">
            <v>0.85</v>
          </cell>
        </row>
        <row r="1678">
          <cell r="A1678" t="str">
            <v>FDDFM-SIDE(60배)</v>
          </cell>
          <cell r="B1678" t="str">
            <v>SET</v>
          </cell>
          <cell r="C1678">
            <v>4</v>
          </cell>
          <cell r="D1678">
            <v>110</v>
          </cell>
          <cell r="E1678">
            <v>157</v>
          </cell>
          <cell r="F1678">
            <v>60</v>
          </cell>
          <cell r="G1678" t="str">
            <v>B240NS</v>
          </cell>
          <cell r="H1678">
            <v>8</v>
          </cell>
          <cell r="I1678">
            <v>4</v>
          </cell>
          <cell r="J1678" t="str">
            <v>경동</v>
          </cell>
          <cell r="K1678">
            <v>193</v>
          </cell>
          <cell r="L1678">
            <v>197</v>
          </cell>
          <cell r="P1678">
            <v>1360</v>
          </cell>
          <cell r="Q1678">
            <v>300</v>
          </cell>
          <cell r="R1678" t="str">
            <v>파랑</v>
          </cell>
          <cell r="T1678" t="str">
            <v>중량 확인 철저 / 지그재그 건조</v>
          </cell>
          <cell r="U1678">
            <v>44617</v>
          </cell>
          <cell r="V1678" t="str">
            <v>경원 ENG</v>
          </cell>
          <cell r="W1678" t="str">
            <v>음식물처리기-SIDE</v>
          </cell>
          <cell r="Y1678">
            <v>40</v>
          </cell>
          <cell r="Z1678">
            <v>9438</v>
          </cell>
          <cell r="AC1678" t="str">
            <v>석상준차장</v>
          </cell>
          <cell r="AD1678">
            <v>0.85</v>
          </cell>
        </row>
        <row r="1679">
          <cell r="A1679" t="str">
            <v>FDDFM-SIDE</v>
          </cell>
          <cell r="B1679" t="str">
            <v>SET</v>
          </cell>
          <cell r="C1679">
            <v>4</v>
          </cell>
          <cell r="D1679">
            <v>110</v>
          </cell>
          <cell r="E1679">
            <v>234</v>
          </cell>
          <cell r="F1679">
            <v>48</v>
          </cell>
          <cell r="G1679" t="str">
            <v>B240NS</v>
          </cell>
          <cell r="H1679">
            <v>8</v>
          </cell>
          <cell r="I1679">
            <v>1</v>
          </cell>
          <cell r="J1679" t="str">
            <v>SK매직</v>
          </cell>
          <cell r="K1679">
            <v>193</v>
          </cell>
          <cell r="L1679">
            <v>197</v>
          </cell>
          <cell r="P1679">
            <v>1360</v>
          </cell>
          <cell r="Q1679">
            <v>300</v>
          </cell>
          <cell r="R1679" t="str">
            <v>파랑</v>
          </cell>
          <cell r="U1679">
            <v>44617</v>
          </cell>
          <cell r="V1679" t="str">
            <v>경원 ENG</v>
          </cell>
          <cell r="W1679" t="str">
            <v>음식물처리기-SIDE</v>
          </cell>
          <cell r="Y1679">
            <v>40</v>
          </cell>
          <cell r="Z1679">
            <v>9438</v>
          </cell>
          <cell r="AC1679" t="str">
            <v>석상준차장</v>
          </cell>
          <cell r="AD1679">
            <v>0.85</v>
          </cell>
        </row>
        <row r="1680">
          <cell r="A1680" t="str">
            <v>FDDFM-SIDE</v>
          </cell>
          <cell r="B1680" t="str">
            <v>SET</v>
          </cell>
          <cell r="C1680">
            <v>4</v>
          </cell>
          <cell r="D1680">
            <v>110</v>
          </cell>
          <cell r="E1680">
            <v>234</v>
          </cell>
          <cell r="F1680">
            <v>48</v>
          </cell>
          <cell r="G1680" t="str">
            <v>B240NS</v>
          </cell>
          <cell r="H1680">
            <v>8</v>
          </cell>
          <cell r="I1680">
            <v>1</v>
          </cell>
          <cell r="J1680" t="str">
            <v>SK매직</v>
          </cell>
          <cell r="K1680">
            <v>193</v>
          </cell>
          <cell r="L1680">
            <v>197</v>
          </cell>
          <cell r="P1680">
            <v>1360</v>
          </cell>
          <cell r="Q1680">
            <v>300</v>
          </cell>
          <cell r="R1680" t="str">
            <v>파랑</v>
          </cell>
          <cell r="U1680">
            <v>44617</v>
          </cell>
          <cell r="V1680" t="str">
            <v>경원 ENG</v>
          </cell>
          <cell r="W1680" t="str">
            <v>음식물처리기-SIDE</v>
          </cell>
          <cell r="Y1680">
            <v>40</v>
          </cell>
          <cell r="Z1680">
            <v>9438</v>
          </cell>
          <cell r="AC1680" t="str">
            <v>석상준차장</v>
          </cell>
          <cell r="AD1680">
            <v>0.85</v>
          </cell>
        </row>
        <row r="1681">
          <cell r="A1681" t="str">
            <v>FDDFM-BOT(60배)</v>
          </cell>
          <cell r="B1681" t="str">
            <v>SET</v>
          </cell>
          <cell r="C1681">
            <v>4</v>
          </cell>
          <cell r="D1681">
            <v>110</v>
          </cell>
          <cell r="E1681">
            <v>114</v>
          </cell>
          <cell r="F1681">
            <v>60</v>
          </cell>
          <cell r="G1681" t="str">
            <v>B240NS</v>
          </cell>
          <cell r="H1681">
            <v>10</v>
          </cell>
          <cell r="I1681">
            <v>4</v>
          </cell>
          <cell r="J1681" t="str">
            <v>SK매직</v>
          </cell>
          <cell r="K1681">
            <v>83</v>
          </cell>
          <cell r="L1681">
            <v>87</v>
          </cell>
          <cell r="P1681">
            <v>1700</v>
          </cell>
          <cell r="Q1681">
            <v>200</v>
          </cell>
          <cell r="R1681" t="str">
            <v>녹색</v>
          </cell>
          <cell r="T1681" t="str">
            <v>중량 확인 철저</v>
          </cell>
          <cell r="U1681">
            <v>44620</v>
          </cell>
          <cell r="V1681" t="str">
            <v>경원 ENG</v>
          </cell>
          <cell r="W1681" t="str">
            <v>음식물처리기-BOT</v>
          </cell>
          <cell r="Y1681">
            <v>40</v>
          </cell>
          <cell r="Z1681">
            <v>6846</v>
          </cell>
          <cell r="AC1681" t="str">
            <v>석상준차장</v>
          </cell>
          <cell r="AD1681">
            <v>0.85</v>
          </cell>
          <cell r="AF1681">
            <v>6</v>
          </cell>
        </row>
        <row r="1682">
          <cell r="A1682" t="str">
            <v>FDDFM-BOT(60배)</v>
          </cell>
          <cell r="B1682" t="str">
            <v>SET</v>
          </cell>
          <cell r="C1682">
            <v>4</v>
          </cell>
          <cell r="D1682">
            <v>110</v>
          </cell>
          <cell r="E1682">
            <v>114</v>
          </cell>
          <cell r="F1682">
            <v>60</v>
          </cell>
          <cell r="G1682" t="str">
            <v>B240NS</v>
          </cell>
          <cell r="H1682">
            <v>10</v>
          </cell>
          <cell r="I1682">
            <v>4</v>
          </cell>
          <cell r="J1682" t="str">
            <v>경동</v>
          </cell>
          <cell r="K1682">
            <v>83</v>
          </cell>
          <cell r="L1682">
            <v>87</v>
          </cell>
          <cell r="P1682">
            <v>1700</v>
          </cell>
          <cell r="Q1682">
            <v>200</v>
          </cell>
          <cell r="R1682" t="str">
            <v>녹색</v>
          </cell>
          <cell r="T1682" t="str">
            <v>중량 확인 철저</v>
          </cell>
          <cell r="U1682">
            <v>44620</v>
          </cell>
          <cell r="V1682" t="str">
            <v>경원 ENG</v>
          </cell>
          <cell r="W1682" t="str">
            <v>음식물처리기-BOT</v>
          </cell>
          <cell r="Y1682">
            <v>40</v>
          </cell>
          <cell r="Z1682">
            <v>6846</v>
          </cell>
          <cell r="AC1682" t="str">
            <v>석상준차장</v>
          </cell>
          <cell r="AD1682">
            <v>0.85</v>
          </cell>
        </row>
        <row r="1683">
          <cell r="A1683" t="str">
            <v>FDDFM-BOT</v>
          </cell>
          <cell r="B1683" t="str">
            <v>SET</v>
          </cell>
          <cell r="C1683">
            <v>4</v>
          </cell>
          <cell r="D1683">
            <v>110</v>
          </cell>
          <cell r="E1683">
            <v>171</v>
          </cell>
          <cell r="F1683">
            <v>48</v>
          </cell>
          <cell r="G1683" t="str">
            <v>B240NS</v>
          </cell>
          <cell r="H1683">
            <v>10</v>
          </cell>
          <cell r="I1683">
            <v>1</v>
          </cell>
          <cell r="J1683" t="str">
            <v>SK매직</v>
          </cell>
          <cell r="K1683">
            <v>83</v>
          </cell>
          <cell r="L1683">
            <v>87</v>
          </cell>
          <cell r="P1683">
            <v>1700</v>
          </cell>
          <cell r="Q1683">
            <v>200</v>
          </cell>
          <cell r="R1683" t="str">
            <v>녹색</v>
          </cell>
          <cell r="U1683">
            <v>44620</v>
          </cell>
          <cell r="V1683" t="str">
            <v>경원 ENG</v>
          </cell>
          <cell r="W1683" t="str">
            <v>음식물처리기-BOT</v>
          </cell>
          <cell r="Y1683">
            <v>40</v>
          </cell>
          <cell r="Z1683">
            <v>6846</v>
          </cell>
          <cell r="AC1683" t="str">
            <v>석상준차장</v>
          </cell>
          <cell r="AD1683">
            <v>0.85</v>
          </cell>
        </row>
        <row r="1684">
          <cell r="A1684" t="str">
            <v>FDDFM-BOT</v>
          </cell>
          <cell r="B1684" t="str">
            <v>SET</v>
          </cell>
          <cell r="C1684">
            <v>4</v>
          </cell>
          <cell r="D1684">
            <v>110</v>
          </cell>
          <cell r="E1684">
            <v>171</v>
          </cell>
          <cell r="F1684">
            <v>48</v>
          </cell>
          <cell r="G1684" t="str">
            <v>B240NS</v>
          </cell>
          <cell r="H1684">
            <v>10</v>
          </cell>
          <cell r="I1684">
            <v>1</v>
          </cell>
          <cell r="J1684" t="str">
            <v>SK매직</v>
          </cell>
          <cell r="K1684">
            <v>83</v>
          </cell>
          <cell r="L1684">
            <v>87</v>
          </cell>
          <cell r="P1684">
            <v>1360</v>
          </cell>
          <cell r="Q1684">
            <v>200</v>
          </cell>
          <cell r="R1684" t="str">
            <v>녹색</v>
          </cell>
          <cell r="U1684">
            <v>44620</v>
          </cell>
          <cell r="V1684" t="str">
            <v>경원 ENG</v>
          </cell>
          <cell r="W1684" t="str">
            <v>음식물처리기-BOT</v>
          </cell>
          <cell r="Y1684">
            <v>40</v>
          </cell>
          <cell r="Z1684">
            <v>6846</v>
          </cell>
          <cell r="AC1684" t="str">
            <v>석상준차장</v>
          </cell>
          <cell r="AD1684">
            <v>0.85</v>
          </cell>
        </row>
        <row r="1685">
          <cell r="A1685" t="str">
            <v>FDD-BOWL</v>
          </cell>
          <cell r="B1685" t="str">
            <v>SET</v>
          </cell>
          <cell r="C1685">
            <v>4</v>
          </cell>
          <cell r="D1685">
            <v>100</v>
          </cell>
          <cell r="E1685">
            <v>203</v>
          </cell>
          <cell r="F1685">
            <v>50</v>
          </cell>
          <cell r="G1685" t="str">
            <v>B240NS</v>
          </cell>
          <cell r="H1685">
            <v>20</v>
          </cell>
          <cell r="I1685">
            <v>2</v>
          </cell>
          <cell r="J1685" t="str">
            <v>SK매직</v>
          </cell>
          <cell r="K1685">
            <v>137</v>
          </cell>
          <cell r="L1685">
            <v>141</v>
          </cell>
          <cell r="M1685">
            <v>118</v>
          </cell>
          <cell r="N1685">
            <v>122</v>
          </cell>
          <cell r="P1685">
            <v>1360</v>
          </cell>
          <cell r="Q1685">
            <v>250</v>
          </cell>
          <cell r="R1685" t="str">
            <v>보라</v>
          </cell>
          <cell r="U1685" t="str">
            <v>2022.10.24</v>
          </cell>
          <cell r="V1685" t="str">
            <v>금형사업부</v>
          </cell>
          <cell r="AC1685" t="str">
            <v>김영석사원</v>
          </cell>
          <cell r="AD1685">
            <v>0.85</v>
          </cell>
        </row>
        <row r="1686">
          <cell r="A1686" t="str">
            <v>FDD-BOWL</v>
          </cell>
          <cell r="B1686" t="str">
            <v>SET</v>
          </cell>
          <cell r="C1686">
            <v>4</v>
          </cell>
          <cell r="D1686">
            <v>100</v>
          </cell>
          <cell r="E1686">
            <v>203</v>
          </cell>
          <cell r="F1686">
            <v>50</v>
          </cell>
          <cell r="G1686" t="str">
            <v>B240NS</v>
          </cell>
          <cell r="H1686">
            <v>20</v>
          </cell>
          <cell r="I1686">
            <v>2</v>
          </cell>
          <cell r="J1686" t="str">
            <v>경동</v>
          </cell>
          <cell r="K1686">
            <v>137</v>
          </cell>
          <cell r="L1686">
            <v>141</v>
          </cell>
          <cell r="M1686">
            <v>118</v>
          </cell>
          <cell r="N1686">
            <v>122</v>
          </cell>
          <cell r="P1686">
            <v>1360</v>
          </cell>
          <cell r="Q1686">
            <v>250</v>
          </cell>
          <cell r="R1686" t="str">
            <v>보라</v>
          </cell>
          <cell r="U1686" t="str">
            <v>2022.10.24</v>
          </cell>
          <cell r="V1686" t="str">
            <v>금형사업부</v>
          </cell>
          <cell r="AC1686" t="str">
            <v>김영석사원</v>
          </cell>
          <cell r="AD1686">
            <v>0.85</v>
          </cell>
        </row>
        <row r="1687">
          <cell r="A1687" t="str">
            <v>FDD-BOWL</v>
          </cell>
          <cell r="B1687" t="str">
            <v>SET</v>
          </cell>
          <cell r="C1687">
            <v>4</v>
          </cell>
          <cell r="D1687">
            <v>100</v>
          </cell>
          <cell r="E1687">
            <v>203</v>
          </cell>
          <cell r="F1687">
            <v>50</v>
          </cell>
          <cell r="G1687" t="str">
            <v>B240NS</v>
          </cell>
          <cell r="H1687">
            <v>1</v>
          </cell>
          <cell r="I1687">
            <v>2</v>
          </cell>
          <cell r="J1687" t="str">
            <v>SK매직</v>
          </cell>
          <cell r="P1687">
            <v>1360</v>
          </cell>
          <cell r="Q1687">
            <v>250</v>
          </cell>
          <cell r="U1687" t="str">
            <v>2022.10.24</v>
          </cell>
          <cell r="V1687" t="str">
            <v>금형사업부</v>
          </cell>
          <cell r="AC1687" t="str">
            <v>김영석사원</v>
          </cell>
          <cell r="AD1687">
            <v>0.85</v>
          </cell>
        </row>
        <row r="1688">
          <cell r="A1688" t="str">
            <v>FC-SF01</v>
          </cell>
          <cell r="B1688" t="str">
            <v>SET</v>
          </cell>
          <cell r="C1688">
            <v>5</v>
          </cell>
          <cell r="D1688">
            <v>90</v>
          </cell>
          <cell r="E1688">
            <v>140</v>
          </cell>
          <cell r="F1688">
            <v>36</v>
          </cell>
          <cell r="G1688" t="str">
            <v>B240NS</v>
          </cell>
          <cell r="H1688">
            <v>20</v>
          </cell>
          <cell r="I1688">
            <v>1</v>
          </cell>
          <cell r="J1688" t="str">
            <v>보덕</v>
          </cell>
          <cell r="P1688">
            <v>1360</v>
          </cell>
          <cell r="Q1688">
            <v>300</v>
          </cell>
          <cell r="R1688" t="str">
            <v>노랑</v>
          </cell>
          <cell r="S1688" t="str">
            <v>노랑</v>
          </cell>
          <cell r="U1688">
            <v>43698</v>
          </cell>
          <cell r="V1688" t="str">
            <v>보령금형</v>
          </cell>
          <cell r="AD1688">
            <v>0.85</v>
          </cell>
          <cell r="AE1688">
            <v>90</v>
          </cell>
          <cell r="AF1688">
            <v>4</v>
          </cell>
        </row>
        <row r="1689">
          <cell r="A1689" t="str">
            <v>FAUCET#2</v>
          </cell>
          <cell r="B1689" t="str">
            <v>SET</v>
          </cell>
          <cell r="C1689">
            <v>6</v>
          </cell>
          <cell r="D1689">
            <v>120</v>
          </cell>
          <cell r="E1689">
            <v>137</v>
          </cell>
          <cell r="F1689">
            <v>58</v>
          </cell>
          <cell r="G1689" t="str">
            <v>B240NS</v>
          </cell>
          <cell r="H1689">
            <v>10</v>
          </cell>
          <cell r="I1689">
            <v>1</v>
          </cell>
          <cell r="J1689" t="str">
            <v>오비오</v>
          </cell>
          <cell r="K1689">
            <v>163</v>
          </cell>
          <cell r="L1689">
            <v>167</v>
          </cell>
          <cell r="P1689">
            <v>1360</v>
          </cell>
          <cell r="Q1689">
            <v>250</v>
          </cell>
          <cell r="R1689" t="str">
            <v>녹색</v>
          </cell>
          <cell r="S1689" t="str">
            <v>녹색</v>
          </cell>
          <cell r="U1689">
            <v>44183</v>
          </cell>
          <cell r="V1689" t="str">
            <v>세일하이테크</v>
          </cell>
          <cell r="W1689" t="str">
            <v>꺼꾸로 조립-1차금형 개조</v>
          </cell>
          <cell r="Y1689">
            <v>50</v>
          </cell>
          <cell r="Z1689">
            <v>6845</v>
          </cell>
          <cell r="AC1689" t="str">
            <v>석상준과장, 간이금형, 2021.01.22 수정, 2021.03.05CAVITY추가(1*1-&gt;1*6), 2021.03.22 코팅완료</v>
          </cell>
          <cell r="AD1689">
            <v>0.85</v>
          </cell>
          <cell r="AF1689">
            <v>4</v>
          </cell>
        </row>
        <row r="1690">
          <cell r="A1690" t="str">
            <v>FAUCET</v>
          </cell>
          <cell r="B1690" t="str">
            <v>SET</v>
          </cell>
          <cell r="C1690">
            <v>1</v>
          </cell>
          <cell r="D1690">
            <v>100</v>
          </cell>
          <cell r="E1690">
            <v>124</v>
          </cell>
          <cell r="F1690">
            <v>58</v>
          </cell>
          <cell r="G1690" t="str">
            <v>B240NS</v>
          </cell>
          <cell r="H1690">
            <v>20</v>
          </cell>
          <cell r="I1690">
            <v>1</v>
          </cell>
          <cell r="J1690" t="str">
            <v>오비오</v>
          </cell>
          <cell r="K1690">
            <v>108</v>
          </cell>
          <cell r="L1690">
            <v>113</v>
          </cell>
          <cell r="P1690">
            <v>1360</v>
          </cell>
          <cell r="Q1690">
            <v>200</v>
          </cell>
          <cell r="R1690" t="str">
            <v>노랑</v>
          </cell>
          <cell r="U1690">
            <v>44063</v>
          </cell>
          <cell r="V1690" t="str">
            <v>세일하이테크</v>
          </cell>
          <cell r="W1690" t="str">
            <v>꺼꾸로 조립</v>
          </cell>
          <cell r="Y1690">
            <v>50</v>
          </cell>
          <cell r="Z1690">
            <v>6185</v>
          </cell>
          <cell r="AC1690" t="str">
            <v>석상준과장, 간이금형</v>
          </cell>
          <cell r="AD1690">
            <v>0.85</v>
          </cell>
          <cell r="AF1690">
            <v>2</v>
          </cell>
        </row>
        <row r="1691">
          <cell r="A1691" t="str">
            <v>FANMOTOR</v>
          </cell>
          <cell r="B1691" t="str">
            <v>PSST-001</v>
          </cell>
          <cell r="J1691" t="str">
            <v>로지텍</v>
          </cell>
          <cell r="O1691">
            <v>24</v>
          </cell>
          <cell r="T1691" t="str">
            <v>PAD</v>
          </cell>
          <cell r="X1691" t="str">
            <v>07.01.08일업체명변경(토로스-로지텍)</v>
          </cell>
          <cell r="Z1691" t="str">
            <v>85*35*50</v>
          </cell>
          <cell r="AF1691">
            <v>3</v>
          </cell>
        </row>
        <row r="1692">
          <cell r="A1692" t="str">
            <v>FANMOTOR</v>
          </cell>
          <cell r="B1692" t="str">
            <v>PAD</v>
          </cell>
          <cell r="E1692">
            <v>3</v>
          </cell>
        </row>
        <row r="1693">
          <cell r="A1693" t="str">
            <v>F539</v>
          </cell>
          <cell r="B1693" t="str">
            <v>SPL</v>
          </cell>
          <cell r="C1693">
            <v>2</v>
          </cell>
          <cell r="D1693">
            <v>100</v>
          </cell>
          <cell r="E1693">
            <v>800</v>
          </cell>
          <cell r="F1693">
            <v>70</v>
          </cell>
          <cell r="G1693" t="str">
            <v>B240NS</v>
          </cell>
          <cell r="H1693">
            <v>1</v>
          </cell>
          <cell r="I1693">
            <v>3</v>
          </cell>
          <cell r="J1693" t="str">
            <v>삼진엘엔디</v>
          </cell>
          <cell r="P1693">
            <v>1800</v>
          </cell>
          <cell r="Q1693">
            <v>400</v>
          </cell>
          <cell r="U1693">
            <v>43866</v>
          </cell>
          <cell r="V1693" t="str">
            <v>세일하이테크</v>
          </cell>
          <cell r="Y1693">
            <v>60</v>
          </cell>
          <cell r="AC1693" t="str">
            <v>석상준과장 FRAME일체</v>
          </cell>
          <cell r="AD1693">
            <v>0.85</v>
          </cell>
          <cell r="AF1693">
            <v>6</v>
          </cell>
        </row>
        <row r="1694">
          <cell r="A1694" t="str">
            <v>F5(분리)</v>
          </cell>
          <cell r="B1694" t="str">
            <v>BOX</v>
          </cell>
          <cell r="C1694">
            <v>2</v>
          </cell>
          <cell r="D1694">
            <v>60</v>
          </cell>
          <cell r="E1694">
            <v>184</v>
          </cell>
          <cell r="F1694">
            <v>74</v>
          </cell>
          <cell r="G1694" t="str">
            <v>B240NS</v>
          </cell>
          <cell r="H1694" t="str">
            <v>몸통10,뚜껑10</v>
          </cell>
          <cell r="I1694">
            <v>2</v>
          </cell>
          <cell r="J1694" t="str">
            <v>쿠팡</v>
          </cell>
          <cell r="O1694">
            <v>940</v>
          </cell>
          <cell r="P1694">
            <v>1360</v>
          </cell>
          <cell r="Q1694">
            <v>300</v>
          </cell>
          <cell r="R1694" t="str">
            <v>노랑</v>
          </cell>
          <cell r="S1694" t="str">
            <v>노랑</v>
          </cell>
          <cell r="T1694" t="str">
            <v>세미금형, 뚜껑 덮어서 생산, 수축주의!크라킹5mm 미만</v>
          </cell>
          <cell r="U1694">
            <v>43431</v>
          </cell>
          <cell r="V1694" t="str">
            <v>금형제조부</v>
          </cell>
          <cell r="W1694" t="str">
            <v>세미금형, 뚜껑 덮어서 생산, 수축주의</v>
          </cell>
          <cell r="Y1694">
            <v>64</v>
          </cell>
          <cell r="AD1694">
            <v>0.85</v>
          </cell>
          <cell r="AE1694">
            <v>75</v>
          </cell>
          <cell r="AF1694">
            <v>6</v>
          </cell>
        </row>
        <row r="1695">
          <cell r="A1695" t="str">
            <v>F5#2</v>
          </cell>
          <cell r="B1695" t="str">
            <v>BOX</v>
          </cell>
          <cell r="C1695">
            <v>2</v>
          </cell>
          <cell r="D1695">
            <v>60</v>
          </cell>
          <cell r="E1695">
            <v>184</v>
          </cell>
          <cell r="F1695">
            <v>74</v>
          </cell>
          <cell r="G1695" t="str">
            <v>B240NS</v>
          </cell>
          <cell r="H1695">
            <v>10</v>
          </cell>
          <cell r="I1695">
            <v>2</v>
          </cell>
          <cell r="J1695" t="str">
            <v>쿠팡</v>
          </cell>
          <cell r="O1695">
            <v>940</v>
          </cell>
          <cell r="P1695">
            <v>1360</v>
          </cell>
          <cell r="Q1695">
            <v>300</v>
          </cell>
          <cell r="R1695" t="str">
            <v>노랑</v>
          </cell>
          <cell r="S1695" t="str">
            <v>노랑</v>
          </cell>
          <cell r="U1695">
            <v>43476</v>
          </cell>
          <cell r="V1695" t="str">
            <v>금형제조부</v>
          </cell>
          <cell r="Y1695">
            <v>64</v>
          </cell>
          <cell r="AC1695" t="str">
            <v>아산EPS 금형 대여(190111),190218 아산EPS 회수</v>
          </cell>
          <cell r="AD1695">
            <v>0.85</v>
          </cell>
          <cell r="AE1695">
            <v>70</v>
          </cell>
          <cell r="AF1695">
            <v>6</v>
          </cell>
        </row>
        <row r="1696">
          <cell r="A1696" t="str">
            <v>F5</v>
          </cell>
          <cell r="B1696" t="str">
            <v>BOX</v>
          </cell>
          <cell r="C1696">
            <v>2</v>
          </cell>
          <cell r="D1696">
            <v>60</v>
          </cell>
          <cell r="E1696">
            <v>184</v>
          </cell>
          <cell r="F1696">
            <v>74</v>
          </cell>
          <cell r="G1696" t="str">
            <v>B240NS</v>
          </cell>
          <cell r="H1696">
            <v>10</v>
          </cell>
          <cell r="I1696">
            <v>2</v>
          </cell>
          <cell r="J1696" t="str">
            <v>쿠팡</v>
          </cell>
          <cell r="O1696">
            <v>940</v>
          </cell>
          <cell r="P1696">
            <v>1360</v>
          </cell>
          <cell r="Q1696">
            <v>300</v>
          </cell>
          <cell r="R1696" t="str">
            <v>노랑</v>
          </cell>
          <cell r="S1696" t="str">
            <v>노랑</v>
          </cell>
          <cell r="T1696" t="str">
            <v>세미금형, 뚜껑 덮어서 생산, 수축주의!크라킹5mm 미만</v>
          </cell>
          <cell r="U1696">
            <v>43431</v>
          </cell>
          <cell r="V1696" t="str">
            <v>금형제조부</v>
          </cell>
          <cell r="W1696" t="str">
            <v>세미금형, 뚜껑 덮어서 생산, 수축주의</v>
          </cell>
          <cell r="Y1696">
            <v>64</v>
          </cell>
          <cell r="AD1696">
            <v>0.85</v>
          </cell>
          <cell r="AE1696">
            <v>75</v>
          </cell>
          <cell r="AF1696">
            <v>6</v>
          </cell>
        </row>
        <row r="1697">
          <cell r="A1697" t="str">
            <v>F4</v>
          </cell>
          <cell r="B1697" t="str">
            <v>BOX</v>
          </cell>
          <cell r="C1697">
            <v>2</v>
          </cell>
          <cell r="D1697">
            <v>65</v>
          </cell>
          <cell r="E1697">
            <v>266</v>
          </cell>
          <cell r="F1697">
            <v>74</v>
          </cell>
          <cell r="G1697" t="str">
            <v>B240NS</v>
          </cell>
          <cell r="H1697">
            <v>8</v>
          </cell>
          <cell r="I1697">
            <v>2</v>
          </cell>
          <cell r="J1697" t="str">
            <v>쿠팡</v>
          </cell>
          <cell r="K1697">
            <v>58</v>
          </cell>
          <cell r="L1697">
            <v>62</v>
          </cell>
          <cell r="M1697">
            <v>138</v>
          </cell>
          <cell r="N1697">
            <v>142</v>
          </cell>
          <cell r="O1697">
            <v>1480</v>
          </cell>
          <cell r="P1697">
            <v>1360</v>
          </cell>
          <cell r="Q1697">
            <v>250</v>
          </cell>
          <cell r="R1697" t="str">
            <v>노랑</v>
          </cell>
          <cell r="S1697" t="str">
            <v>노랑</v>
          </cell>
          <cell r="U1697">
            <v>43431</v>
          </cell>
          <cell r="V1697" t="str">
            <v>금형제조부</v>
          </cell>
          <cell r="W1697" t="str">
            <v>수축불량 주의!</v>
          </cell>
          <cell r="Y1697">
            <v>64</v>
          </cell>
          <cell r="AD1697">
            <v>0.85</v>
          </cell>
          <cell r="AE1697">
            <v>65</v>
          </cell>
          <cell r="AF1697">
            <v>4</v>
          </cell>
        </row>
        <row r="1698">
          <cell r="A1698" t="str">
            <v>F3(55배)</v>
          </cell>
          <cell r="B1698" t="str">
            <v>BOX</v>
          </cell>
          <cell r="C1698">
            <v>2</v>
          </cell>
          <cell r="D1698">
            <v>95</v>
          </cell>
          <cell r="E1698">
            <v>706</v>
          </cell>
          <cell r="F1698">
            <v>65</v>
          </cell>
          <cell r="G1698" t="str">
            <v>B240NS</v>
          </cell>
          <cell r="H1698" t="str">
            <v>T:12 B:3</v>
          </cell>
          <cell r="I1698">
            <v>2</v>
          </cell>
          <cell r="J1698" t="str">
            <v>쿠팡</v>
          </cell>
          <cell r="K1698">
            <v>83</v>
          </cell>
          <cell r="L1698">
            <v>87</v>
          </cell>
          <cell r="M1698">
            <v>343</v>
          </cell>
          <cell r="N1698">
            <v>357</v>
          </cell>
          <cell r="P1698">
            <v>1360</v>
          </cell>
          <cell r="Q1698">
            <v>450</v>
          </cell>
          <cell r="R1698" t="str">
            <v>검정</v>
          </cell>
          <cell r="S1698" t="str">
            <v>파란비닐</v>
          </cell>
          <cell r="W1698" t="str">
            <v xml:space="preserve"> + 열십자 2번묶음것!!</v>
          </cell>
          <cell r="Y1698">
            <v>55</v>
          </cell>
          <cell r="AC1698" t="str">
            <v>김영석사원, 금형없음 F3 동일금형</v>
          </cell>
          <cell r="AD1698">
            <v>0.85</v>
          </cell>
          <cell r="AE1698">
            <v>70</v>
          </cell>
          <cell r="AF1698">
            <v>4</v>
          </cell>
        </row>
        <row r="1699">
          <cell r="A1699" t="str">
            <v>F3(30배)</v>
          </cell>
          <cell r="B1699" t="str">
            <v>BOX</v>
          </cell>
          <cell r="C1699">
            <v>2</v>
          </cell>
          <cell r="D1699">
            <v>95</v>
          </cell>
          <cell r="E1699">
            <v>1295</v>
          </cell>
          <cell r="F1699">
            <v>36</v>
          </cell>
          <cell r="G1699" t="str">
            <v>B240NS</v>
          </cell>
          <cell r="H1699">
            <v>3</v>
          </cell>
          <cell r="I1699">
            <v>2</v>
          </cell>
          <cell r="J1699" t="str">
            <v>쿠팡</v>
          </cell>
          <cell r="P1699">
            <v>1360</v>
          </cell>
          <cell r="Q1699">
            <v>450</v>
          </cell>
          <cell r="R1699" t="str">
            <v>파랑</v>
          </cell>
          <cell r="W1699" t="str">
            <v xml:space="preserve"> + 열십자 2번묶음것!!</v>
          </cell>
          <cell r="AC1699" t="str">
            <v>금형없음 F3 동일금형</v>
          </cell>
          <cell r="AD1699">
            <v>0.85</v>
          </cell>
          <cell r="AE1699">
            <v>70</v>
          </cell>
          <cell r="AF1699">
            <v>4</v>
          </cell>
        </row>
        <row r="1700">
          <cell r="A1700" t="str">
            <v>F3</v>
          </cell>
          <cell r="B1700" t="str">
            <v>BOX</v>
          </cell>
          <cell r="C1700">
            <v>2</v>
          </cell>
          <cell r="D1700">
            <v>85</v>
          </cell>
          <cell r="E1700">
            <v>607</v>
          </cell>
          <cell r="F1700">
            <v>74</v>
          </cell>
          <cell r="G1700" t="str">
            <v>B240NS</v>
          </cell>
          <cell r="H1700">
            <v>3</v>
          </cell>
          <cell r="I1700">
            <v>2</v>
          </cell>
          <cell r="J1700" t="str">
            <v>쿠팡</v>
          </cell>
          <cell r="O1700">
            <v>3350</v>
          </cell>
          <cell r="P1700">
            <v>1360</v>
          </cell>
          <cell r="Q1700">
            <v>450</v>
          </cell>
          <cell r="R1700" t="str">
            <v>흰색</v>
          </cell>
          <cell r="S1700" t="str">
            <v>흰색</v>
          </cell>
          <cell r="U1700">
            <v>43431</v>
          </cell>
          <cell r="V1700" t="str">
            <v>금형제조부</v>
          </cell>
          <cell r="W1700" t="str">
            <v>수축불량 주의!</v>
          </cell>
          <cell r="Y1700">
            <v>64</v>
          </cell>
          <cell r="AC1700" t="str">
            <v>07166후레임 전용 사용(181203)</v>
          </cell>
          <cell r="AD1700">
            <v>0.85</v>
          </cell>
          <cell r="AE1700">
            <v>70</v>
          </cell>
          <cell r="AF1700">
            <v>6</v>
          </cell>
        </row>
        <row r="1701">
          <cell r="A1701" t="str">
            <v>F2(50배)</v>
          </cell>
          <cell r="B1701" t="str">
            <v>BOX</v>
          </cell>
          <cell r="C1701">
            <v>2</v>
          </cell>
          <cell r="D1701">
            <v>75</v>
          </cell>
          <cell r="E1701">
            <v>477</v>
          </cell>
          <cell r="F1701">
            <v>50</v>
          </cell>
          <cell r="G1701" t="str">
            <v>B240NS</v>
          </cell>
          <cell r="H1701">
            <v>4</v>
          </cell>
          <cell r="I1701">
            <v>2</v>
          </cell>
          <cell r="J1701" t="str">
            <v>쿠팡</v>
          </cell>
          <cell r="P1701">
            <v>1360</v>
          </cell>
          <cell r="Q1701">
            <v>350</v>
          </cell>
          <cell r="R1701" t="str">
            <v>보라</v>
          </cell>
          <cell r="S1701" t="str">
            <v>보라</v>
          </cell>
          <cell r="U1701">
            <v>43430</v>
          </cell>
          <cell r="V1701" t="str">
            <v>금형제조부</v>
          </cell>
          <cell r="W1701" t="str">
            <v>수축불량 주의!</v>
          </cell>
          <cell r="Y1701">
            <v>64</v>
          </cell>
          <cell r="Z1701">
            <v>23848</v>
          </cell>
          <cell r="AC1701" t="str">
            <v>2021.04.30재코팅</v>
          </cell>
          <cell r="AD1701">
            <v>0.85</v>
          </cell>
          <cell r="AE1701">
            <v>80</v>
          </cell>
          <cell r="AF1701">
            <v>4</v>
          </cell>
        </row>
        <row r="1702">
          <cell r="A1702" t="str">
            <v>F2#3</v>
          </cell>
          <cell r="B1702" t="str">
            <v>BOX</v>
          </cell>
          <cell r="C1702">
            <v>2</v>
          </cell>
          <cell r="D1702">
            <v>70</v>
          </cell>
          <cell r="E1702">
            <v>373</v>
          </cell>
          <cell r="F1702">
            <v>74</v>
          </cell>
          <cell r="G1702" t="str">
            <v>B240NS</v>
          </cell>
          <cell r="H1702">
            <v>4</v>
          </cell>
          <cell r="I1702">
            <v>2</v>
          </cell>
          <cell r="J1702" t="str">
            <v>쿠팡</v>
          </cell>
          <cell r="O1702">
            <v>2100</v>
          </cell>
          <cell r="P1702">
            <v>1360</v>
          </cell>
          <cell r="Q1702">
            <v>350</v>
          </cell>
          <cell r="R1702" t="str">
            <v>빨강</v>
          </cell>
          <cell r="S1702" t="str">
            <v>빨강</v>
          </cell>
          <cell r="U1702">
            <v>43494</v>
          </cell>
          <cell r="V1702" t="str">
            <v>금형제조부</v>
          </cell>
          <cell r="Y1702">
            <v>64</v>
          </cell>
          <cell r="Z1702">
            <v>23848</v>
          </cell>
          <cell r="AD1702">
            <v>0.95</v>
          </cell>
          <cell r="AF1702">
            <v>4</v>
          </cell>
        </row>
        <row r="1703">
          <cell r="A1703" t="str">
            <v>F2#2</v>
          </cell>
          <cell r="B1703" t="str">
            <v>BOX</v>
          </cell>
          <cell r="C1703">
            <v>2</v>
          </cell>
          <cell r="D1703">
            <v>70</v>
          </cell>
          <cell r="E1703">
            <v>373</v>
          </cell>
          <cell r="F1703">
            <v>74</v>
          </cell>
          <cell r="G1703" t="str">
            <v>B240NS</v>
          </cell>
          <cell r="H1703">
            <v>4</v>
          </cell>
          <cell r="I1703">
            <v>2</v>
          </cell>
          <cell r="J1703" t="str">
            <v>쿠팡</v>
          </cell>
          <cell r="O1703">
            <v>2100</v>
          </cell>
          <cell r="P1703">
            <v>1360</v>
          </cell>
          <cell r="Q1703">
            <v>350</v>
          </cell>
          <cell r="R1703" t="str">
            <v>빨강</v>
          </cell>
          <cell r="S1703" t="str">
            <v>빨강</v>
          </cell>
          <cell r="U1703">
            <v>43476</v>
          </cell>
          <cell r="V1703" t="str">
            <v>금형제조부</v>
          </cell>
          <cell r="Y1703">
            <v>64</v>
          </cell>
          <cell r="Z1703">
            <v>23848</v>
          </cell>
          <cell r="AC1703" t="str">
            <v>190422 삼일하우징 대여</v>
          </cell>
          <cell r="AD1703">
            <v>0.85</v>
          </cell>
          <cell r="AE1703">
            <v>70</v>
          </cell>
          <cell r="AF1703">
            <v>6</v>
          </cell>
        </row>
        <row r="1704">
          <cell r="A1704" t="str">
            <v>F2</v>
          </cell>
          <cell r="B1704" t="str">
            <v>BOX</v>
          </cell>
          <cell r="C1704">
            <v>2</v>
          </cell>
          <cell r="D1704">
            <v>75</v>
          </cell>
          <cell r="E1704">
            <v>373</v>
          </cell>
          <cell r="F1704">
            <v>74</v>
          </cell>
          <cell r="G1704" t="str">
            <v>B240NS</v>
          </cell>
          <cell r="H1704">
            <v>4</v>
          </cell>
          <cell r="I1704">
            <v>2</v>
          </cell>
          <cell r="J1704" t="str">
            <v>쿠팡</v>
          </cell>
          <cell r="O1704">
            <v>2100</v>
          </cell>
          <cell r="P1704">
            <v>1360</v>
          </cell>
          <cell r="Q1704">
            <v>350</v>
          </cell>
          <cell r="R1704" t="str">
            <v>빨강</v>
          </cell>
          <cell r="S1704" t="str">
            <v>빨강</v>
          </cell>
          <cell r="U1704">
            <v>43430</v>
          </cell>
          <cell r="V1704" t="str">
            <v>금형제조부</v>
          </cell>
          <cell r="W1704" t="str">
            <v>수축불량 주의!</v>
          </cell>
          <cell r="Y1704">
            <v>64</v>
          </cell>
          <cell r="Z1704">
            <v>23848</v>
          </cell>
          <cell r="AC1704" t="str">
            <v>2021.04.30재코팅</v>
          </cell>
          <cell r="AD1704">
            <v>0.85</v>
          </cell>
          <cell r="AE1704">
            <v>80</v>
          </cell>
          <cell r="AF1704">
            <v>6</v>
          </cell>
        </row>
        <row r="1705">
          <cell r="A1705" t="str">
            <v>F12</v>
          </cell>
          <cell r="B1705" t="str">
            <v>BOX</v>
          </cell>
          <cell r="C1705">
            <v>1</v>
          </cell>
          <cell r="D1705">
            <v>100</v>
          </cell>
          <cell r="E1705">
            <v>429</v>
          </cell>
          <cell r="F1705">
            <v>65</v>
          </cell>
          <cell r="G1705" t="str">
            <v>B240NS</v>
          </cell>
          <cell r="H1705">
            <v>4</v>
          </cell>
          <cell r="I1705">
            <v>4</v>
          </cell>
          <cell r="J1705" t="str">
            <v>이파람</v>
          </cell>
          <cell r="K1705">
            <v>83</v>
          </cell>
          <cell r="L1705">
            <v>87</v>
          </cell>
          <cell r="M1705">
            <v>83</v>
          </cell>
          <cell r="N1705">
            <v>87</v>
          </cell>
          <cell r="P1705">
            <v>1360</v>
          </cell>
          <cell r="R1705" t="str">
            <v>파랑</v>
          </cell>
          <cell r="U1705">
            <v>45356</v>
          </cell>
          <cell r="V1705" t="str">
            <v>금형사업부</v>
          </cell>
          <cell r="W1705" t="str">
            <v xml:space="preserve">2번 건조 </v>
          </cell>
          <cell r="AD1705">
            <v>0.85</v>
          </cell>
        </row>
        <row r="1706">
          <cell r="A1706" t="str">
            <v>F12</v>
          </cell>
          <cell r="B1706" t="str">
            <v>BOX</v>
          </cell>
          <cell r="C1706">
            <v>1</v>
          </cell>
          <cell r="D1706">
            <v>100</v>
          </cell>
          <cell r="E1706">
            <v>429</v>
          </cell>
          <cell r="F1706">
            <v>65</v>
          </cell>
          <cell r="G1706" t="str">
            <v>B240NS</v>
          </cell>
          <cell r="H1706">
            <v>4</v>
          </cell>
          <cell r="I1706">
            <v>4</v>
          </cell>
          <cell r="J1706" t="str">
            <v>이파람</v>
          </cell>
          <cell r="P1706">
            <v>1360</v>
          </cell>
          <cell r="R1706" t="str">
            <v>파랑</v>
          </cell>
          <cell r="U1706">
            <v>45356</v>
          </cell>
          <cell r="V1706" t="str">
            <v>금형사업부</v>
          </cell>
          <cell r="AD1706">
            <v>0.85</v>
          </cell>
        </row>
        <row r="1707">
          <cell r="A1707" t="str">
            <v>F12</v>
          </cell>
          <cell r="B1707" t="str">
            <v>BOX</v>
          </cell>
          <cell r="C1707">
            <v>1</v>
          </cell>
          <cell r="D1707">
            <v>100</v>
          </cell>
          <cell r="E1707">
            <v>429</v>
          </cell>
          <cell r="F1707">
            <v>50</v>
          </cell>
          <cell r="G1707" t="str">
            <v>B240NS</v>
          </cell>
          <cell r="H1707">
            <v>4</v>
          </cell>
          <cell r="I1707">
            <v>4</v>
          </cell>
          <cell r="J1707" t="str">
            <v>이파람</v>
          </cell>
          <cell r="P1707">
            <v>1360</v>
          </cell>
          <cell r="R1707" t="str">
            <v>파랑</v>
          </cell>
          <cell r="U1707">
            <v>45356</v>
          </cell>
          <cell r="V1707" t="str">
            <v>금형사업부</v>
          </cell>
          <cell r="AD1707">
            <v>0.85</v>
          </cell>
        </row>
        <row r="1708">
          <cell r="A1708" t="str">
            <v>F1#5</v>
          </cell>
          <cell r="B1708" t="str">
            <v>BOX</v>
          </cell>
          <cell r="C1708">
            <v>3</v>
          </cell>
          <cell r="D1708">
            <v>65</v>
          </cell>
          <cell r="E1708">
            <v>214</v>
          </cell>
          <cell r="F1708">
            <v>74</v>
          </cell>
          <cell r="G1708" t="str">
            <v>B240NS</v>
          </cell>
          <cell r="H1708">
            <v>10</v>
          </cell>
          <cell r="I1708">
            <v>2</v>
          </cell>
          <cell r="J1708" t="str">
            <v>쿠팡</v>
          </cell>
          <cell r="O1708">
            <v>1100</v>
          </cell>
          <cell r="P1708">
            <v>1360</v>
          </cell>
          <cell r="Q1708">
            <v>300</v>
          </cell>
          <cell r="R1708" t="str">
            <v>파랑</v>
          </cell>
          <cell r="S1708" t="str">
            <v>파랑</v>
          </cell>
          <cell r="U1708">
            <v>43491</v>
          </cell>
          <cell r="V1708" t="str">
            <v>금형제조부</v>
          </cell>
          <cell r="Y1708">
            <v>64</v>
          </cell>
          <cell r="Z1708">
            <v>13692</v>
          </cell>
          <cell r="AD1708">
            <v>0.85</v>
          </cell>
          <cell r="AE1708">
            <v>75</v>
          </cell>
          <cell r="AF1708">
            <v>6</v>
          </cell>
        </row>
        <row r="1709">
          <cell r="A1709" t="str">
            <v>F1#4</v>
          </cell>
          <cell r="B1709" t="str">
            <v>BOX</v>
          </cell>
          <cell r="C1709">
            <v>3</v>
          </cell>
          <cell r="D1709">
            <v>65</v>
          </cell>
          <cell r="E1709">
            <v>214</v>
          </cell>
          <cell r="F1709">
            <v>74</v>
          </cell>
          <cell r="G1709" t="str">
            <v>B240NS</v>
          </cell>
          <cell r="H1709">
            <v>10</v>
          </cell>
          <cell r="I1709">
            <v>2</v>
          </cell>
          <cell r="J1709" t="str">
            <v>쿠팡</v>
          </cell>
          <cell r="O1709">
            <v>1100</v>
          </cell>
          <cell r="P1709">
            <v>1360</v>
          </cell>
          <cell r="Q1709">
            <v>300</v>
          </cell>
          <cell r="R1709" t="str">
            <v>파랑</v>
          </cell>
          <cell r="S1709" t="str">
            <v>파랑</v>
          </cell>
          <cell r="U1709">
            <v>43491</v>
          </cell>
          <cell r="V1709" t="str">
            <v>금형제조부</v>
          </cell>
          <cell r="Y1709">
            <v>64</v>
          </cell>
          <cell r="Z1709">
            <v>13692</v>
          </cell>
          <cell r="AC1709" t="str">
            <v>삼일이노팩 둔포 대여190218, 190422 삼일하우징 대여</v>
          </cell>
          <cell r="AD1709">
            <v>0.85</v>
          </cell>
          <cell r="AE1709">
            <v>70</v>
          </cell>
          <cell r="AF1709">
            <v>4</v>
          </cell>
        </row>
        <row r="1710">
          <cell r="A1710" t="str">
            <v>F1#3</v>
          </cell>
          <cell r="B1710" t="str">
            <v>BOX</v>
          </cell>
          <cell r="C1710">
            <v>3</v>
          </cell>
          <cell r="D1710">
            <v>65</v>
          </cell>
          <cell r="E1710">
            <v>214</v>
          </cell>
          <cell r="F1710">
            <v>74</v>
          </cell>
          <cell r="G1710" t="str">
            <v>B240NS</v>
          </cell>
          <cell r="H1710">
            <v>10</v>
          </cell>
          <cell r="I1710">
            <v>2</v>
          </cell>
          <cell r="J1710" t="str">
            <v>쿠팡</v>
          </cell>
          <cell r="O1710">
            <v>1100</v>
          </cell>
          <cell r="P1710">
            <v>1360</v>
          </cell>
          <cell r="Q1710">
            <v>300</v>
          </cell>
          <cell r="R1710" t="str">
            <v>파랑</v>
          </cell>
          <cell r="S1710" t="str">
            <v>파랑</v>
          </cell>
          <cell r="U1710">
            <v>43486</v>
          </cell>
          <cell r="V1710" t="str">
            <v>금형제조부</v>
          </cell>
          <cell r="Y1710">
            <v>64</v>
          </cell>
          <cell r="Z1710">
            <v>13692</v>
          </cell>
          <cell r="AC1710" t="str">
            <v>아산EPS 금형 대여190218, 190419 아산회수</v>
          </cell>
          <cell r="AD1710">
            <v>0.85</v>
          </cell>
          <cell r="AE1710">
            <v>70</v>
          </cell>
          <cell r="AF1710">
            <v>4</v>
          </cell>
        </row>
        <row r="1711">
          <cell r="A1711" t="str">
            <v>EZ케익박스</v>
          </cell>
          <cell r="B1711" t="str">
            <v>BOX</v>
          </cell>
          <cell r="C1711">
            <v>4</v>
          </cell>
          <cell r="D1711">
            <v>95</v>
          </cell>
          <cell r="E1711">
            <v>210</v>
          </cell>
          <cell r="F1711">
            <v>64</v>
          </cell>
          <cell r="G1711" t="str">
            <v>B240NS</v>
          </cell>
          <cell r="H1711" t="str">
            <v>T:24 L:72 B:12</v>
          </cell>
          <cell r="I1711">
            <v>4</v>
          </cell>
          <cell r="J1711" t="str">
            <v>이지패키지</v>
          </cell>
          <cell r="K1711">
            <v>84</v>
          </cell>
          <cell r="L1711">
            <v>86</v>
          </cell>
          <cell r="M1711">
            <v>176</v>
          </cell>
          <cell r="N1711">
            <v>178</v>
          </cell>
          <cell r="P1711">
            <v>1500</v>
          </cell>
          <cell r="Q1711">
            <v>300</v>
          </cell>
          <cell r="R1711" t="str">
            <v>노랑</v>
          </cell>
          <cell r="U1711">
            <v>45318</v>
          </cell>
          <cell r="V1711" t="str">
            <v>금형사업부</v>
          </cell>
          <cell r="AD1711">
            <v>0.85</v>
          </cell>
        </row>
        <row r="1712">
          <cell r="A1712" t="str">
            <v>EZ케익박스</v>
          </cell>
          <cell r="B1712" t="str">
            <v>BOX</v>
          </cell>
          <cell r="C1712">
            <v>4</v>
          </cell>
          <cell r="D1712">
            <v>95</v>
          </cell>
          <cell r="E1712">
            <v>210</v>
          </cell>
          <cell r="F1712">
            <v>64</v>
          </cell>
          <cell r="G1712" t="str">
            <v>B240NS</v>
          </cell>
          <cell r="H1712" t="str">
            <v>T:24 L:72 B:12</v>
          </cell>
          <cell r="I1712">
            <v>4</v>
          </cell>
          <cell r="J1712" t="str">
            <v>이지패키지</v>
          </cell>
          <cell r="P1712">
            <v>1500</v>
          </cell>
          <cell r="Q1712">
            <v>300</v>
          </cell>
          <cell r="R1712" t="str">
            <v>노랑</v>
          </cell>
          <cell r="U1712">
            <v>45318</v>
          </cell>
          <cell r="V1712" t="str">
            <v>금형사업부</v>
          </cell>
          <cell r="AD1712">
            <v>0.85</v>
          </cell>
        </row>
        <row r="1713">
          <cell r="A1713" t="str">
            <v>EZ케익박스</v>
          </cell>
          <cell r="B1713" t="str">
            <v>BOX</v>
          </cell>
          <cell r="C1713">
            <v>4</v>
          </cell>
          <cell r="D1713">
            <v>95</v>
          </cell>
          <cell r="E1713">
            <v>210</v>
          </cell>
          <cell r="F1713">
            <v>64</v>
          </cell>
          <cell r="G1713" t="str">
            <v>B240NS</v>
          </cell>
          <cell r="H1713" t="str">
            <v>T:24 L:72 B:12</v>
          </cell>
          <cell r="I1713">
            <v>4</v>
          </cell>
          <cell r="J1713" t="str">
            <v>이지패키지</v>
          </cell>
          <cell r="P1713">
            <v>1500</v>
          </cell>
          <cell r="Q1713">
            <v>300</v>
          </cell>
          <cell r="R1713" t="str">
            <v>노랑</v>
          </cell>
          <cell r="U1713">
            <v>45318</v>
          </cell>
          <cell r="V1713" t="str">
            <v>금형사업부</v>
          </cell>
          <cell r="AD1713">
            <v>0.85</v>
          </cell>
        </row>
        <row r="1714">
          <cell r="A1714" t="str">
            <v>EPS-CUSHION</v>
          </cell>
          <cell r="B1714" t="str">
            <v>저발</v>
          </cell>
          <cell r="C1714">
            <v>1</v>
          </cell>
          <cell r="D1714">
            <v>120</v>
          </cell>
          <cell r="E1714">
            <v>390</v>
          </cell>
          <cell r="F1714">
            <v>65</v>
          </cell>
          <cell r="G1714" t="str">
            <v>B240NS</v>
          </cell>
          <cell r="H1714">
            <v>8</v>
          </cell>
          <cell r="I1714">
            <v>2</v>
          </cell>
          <cell r="J1714" t="str">
            <v>동진화성</v>
          </cell>
          <cell r="K1714">
            <v>79</v>
          </cell>
          <cell r="L1714">
            <v>81</v>
          </cell>
          <cell r="M1714">
            <v>218</v>
          </cell>
          <cell r="N1714">
            <v>222</v>
          </cell>
          <cell r="O1714">
            <v>10</v>
          </cell>
          <cell r="P1714">
            <v>700</v>
          </cell>
          <cell r="R1714" t="str">
            <v>검정</v>
          </cell>
          <cell r="S1714" t="str">
            <v>검정</v>
          </cell>
          <cell r="U1714">
            <v>43199</v>
          </cell>
          <cell r="V1714" t="str">
            <v>금형제조부</v>
          </cell>
          <cell r="Y1714">
            <v>50</v>
          </cell>
          <cell r="Z1714">
            <v>19548</v>
          </cell>
          <cell r="AC1714" t="str">
            <v>최재학계장</v>
          </cell>
          <cell r="AD1714">
            <v>0.85</v>
          </cell>
          <cell r="AE1714">
            <v>150</v>
          </cell>
          <cell r="AF1714">
            <v>6</v>
          </cell>
        </row>
        <row r="1715">
          <cell r="A1715" t="str">
            <v>EPS SENSOR</v>
          </cell>
          <cell r="B1715" t="str">
            <v>저발</v>
          </cell>
          <cell r="C1715">
            <v>10</v>
          </cell>
          <cell r="D1715">
            <v>130</v>
          </cell>
          <cell r="E1715">
            <v>5</v>
          </cell>
          <cell r="F1715">
            <v>20</v>
          </cell>
          <cell r="G1715" t="str">
            <v>FI-351</v>
          </cell>
          <cell r="H1715" t="str">
            <v>생산100,포장반100</v>
          </cell>
          <cell r="I1715">
            <v>1</v>
          </cell>
          <cell r="J1715" t="str">
            <v>청호나이스</v>
          </cell>
          <cell r="K1715">
            <v>19.399999999999999</v>
          </cell>
          <cell r="L1715">
            <v>20.6</v>
          </cell>
          <cell r="P1715">
            <v>500</v>
          </cell>
          <cell r="R1715" t="str">
            <v>박스</v>
          </cell>
          <cell r="T1715" t="str">
            <v>61-2635-0</v>
          </cell>
          <cell r="U1715">
            <v>45748</v>
          </cell>
          <cell r="V1715" t="str">
            <v>금형사업부</v>
          </cell>
          <cell r="AD1715">
            <v>0.85</v>
          </cell>
          <cell r="AE1715">
            <v>80</v>
          </cell>
        </row>
        <row r="1716">
          <cell r="A1716" t="str">
            <v>EPS SENSOR</v>
          </cell>
          <cell r="B1716" t="str">
            <v>저발</v>
          </cell>
          <cell r="C1716">
            <v>10</v>
          </cell>
          <cell r="D1716">
            <v>130</v>
          </cell>
          <cell r="E1716">
            <v>5</v>
          </cell>
          <cell r="F1716">
            <v>20</v>
          </cell>
          <cell r="G1716" t="str">
            <v>FI-351</v>
          </cell>
          <cell r="H1716" t="str">
            <v>생산100,포장반100</v>
          </cell>
          <cell r="I1716">
            <v>1</v>
          </cell>
          <cell r="J1716" t="str">
            <v>청호나이스</v>
          </cell>
          <cell r="K1716">
            <v>19.399999999999999</v>
          </cell>
          <cell r="L1716">
            <v>20.6</v>
          </cell>
          <cell r="P1716">
            <v>500</v>
          </cell>
          <cell r="R1716" t="str">
            <v>박스</v>
          </cell>
          <cell r="T1716" t="str">
            <v>61-2635-0</v>
          </cell>
          <cell r="U1716">
            <v>45748</v>
          </cell>
          <cell r="V1716" t="str">
            <v>금형사업부</v>
          </cell>
          <cell r="AD1716">
            <v>0.85</v>
          </cell>
          <cell r="AE1716">
            <v>80</v>
          </cell>
        </row>
        <row r="1717">
          <cell r="A1717" t="str">
            <v>EPO-55#2</v>
          </cell>
          <cell r="B1717" t="str">
            <v>SET</v>
          </cell>
          <cell r="C1717">
            <v>1</v>
          </cell>
          <cell r="D1717">
            <v>220</v>
          </cell>
          <cell r="E1717">
            <v>1051</v>
          </cell>
          <cell r="F1717">
            <v>30</v>
          </cell>
          <cell r="G1717" t="str">
            <v>하나세란</v>
          </cell>
          <cell r="H1717">
            <v>1</v>
          </cell>
          <cell r="I1717">
            <v>1</v>
          </cell>
          <cell r="J1717" t="str">
            <v>LG전자</v>
          </cell>
          <cell r="K1717">
            <v>52</v>
          </cell>
          <cell r="L1717">
            <v>54</v>
          </cell>
          <cell r="O1717">
            <v>4414</v>
          </cell>
          <cell r="P1717">
            <v>1500</v>
          </cell>
          <cell r="Q1717">
            <v>150</v>
          </cell>
          <cell r="S1717">
            <v>0</v>
          </cell>
          <cell r="T1717" t="str">
            <v>55TYPE</v>
          </cell>
          <cell r="U1717">
            <v>40472</v>
          </cell>
          <cell r="V1717" t="str">
            <v>금형제조부</v>
          </cell>
          <cell r="W1717" t="str">
            <v>EPO-55#2,하나세란</v>
          </cell>
          <cell r="AC1717" t="str">
            <v>이동</v>
          </cell>
          <cell r="AD1717">
            <v>0.9</v>
          </cell>
          <cell r="AE1717">
            <v>220</v>
          </cell>
          <cell r="AF1717">
            <v>1</v>
          </cell>
        </row>
        <row r="1718">
          <cell r="A1718" t="str">
            <v>EPO-55</v>
          </cell>
          <cell r="B1718" t="str">
            <v>SET</v>
          </cell>
          <cell r="C1718">
            <v>1</v>
          </cell>
          <cell r="D1718">
            <v>200</v>
          </cell>
          <cell r="E1718">
            <v>1051</v>
          </cell>
          <cell r="F1718">
            <v>30</v>
          </cell>
          <cell r="G1718" t="str">
            <v>하나세란</v>
          </cell>
          <cell r="H1718">
            <v>1</v>
          </cell>
          <cell r="I1718">
            <v>1</v>
          </cell>
          <cell r="J1718" t="str">
            <v>LG전자</v>
          </cell>
          <cell r="K1718">
            <v>52</v>
          </cell>
          <cell r="L1718">
            <v>54</v>
          </cell>
          <cell r="O1718">
            <v>13000</v>
          </cell>
          <cell r="P1718">
            <v>1500</v>
          </cell>
          <cell r="Q1718">
            <v>150</v>
          </cell>
          <cell r="R1718" t="str">
            <v>랩핑</v>
          </cell>
          <cell r="S1718" t="str">
            <v>랩핑</v>
          </cell>
          <cell r="T1718" t="str">
            <v>55TYPE</v>
          </cell>
          <cell r="U1718">
            <v>40296</v>
          </cell>
          <cell r="V1718" t="str">
            <v>삼일금형</v>
          </cell>
          <cell r="W1718" t="str">
            <v>EPO-55,하나세란</v>
          </cell>
          <cell r="X1718" t="str">
            <v>계양리 L-1</v>
          </cell>
          <cell r="AC1718" t="str">
            <v>2010.05.20개조, 2010.07.20개조, 2010.09.14개조</v>
          </cell>
          <cell r="AD1718">
            <v>0.9</v>
          </cell>
          <cell r="AE1718">
            <v>200</v>
          </cell>
          <cell r="AF1718">
            <v>2</v>
          </cell>
        </row>
        <row r="1719">
          <cell r="A1719" t="str">
            <v>EPO-47</v>
          </cell>
          <cell r="B1719" t="str">
            <v>SET</v>
          </cell>
          <cell r="C1719">
            <v>1</v>
          </cell>
          <cell r="D1719">
            <v>163</v>
          </cell>
          <cell r="E1719">
            <v>819</v>
          </cell>
          <cell r="F1719">
            <v>30</v>
          </cell>
          <cell r="G1719" t="str">
            <v>하나세란</v>
          </cell>
          <cell r="H1719">
            <v>1</v>
          </cell>
          <cell r="I1719">
            <v>1</v>
          </cell>
          <cell r="J1719" t="str">
            <v>LG전자</v>
          </cell>
          <cell r="K1719">
            <v>42</v>
          </cell>
          <cell r="L1719">
            <v>44</v>
          </cell>
          <cell r="O1719">
            <v>10000</v>
          </cell>
          <cell r="P1719">
            <v>1360</v>
          </cell>
          <cell r="Q1719">
            <v>150</v>
          </cell>
          <cell r="R1719" t="str">
            <v>랩핑</v>
          </cell>
          <cell r="S1719" t="str">
            <v>랩핑</v>
          </cell>
          <cell r="T1719" t="str">
            <v>47TYPE</v>
          </cell>
          <cell r="U1719">
            <v>40323</v>
          </cell>
          <cell r="V1719" t="str">
            <v>삼일금형</v>
          </cell>
          <cell r="W1719" t="str">
            <v>EPO-47,하나세란</v>
          </cell>
          <cell r="AC1719" t="str">
            <v>2010.07.20개조, 2010.09.16개조</v>
          </cell>
          <cell r="AD1719">
            <v>0.9</v>
          </cell>
          <cell r="AE1719">
            <v>163</v>
          </cell>
          <cell r="AF1719">
            <v>8</v>
          </cell>
        </row>
        <row r="1720">
          <cell r="A1720" t="str">
            <v>EPD-K33/45/55S</v>
          </cell>
          <cell r="B1720" t="str">
            <v>SET</v>
          </cell>
          <cell r="C1720" t="str">
            <v>2</v>
          </cell>
          <cell r="D1720" t="str">
            <v>100</v>
          </cell>
          <cell r="E1720" t="str">
            <v>335</v>
          </cell>
          <cell r="F1720" t="str">
            <v>70</v>
          </cell>
          <cell r="G1720" t="str">
            <v>B240NS</v>
          </cell>
          <cell r="H1720" t="str">
            <v>1</v>
          </cell>
          <cell r="I1720" t="str">
            <v>2</v>
          </cell>
          <cell r="J1720" t="str">
            <v>이파람</v>
          </cell>
          <cell r="P1720" t="str">
            <v>1360</v>
          </cell>
          <cell r="Q1720" t="str">
            <v>200</v>
          </cell>
          <cell r="U1720">
            <v>44735</v>
          </cell>
          <cell r="V1720" t="str">
            <v>경원 ENG</v>
          </cell>
          <cell r="Y1720">
            <v>60</v>
          </cell>
          <cell r="AC1720" t="str">
            <v>김영석사원</v>
          </cell>
          <cell r="AD1720">
            <v>0.85</v>
          </cell>
        </row>
        <row r="1721">
          <cell r="A1721" t="str">
            <v>EPD-K33/45/55S</v>
          </cell>
          <cell r="B1721" t="str">
            <v>SET</v>
          </cell>
          <cell r="C1721" t="str">
            <v>2</v>
          </cell>
          <cell r="D1721" t="str">
            <v>100</v>
          </cell>
          <cell r="E1721" t="str">
            <v>335</v>
          </cell>
          <cell r="F1721" t="str">
            <v>70</v>
          </cell>
          <cell r="G1721" t="str">
            <v>B240NS</v>
          </cell>
          <cell r="H1721" t="str">
            <v>1</v>
          </cell>
          <cell r="I1721" t="str">
            <v>2</v>
          </cell>
          <cell r="J1721" t="str">
            <v>이파람</v>
          </cell>
          <cell r="P1721" t="str">
            <v>1360</v>
          </cell>
          <cell r="Q1721" t="str">
            <v>200</v>
          </cell>
          <cell r="U1721">
            <v>44735</v>
          </cell>
          <cell r="V1721" t="str">
            <v>경원 ENG</v>
          </cell>
          <cell r="Y1721">
            <v>60</v>
          </cell>
          <cell r="AC1721" t="str">
            <v>김영석사원</v>
          </cell>
          <cell r="AD1721">
            <v>0.85</v>
          </cell>
        </row>
        <row r="1722">
          <cell r="A1722" t="str">
            <v>ENV200BS-BOT</v>
          </cell>
          <cell r="B1722" t="str">
            <v>SET</v>
          </cell>
          <cell r="C1722">
            <v>2</v>
          </cell>
          <cell r="D1722">
            <v>157</v>
          </cell>
          <cell r="E1722">
            <v>222</v>
          </cell>
          <cell r="F1722">
            <v>36</v>
          </cell>
          <cell r="G1722" t="str">
            <v>SF400</v>
          </cell>
          <cell r="H1722">
            <v>6</v>
          </cell>
          <cell r="I1722">
            <v>1</v>
          </cell>
          <cell r="J1722" t="str">
            <v>경동</v>
          </cell>
          <cell r="K1722">
            <v>114</v>
          </cell>
          <cell r="L1722">
            <v>116</v>
          </cell>
          <cell r="O1722">
            <v>1080</v>
          </cell>
          <cell r="P1722">
            <v>1360</v>
          </cell>
          <cell r="Q1722">
            <v>200</v>
          </cell>
          <cell r="R1722" t="str">
            <v>파란비닐</v>
          </cell>
          <cell r="T1722" t="str">
            <v>20051569A</v>
          </cell>
          <cell r="U1722">
            <v>44027</v>
          </cell>
          <cell r="V1722" t="str">
            <v>세일하이테크</v>
          </cell>
          <cell r="W1722" t="str">
            <v>18호기 금지,20051569A</v>
          </cell>
          <cell r="Y1722">
            <v>30</v>
          </cell>
          <cell r="Z1722">
            <v>6675</v>
          </cell>
          <cell r="AC1722" t="str">
            <v>석상준과장, 후레임일체입고, 2020.07.21각인에러로 각인교체, 2021.07.22 수정</v>
          </cell>
          <cell r="AD1722">
            <v>0.85</v>
          </cell>
          <cell r="AF1722">
            <v>6</v>
          </cell>
        </row>
        <row r="1723">
          <cell r="A1723" t="str">
            <v>EMC350</v>
          </cell>
          <cell r="B1723" t="str">
            <v>SET</v>
          </cell>
          <cell r="C1723">
            <v>4</v>
          </cell>
          <cell r="D1723">
            <v>100</v>
          </cell>
          <cell r="E1723">
            <v>136</v>
          </cell>
          <cell r="F1723">
            <v>58</v>
          </cell>
          <cell r="G1723" t="str">
            <v>B240NS</v>
          </cell>
          <cell r="H1723">
            <v>14</v>
          </cell>
          <cell r="I1723">
            <v>1</v>
          </cell>
          <cell r="J1723" t="str">
            <v>하츠</v>
          </cell>
          <cell r="K1723">
            <v>79</v>
          </cell>
          <cell r="L1723">
            <v>81</v>
          </cell>
          <cell r="M1723">
            <v>79</v>
          </cell>
          <cell r="N1723">
            <v>81</v>
          </cell>
          <cell r="O1723">
            <v>650</v>
          </cell>
          <cell r="P1723">
            <v>1360</v>
          </cell>
          <cell r="Q1723">
            <v>200</v>
          </cell>
          <cell r="R1723" t="str">
            <v>주황</v>
          </cell>
          <cell r="U1723">
            <v>43896</v>
          </cell>
          <cell r="V1723" t="str">
            <v>세일하이테크</v>
          </cell>
          <cell r="W1723" t="str">
            <v>직가래 3개, 초물:150~160 미포장</v>
          </cell>
          <cell r="X1723">
            <v>136.06</v>
          </cell>
          <cell r="Y1723">
            <v>50</v>
          </cell>
          <cell r="Z1723">
            <v>6803</v>
          </cell>
          <cell r="AC1723" t="str">
            <v>석상준과장, 2020.03.10 수정입고, 2020.08.06CAVITY(2*2-&gt;1*4) 및 기준중량변경(272-&gt;136) 묶음단위변경(7-&gt;14)</v>
          </cell>
          <cell r="AD1723">
            <v>0.83</v>
          </cell>
          <cell r="AF1723">
            <v>8</v>
          </cell>
        </row>
        <row r="1724">
          <cell r="A1724" t="str">
            <v>ELK</v>
          </cell>
          <cell r="B1724" t="str">
            <v>SET</v>
          </cell>
          <cell r="C1724">
            <v>6</v>
          </cell>
          <cell r="D1724">
            <v>80</v>
          </cell>
          <cell r="E1724">
            <v>70</v>
          </cell>
          <cell r="F1724">
            <v>74</v>
          </cell>
          <cell r="G1724" t="str">
            <v>SE2500M</v>
          </cell>
          <cell r="H1724">
            <v>20</v>
          </cell>
          <cell r="I1724">
            <v>1</v>
          </cell>
          <cell r="J1724" t="str">
            <v>하츠</v>
          </cell>
          <cell r="K1724">
            <v>58</v>
          </cell>
          <cell r="L1724">
            <v>62</v>
          </cell>
          <cell r="O1724">
            <v>370</v>
          </cell>
          <cell r="P1724">
            <v>1300</v>
          </cell>
          <cell r="Q1724">
            <v>150</v>
          </cell>
          <cell r="R1724" t="str">
            <v>흰색</v>
          </cell>
          <cell r="S1724" t="str">
            <v>흰색</v>
          </cell>
          <cell r="T1724" t="str">
            <v>M310-00180</v>
          </cell>
          <cell r="U1724">
            <v>41719</v>
          </cell>
          <cell r="V1724" t="str">
            <v>하츠이동입고</v>
          </cell>
          <cell r="W1724" t="str">
            <v>융착 확인 필. 초물84g 내외</v>
          </cell>
          <cell r="X1724" t="str">
            <v>E-0306</v>
          </cell>
          <cell r="AC1724" t="str">
            <v>조우리사원,2014.04.17묶음단위변경(1-&gt;20), 2014.08.21배율변경(57-62), 2014.09.11기준뱅율변경(62-&gt;65)</v>
          </cell>
          <cell r="AD1724">
            <v>0.83</v>
          </cell>
          <cell r="AE1724">
            <v>80</v>
          </cell>
          <cell r="AF1724">
            <v>2</v>
          </cell>
        </row>
        <row r="1725">
          <cell r="A1725" t="str">
            <v>EKST-2000</v>
          </cell>
          <cell r="B1725" t="str">
            <v>저발</v>
          </cell>
          <cell r="C1725">
            <v>10</v>
          </cell>
          <cell r="D1725">
            <v>90</v>
          </cell>
          <cell r="E1725">
            <v>10</v>
          </cell>
          <cell r="F1725">
            <v>70</v>
          </cell>
          <cell r="G1725" t="str">
            <v>B240NS</v>
          </cell>
          <cell r="H1725">
            <v>200</v>
          </cell>
          <cell r="I1725">
            <v>1</v>
          </cell>
          <cell r="J1725" t="str">
            <v>한일전기</v>
          </cell>
          <cell r="P1725">
            <v>500</v>
          </cell>
          <cell r="Q1725">
            <v>0</v>
          </cell>
          <cell r="R1725" t="str">
            <v>비닐</v>
          </cell>
          <cell r="U1725">
            <v>44767</v>
          </cell>
          <cell r="V1725" t="str">
            <v>이관금형</v>
          </cell>
          <cell r="AC1725" t="str">
            <v>김영석사원</v>
          </cell>
          <cell r="AD1725">
            <v>0.85</v>
          </cell>
        </row>
        <row r="1726">
          <cell r="A1726" t="str">
            <v>EKST-2000</v>
          </cell>
          <cell r="B1726" t="str">
            <v>SET</v>
          </cell>
          <cell r="C1726">
            <v>10</v>
          </cell>
          <cell r="D1726">
            <v>100</v>
          </cell>
          <cell r="E1726">
            <v>10</v>
          </cell>
          <cell r="F1726">
            <v>70</v>
          </cell>
          <cell r="G1726" t="str">
            <v>B240NS</v>
          </cell>
          <cell r="H1726">
            <v>200</v>
          </cell>
          <cell r="I1726">
            <v>1</v>
          </cell>
          <cell r="J1726" t="str">
            <v>한일전기</v>
          </cell>
          <cell r="P1726">
            <v>500</v>
          </cell>
          <cell r="R1726" t="str">
            <v>비닐</v>
          </cell>
          <cell r="U1726">
            <v>44767</v>
          </cell>
          <cell r="V1726" t="str">
            <v>이관금형</v>
          </cell>
          <cell r="AC1726" t="str">
            <v>김영석사원</v>
          </cell>
          <cell r="AD1726">
            <v>0.85</v>
          </cell>
        </row>
        <row r="1727">
          <cell r="A1727" t="str">
            <v>EKSS-40000</v>
          </cell>
          <cell r="B1727" t="str">
            <v>저발</v>
          </cell>
          <cell r="C1727">
            <v>8</v>
          </cell>
          <cell r="D1727">
            <v>90</v>
          </cell>
          <cell r="E1727">
            <v>30</v>
          </cell>
          <cell r="F1727">
            <v>74</v>
          </cell>
          <cell r="G1727" t="str">
            <v>B240NS</v>
          </cell>
          <cell r="H1727">
            <v>1</v>
          </cell>
          <cell r="I1727">
            <v>1</v>
          </cell>
          <cell r="J1727" t="str">
            <v>한일전기</v>
          </cell>
          <cell r="P1727">
            <v>500</v>
          </cell>
          <cell r="Q1727">
            <v>0</v>
          </cell>
          <cell r="R1727" t="str">
            <v>빨강</v>
          </cell>
          <cell r="U1727">
            <v>44767</v>
          </cell>
          <cell r="V1727" t="str">
            <v>이관금형</v>
          </cell>
          <cell r="AC1727" t="str">
            <v>김영석사원</v>
          </cell>
          <cell r="AD1727">
            <v>0.85</v>
          </cell>
        </row>
        <row r="1728">
          <cell r="A1728" t="str">
            <v>EKSS-40000</v>
          </cell>
          <cell r="B1728" t="str">
            <v>SET</v>
          </cell>
          <cell r="C1728">
            <v>8</v>
          </cell>
          <cell r="D1728">
            <v>100</v>
          </cell>
          <cell r="E1728">
            <v>30</v>
          </cell>
          <cell r="F1728">
            <v>74</v>
          </cell>
          <cell r="G1728" t="str">
            <v>B240NS</v>
          </cell>
          <cell r="H1728">
            <v>1</v>
          </cell>
          <cell r="I1728">
            <v>1</v>
          </cell>
          <cell r="J1728" t="str">
            <v>한일전기</v>
          </cell>
          <cell r="P1728">
            <v>500</v>
          </cell>
          <cell r="R1728" t="str">
            <v>빨강</v>
          </cell>
          <cell r="U1728">
            <v>44767</v>
          </cell>
          <cell r="V1728" t="str">
            <v>이관금형</v>
          </cell>
          <cell r="AC1728" t="str">
            <v>김영석사원</v>
          </cell>
          <cell r="AD1728">
            <v>0.85</v>
          </cell>
        </row>
        <row r="1729">
          <cell r="A1729" t="str">
            <v>EK-130ST</v>
          </cell>
          <cell r="B1729" t="str">
            <v>저발</v>
          </cell>
          <cell r="C1729">
            <v>8</v>
          </cell>
          <cell r="D1729">
            <v>90</v>
          </cell>
          <cell r="E1729">
            <v>16</v>
          </cell>
          <cell r="F1729">
            <v>58</v>
          </cell>
          <cell r="G1729" t="str">
            <v>B240NS</v>
          </cell>
          <cell r="H1729">
            <v>1</v>
          </cell>
          <cell r="I1729">
            <v>1</v>
          </cell>
          <cell r="J1729" t="str">
            <v>한일전기</v>
          </cell>
          <cell r="P1729">
            <v>500</v>
          </cell>
          <cell r="Q1729">
            <v>0</v>
          </cell>
          <cell r="R1729" t="str">
            <v>박스</v>
          </cell>
          <cell r="U1729">
            <v>44767</v>
          </cell>
          <cell r="V1729" t="str">
            <v>이관금형</v>
          </cell>
          <cell r="AC1729" t="str">
            <v>김영석사원</v>
          </cell>
          <cell r="AD1729">
            <v>0.85</v>
          </cell>
        </row>
        <row r="1730">
          <cell r="A1730" t="str">
            <v>EK-130ST</v>
          </cell>
          <cell r="B1730" t="str">
            <v>SET</v>
          </cell>
          <cell r="C1730">
            <v>8</v>
          </cell>
          <cell r="D1730">
            <v>100</v>
          </cell>
          <cell r="E1730">
            <v>16</v>
          </cell>
          <cell r="F1730">
            <v>58</v>
          </cell>
          <cell r="G1730" t="str">
            <v>B240NS</v>
          </cell>
          <cell r="H1730">
            <v>1</v>
          </cell>
          <cell r="I1730">
            <v>1</v>
          </cell>
          <cell r="J1730" t="str">
            <v>한일전기</v>
          </cell>
          <cell r="P1730">
            <v>500</v>
          </cell>
          <cell r="R1730" t="str">
            <v>박스</v>
          </cell>
          <cell r="U1730">
            <v>44767</v>
          </cell>
          <cell r="V1730" t="str">
            <v>이관금형</v>
          </cell>
          <cell r="AC1730" t="str">
            <v>김영석사원</v>
          </cell>
          <cell r="AD1730">
            <v>0.85</v>
          </cell>
        </row>
        <row r="1731">
          <cell r="A1731" t="str">
            <v>EK-120ST</v>
          </cell>
          <cell r="B1731" t="str">
            <v>저발</v>
          </cell>
          <cell r="C1731">
            <v>5</v>
          </cell>
          <cell r="D1731">
            <v>90</v>
          </cell>
          <cell r="E1731">
            <v>20</v>
          </cell>
          <cell r="F1731">
            <v>58</v>
          </cell>
          <cell r="G1731" t="str">
            <v>B240NS</v>
          </cell>
          <cell r="H1731">
            <v>50</v>
          </cell>
          <cell r="I1731">
            <v>1</v>
          </cell>
          <cell r="J1731" t="str">
            <v>한일전기</v>
          </cell>
          <cell r="P1731">
            <v>500</v>
          </cell>
          <cell r="Q1731">
            <v>0</v>
          </cell>
          <cell r="R1731" t="str">
            <v>비닐</v>
          </cell>
          <cell r="U1731">
            <v>44767</v>
          </cell>
          <cell r="V1731" t="str">
            <v>이관금형</v>
          </cell>
          <cell r="AC1731" t="str">
            <v>김영석사원</v>
          </cell>
          <cell r="AD1731">
            <v>0.85</v>
          </cell>
        </row>
        <row r="1732">
          <cell r="A1732" t="str">
            <v>EK-120ST</v>
          </cell>
          <cell r="B1732" t="str">
            <v>SET</v>
          </cell>
          <cell r="C1732">
            <v>5</v>
          </cell>
          <cell r="D1732">
            <v>100</v>
          </cell>
          <cell r="E1732">
            <v>20</v>
          </cell>
          <cell r="F1732">
            <v>58</v>
          </cell>
          <cell r="G1732" t="str">
            <v>B240NS</v>
          </cell>
          <cell r="H1732">
            <v>50</v>
          </cell>
          <cell r="I1732">
            <v>1</v>
          </cell>
          <cell r="J1732" t="str">
            <v>한일전기</v>
          </cell>
          <cell r="P1732">
            <v>500</v>
          </cell>
          <cell r="R1732" t="str">
            <v>비닐</v>
          </cell>
          <cell r="U1732">
            <v>44767</v>
          </cell>
          <cell r="V1732" t="str">
            <v>이관금형</v>
          </cell>
          <cell r="AC1732" t="str">
            <v>김영석사원</v>
          </cell>
          <cell r="AD1732">
            <v>0.85</v>
          </cell>
        </row>
        <row r="1733">
          <cell r="A1733" t="str">
            <v>EDITUP/LOW</v>
          </cell>
          <cell r="B1733" t="str">
            <v>SET</v>
          </cell>
          <cell r="C1733">
            <v>1</v>
          </cell>
          <cell r="D1733">
            <v>75</v>
          </cell>
          <cell r="E1733">
            <v>155</v>
          </cell>
          <cell r="F1733">
            <v>50</v>
          </cell>
          <cell r="G1733" t="str">
            <v>B240NS</v>
          </cell>
          <cell r="H1733">
            <v>20</v>
          </cell>
          <cell r="I1733">
            <v>2</v>
          </cell>
          <cell r="J1733" t="str">
            <v>릴테크</v>
          </cell>
          <cell r="K1733">
            <v>39</v>
          </cell>
          <cell r="L1733">
            <v>41</v>
          </cell>
          <cell r="M1733">
            <v>94</v>
          </cell>
          <cell r="N1733">
            <v>96</v>
          </cell>
          <cell r="O1733">
            <v>2920</v>
          </cell>
          <cell r="P1733">
            <v>1300</v>
          </cell>
          <cell r="Q1733">
            <v>250</v>
          </cell>
          <cell r="R1733" t="str">
            <v>주황</v>
          </cell>
          <cell r="S1733" t="str">
            <v>주황</v>
          </cell>
          <cell r="T1733" t="str">
            <v>EDIT-UP/LOW</v>
          </cell>
          <cell r="U1733">
            <v>39804</v>
          </cell>
          <cell r="V1733" t="str">
            <v>삼일금형</v>
          </cell>
          <cell r="X1733" t="str">
            <v>P-0602</v>
          </cell>
          <cell r="AC1733" t="str">
            <v>2017.03.09 포장단위 변경(16-&gt;20)</v>
          </cell>
          <cell r="AD1733">
            <v>0.85</v>
          </cell>
          <cell r="AE1733">
            <v>75</v>
          </cell>
          <cell r="AF1733">
            <v>4</v>
          </cell>
        </row>
        <row r="1734">
          <cell r="A1734" t="str">
            <v>EBUP-10</v>
          </cell>
          <cell r="B1734" t="str">
            <v>SET</v>
          </cell>
          <cell r="C1734">
            <v>6</v>
          </cell>
          <cell r="D1734">
            <v>100</v>
          </cell>
          <cell r="E1734">
            <v>108</v>
          </cell>
          <cell r="F1734">
            <v>58</v>
          </cell>
          <cell r="G1734" t="str">
            <v>B240NS</v>
          </cell>
          <cell r="H1734">
            <v>8</v>
          </cell>
          <cell r="I1734">
            <v>2</v>
          </cell>
          <cell r="J1734" t="str">
            <v>이뱅킹텍</v>
          </cell>
          <cell r="P1734">
            <v>1360</v>
          </cell>
          <cell r="Q1734">
            <v>250</v>
          </cell>
          <cell r="R1734" t="str">
            <v>빨강</v>
          </cell>
          <cell r="T1734" t="str">
            <v>이뱅킹텍-UP</v>
          </cell>
          <cell r="U1734">
            <v>45141</v>
          </cell>
          <cell r="AD1734">
            <v>0.85</v>
          </cell>
        </row>
        <row r="1735">
          <cell r="A1735" t="str">
            <v>EBUP-10</v>
          </cell>
          <cell r="B1735" t="str">
            <v>SET</v>
          </cell>
          <cell r="C1735">
            <v>6</v>
          </cell>
          <cell r="D1735">
            <v>100</v>
          </cell>
          <cell r="E1735">
            <v>108</v>
          </cell>
          <cell r="F1735">
            <v>58</v>
          </cell>
          <cell r="G1735" t="str">
            <v>B240NS</v>
          </cell>
          <cell r="H1735">
            <v>8</v>
          </cell>
          <cell r="I1735">
            <v>2</v>
          </cell>
          <cell r="J1735" t="str">
            <v>이뱅킹텍</v>
          </cell>
          <cell r="P1735">
            <v>1360</v>
          </cell>
          <cell r="Q1735">
            <v>250</v>
          </cell>
          <cell r="R1735" t="str">
            <v>빨강</v>
          </cell>
          <cell r="T1735" t="str">
            <v>이뱅킹텍-UP</v>
          </cell>
          <cell r="U1735">
            <v>45141</v>
          </cell>
          <cell r="AD1735">
            <v>0.85</v>
          </cell>
        </row>
        <row r="1736">
          <cell r="A1736" t="str">
            <v>EBLOW-10</v>
          </cell>
          <cell r="B1736" t="str">
            <v>SET</v>
          </cell>
          <cell r="C1736">
            <v>6</v>
          </cell>
          <cell r="D1736">
            <v>100</v>
          </cell>
          <cell r="E1736">
            <v>115</v>
          </cell>
          <cell r="F1736">
            <v>58</v>
          </cell>
          <cell r="G1736" t="str">
            <v>B240NS</v>
          </cell>
          <cell r="H1736">
            <v>8</v>
          </cell>
          <cell r="I1736">
            <v>2</v>
          </cell>
          <cell r="J1736" t="str">
            <v>이뱅킹텍</v>
          </cell>
          <cell r="P1736">
            <v>1360</v>
          </cell>
          <cell r="Q1736">
            <v>250</v>
          </cell>
          <cell r="R1736" t="str">
            <v>녹색</v>
          </cell>
          <cell r="T1736" t="str">
            <v>이뱅킹텍-LOW</v>
          </cell>
          <cell r="U1736">
            <v>45141</v>
          </cell>
          <cell r="AD1736">
            <v>0.85</v>
          </cell>
        </row>
        <row r="1737">
          <cell r="A1737" t="str">
            <v>EBLOW-10</v>
          </cell>
          <cell r="B1737" t="str">
            <v>SET</v>
          </cell>
          <cell r="C1737">
            <v>6</v>
          </cell>
          <cell r="D1737">
            <v>100</v>
          </cell>
          <cell r="E1737">
            <v>115</v>
          </cell>
          <cell r="F1737">
            <v>58</v>
          </cell>
          <cell r="G1737" t="str">
            <v>B240NS</v>
          </cell>
          <cell r="H1737">
            <v>8</v>
          </cell>
          <cell r="I1737">
            <v>2</v>
          </cell>
          <cell r="J1737" t="str">
            <v>이뱅킹텍</v>
          </cell>
          <cell r="P1737">
            <v>1360</v>
          </cell>
          <cell r="Q1737">
            <v>250</v>
          </cell>
          <cell r="R1737" t="str">
            <v>녹색</v>
          </cell>
          <cell r="T1737" t="str">
            <v>이뱅킹텍-LOW</v>
          </cell>
          <cell r="U1737">
            <v>45141</v>
          </cell>
          <cell r="AD1737">
            <v>0.85</v>
          </cell>
        </row>
        <row r="1738">
          <cell r="A1738" t="str">
            <v>EB-20</v>
          </cell>
          <cell r="B1738" t="str">
            <v>SET</v>
          </cell>
          <cell r="C1738">
            <v>2</v>
          </cell>
          <cell r="D1738">
            <v>75</v>
          </cell>
          <cell r="E1738">
            <v>267</v>
          </cell>
          <cell r="F1738">
            <v>58</v>
          </cell>
          <cell r="G1738" t="str">
            <v>B240NS</v>
          </cell>
          <cell r="H1738">
            <v>10</v>
          </cell>
          <cell r="I1738">
            <v>2</v>
          </cell>
          <cell r="J1738" t="str">
            <v>이뱅킹텍</v>
          </cell>
          <cell r="K1738">
            <v>99</v>
          </cell>
          <cell r="L1738">
            <v>101</v>
          </cell>
          <cell r="M1738">
            <v>99</v>
          </cell>
          <cell r="N1738">
            <v>101</v>
          </cell>
          <cell r="O1738">
            <v>1580</v>
          </cell>
          <cell r="P1738">
            <v>1360</v>
          </cell>
          <cell r="Q1738">
            <v>200</v>
          </cell>
          <cell r="R1738" t="str">
            <v>보라</v>
          </cell>
          <cell r="S1738" t="str">
            <v>보라</v>
          </cell>
          <cell r="T1738" t="str">
            <v>EB-20</v>
          </cell>
          <cell r="U1738">
            <v>42199</v>
          </cell>
          <cell r="V1738" t="str">
            <v>금형제조부</v>
          </cell>
          <cell r="AC1738" t="str">
            <v>강윤호차장,코팅입고2015.810형상변경입고</v>
          </cell>
          <cell r="AD1738">
            <v>0.85</v>
          </cell>
          <cell r="AE1738">
            <v>70</v>
          </cell>
          <cell r="AF1738">
            <v>6</v>
          </cell>
        </row>
        <row r="1739">
          <cell r="A1739" t="str">
            <v>EB-1500</v>
          </cell>
          <cell r="B1739" t="str">
            <v>SET</v>
          </cell>
          <cell r="C1739">
            <v>3</v>
          </cell>
          <cell r="D1739">
            <v>75</v>
          </cell>
          <cell r="E1739">
            <v>156</v>
          </cell>
          <cell r="F1739">
            <v>65</v>
          </cell>
          <cell r="G1739" t="str">
            <v>B240NS</v>
          </cell>
          <cell r="H1739">
            <v>10</v>
          </cell>
          <cell r="I1739">
            <v>2</v>
          </cell>
          <cell r="J1739" t="str">
            <v>이뱅킹텍</v>
          </cell>
          <cell r="K1739">
            <v>59</v>
          </cell>
          <cell r="L1739">
            <v>61</v>
          </cell>
          <cell r="M1739">
            <v>59</v>
          </cell>
          <cell r="N1739">
            <v>61</v>
          </cell>
          <cell r="O1739">
            <v>1250</v>
          </cell>
          <cell r="P1739">
            <v>1360</v>
          </cell>
          <cell r="Q1739">
            <v>150</v>
          </cell>
          <cell r="R1739" t="str">
            <v>녹색</v>
          </cell>
          <cell r="S1739" t="str">
            <v>녹색</v>
          </cell>
          <cell r="T1739" t="str">
            <v>EB-1500</v>
          </cell>
          <cell r="U1739">
            <v>41162</v>
          </cell>
          <cell r="V1739" t="str">
            <v>금형제조부</v>
          </cell>
          <cell r="W1739" t="str">
            <v>배율 중량 확인!(53배--&gt;62배)</v>
          </cell>
          <cell r="X1739" t="str">
            <v>T-0711</v>
          </cell>
          <cell r="AC1739" t="str">
            <v>최재학사원,2012.09.19 수정</v>
          </cell>
          <cell r="AD1739">
            <v>0.85</v>
          </cell>
          <cell r="AE1739">
            <v>75</v>
          </cell>
        </row>
        <row r="1740">
          <cell r="A1740" t="str">
            <v>E-6칸막이(백색)</v>
          </cell>
          <cell r="B1740" t="str">
            <v>SET</v>
          </cell>
          <cell r="C1740">
            <v>3</v>
          </cell>
          <cell r="D1740">
            <v>100</v>
          </cell>
          <cell r="E1740">
            <v>302</v>
          </cell>
          <cell r="F1740">
            <v>50</v>
          </cell>
          <cell r="G1740" t="str">
            <v>B240NS</v>
          </cell>
          <cell r="H1740">
            <v>10</v>
          </cell>
          <cell r="I1740">
            <v>2</v>
          </cell>
          <cell r="J1740" t="str">
            <v>한국TPS</v>
          </cell>
          <cell r="K1740">
            <v>45</v>
          </cell>
          <cell r="L1740">
            <v>49</v>
          </cell>
          <cell r="M1740">
            <v>109</v>
          </cell>
          <cell r="N1740">
            <v>113</v>
          </cell>
          <cell r="O1740">
            <v>10</v>
          </cell>
          <cell r="P1740">
            <v>1300</v>
          </cell>
          <cell r="Q1740">
            <v>200</v>
          </cell>
          <cell r="R1740" t="str">
            <v>비닐</v>
          </cell>
          <cell r="S1740" t="str">
            <v>꼭:파랑</v>
          </cell>
          <cell r="U1740">
            <v>41269</v>
          </cell>
          <cell r="V1740" t="str">
            <v>영재테크</v>
          </cell>
          <cell r="W1740" t="str">
            <v>E-6칸막이 동일 금형, 파란비닐0.2T 사용</v>
          </cell>
          <cell r="X1740" t="str">
            <v>C-1207</v>
          </cell>
          <cell r="Y1740">
            <v>42</v>
          </cell>
          <cell r="AD1740">
            <v>0.9</v>
          </cell>
          <cell r="AE1740">
            <v>85</v>
          </cell>
          <cell r="AF1740">
            <v>10</v>
          </cell>
        </row>
        <row r="1741">
          <cell r="A1741" t="str">
            <v>E-6칸막이(35배)</v>
          </cell>
          <cell r="B1741" t="str">
            <v>회색</v>
          </cell>
          <cell r="C1741">
            <v>3</v>
          </cell>
          <cell r="D1741">
            <v>100</v>
          </cell>
          <cell r="E1741">
            <v>348</v>
          </cell>
          <cell r="F1741">
            <v>40</v>
          </cell>
          <cell r="G1741" t="str">
            <v>ZP2500</v>
          </cell>
          <cell r="H1741">
            <v>10</v>
          </cell>
          <cell r="I1741">
            <v>2</v>
          </cell>
          <cell r="J1741" t="str">
            <v>한국TPS</v>
          </cell>
          <cell r="K1741">
            <v>45</v>
          </cell>
          <cell r="L1741">
            <v>49</v>
          </cell>
          <cell r="M1741">
            <v>109</v>
          </cell>
          <cell r="N1741">
            <v>113</v>
          </cell>
          <cell r="O1741">
            <v>2088</v>
          </cell>
          <cell r="P1741">
            <v>1300</v>
          </cell>
          <cell r="Q1741">
            <v>200</v>
          </cell>
          <cell r="R1741" t="str">
            <v>녹색</v>
          </cell>
          <cell r="S1741" t="str">
            <v>녹색</v>
          </cell>
          <cell r="U1741">
            <v>41269</v>
          </cell>
          <cell r="V1741" t="str">
            <v>영재테크</v>
          </cell>
          <cell r="W1741" t="str">
            <v>비닐묶음 부위에 표시용 끈 묶을것</v>
          </cell>
          <cell r="AC1741" t="str">
            <v>김길영계장,이동측(CORE)만 입고(E-6과고정측공용),2013.1.4수정,2015.01.07 기준중량변경(460-&gt;422)2015.5.15수정입고,2016.01.06 기준배율변경 (33-&gt;50),기준중량 변경(240-&gt;422)</v>
          </cell>
          <cell r="AD1741">
            <v>0.85</v>
          </cell>
          <cell r="AE1741">
            <v>100</v>
          </cell>
          <cell r="AF1741">
            <v>8</v>
          </cell>
        </row>
        <row r="1742">
          <cell r="A1742" t="str">
            <v>E-6칸막이</v>
          </cell>
          <cell r="B1742" t="str">
            <v>회색</v>
          </cell>
          <cell r="C1742">
            <v>3</v>
          </cell>
          <cell r="D1742">
            <v>110</v>
          </cell>
          <cell r="E1742">
            <v>422</v>
          </cell>
          <cell r="F1742">
            <v>40</v>
          </cell>
          <cell r="G1742" t="str">
            <v>ZP2500</v>
          </cell>
          <cell r="H1742">
            <v>10</v>
          </cell>
          <cell r="I1742">
            <v>2</v>
          </cell>
          <cell r="J1742" t="str">
            <v>한국TPS</v>
          </cell>
          <cell r="K1742">
            <v>45</v>
          </cell>
          <cell r="L1742">
            <v>49</v>
          </cell>
          <cell r="M1742">
            <v>109</v>
          </cell>
          <cell r="N1742">
            <v>113</v>
          </cell>
          <cell r="O1742">
            <v>2760</v>
          </cell>
          <cell r="P1742">
            <v>1300</v>
          </cell>
          <cell r="Q1742">
            <v>200</v>
          </cell>
          <cell r="R1742" t="str">
            <v>파랑</v>
          </cell>
          <cell r="S1742" t="str">
            <v>파랑</v>
          </cell>
          <cell r="U1742">
            <v>41269</v>
          </cell>
          <cell r="V1742" t="str">
            <v>영재테크</v>
          </cell>
          <cell r="W1742" t="str">
            <v>비닐묶음 부위에 표시용 끈 묶을것</v>
          </cell>
          <cell r="X1742" t="str">
            <v>C-1207</v>
          </cell>
          <cell r="AC1742" t="str">
            <v>김길영계장,이동측(CORE)만 입고(E-6과고정측공용),2013.1.4수정,2015.01.07 기준중량변경(460-&gt;422)2015.5.15수정입고,2016.01.06 기준배율변경 (33-&gt;50),2016.02.04 기준중량변경(422-&gt;240),2016.08.08 생산배율변경(50-&gt;33)</v>
          </cell>
          <cell r="AD1742">
            <v>0.9</v>
          </cell>
          <cell r="AE1742">
            <v>80</v>
          </cell>
          <cell r="AF1742">
            <v>12</v>
          </cell>
        </row>
        <row r="1743">
          <cell r="A1743" t="str">
            <v>E-6(백색50배)</v>
          </cell>
          <cell r="B1743" t="str">
            <v>SET</v>
          </cell>
          <cell r="C1743">
            <v>3</v>
          </cell>
          <cell r="D1743">
            <v>60</v>
          </cell>
          <cell r="E1743">
            <v>217</v>
          </cell>
          <cell r="F1743">
            <v>65</v>
          </cell>
          <cell r="G1743" t="str">
            <v>B240NS/B240NS</v>
          </cell>
          <cell r="H1743">
            <v>10</v>
          </cell>
          <cell r="I1743">
            <v>2</v>
          </cell>
          <cell r="J1743" t="str">
            <v>한국TPS</v>
          </cell>
          <cell r="K1743">
            <v>45</v>
          </cell>
          <cell r="L1743">
            <v>49</v>
          </cell>
          <cell r="M1743">
            <v>104</v>
          </cell>
          <cell r="N1743">
            <v>108</v>
          </cell>
          <cell r="P1743">
            <v>1300</v>
          </cell>
          <cell r="Q1743">
            <v>200</v>
          </cell>
          <cell r="R1743" t="str">
            <v>비닐</v>
          </cell>
          <cell r="S1743" t="str">
            <v>꼭:노랑</v>
          </cell>
          <cell r="U1743">
            <v>41269</v>
          </cell>
          <cell r="V1743" t="str">
            <v>영재테크</v>
          </cell>
          <cell r="W1743" t="str">
            <v>비닐묶음 표시용 노랑끈 묶을것, E-6통(62배)노랑</v>
          </cell>
          <cell r="Y1743">
            <v>50</v>
          </cell>
          <cell r="AC1743" t="str">
            <v>기존E-6과 동일 금형,2018.08.21영업부요청 기준중량변경(240-&gt;217)</v>
          </cell>
          <cell r="AD1743">
            <v>0.85</v>
          </cell>
          <cell r="AE1743">
            <v>70</v>
          </cell>
          <cell r="AF1743">
            <v>10</v>
          </cell>
        </row>
        <row r="1744">
          <cell r="A1744" t="str">
            <v>E-6(백색)</v>
          </cell>
          <cell r="B1744" t="str">
            <v>SET</v>
          </cell>
          <cell r="C1744">
            <v>3</v>
          </cell>
          <cell r="D1744">
            <v>80</v>
          </cell>
          <cell r="E1744">
            <v>400</v>
          </cell>
          <cell r="F1744">
            <v>36</v>
          </cell>
          <cell r="G1744" t="str">
            <v>B240NS</v>
          </cell>
          <cell r="H1744">
            <v>10</v>
          </cell>
          <cell r="I1744">
            <v>2</v>
          </cell>
          <cell r="J1744" t="str">
            <v>한국TPS</v>
          </cell>
          <cell r="K1744">
            <v>45</v>
          </cell>
          <cell r="L1744">
            <v>49</v>
          </cell>
          <cell r="M1744">
            <v>104</v>
          </cell>
          <cell r="N1744">
            <v>108</v>
          </cell>
          <cell r="O1744">
            <v>2400</v>
          </cell>
          <cell r="P1744">
            <v>1300</v>
          </cell>
          <cell r="Q1744">
            <v>200</v>
          </cell>
          <cell r="T1744" t="str">
            <v>E-6통</v>
          </cell>
          <cell r="U1744">
            <v>41269</v>
          </cell>
          <cell r="V1744" t="str">
            <v>영재테크</v>
          </cell>
          <cell r="W1744" t="str">
            <v>비닐묶음 표시용 녹색끈 묶을것, E-6통(36배)녹색</v>
          </cell>
          <cell r="X1744" t="str">
            <v>R-0101</v>
          </cell>
          <cell r="Y1744">
            <v>30</v>
          </cell>
          <cell r="AD1744">
            <v>0.85</v>
          </cell>
          <cell r="AE1744">
            <v>80</v>
          </cell>
          <cell r="AF1744">
            <v>10</v>
          </cell>
        </row>
        <row r="1745">
          <cell r="A1745" t="str">
            <v>E-6(40배)</v>
          </cell>
          <cell r="B1745" t="str">
            <v>회색</v>
          </cell>
          <cell r="C1745">
            <v>3</v>
          </cell>
          <cell r="D1745">
            <v>100</v>
          </cell>
          <cell r="E1745">
            <v>310</v>
          </cell>
          <cell r="F1745">
            <v>58</v>
          </cell>
          <cell r="G1745" t="str">
            <v>ZP2500</v>
          </cell>
          <cell r="H1745">
            <v>10</v>
          </cell>
          <cell r="I1745">
            <v>2</v>
          </cell>
          <cell r="J1745" t="str">
            <v>한국TPS</v>
          </cell>
          <cell r="K1745">
            <v>46</v>
          </cell>
          <cell r="L1745">
            <v>48</v>
          </cell>
          <cell r="M1745">
            <v>109</v>
          </cell>
          <cell r="N1745">
            <v>113</v>
          </cell>
          <cell r="O1745">
            <v>1860</v>
          </cell>
          <cell r="P1745">
            <v>1300</v>
          </cell>
          <cell r="Q1745">
            <v>200</v>
          </cell>
          <cell r="R1745" t="str">
            <v>노랑</v>
          </cell>
          <cell r="S1745" t="str">
            <v>노랑</v>
          </cell>
          <cell r="U1745">
            <v>41269</v>
          </cell>
          <cell r="V1745" t="str">
            <v>영재테크</v>
          </cell>
          <cell r="W1745" t="str">
            <v>비닐묶음 부위에 표시용 끈 묶을것</v>
          </cell>
          <cell r="X1745" t="str">
            <v>R-0101</v>
          </cell>
          <cell r="Y1745">
            <v>40</v>
          </cell>
          <cell r="AD1745">
            <v>0.85</v>
          </cell>
          <cell r="AE1745">
            <v>100</v>
          </cell>
          <cell r="AF1745">
            <v>8</v>
          </cell>
        </row>
        <row r="1746">
          <cell r="A1746" t="str">
            <v>E-6(35배)</v>
          </cell>
          <cell r="B1746" t="str">
            <v>회색</v>
          </cell>
          <cell r="C1746">
            <v>3</v>
          </cell>
          <cell r="D1746">
            <v>100</v>
          </cell>
          <cell r="E1746">
            <v>330</v>
          </cell>
          <cell r="F1746">
            <v>40</v>
          </cell>
          <cell r="G1746" t="str">
            <v>ZP2500</v>
          </cell>
          <cell r="H1746">
            <v>10</v>
          </cell>
          <cell r="I1746">
            <v>2</v>
          </cell>
          <cell r="J1746" t="str">
            <v>한국TPS</v>
          </cell>
          <cell r="K1746">
            <v>45</v>
          </cell>
          <cell r="L1746">
            <v>49</v>
          </cell>
          <cell r="M1746">
            <v>109</v>
          </cell>
          <cell r="N1746">
            <v>113</v>
          </cell>
          <cell r="O1746">
            <v>1980</v>
          </cell>
          <cell r="P1746">
            <v>1300</v>
          </cell>
          <cell r="Q1746">
            <v>200</v>
          </cell>
          <cell r="R1746" t="str">
            <v>흰색</v>
          </cell>
          <cell r="S1746" t="str">
            <v>흰색</v>
          </cell>
          <cell r="U1746">
            <v>41269</v>
          </cell>
          <cell r="V1746" t="str">
            <v>영재테크</v>
          </cell>
          <cell r="W1746" t="str">
            <v>비닐묶음 부위에 표시용 끈 묶을것</v>
          </cell>
          <cell r="AC1746" t="str">
            <v>김길영계장,2013.1.4재입고 끈색변경(흰색-&gt;녹색)2014.08.15,2015.01.07 기준중량변경(450-&gt;400)2015.01.23비닐꼭다리만 끈묶음,2016.01.06 기준배율변경 (33-&gt;50)</v>
          </cell>
          <cell r="AD1746">
            <v>0.85</v>
          </cell>
          <cell r="AE1746">
            <v>100</v>
          </cell>
          <cell r="AF1746">
            <v>8</v>
          </cell>
        </row>
        <row r="1747">
          <cell r="A1747" t="str">
            <v>E-6</v>
          </cell>
          <cell r="B1747" t="str">
            <v>회색</v>
          </cell>
          <cell r="C1747">
            <v>3</v>
          </cell>
          <cell r="D1747">
            <v>100</v>
          </cell>
          <cell r="E1747">
            <v>376</v>
          </cell>
          <cell r="F1747">
            <v>40</v>
          </cell>
          <cell r="G1747" t="str">
            <v>ZP2500</v>
          </cell>
          <cell r="H1747">
            <v>10</v>
          </cell>
          <cell r="I1747">
            <v>2</v>
          </cell>
          <cell r="J1747" t="str">
            <v>한국TPS</v>
          </cell>
          <cell r="K1747">
            <v>45</v>
          </cell>
          <cell r="L1747">
            <v>49</v>
          </cell>
          <cell r="M1747">
            <v>104</v>
          </cell>
          <cell r="N1747">
            <v>108</v>
          </cell>
          <cell r="O1747">
            <v>2400</v>
          </cell>
          <cell r="P1747">
            <v>1300</v>
          </cell>
          <cell r="Q1747">
            <v>200</v>
          </cell>
          <cell r="R1747" t="str">
            <v>녹색</v>
          </cell>
          <cell r="S1747" t="str">
            <v>녹색</v>
          </cell>
          <cell r="U1747">
            <v>41269</v>
          </cell>
          <cell r="V1747" t="str">
            <v>영재테크</v>
          </cell>
          <cell r="W1747" t="str">
            <v>비닐묶음 부위에 표시용 끈 묶을것</v>
          </cell>
          <cell r="X1747" t="str">
            <v>R-0101</v>
          </cell>
          <cell r="AC1747" t="str">
            <v>김길영계장,2013.1.4재입고 끈색변경(흰색-&gt;녹색)2014.08.15,2015.01.07 기준중량변경(450-&gt;400)2015.01.23비닐꼭다리만 끈묶음,2016.01.06 기준배율변경 (33-&gt;50),2018.08.21영업부요청 기준중량변경(400-&gt;376)</v>
          </cell>
          <cell r="AD1747">
            <v>0.85</v>
          </cell>
          <cell r="AE1747">
            <v>100</v>
          </cell>
          <cell r="AF1747">
            <v>8</v>
          </cell>
        </row>
        <row r="1748">
          <cell r="A1748" t="str">
            <v>E-4(백색)</v>
          </cell>
          <cell r="B1748" t="str">
            <v>SET</v>
          </cell>
          <cell r="C1748">
            <v>3</v>
          </cell>
          <cell r="D1748">
            <v>75</v>
          </cell>
          <cell r="E1748">
            <v>220</v>
          </cell>
          <cell r="F1748">
            <v>50</v>
          </cell>
          <cell r="G1748" t="str">
            <v>SF400/F351</v>
          </cell>
          <cell r="H1748">
            <v>10</v>
          </cell>
          <cell r="I1748">
            <v>2</v>
          </cell>
          <cell r="J1748" t="str">
            <v>한국TPS</v>
          </cell>
          <cell r="K1748">
            <v>43</v>
          </cell>
          <cell r="L1748">
            <v>47</v>
          </cell>
          <cell r="M1748">
            <v>96</v>
          </cell>
          <cell r="N1748">
            <v>100</v>
          </cell>
          <cell r="O1748">
            <v>1410</v>
          </cell>
          <cell r="P1748">
            <v>1300</v>
          </cell>
          <cell r="Q1748">
            <v>200</v>
          </cell>
          <cell r="R1748" t="str">
            <v>비닐</v>
          </cell>
          <cell r="S1748" t="str">
            <v>꼭:녹색</v>
          </cell>
          <cell r="T1748" t="str">
            <v>E-4</v>
          </cell>
          <cell r="U1748">
            <v>41269</v>
          </cell>
          <cell r="V1748" t="str">
            <v>영재테크</v>
          </cell>
          <cell r="W1748" t="str">
            <v>비닐 파랑끈 묶을것, 파란색비닐0.2T, 융착확인!</v>
          </cell>
          <cell r="X1748" t="str">
            <v>Q-0601</v>
          </cell>
          <cell r="Y1748">
            <v>30</v>
          </cell>
          <cell r="AC1748" t="str">
            <v>2017.12.13끈색변경(빨강-&gt;녹색),2018.08.21영업부요청기준중량변경(282-&gt;260), 기준배율 변경(2018.9.5 36배--&gt;42배)</v>
          </cell>
          <cell r="AD1748">
            <v>0.85</v>
          </cell>
          <cell r="AE1748">
            <v>80</v>
          </cell>
          <cell r="AF1748">
            <v>8</v>
          </cell>
        </row>
        <row r="1749">
          <cell r="A1749" t="str">
            <v>E-4(35배)</v>
          </cell>
          <cell r="B1749" t="str">
            <v>회색</v>
          </cell>
          <cell r="C1749">
            <v>3</v>
          </cell>
          <cell r="D1749">
            <v>100</v>
          </cell>
          <cell r="E1749">
            <v>235</v>
          </cell>
          <cell r="F1749">
            <v>40</v>
          </cell>
          <cell r="G1749" t="str">
            <v>ZP2500</v>
          </cell>
          <cell r="H1749">
            <v>10</v>
          </cell>
          <cell r="I1749">
            <v>2</v>
          </cell>
          <cell r="J1749" t="str">
            <v>한국TPS</v>
          </cell>
          <cell r="K1749">
            <v>43</v>
          </cell>
          <cell r="L1749">
            <v>47</v>
          </cell>
          <cell r="M1749">
            <v>96</v>
          </cell>
          <cell r="N1749">
            <v>100</v>
          </cell>
          <cell r="O1749">
            <v>1410</v>
          </cell>
          <cell r="P1749">
            <v>1300</v>
          </cell>
          <cell r="Q1749">
            <v>200</v>
          </cell>
          <cell r="R1749" t="str">
            <v>빨강</v>
          </cell>
          <cell r="S1749" t="str">
            <v>빨강</v>
          </cell>
          <cell r="U1749">
            <v>41269</v>
          </cell>
          <cell r="V1749" t="str">
            <v>영재테크</v>
          </cell>
          <cell r="W1749" t="str">
            <v>비닐묶음 부위에 표시용 끈 묶을것</v>
          </cell>
          <cell r="AC1749" t="str">
            <v>김길영계장,2013.1.4수정,2015.01.07 기준중량 변경(320-&gt;282)2015.01.30비닐꼭다리만 끈묶음,2016.01.06 기준배율변경 (33-&gt;50)</v>
          </cell>
          <cell r="AD1749">
            <v>0.85</v>
          </cell>
          <cell r="AE1749">
            <v>100</v>
          </cell>
          <cell r="AF1749">
            <v>4</v>
          </cell>
        </row>
        <row r="1750">
          <cell r="A1750" t="str">
            <v>E-4</v>
          </cell>
          <cell r="B1750" t="str">
            <v>회색</v>
          </cell>
          <cell r="C1750">
            <v>3</v>
          </cell>
          <cell r="D1750">
            <v>100</v>
          </cell>
          <cell r="E1750">
            <v>282</v>
          </cell>
          <cell r="F1750">
            <v>36</v>
          </cell>
          <cell r="G1750" t="str">
            <v>ZP2500</v>
          </cell>
          <cell r="H1750">
            <v>10</v>
          </cell>
          <cell r="I1750">
            <v>2</v>
          </cell>
          <cell r="J1750" t="str">
            <v>한국TPS</v>
          </cell>
          <cell r="K1750">
            <v>43</v>
          </cell>
          <cell r="L1750">
            <v>47</v>
          </cell>
          <cell r="M1750">
            <v>96</v>
          </cell>
          <cell r="N1750">
            <v>100</v>
          </cell>
          <cell r="O1750">
            <v>1692</v>
          </cell>
          <cell r="P1750">
            <v>1300</v>
          </cell>
          <cell r="Q1750">
            <v>200</v>
          </cell>
          <cell r="R1750" t="str">
            <v>빨강</v>
          </cell>
          <cell r="S1750" t="str">
            <v>빨강</v>
          </cell>
          <cell r="U1750">
            <v>41269</v>
          </cell>
          <cell r="V1750" t="str">
            <v>영재테크</v>
          </cell>
          <cell r="W1750" t="str">
            <v>비닐묶음 부위에 표시용 끈 묶을것</v>
          </cell>
          <cell r="X1750" t="str">
            <v>Q-0601</v>
          </cell>
          <cell r="Y1750">
            <v>30</v>
          </cell>
          <cell r="AC1750" t="str">
            <v>김길영계장,2013.1.4수정,2015.01.07 기준중량 변경(320-&gt;282)2015.01.30비닐꼭다리만 끈묶음,2016.01.06 기준배율변경 (33-&gt;50)</v>
          </cell>
          <cell r="AD1750">
            <v>0.85</v>
          </cell>
          <cell r="AE1750">
            <v>100</v>
          </cell>
          <cell r="AF1750">
            <v>8</v>
          </cell>
        </row>
        <row r="1751">
          <cell r="A1751" t="str">
            <v>E-3/524(35배)</v>
          </cell>
          <cell r="B1751" t="str">
            <v>회색</v>
          </cell>
          <cell r="C1751">
            <v>3</v>
          </cell>
          <cell r="D1751">
            <v>110</v>
          </cell>
          <cell r="E1751">
            <v>256</v>
          </cell>
          <cell r="F1751">
            <v>40</v>
          </cell>
          <cell r="G1751" t="str">
            <v>ZP2500</v>
          </cell>
          <cell r="H1751">
            <v>10</v>
          </cell>
          <cell r="I1751">
            <v>2</v>
          </cell>
          <cell r="J1751" t="str">
            <v>한국TPS</v>
          </cell>
          <cell r="K1751">
            <v>43</v>
          </cell>
          <cell r="L1751">
            <v>47</v>
          </cell>
          <cell r="M1751">
            <v>96</v>
          </cell>
          <cell r="N1751">
            <v>100</v>
          </cell>
          <cell r="O1751">
            <v>10</v>
          </cell>
          <cell r="P1751">
            <v>1300</v>
          </cell>
          <cell r="Q1751">
            <v>200</v>
          </cell>
          <cell r="R1751" t="str">
            <v>노랑</v>
          </cell>
          <cell r="S1751" t="str">
            <v>노랑</v>
          </cell>
          <cell r="U1751">
            <v>41386</v>
          </cell>
          <cell r="V1751" t="str">
            <v>영재테크</v>
          </cell>
          <cell r="Y1751">
            <v>40</v>
          </cell>
          <cell r="AC1751" t="str">
            <v>김길영계장,이동측(CORE)만 입고(E-4와고정측공용),2016.01.06 기준배율변경 (33-&gt;50)</v>
          </cell>
          <cell r="AD1751">
            <v>0.85</v>
          </cell>
          <cell r="AE1751">
            <v>90</v>
          </cell>
          <cell r="AF1751">
            <v>8</v>
          </cell>
        </row>
        <row r="1752">
          <cell r="A1752" t="str">
            <v>E-3/524</v>
          </cell>
          <cell r="B1752" t="str">
            <v>회색</v>
          </cell>
          <cell r="C1752">
            <v>3</v>
          </cell>
          <cell r="D1752">
            <v>110</v>
          </cell>
          <cell r="E1752">
            <v>310</v>
          </cell>
          <cell r="F1752">
            <v>40</v>
          </cell>
          <cell r="G1752" t="str">
            <v>ZP2500</v>
          </cell>
          <cell r="H1752">
            <v>10</v>
          </cell>
          <cell r="I1752">
            <v>2</v>
          </cell>
          <cell r="J1752" t="str">
            <v>한국TPS</v>
          </cell>
          <cell r="K1752">
            <v>43</v>
          </cell>
          <cell r="L1752">
            <v>47</v>
          </cell>
          <cell r="M1752">
            <v>96</v>
          </cell>
          <cell r="N1752">
            <v>100</v>
          </cell>
          <cell r="O1752">
            <v>1860</v>
          </cell>
          <cell r="P1752">
            <v>1300</v>
          </cell>
          <cell r="Q1752">
            <v>200</v>
          </cell>
          <cell r="R1752" t="str">
            <v>노랑</v>
          </cell>
          <cell r="S1752" t="str">
            <v>노랑</v>
          </cell>
          <cell r="T1752" t="str">
            <v>E-3</v>
          </cell>
          <cell r="U1752">
            <v>41386</v>
          </cell>
          <cell r="V1752" t="str">
            <v>영재테크</v>
          </cell>
          <cell r="W1752" t="str">
            <v>E-3</v>
          </cell>
          <cell r="X1752" t="str">
            <v>Q-0601</v>
          </cell>
          <cell r="Y1752">
            <v>40</v>
          </cell>
          <cell r="AC1752" t="str">
            <v>김길영계장,이동측(CORE)만 입고(E-4와고정측공용),2016.01.06 기준배율변경 (33-&gt;50),2017.09.15모델면변경(E-3-&gt;E-3/524)</v>
          </cell>
          <cell r="AD1752">
            <v>0.85</v>
          </cell>
          <cell r="AE1752">
            <v>80</v>
          </cell>
          <cell r="AF1752">
            <v>8</v>
          </cell>
        </row>
        <row r="1753">
          <cell r="A1753" t="str">
            <v>E-3(회색)</v>
          </cell>
          <cell r="B1753" t="str">
            <v>회색</v>
          </cell>
          <cell r="C1753">
            <v>4</v>
          </cell>
          <cell r="D1753">
            <v>100</v>
          </cell>
          <cell r="E1753">
            <v>130</v>
          </cell>
          <cell r="F1753">
            <v>48</v>
          </cell>
          <cell r="G1753" t="str">
            <v>ZP2500</v>
          </cell>
          <cell r="H1753">
            <v>10</v>
          </cell>
          <cell r="I1753">
            <v>2</v>
          </cell>
          <cell r="J1753" t="str">
            <v>한국TPS</v>
          </cell>
          <cell r="O1753">
            <v>10</v>
          </cell>
          <cell r="P1753">
            <v>1300</v>
          </cell>
          <cell r="Q1753">
            <v>150</v>
          </cell>
          <cell r="R1753" t="str">
            <v>검정</v>
          </cell>
          <cell r="S1753" t="str">
            <v>검정</v>
          </cell>
          <cell r="T1753" t="str">
            <v>EL-3</v>
          </cell>
          <cell r="U1753">
            <v>42990</v>
          </cell>
          <cell r="V1753" t="str">
            <v>한국TPS이동</v>
          </cell>
          <cell r="W1753" t="str">
            <v>비닐묶음 부위에 표시용 끈 묶을것, EL-3(3칸직사각형)</v>
          </cell>
          <cell r="AC1753" t="str">
            <v>최재학계장</v>
          </cell>
          <cell r="AD1753">
            <v>0.85</v>
          </cell>
          <cell r="AE1753">
            <v>90</v>
          </cell>
          <cell r="AF1753">
            <v>6</v>
          </cell>
        </row>
        <row r="1754">
          <cell r="A1754" t="str">
            <v>E-3(백색)</v>
          </cell>
          <cell r="B1754" t="str">
            <v>SET</v>
          </cell>
          <cell r="C1754">
            <v>4</v>
          </cell>
          <cell r="D1754">
            <v>90</v>
          </cell>
          <cell r="E1754">
            <v>130</v>
          </cell>
          <cell r="F1754">
            <v>58</v>
          </cell>
          <cell r="G1754" t="str">
            <v>B240NS</v>
          </cell>
          <cell r="H1754">
            <v>1</v>
          </cell>
          <cell r="I1754">
            <v>2</v>
          </cell>
          <cell r="J1754" t="str">
            <v>한국TPS</v>
          </cell>
          <cell r="O1754">
            <v>10</v>
          </cell>
          <cell r="P1754">
            <v>1300</v>
          </cell>
          <cell r="Q1754">
            <v>150</v>
          </cell>
          <cell r="R1754" t="str">
            <v>비닐</v>
          </cell>
          <cell r="S1754" t="str">
            <v>꼭:보라</v>
          </cell>
          <cell r="T1754" t="str">
            <v>EL-3</v>
          </cell>
          <cell r="U1754">
            <v>42990</v>
          </cell>
          <cell r="V1754" t="str">
            <v>한국TPS이동</v>
          </cell>
          <cell r="W1754" t="str">
            <v>비닐묶음 부위에 표시용 끈 묶을것, EL-3(3칸직사각형)</v>
          </cell>
          <cell r="AC1754" t="str">
            <v>최재학계장</v>
          </cell>
          <cell r="AD1754">
            <v>0.9</v>
          </cell>
          <cell r="AE1754">
            <v>85</v>
          </cell>
          <cell r="AF1754">
            <v>8</v>
          </cell>
        </row>
        <row r="1755">
          <cell r="A1755" t="str">
            <v>E-3</v>
          </cell>
          <cell r="B1755" t="str">
            <v>SET</v>
          </cell>
          <cell r="C1755">
            <v>4</v>
          </cell>
          <cell r="D1755">
            <v>85</v>
          </cell>
          <cell r="E1755">
            <v>143</v>
          </cell>
          <cell r="F1755">
            <v>58</v>
          </cell>
          <cell r="G1755" t="str">
            <v>B240NS</v>
          </cell>
          <cell r="H1755">
            <v>10</v>
          </cell>
          <cell r="I1755">
            <v>2</v>
          </cell>
          <cell r="J1755" t="str">
            <v>한국TPS</v>
          </cell>
          <cell r="O1755">
            <v>10</v>
          </cell>
          <cell r="P1755">
            <v>1300</v>
          </cell>
          <cell r="Q1755">
            <v>150</v>
          </cell>
          <cell r="R1755" t="str">
            <v>검정</v>
          </cell>
          <cell r="S1755" t="str">
            <v>검정</v>
          </cell>
          <cell r="T1755" t="str">
            <v>EL-3</v>
          </cell>
          <cell r="U1755">
            <v>42990</v>
          </cell>
          <cell r="V1755" t="str">
            <v>한국TPS이동</v>
          </cell>
          <cell r="W1755" t="str">
            <v>비닐묶음 부위에 표시용 끈 묶을것, EL-3(3칸직사각형)</v>
          </cell>
          <cell r="AD1755">
            <v>0.85</v>
          </cell>
          <cell r="AE1755">
            <v>85</v>
          </cell>
          <cell r="AF1755">
            <v>6</v>
          </cell>
        </row>
        <row r="1756">
          <cell r="A1756" t="str">
            <v>E-2&amp;4(백색)</v>
          </cell>
          <cell r="B1756" t="str">
            <v>SET</v>
          </cell>
          <cell r="C1756">
            <v>3</v>
          </cell>
          <cell r="D1756">
            <v>100</v>
          </cell>
          <cell r="F1756">
            <v>36</v>
          </cell>
          <cell r="G1756" t="str">
            <v>B240NS</v>
          </cell>
          <cell r="H1756">
            <v>1</v>
          </cell>
          <cell r="I1756">
            <v>2</v>
          </cell>
          <cell r="J1756" t="str">
            <v>한국TPS</v>
          </cell>
          <cell r="O1756">
            <v>10</v>
          </cell>
          <cell r="P1756">
            <v>1300</v>
          </cell>
          <cell r="Q1756">
            <v>200</v>
          </cell>
          <cell r="S1756">
            <v>0</v>
          </cell>
          <cell r="U1756">
            <v>41950</v>
          </cell>
          <cell r="V1756" t="str">
            <v>영재테크</v>
          </cell>
          <cell r="W1756" t="str">
            <v>이동만, E-4CAVITY공용</v>
          </cell>
          <cell r="Y1756">
            <v>30</v>
          </cell>
          <cell r="AD1756">
            <v>0.85</v>
          </cell>
          <cell r="AE1756">
            <v>80</v>
          </cell>
          <cell r="AF1756">
            <v>10</v>
          </cell>
        </row>
        <row r="1757">
          <cell r="A1757" t="str">
            <v>E-2&amp;4</v>
          </cell>
          <cell r="B1757" t="str">
            <v>회색</v>
          </cell>
          <cell r="C1757">
            <v>3</v>
          </cell>
          <cell r="D1757">
            <v>100</v>
          </cell>
          <cell r="F1757">
            <v>48</v>
          </cell>
          <cell r="G1757" t="str">
            <v>ZP2500</v>
          </cell>
          <cell r="H1757">
            <v>1</v>
          </cell>
          <cell r="I1757">
            <v>2</v>
          </cell>
          <cell r="J1757" t="str">
            <v>한국TPS</v>
          </cell>
          <cell r="O1757">
            <v>10</v>
          </cell>
          <cell r="P1757">
            <v>1300</v>
          </cell>
          <cell r="Q1757">
            <v>200</v>
          </cell>
          <cell r="S1757">
            <v>0</v>
          </cell>
          <cell r="U1757">
            <v>41950</v>
          </cell>
          <cell r="V1757" t="str">
            <v>영재테크</v>
          </cell>
          <cell r="W1757" t="str">
            <v>이동만, E-4CAVITY공용</v>
          </cell>
          <cell r="Y1757">
            <v>40</v>
          </cell>
          <cell r="AC1757" t="str">
            <v>석상준대리, 이동만, E-4 CAVITY공용2014.12.10이동수정 입고,2016.01.06 기준배율변경 (33-&gt;50)</v>
          </cell>
          <cell r="AD1757">
            <v>0.85</v>
          </cell>
          <cell r="AE1757">
            <v>70</v>
          </cell>
          <cell r="AF1757">
            <v>8</v>
          </cell>
        </row>
        <row r="1758">
          <cell r="A1758" t="str">
            <v>DY포그막(55배)</v>
          </cell>
          <cell r="B1758" t="str">
            <v>BOX</v>
          </cell>
          <cell r="C1758">
            <v>4</v>
          </cell>
          <cell r="D1758">
            <v>100</v>
          </cell>
          <cell r="E1758">
            <v>128</v>
          </cell>
          <cell r="F1758">
            <v>74</v>
          </cell>
          <cell r="G1758" t="str">
            <v>B240NS</v>
          </cell>
          <cell r="H1758">
            <v>10</v>
          </cell>
          <cell r="I1758">
            <v>2</v>
          </cell>
          <cell r="J1758" t="str">
            <v>대유산업</v>
          </cell>
          <cell r="P1758">
            <v>1360</v>
          </cell>
          <cell r="Q1758">
            <v>250</v>
          </cell>
          <cell r="R1758" t="str">
            <v>파랑</v>
          </cell>
          <cell r="U1758">
            <v>45259</v>
          </cell>
          <cell r="V1758" t="str">
            <v>금형사업부</v>
          </cell>
          <cell r="W1758" t="str">
            <v>2024-08-12 CAVITY 2SET 추가</v>
          </cell>
          <cell r="AD1758">
            <v>0.85</v>
          </cell>
        </row>
        <row r="1759">
          <cell r="A1759" t="str">
            <v>DY포그막(55배 분리)</v>
          </cell>
          <cell r="B1759" t="str">
            <v>BOX</v>
          </cell>
          <cell r="C1759">
            <v>4</v>
          </cell>
          <cell r="D1759">
            <v>100</v>
          </cell>
          <cell r="E1759">
            <v>128</v>
          </cell>
          <cell r="F1759">
            <v>74</v>
          </cell>
          <cell r="G1759" t="str">
            <v>B240NS</v>
          </cell>
          <cell r="H1759" t="str">
            <v>몸통12뚜껑24,포장48</v>
          </cell>
          <cell r="I1759">
            <v>2</v>
          </cell>
          <cell r="J1759" t="str">
            <v>대유산업</v>
          </cell>
          <cell r="P1759">
            <v>1360</v>
          </cell>
          <cell r="Q1759">
            <v>250</v>
          </cell>
          <cell r="R1759" t="str">
            <v>파랑</v>
          </cell>
          <cell r="U1759">
            <v>45259</v>
          </cell>
          <cell r="V1759" t="str">
            <v>금형사업부</v>
          </cell>
          <cell r="W1759" t="str">
            <v>2024-08-12 CAVITY 2SET 추가</v>
          </cell>
          <cell r="AD1759">
            <v>0.85</v>
          </cell>
        </row>
        <row r="1760">
          <cell r="A1760" t="str">
            <v>DY포그막(50배)</v>
          </cell>
          <cell r="B1760" t="str">
            <v>BOX</v>
          </cell>
          <cell r="C1760">
            <v>4</v>
          </cell>
          <cell r="D1760">
            <v>100</v>
          </cell>
          <cell r="E1760">
            <v>139</v>
          </cell>
          <cell r="F1760">
            <v>50</v>
          </cell>
          <cell r="G1760" t="str">
            <v>B240NS</v>
          </cell>
          <cell r="H1760">
            <v>10</v>
          </cell>
          <cell r="I1760">
            <v>2</v>
          </cell>
          <cell r="J1760" t="str">
            <v>대유산업</v>
          </cell>
          <cell r="P1760">
            <v>1360</v>
          </cell>
          <cell r="Q1760">
            <v>250</v>
          </cell>
          <cell r="R1760" t="str">
            <v>노랑</v>
          </cell>
          <cell r="U1760">
            <v>45259</v>
          </cell>
          <cell r="V1760" t="str">
            <v>금형사업부</v>
          </cell>
          <cell r="W1760" t="str">
            <v>2024-08-12 CAVITY 2SET 추가</v>
          </cell>
          <cell r="AD1760">
            <v>0.85</v>
          </cell>
        </row>
        <row r="1761">
          <cell r="A1761" t="str">
            <v>DY포그막(50배 분리)</v>
          </cell>
          <cell r="B1761" t="str">
            <v>BOX</v>
          </cell>
          <cell r="C1761">
            <v>4</v>
          </cell>
          <cell r="D1761">
            <v>100</v>
          </cell>
          <cell r="E1761">
            <v>139</v>
          </cell>
          <cell r="F1761">
            <v>50</v>
          </cell>
          <cell r="G1761" t="str">
            <v>B240NS</v>
          </cell>
          <cell r="H1761" t="str">
            <v>몸통12뚜껑24,포장48</v>
          </cell>
          <cell r="I1761">
            <v>2</v>
          </cell>
          <cell r="J1761" t="str">
            <v>대유산업</v>
          </cell>
          <cell r="P1761">
            <v>1360</v>
          </cell>
          <cell r="Q1761">
            <v>250</v>
          </cell>
          <cell r="R1761" t="str">
            <v>파랑</v>
          </cell>
          <cell r="U1761">
            <v>45259</v>
          </cell>
          <cell r="V1761" t="str">
            <v>금형사업부</v>
          </cell>
          <cell r="W1761" t="str">
            <v>2024-08-12 CAVITY 2SET 추가</v>
          </cell>
          <cell r="AD1761">
            <v>0.85</v>
          </cell>
        </row>
        <row r="1762">
          <cell r="A1762" t="str">
            <v>DY포그막</v>
          </cell>
          <cell r="B1762" t="str">
            <v>BOX</v>
          </cell>
          <cell r="C1762">
            <v>4</v>
          </cell>
          <cell r="D1762">
            <v>85</v>
          </cell>
          <cell r="E1762">
            <v>126</v>
          </cell>
          <cell r="F1762">
            <v>60</v>
          </cell>
          <cell r="G1762" t="str">
            <v>B240NS</v>
          </cell>
          <cell r="H1762">
            <v>10</v>
          </cell>
          <cell r="I1762">
            <v>2</v>
          </cell>
          <cell r="J1762" t="str">
            <v>대유산업</v>
          </cell>
          <cell r="P1762">
            <v>1360</v>
          </cell>
          <cell r="Q1762">
            <v>250</v>
          </cell>
          <cell r="R1762" t="str">
            <v>빨강</v>
          </cell>
          <cell r="U1762">
            <v>45259</v>
          </cell>
          <cell r="V1762" t="str">
            <v>금형사업부</v>
          </cell>
          <cell r="W1762" t="str">
            <v>2024-08-12 CAVITY 2SET 추가</v>
          </cell>
          <cell r="AD1762">
            <v>0.85</v>
          </cell>
        </row>
        <row r="1763">
          <cell r="A1763" t="str">
            <v>DY-창녕심볼마크</v>
          </cell>
          <cell r="B1763" t="str">
            <v>SET</v>
          </cell>
          <cell r="C1763">
            <v>2</v>
          </cell>
          <cell r="D1763">
            <v>94</v>
          </cell>
          <cell r="E1763">
            <v>430</v>
          </cell>
          <cell r="F1763">
            <v>60</v>
          </cell>
          <cell r="G1763" t="str">
            <v>B240NS</v>
          </cell>
          <cell r="H1763">
            <v>10</v>
          </cell>
          <cell r="I1763">
            <v>1</v>
          </cell>
          <cell r="J1763" t="str">
            <v>대유산업</v>
          </cell>
          <cell r="P1763">
            <v>1700</v>
          </cell>
          <cell r="Q1763">
            <v>150</v>
          </cell>
          <cell r="R1763" t="str">
            <v>패드</v>
          </cell>
          <cell r="U1763">
            <v>45755</v>
          </cell>
          <cell r="V1763" t="str">
            <v>금형사업부</v>
          </cell>
          <cell r="W1763" t="str">
            <v>신형CAVITY, 포장비닐 맞는것으로 포장!</v>
          </cell>
          <cell r="AD1763">
            <v>0.85</v>
          </cell>
          <cell r="AE1763">
            <v>100</v>
          </cell>
          <cell r="AF1763">
            <v>2</v>
          </cell>
        </row>
        <row r="1764">
          <cell r="A1764" t="str">
            <v>DY-마스코트/따오기</v>
          </cell>
          <cell r="B1764" t="str">
            <v>SET</v>
          </cell>
          <cell r="C1764">
            <v>2</v>
          </cell>
          <cell r="D1764">
            <v>94</v>
          </cell>
          <cell r="E1764">
            <v>470</v>
          </cell>
          <cell r="F1764">
            <v>60</v>
          </cell>
          <cell r="G1764" t="str">
            <v>B240NS</v>
          </cell>
          <cell r="H1764">
            <v>10</v>
          </cell>
          <cell r="I1764">
            <v>1</v>
          </cell>
          <cell r="J1764" t="str">
            <v>대유산업</v>
          </cell>
          <cell r="P1764">
            <v>1700</v>
          </cell>
          <cell r="Q1764">
            <v>150</v>
          </cell>
          <cell r="R1764" t="str">
            <v>패드</v>
          </cell>
          <cell r="U1764">
            <v>45755</v>
          </cell>
          <cell r="V1764" t="str">
            <v>금형사업부</v>
          </cell>
          <cell r="W1764" t="str">
            <v>신형CAVITY, 포장비닐 맞는것으로 포장!</v>
          </cell>
          <cell r="AD1764">
            <v>0.85</v>
          </cell>
          <cell r="AE1764">
            <v>90</v>
          </cell>
          <cell r="AF1764">
            <v>2</v>
          </cell>
        </row>
        <row r="1765">
          <cell r="A1765" t="str">
            <v>DY-마스코트</v>
          </cell>
          <cell r="B1765" t="str">
            <v>SET</v>
          </cell>
          <cell r="C1765">
            <v>2</v>
          </cell>
          <cell r="D1765">
            <v>94</v>
          </cell>
          <cell r="E1765">
            <v>470</v>
          </cell>
          <cell r="F1765">
            <v>60</v>
          </cell>
          <cell r="G1765" t="str">
            <v>B240NS</v>
          </cell>
          <cell r="H1765">
            <v>10</v>
          </cell>
          <cell r="I1765">
            <v>1</v>
          </cell>
          <cell r="J1765" t="str">
            <v>대유산업</v>
          </cell>
          <cell r="O1765">
            <v>2600</v>
          </cell>
          <cell r="P1765">
            <v>1700</v>
          </cell>
          <cell r="Q1765">
            <v>150</v>
          </cell>
          <cell r="R1765" t="str">
            <v>패드</v>
          </cell>
          <cell r="U1765">
            <v>45755</v>
          </cell>
          <cell r="V1765" t="str">
            <v>금형사업부</v>
          </cell>
          <cell r="W1765" t="str">
            <v>신형CAVITY, 포장비닐 맞는것으로 포장!</v>
          </cell>
          <cell r="AD1765">
            <v>0.85</v>
          </cell>
          <cell r="AE1765">
            <v>90</v>
          </cell>
          <cell r="AF1765">
            <v>2</v>
          </cell>
        </row>
        <row r="1766">
          <cell r="A1766" t="str">
            <v>DY-따오기</v>
          </cell>
          <cell r="B1766" t="str">
            <v>SET</v>
          </cell>
          <cell r="C1766">
            <v>2</v>
          </cell>
          <cell r="D1766">
            <v>94</v>
          </cell>
          <cell r="E1766">
            <v>470</v>
          </cell>
          <cell r="F1766">
            <v>60</v>
          </cell>
          <cell r="G1766" t="str">
            <v>B240NS</v>
          </cell>
          <cell r="H1766">
            <v>10</v>
          </cell>
          <cell r="I1766">
            <v>1</v>
          </cell>
          <cell r="J1766" t="str">
            <v>대유산업</v>
          </cell>
          <cell r="O1766">
            <v>2600</v>
          </cell>
          <cell r="P1766">
            <v>1700</v>
          </cell>
          <cell r="Q1766">
            <v>150</v>
          </cell>
          <cell r="R1766" t="str">
            <v>패드</v>
          </cell>
          <cell r="U1766">
            <v>45755</v>
          </cell>
          <cell r="V1766" t="str">
            <v>금형사업부</v>
          </cell>
          <cell r="W1766" t="str">
            <v>신형CAVITY, 포장비닐 맞는것으로 포장!</v>
          </cell>
          <cell r="AD1766">
            <v>0.85</v>
          </cell>
          <cell r="AE1766">
            <v>90</v>
          </cell>
          <cell r="AF1766">
            <v>2</v>
          </cell>
        </row>
        <row r="1767">
          <cell r="A1767" t="str">
            <v>DY9021</v>
          </cell>
          <cell r="B1767" t="str">
            <v>SET</v>
          </cell>
          <cell r="C1767">
            <v>2</v>
          </cell>
          <cell r="D1767">
            <v>80</v>
          </cell>
          <cell r="E1767">
            <v>350</v>
          </cell>
          <cell r="F1767">
            <v>62</v>
          </cell>
          <cell r="G1767" t="str">
            <v>SG302</v>
          </cell>
          <cell r="H1767">
            <v>10</v>
          </cell>
          <cell r="I1767" t="str">
            <v>1</v>
          </cell>
          <cell r="J1767" t="str">
            <v>대유산업</v>
          </cell>
          <cell r="K1767">
            <v>29</v>
          </cell>
          <cell r="L1767">
            <v>31</v>
          </cell>
          <cell r="O1767">
            <v>1850</v>
          </cell>
          <cell r="P1767">
            <v>1360</v>
          </cell>
          <cell r="Q1767">
            <v>150</v>
          </cell>
          <cell r="R1767" t="str">
            <v>패드</v>
          </cell>
          <cell r="S1767" t="str">
            <v>밴딩</v>
          </cell>
          <cell r="T1767" t="str">
            <v>DY9021</v>
          </cell>
          <cell r="U1767">
            <v>45210</v>
          </cell>
          <cell r="V1767" t="str">
            <v>대유이동입고</v>
          </cell>
          <cell r="W1767" t="str">
            <v>신형CAVITY</v>
          </cell>
          <cell r="X1767" t="str">
            <v>D-1301</v>
          </cell>
          <cell r="AA1767">
            <v>41884</v>
          </cell>
          <cell r="AC1767" t="str">
            <v>이동</v>
          </cell>
        </row>
        <row r="1768">
          <cell r="A1768" t="str">
            <v>DY7061#2</v>
          </cell>
          <cell r="B1768" t="str">
            <v>SET</v>
          </cell>
          <cell r="C1768">
            <v>2</v>
          </cell>
          <cell r="D1768">
            <v>92</v>
          </cell>
          <cell r="E1768">
            <v>350</v>
          </cell>
          <cell r="F1768">
            <v>65</v>
          </cell>
          <cell r="G1768" t="str">
            <v>B240NS</v>
          </cell>
          <cell r="H1768">
            <v>8</v>
          </cell>
          <cell r="I1768">
            <v>1</v>
          </cell>
          <cell r="J1768" t="str">
            <v>대유산업</v>
          </cell>
          <cell r="K1768">
            <v>42</v>
          </cell>
          <cell r="L1768">
            <v>46</v>
          </cell>
          <cell r="O1768">
            <v>1850</v>
          </cell>
          <cell r="P1768">
            <v>1700</v>
          </cell>
          <cell r="Q1768">
            <v>150</v>
          </cell>
          <cell r="R1768" t="str">
            <v>패드</v>
          </cell>
          <cell r="S1768" t="str">
            <v>패드</v>
          </cell>
          <cell r="T1768" t="str">
            <v>DY7061#2</v>
          </cell>
          <cell r="U1768">
            <v>45159</v>
          </cell>
          <cell r="V1768" t="str">
            <v>금형사업부</v>
          </cell>
          <cell r="W1768" t="str">
            <v>신형CAVITY</v>
          </cell>
          <cell r="AD1768">
            <v>0.85</v>
          </cell>
          <cell r="AE1768">
            <v>100</v>
          </cell>
        </row>
        <row r="1769">
          <cell r="A1769" t="str">
            <v>DY7061#2</v>
          </cell>
          <cell r="B1769" t="str">
            <v>SET</v>
          </cell>
          <cell r="C1769">
            <v>2</v>
          </cell>
          <cell r="D1769">
            <v>92</v>
          </cell>
          <cell r="E1769">
            <v>350</v>
          </cell>
          <cell r="F1769">
            <v>65</v>
          </cell>
          <cell r="G1769" t="str">
            <v>B240NS</v>
          </cell>
          <cell r="H1769">
            <v>8</v>
          </cell>
          <cell r="I1769">
            <v>1</v>
          </cell>
          <cell r="J1769" t="str">
            <v>대유산업</v>
          </cell>
          <cell r="K1769">
            <v>42</v>
          </cell>
          <cell r="L1769">
            <v>46</v>
          </cell>
          <cell r="O1769">
            <v>1850</v>
          </cell>
          <cell r="P1769">
            <v>1700</v>
          </cell>
          <cell r="Q1769">
            <v>150</v>
          </cell>
          <cell r="R1769" t="str">
            <v>패드</v>
          </cell>
          <cell r="S1769" t="str">
            <v>패드</v>
          </cell>
          <cell r="T1769" t="str">
            <v>DY7061#2</v>
          </cell>
          <cell r="U1769">
            <v>45159</v>
          </cell>
          <cell r="V1769" t="str">
            <v>금형사업부</v>
          </cell>
          <cell r="W1769" t="str">
            <v>신형CAVITY</v>
          </cell>
          <cell r="AD1769">
            <v>0.85</v>
          </cell>
          <cell r="AE1769">
            <v>100</v>
          </cell>
          <cell r="AF1769">
            <v>2</v>
          </cell>
        </row>
        <row r="1770">
          <cell r="A1770" t="str">
            <v>DY7031</v>
          </cell>
          <cell r="B1770" t="str">
            <v>SET</v>
          </cell>
          <cell r="C1770">
            <v>2</v>
          </cell>
          <cell r="D1770">
            <v>80</v>
          </cell>
          <cell r="E1770">
            <v>350</v>
          </cell>
          <cell r="F1770">
            <v>62</v>
          </cell>
          <cell r="G1770" t="str">
            <v>SG302</v>
          </cell>
          <cell r="H1770">
            <v>10</v>
          </cell>
          <cell r="I1770" t="str">
            <v>1</v>
          </cell>
          <cell r="J1770" t="str">
            <v>대유산업</v>
          </cell>
          <cell r="K1770">
            <v>9</v>
          </cell>
          <cell r="L1770">
            <v>11</v>
          </cell>
          <cell r="O1770">
            <v>1850</v>
          </cell>
          <cell r="P1770">
            <v>1700</v>
          </cell>
          <cell r="Q1770">
            <v>150</v>
          </cell>
          <cell r="R1770" t="str">
            <v>패드</v>
          </cell>
          <cell r="S1770" t="str">
            <v>밴딩</v>
          </cell>
          <cell r="T1770" t="str">
            <v>DY7021</v>
          </cell>
          <cell r="U1770">
            <v>45210</v>
          </cell>
          <cell r="V1770" t="str">
            <v>대유이동입고</v>
          </cell>
          <cell r="W1770" t="str">
            <v>구형CAVITY</v>
          </cell>
          <cell r="X1770" t="str">
            <v>C-1202</v>
          </cell>
          <cell r="AA1770">
            <v>41884</v>
          </cell>
          <cell r="AC1770" t="str">
            <v>이동</v>
          </cell>
        </row>
        <row r="1771">
          <cell r="A1771" t="str">
            <v>DY7021#2</v>
          </cell>
          <cell r="B1771" t="str">
            <v>SET</v>
          </cell>
          <cell r="C1771">
            <v>2</v>
          </cell>
          <cell r="D1771">
            <v>94</v>
          </cell>
          <cell r="E1771">
            <v>330</v>
          </cell>
          <cell r="F1771">
            <v>70</v>
          </cell>
          <cell r="G1771" t="str">
            <v>B240NS</v>
          </cell>
          <cell r="H1771">
            <v>10</v>
          </cell>
          <cell r="I1771">
            <v>1</v>
          </cell>
          <cell r="J1771" t="str">
            <v>대유산업</v>
          </cell>
          <cell r="K1771">
            <v>28</v>
          </cell>
          <cell r="L1771">
            <v>32</v>
          </cell>
          <cell r="O1771">
            <v>1850</v>
          </cell>
          <cell r="P1771">
            <v>1700</v>
          </cell>
          <cell r="Q1771">
            <v>150</v>
          </cell>
          <cell r="R1771" t="str">
            <v>패드</v>
          </cell>
          <cell r="S1771" t="str">
            <v>패드</v>
          </cell>
          <cell r="T1771" t="str">
            <v>DY7021#2</v>
          </cell>
          <cell r="U1771">
            <v>45159</v>
          </cell>
          <cell r="V1771" t="str">
            <v>금형사업부</v>
          </cell>
          <cell r="W1771" t="str">
            <v>신형CAVITY, 포장비닐 맞는것으로 포장!</v>
          </cell>
          <cell r="AC1771" t="str">
            <v>코아6MM 고임2024-11-1 중량350→330g 변경</v>
          </cell>
          <cell r="AD1771">
            <v>0.85</v>
          </cell>
          <cell r="AE1771">
            <v>90</v>
          </cell>
        </row>
        <row r="1772">
          <cell r="A1772" t="str">
            <v>DY7021#2</v>
          </cell>
          <cell r="B1772" t="str">
            <v>SET</v>
          </cell>
          <cell r="C1772">
            <v>2</v>
          </cell>
          <cell r="D1772">
            <v>94</v>
          </cell>
          <cell r="E1772">
            <v>330</v>
          </cell>
          <cell r="F1772">
            <v>70</v>
          </cell>
          <cell r="G1772" t="str">
            <v>B240NS</v>
          </cell>
          <cell r="H1772">
            <v>10</v>
          </cell>
          <cell r="I1772">
            <v>1</v>
          </cell>
          <cell r="J1772" t="str">
            <v>대유산업</v>
          </cell>
          <cell r="K1772">
            <v>28</v>
          </cell>
          <cell r="L1772">
            <v>32</v>
          </cell>
          <cell r="O1772">
            <v>1850</v>
          </cell>
          <cell r="P1772">
            <v>1700</v>
          </cell>
          <cell r="Q1772">
            <v>150</v>
          </cell>
          <cell r="R1772" t="str">
            <v>패드</v>
          </cell>
          <cell r="S1772" t="str">
            <v>패드</v>
          </cell>
          <cell r="T1772" t="str">
            <v>DY7021#2</v>
          </cell>
          <cell r="U1772">
            <v>45159</v>
          </cell>
          <cell r="V1772" t="str">
            <v>금형사업부</v>
          </cell>
          <cell r="W1772" t="str">
            <v>신형CAVITY, 포장비닐 맞는것으로 포장!</v>
          </cell>
          <cell r="AD1772">
            <v>0.85</v>
          </cell>
          <cell r="AE1772">
            <v>90</v>
          </cell>
          <cell r="AF1772">
            <v>2</v>
          </cell>
        </row>
        <row r="1773">
          <cell r="A1773" t="str">
            <v>DY5000C</v>
          </cell>
          <cell r="B1773" t="str">
            <v>SET</v>
          </cell>
          <cell r="C1773">
            <v>1</v>
          </cell>
          <cell r="D1773">
            <v>80</v>
          </cell>
          <cell r="E1773">
            <v>490</v>
          </cell>
          <cell r="F1773">
            <v>62</v>
          </cell>
          <cell r="G1773" t="str">
            <v>SG302</v>
          </cell>
          <cell r="H1773">
            <v>5</v>
          </cell>
          <cell r="I1773" t="str">
            <v>1</v>
          </cell>
          <cell r="J1773" t="str">
            <v>대유산업</v>
          </cell>
          <cell r="K1773">
            <v>59</v>
          </cell>
          <cell r="L1773">
            <v>61</v>
          </cell>
          <cell r="O1773">
            <v>2730</v>
          </cell>
          <cell r="P1773">
            <v>1360</v>
          </cell>
          <cell r="Q1773">
            <v>150</v>
          </cell>
          <cell r="R1773" t="str">
            <v>패드</v>
          </cell>
          <cell r="S1773" t="str">
            <v>밴딩</v>
          </cell>
          <cell r="T1773" t="str">
            <v>DY5000C</v>
          </cell>
          <cell r="U1773">
            <v>45210</v>
          </cell>
          <cell r="V1773" t="str">
            <v>대유이동입고</v>
          </cell>
          <cell r="W1773" t="str">
            <v>구형CAVITY</v>
          </cell>
          <cell r="X1773" t="str">
            <v>R-0102</v>
          </cell>
          <cell r="AA1773">
            <v>41884</v>
          </cell>
          <cell r="AC1773" t="str">
            <v>이동</v>
          </cell>
        </row>
        <row r="1774">
          <cell r="A1774" t="str">
            <v>DY5000B</v>
          </cell>
          <cell r="B1774" t="str">
            <v>SET</v>
          </cell>
          <cell r="C1774">
            <v>1</v>
          </cell>
          <cell r="D1774">
            <v>80</v>
          </cell>
          <cell r="E1774">
            <v>490</v>
          </cell>
          <cell r="F1774">
            <v>62</v>
          </cell>
          <cell r="G1774" t="str">
            <v>SG302</v>
          </cell>
          <cell r="H1774">
            <v>5</v>
          </cell>
          <cell r="I1774" t="str">
            <v>1</v>
          </cell>
          <cell r="J1774" t="str">
            <v>대유산업</v>
          </cell>
          <cell r="K1774">
            <v>59</v>
          </cell>
          <cell r="L1774">
            <v>61</v>
          </cell>
          <cell r="O1774">
            <v>2730</v>
          </cell>
          <cell r="P1774">
            <v>1360</v>
          </cell>
          <cell r="Q1774">
            <v>150</v>
          </cell>
          <cell r="R1774" t="str">
            <v>패드</v>
          </cell>
          <cell r="S1774" t="str">
            <v>밴딩</v>
          </cell>
          <cell r="T1774" t="str">
            <v>DY5000B</v>
          </cell>
          <cell r="U1774">
            <v>45210</v>
          </cell>
          <cell r="V1774" t="str">
            <v>대유이동입고</v>
          </cell>
          <cell r="W1774" t="str">
            <v>구형CAVITY</v>
          </cell>
          <cell r="X1774" t="str">
            <v>R-0102</v>
          </cell>
          <cell r="AA1774">
            <v>41884</v>
          </cell>
          <cell r="AC1774" t="str">
            <v>이동</v>
          </cell>
        </row>
        <row r="1775">
          <cell r="A1775" t="str">
            <v>DY5000A</v>
          </cell>
          <cell r="B1775" t="str">
            <v>SET</v>
          </cell>
          <cell r="C1775">
            <v>1</v>
          </cell>
          <cell r="D1775">
            <v>80</v>
          </cell>
          <cell r="E1775">
            <v>490</v>
          </cell>
          <cell r="F1775">
            <v>62</v>
          </cell>
          <cell r="G1775" t="str">
            <v>SG302</v>
          </cell>
          <cell r="H1775">
            <v>5</v>
          </cell>
          <cell r="I1775" t="str">
            <v>1</v>
          </cell>
          <cell r="J1775" t="str">
            <v>대유산업</v>
          </cell>
          <cell r="K1775">
            <v>59</v>
          </cell>
          <cell r="L1775">
            <v>61</v>
          </cell>
          <cell r="O1775">
            <v>2730</v>
          </cell>
          <cell r="P1775">
            <v>1360</v>
          </cell>
          <cell r="Q1775">
            <v>150</v>
          </cell>
          <cell r="R1775" t="str">
            <v>패드</v>
          </cell>
          <cell r="S1775" t="str">
            <v>밴딩</v>
          </cell>
          <cell r="T1775" t="str">
            <v>DY5000A</v>
          </cell>
          <cell r="U1775">
            <v>45210</v>
          </cell>
          <cell r="V1775" t="str">
            <v>대유이동입고</v>
          </cell>
          <cell r="W1775" t="str">
            <v>구형CAVITY</v>
          </cell>
          <cell r="X1775" t="str">
            <v>R-0102</v>
          </cell>
          <cell r="AA1775">
            <v>41884</v>
          </cell>
          <cell r="AC1775" t="str">
            <v>이동</v>
          </cell>
        </row>
        <row r="1776">
          <cell r="A1776" t="str">
            <v>DY2400</v>
          </cell>
          <cell r="E1776">
            <v>690</v>
          </cell>
          <cell r="J1776" t="str">
            <v>대유산업</v>
          </cell>
        </row>
        <row r="1777">
          <cell r="A1777" t="str">
            <v>DY1000B</v>
          </cell>
          <cell r="B1777" t="str">
            <v>SET</v>
          </cell>
          <cell r="C1777">
            <v>1</v>
          </cell>
          <cell r="D1777">
            <v>86</v>
          </cell>
          <cell r="E1777">
            <v>490</v>
          </cell>
          <cell r="F1777">
            <v>65</v>
          </cell>
          <cell r="G1777" t="str">
            <v>S3-203</v>
          </cell>
          <cell r="H1777">
            <v>5</v>
          </cell>
          <cell r="I1777">
            <v>1</v>
          </cell>
          <cell r="J1777" t="str">
            <v>대유산업</v>
          </cell>
          <cell r="K1777">
            <v>59</v>
          </cell>
          <cell r="L1777">
            <v>61</v>
          </cell>
          <cell r="O1777">
            <v>2730</v>
          </cell>
          <cell r="P1777">
            <v>1360</v>
          </cell>
          <cell r="Q1777">
            <v>150</v>
          </cell>
          <cell r="R1777" t="str">
            <v>패드</v>
          </cell>
          <cell r="S1777" t="str">
            <v>밴딩</v>
          </cell>
          <cell r="T1777" t="str">
            <v>DY1000B</v>
          </cell>
          <cell r="U1777">
            <v>45210</v>
          </cell>
          <cell r="V1777" t="str">
            <v>대유이동입고</v>
          </cell>
          <cell r="W1777" t="str">
            <v>개별CAVITY</v>
          </cell>
          <cell r="AA1777">
            <v>42538</v>
          </cell>
          <cell r="AB1777" t="str">
            <v>대유아트폼</v>
          </cell>
          <cell r="AC1777" t="str">
            <v>이동</v>
          </cell>
        </row>
        <row r="1778">
          <cell r="A1778" t="str">
            <v>DY1000A</v>
          </cell>
          <cell r="B1778" t="str">
            <v>SET</v>
          </cell>
          <cell r="C1778">
            <v>1</v>
          </cell>
          <cell r="D1778">
            <v>86</v>
          </cell>
          <cell r="E1778">
            <v>490</v>
          </cell>
          <cell r="F1778">
            <v>65</v>
          </cell>
          <cell r="G1778" t="str">
            <v>S3-203</v>
          </cell>
          <cell r="H1778">
            <v>5</v>
          </cell>
          <cell r="I1778">
            <v>1</v>
          </cell>
          <cell r="J1778" t="str">
            <v>대유산업</v>
          </cell>
          <cell r="K1778">
            <v>59</v>
          </cell>
          <cell r="L1778">
            <v>61</v>
          </cell>
          <cell r="O1778">
            <v>2730</v>
          </cell>
          <cell r="P1778">
            <v>1360</v>
          </cell>
          <cell r="Q1778">
            <v>150</v>
          </cell>
          <cell r="R1778" t="str">
            <v>패드</v>
          </cell>
          <cell r="S1778" t="str">
            <v>밴딩</v>
          </cell>
          <cell r="T1778" t="str">
            <v>DY1000A</v>
          </cell>
          <cell r="U1778">
            <v>45210</v>
          </cell>
          <cell r="V1778" t="str">
            <v>대유이동입고</v>
          </cell>
          <cell r="W1778" t="str">
            <v>개별CAVITY</v>
          </cell>
          <cell r="X1778" t="str">
            <v>R-0301</v>
          </cell>
          <cell r="AA1778">
            <v>42538</v>
          </cell>
          <cell r="AB1778" t="str">
            <v>대유아트폼</v>
          </cell>
          <cell r="AC1778" t="str">
            <v>이동</v>
          </cell>
        </row>
        <row r="1779">
          <cell r="A1779" t="str">
            <v>DWAUP#2</v>
          </cell>
          <cell r="B1779" t="str">
            <v>SET</v>
          </cell>
          <cell r="C1779">
            <v>1</v>
          </cell>
          <cell r="D1779">
            <v>73</v>
          </cell>
          <cell r="E1779">
            <v>152</v>
          </cell>
          <cell r="F1779">
            <v>70</v>
          </cell>
          <cell r="G1779" t="str">
            <v>B240NS</v>
          </cell>
          <cell r="H1779">
            <v>10</v>
          </cell>
          <cell r="I1779">
            <v>1</v>
          </cell>
          <cell r="J1779" t="str">
            <v>SK매직</v>
          </cell>
          <cell r="K1779">
            <v>54</v>
          </cell>
          <cell r="L1779">
            <v>60</v>
          </cell>
          <cell r="O1779">
            <v>733</v>
          </cell>
          <cell r="P1779">
            <v>1360</v>
          </cell>
          <cell r="Q1779">
            <v>200</v>
          </cell>
          <cell r="R1779" t="str">
            <v>검정</v>
          </cell>
          <cell r="S1779" t="str">
            <v>검정</v>
          </cell>
          <cell r="T1779" t="str">
            <v>세미금형</v>
          </cell>
          <cell r="U1779">
            <v>43423</v>
          </cell>
          <cell r="V1779" t="str">
            <v>금형제조부</v>
          </cell>
          <cell r="W1779" t="str">
            <v>51221-74000</v>
          </cell>
          <cell r="AC1779" t="str">
            <v>최재학계장</v>
          </cell>
          <cell r="AD1779">
            <v>0.85</v>
          </cell>
          <cell r="AE1779">
            <v>75</v>
          </cell>
          <cell r="AF1779">
            <v>1</v>
          </cell>
        </row>
        <row r="1780">
          <cell r="A1780" t="str">
            <v>DWAUP</v>
          </cell>
          <cell r="B1780" t="str">
            <v>SET</v>
          </cell>
          <cell r="C1780">
            <v>1</v>
          </cell>
          <cell r="D1780">
            <v>80</v>
          </cell>
          <cell r="E1780">
            <v>152</v>
          </cell>
          <cell r="F1780">
            <v>70</v>
          </cell>
          <cell r="G1780" t="str">
            <v>B240NS</v>
          </cell>
          <cell r="H1780">
            <v>10</v>
          </cell>
          <cell r="I1780">
            <v>1</v>
          </cell>
          <cell r="J1780" t="str">
            <v>SK매직</v>
          </cell>
          <cell r="K1780">
            <v>54</v>
          </cell>
          <cell r="L1780">
            <v>60</v>
          </cell>
          <cell r="O1780">
            <v>733</v>
          </cell>
          <cell r="P1780">
            <v>1300</v>
          </cell>
          <cell r="Q1780">
            <v>150</v>
          </cell>
          <cell r="R1780" t="str">
            <v>검정</v>
          </cell>
          <cell r="S1780" t="str">
            <v>검정</v>
          </cell>
          <cell r="T1780" t="str">
            <v>DWA-UP</v>
          </cell>
          <cell r="U1780">
            <v>39708</v>
          </cell>
          <cell r="V1780" t="str">
            <v>삼일금형</v>
          </cell>
          <cell r="W1780" t="str">
            <v>5다발에 1번씩만 포장, 51221-74000</v>
          </cell>
          <cell r="X1780" t="str">
            <v>E-0105</v>
          </cell>
          <cell r="AC1780" t="str">
            <v>2012.01.15기준중량변경(145-&gt;152)</v>
          </cell>
          <cell r="AD1780">
            <v>0.85</v>
          </cell>
          <cell r="AE1780">
            <v>80</v>
          </cell>
          <cell r="AF1780">
            <v>6</v>
          </cell>
        </row>
        <row r="1781">
          <cell r="A1781" t="str">
            <v>DWA-91(55배)</v>
          </cell>
          <cell r="B1781" t="str">
            <v>SET</v>
          </cell>
          <cell r="C1781">
            <v>1</v>
          </cell>
          <cell r="D1781">
            <v>120</v>
          </cell>
          <cell r="E1781">
            <v>777</v>
          </cell>
          <cell r="F1781">
            <v>58</v>
          </cell>
          <cell r="G1781" t="str">
            <v>B240NS</v>
          </cell>
          <cell r="H1781">
            <v>10</v>
          </cell>
          <cell r="I1781">
            <v>2</v>
          </cell>
          <cell r="J1781" t="str">
            <v>SK매직</v>
          </cell>
          <cell r="P1781">
            <v>1500</v>
          </cell>
          <cell r="Q1781">
            <v>250</v>
          </cell>
          <cell r="R1781" t="str">
            <v>파랑</v>
          </cell>
          <cell r="U1781">
            <v>44636</v>
          </cell>
          <cell r="V1781" t="str">
            <v>금형사업부</v>
          </cell>
          <cell r="W1781" t="str">
            <v>22.08.26 코팅완료</v>
          </cell>
          <cell r="AC1781" t="str">
            <v>김영석사원</v>
          </cell>
          <cell r="AD1781">
            <v>0.85</v>
          </cell>
        </row>
        <row r="1782">
          <cell r="A1782" t="str">
            <v>DWA-91</v>
          </cell>
          <cell r="B1782" t="str">
            <v>SET</v>
          </cell>
          <cell r="C1782">
            <v>1</v>
          </cell>
          <cell r="D1782">
            <v>120</v>
          </cell>
          <cell r="E1782">
            <v>777</v>
          </cell>
          <cell r="F1782">
            <v>65</v>
          </cell>
          <cell r="G1782" t="str">
            <v>B240NS</v>
          </cell>
          <cell r="H1782">
            <v>10</v>
          </cell>
          <cell r="I1782">
            <v>2</v>
          </cell>
          <cell r="J1782" t="str">
            <v>SK매직</v>
          </cell>
          <cell r="P1782">
            <v>1500</v>
          </cell>
          <cell r="Q1782">
            <v>250</v>
          </cell>
          <cell r="R1782" t="str">
            <v>파랑</v>
          </cell>
          <cell r="U1782">
            <v>44636</v>
          </cell>
          <cell r="V1782" t="str">
            <v>금형사업부</v>
          </cell>
          <cell r="W1782" t="str">
            <v>22.08.26 코팅완료</v>
          </cell>
          <cell r="Y1782">
            <v>58</v>
          </cell>
          <cell r="AC1782" t="str">
            <v>김영석사원</v>
          </cell>
          <cell r="AD1782">
            <v>0.85</v>
          </cell>
        </row>
        <row r="1783">
          <cell r="A1783" t="str">
            <v>DWA-91</v>
          </cell>
          <cell r="B1783" t="str">
            <v>SET</v>
          </cell>
          <cell r="C1783">
            <v>1</v>
          </cell>
          <cell r="D1783">
            <v>120</v>
          </cell>
          <cell r="E1783">
            <v>833</v>
          </cell>
          <cell r="F1783">
            <v>58</v>
          </cell>
          <cell r="G1783" t="str">
            <v>B240NS</v>
          </cell>
          <cell r="H1783">
            <v>10</v>
          </cell>
          <cell r="I1783">
            <v>2</v>
          </cell>
          <cell r="J1783" t="str">
            <v>SK매직</v>
          </cell>
          <cell r="P1783">
            <v>1500</v>
          </cell>
          <cell r="Q1783">
            <v>250</v>
          </cell>
          <cell r="R1783" t="str">
            <v>파랑</v>
          </cell>
          <cell r="U1783">
            <v>44636</v>
          </cell>
          <cell r="V1783" t="str">
            <v>금형사업부</v>
          </cell>
          <cell r="W1783" t="str">
            <v>22.08.26 코팅완료</v>
          </cell>
          <cell r="AC1783" t="str">
            <v>김영석사원</v>
          </cell>
          <cell r="AD1783">
            <v>0.85</v>
          </cell>
        </row>
        <row r="1784">
          <cell r="A1784" t="str">
            <v>DWA-90F/L</v>
          </cell>
          <cell r="B1784" t="str">
            <v>저발</v>
          </cell>
          <cell r="C1784">
            <v>4</v>
          </cell>
          <cell r="D1784">
            <v>120</v>
          </cell>
          <cell r="E1784">
            <v>37</v>
          </cell>
          <cell r="F1784">
            <v>58</v>
          </cell>
          <cell r="G1784" t="str">
            <v>B240NS</v>
          </cell>
          <cell r="H1784">
            <v>50</v>
          </cell>
          <cell r="I1784">
            <v>1</v>
          </cell>
          <cell r="J1784" t="str">
            <v>SK매직</v>
          </cell>
          <cell r="K1784">
            <v>189.4</v>
          </cell>
          <cell r="L1784">
            <v>191.4</v>
          </cell>
          <cell r="P1784">
            <v>700</v>
          </cell>
          <cell r="R1784" t="str">
            <v>투명비닐</v>
          </cell>
          <cell r="S1784" t="str">
            <v>투명비닐</v>
          </cell>
          <cell r="U1784">
            <v>44446</v>
          </cell>
          <cell r="V1784" t="str">
            <v>경원 ENG</v>
          </cell>
          <cell r="Y1784">
            <v>50</v>
          </cell>
          <cell r="AC1784" t="str">
            <v>석상준과장,2021.09.16코팅완료</v>
          </cell>
          <cell r="AD1784">
            <v>0.85</v>
          </cell>
          <cell r="AF1784">
            <v>4</v>
          </cell>
        </row>
        <row r="1785">
          <cell r="A1785" t="str">
            <v>DWA-90 OUTER DOOR</v>
          </cell>
          <cell r="B1785" t="str">
            <v>SET</v>
          </cell>
          <cell r="C1785">
            <v>1</v>
          </cell>
          <cell r="D1785">
            <v>100</v>
          </cell>
          <cell r="E1785">
            <v>43</v>
          </cell>
          <cell r="F1785">
            <v>58</v>
          </cell>
          <cell r="G1785" t="str">
            <v>B240NS</v>
          </cell>
          <cell r="H1785">
            <v>40</v>
          </cell>
          <cell r="I1785">
            <v>3</v>
          </cell>
          <cell r="J1785" t="str">
            <v>SK매직</v>
          </cell>
          <cell r="P1785">
            <v>1700</v>
          </cell>
          <cell r="Q1785">
            <v>250</v>
          </cell>
          <cell r="R1785" t="str">
            <v>보라</v>
          </cell>
          <cell r="S1785" t="str">
            <v>보라</v>
          </cell>
          <cell r="U1785">
            <v>44111</v>
          </cell>
          <cell r="V1785" t="str">
            <v>세일하이테크</v>
          </cell>
          <cell r="W1785" t="str">
            <v xml:space="preserve">DWA-90 </v>
          </cell>
          <cell r="AD1785">
            <v>0.85</v>
          </cell>
          <cell r="AF1785">
            <v>8</v>
          </cell>
        </row>
        <row r="1786">
          <cell r="A1786" t="str">
            <v>DWA-90</v>
          </cell>
          <cell r="B1786" t="str">
            <v>SET</v>
          </cell>
          <cell r="C1786">
            <v>1</v>
          </cell>
          <cell r="D1786">
            <v>100</v>
          </cell>
          <cell r="E1786">
            <v>702</v>
          </cell>
          <cell r="F1786">
            <v>58</v>
          </cell>
          <cell r="G1786" t="str">
            <v>B240NS</v>
          </cell>
          <cell r="H1786" t="str">
            <v>U:20 L:5 O:40</v>
          </cell>
          <cell r="I1786">
            <v>3</v>
          </cell>
          <cell r="J1786" t="str">
            <v>SK매직</v>
          </cell>
          <cell r="K1786">
            <v>50.5</v>
          </cell>
          <cell r="L1786">
            <v>54.5</v>
          </cell>
          <cell r="M1786">
            <v>107</v>
          </cell>
          <cell r="N1786">
            <v>111</v>
          </cell>
          <cell r="O1786">
            <v>3000</v>
          </cell>
          <cell r="P1786">
            <v>1700</v>
          </cell>
          <cell r="Q1786">
            <v>250</v>
          </cell>
          <cell r="R1786" t="str">
            <v>보라</v>
          </cell>
          <cell r="S1786" t="str">
            <v>보라</v>
          </cell>
          <cell r="U1786">
            <v>44111</v>
          </cell>
          <cell r="V1786" t="str">
            <v>세일하이테크</v>
          </cell>
          <cell r="W1786" t="str">
            <v>DWA-90 LOWER ASSY제품 (비닐포장 X)</v>
          </cell>
          <cell r="Y1786">
            <v>50</v>
          </cell>
          <cell r="Z1786">
            <v>35520</v>
          </cell>
          <cell r="AC1786" t="str">
            <v>석상준과장, 2020.10.08 FRAME높이 변경(200-&gt;250), 2020.10.23각인 추가, 2020.11.25 UP 휘다 1개소 추가 2021.02.24수정 , 2021.07.09 기준준량 변경(710-&gt;684), 2021.07.22 수정, 2022.02.14기준중량변경(684-&gt;702)</v>
          </cell>
          <cell r="AD1786">
            <v>0.85</v>
          </cell>
          <cell r="AF1786">
            <v>6</v>
          </cell>
        </row>
        <row r="1787">
          <cell r="A1787" t="str">
            <v>DWA-0600#2</v>
          </cell>
          <cell r="B1787" t="str">
            <v>저발</v>
          </cell>
          <cell r="C1787">
            <v>10</v>
          </cell>
          <cell r="D1787">
            <v>100</v>
          </cell>
          <cell r="E1787">
            <v>5</v>
          </cell>
          <cell r="F1787">
            <v>18</v>
          </cell>
          <cell r="G1787" t="str">
            <v>B240NS</v>
          </cell>
          <cell r="H1787">
            <v>100</v>
          </cell>
          <cell r="I1787">
            <v>1</v>
          </cell>
          <cell r="J1787" t="str">
            <v>SK매직</v>
          </cell>
          <cell r="K1787">
            <v>8.6999999999999993</v>
          </cell>
          <cell r="L1787">
            <v>9.6999999999999993</v>
          </cell>
          <cell r="O1787">
            <v>280</v>
          </cell>
          <cell r="P1787">
            <v>500</v>
          </cell>
          <cell r="R1787" t="str">
            <v>BOX</v>
          </cell>
          <cell r="S1787" t="str">
            <v>BOX</v>
          </cell>
          <cell r="T1787" t="str">
            <v>DWA-0600</v>
          </cell>
          <cell r="U1787">
            <v>43418</v>
          </cell>
          <cell r="V1787" t="str">
            <v>금형제조부</v>
          </cell>
          <cell r="W1787" t="str">
            <v>51216-24001</v>
          </cell>
          <cell r="X1787" t="str">
            <v>F-0209</v>
          </cell>
          <cell r="AC1787" t="str">
            <v>핀일체형05.01.31코아 제재작함,2016.08.26배율변경(18-&gt;21.5배), 2018.12.20 승인</v>
          </cell>
          <cell r="AD1787">
            <v>0.9</v>
          </cell>
          <cell r="AE1787">
            <v>115</v>
          </cell>
          <cell r="AF1787">
            <v>1</v>
          </cell>
        </row>
        <row r="1788">
          <cell r="A1788" t="str">
            <v>DWA-0600</v>
          </cell>
          <cell r="B1788" t="str">
            <v>저발</v>
          </cell>
          <cell r="C1788">
            <v>3</v>
          </cell>
          <cell r="D1788">
            <v>100</v>
          </cell>
          <cell r="E1788">
            <v>5</v>
          </cell>
          <cell r="F1788">
            <v>18</v>
          </cell>
          <cell r="G1788" t="str">
            <v>B240NS</v>
          </cell>
          <cell r="H1788">
            <v>100</v>
          </cell>
          <cell r="I1788">
            <v>1</v>
          </cell>
          <cell r="J1788" t="str">
            <v>SK매직</v>
          </cell>
          <cell r="K1788">
            <v>8.6999999999999993</v>
          </cell>
          <cell r="L1788">
            <v>9.6999999999999993</v>
          </cell>
          <cell r="O1788">
            <v>280</v>
          </cell>
          <cell r="P1788">
            <v>500</v>
          </cell>
          <cell r="R1788" t="str">
            <v>BOX</v>
          </cell>
          <cell r="S1788" t="str">
            <v>BOX</v>
          </cell>
          <cell r="T1788" t="str">
            <v>DWA-0600</v>
          </cell>
          <cell r="U1788">
            <v>38376</v>
          </cell>
          <cell r="V1788" t="str">
            <v>삼일금형</v>
          </cell>
          <cell r="W1788" t="str">
            <v>51216-24001</v>
          </cell>
          <cell r="X1788" t="str">
            <v>F-0209</v>
          </cell>
          <cell r="AC1788" t="str">
            <v>핀일체형05.01.31코아 제재작함,2016.08.26배율변경(18-&gt;21.5배)</v>
          </cell>
          <cell r="AD1788">
            <v>0.9</v>
          </cell>
          <cell r="AE1788">
            <v>115</v>
          </cell>
          <cell r="AF1788">
            <v>2</v>
          </cell>
        </row>
        <row r="1789">
          <cell r="A1789" t="str">
            <v>DW-5K#2</v>
          </cell>
          <cell r="B1789" t="str">
            <v>BOX</v>
          </cell>
          <cell r="E1789">
            <v>145</v>
          </cell>
          <cell r="J1789" t="str">
            <v>용인공장</v>
          </cell>
          <cell r="P1789">
            <v>1700</v>
          </cell>
          <cell r="Q1789">
            <v>300</v>
          </cell>
          <cell r="AD1789">
            <v>0.85</v>
          </cell>
          <cell r="AE1789">
            <v>75</v>
          </cell>
        </row>
        <row r="1790">
          <cell r="A1790" t="str">
            <v>DW-3호#2</v>
          </cell>
          <cell r="B1790" t="str">
            <v>BOX</v>
          </cell>
          <cell r="C1790">
            <v>2</v>
          </cell>
          <cell r="D1790">
            <v>85</v>
          </cell>
          <cell r="E1790">
            <v>270</v>
          </cell>
          <cell r="F1790">
            <v>74</v>
          </cell>
          <cell r="G1790" t="str">
            <v>B240NS</v>
          </cell>
          <cell r="H1790" t="str">
            <v>몸통12뚜껑36</v>
          </cell>
          <cell r="I1790">
            <v>2</v>
          </cell>
          <cell r="J1790" t="str">
            <v>삼일이노팩</v>
          </cell>
          <cell r="K1790">
            <v>48</v>
          </cell>
          <cell r="L1790">
            <v>52</v>
          </cell>
          <cell r="M1790">
            <v>246</v>
          </cell>
          <cell r="N1790">
            <v>250</v>
          </cell>
          <cell r="P1790">
            <v>1360</v>
          </cell>
          <cell r="Q1790">
            <v>350</v>
          </cell>
          <cell r="R1790" t="str">
            <v>패드</v>
          </cell>
          <cell r="S1790" t="str">
            <v>보라밴딩</v>
          </cell>
          <cell r="U1790">
            <v>43864</v>
          </cell>
          <cell r="V1790" t="str">
            <v>제일EPS</v>
          </cell>
          <cell r="W1790" t="str">
            <v>노랑비닐(몸통/뚜껑0.02),이물 및 흐트러짐주의 한번에 말아 묶음</v>
          </cell>
          <cell r="Y1790">
            <v>60</v>
          </cell>
          <cell r="Z1790">
            <v>16652</v>
          </cell>
          <cell r="AC1790" t="str">
            <v>석상준과장, 2020.06.26 기준배율변경(74-&gt;68), 2020.09.24기준배율변경(70-&gt;74)</v>
          </cell>
          <cell r="AD1790">
            <v>0.85</v>
          </cell>
          <cell r="AE1790">
            <v>70</v>
          </cell>
          <cell r="AF1790">
            <v>6</v>
          </cell>
        </row>
        <row r="1791">
          <cell r="A1791" t="str">
            <v>DW-2호#2</v>
          </cell>
          <cell r="B1791" t="str">
            <v>BOX</v>
          </cell>
          <cell r="C1791">
            <v>3</v>
          </cell>
          <cell r="D1791">
            <v>74</v>
          </cell>
          <cell r="E1791">
            <v>230</v>
          </cell>
          <cell r="F1791">
            <v>74</v>
          </cell>
          <cell r="G1791" t="str">
            <v>B240NS</v>
          </cell>
          <cell r="H1791" t="str">
            <v>몸통12뚜껑36</v>
          </cell>
          <cell r="I1791">
            <v>2</v>
          </cell>
          <cell r="J1791" t="str">
            <v>삼일이노팩</v>
          </cell>
          <cell r="K1791">
            <v>48</v>
          </cell>
          <cell r="L1791">
            <v>52</v>
          </cell>
          <cell r="M1791">
            <v>246</v>
          </cell>
          <cell r="N1791">
            <v>250</v>
          </cell>
          <cell r="P1791">
            <v>1360</v>
          </cell>
          <cell r="Q1791">
            <v>350</v>
          </cell>
          <cell r="R1791" t="str">
            <v>패드</v>
          </cell>
          <cell r="S1791" t="str">
            <v>파랑밴딩</v>
          </cell>
          <cell r="U1791">
            <v>43864</v>
          </cell>
          <cell r="V1791" t="str">
            <v>세일하이테크</v>
          </cell>
          <cell r="W1791" t="str">
            <v>노랑비닐(몸통/뚜껑0.02),이물 및 흐트러짐주의 한번에 말아 묶음</v>
          </cell>
          <cell r="Y1791">
            <v>60</v>
          </cell>
          <cell r="Z1791">
            <v>14382</v>
          </cell>
          <cell r="AC1791" t="str">
            <v>석상준과장, 2020.04.21 BURR수리 및 코팅, 2020.06.26 기준배율변경(74-&gt;68), 2020.09.24기준배율변경(70-&gt;74)</v>
          </cell>
          <cell r="AD1791">
            <v>0.85</v>
          </cell>
          <cell r="AE1791">
            <v>70</v>
          </cell>
          <cell r="AF1791">
            <v>6</v>
          </cell>
        </row>
        <row r="1792">
          <cell r="A1792" t="str">
            <v>DW-1호#3</v>
          </cell>
          <cell r="B1792" t="str">
            <v>BOX</v>
          </cell>
          <cell r="C1792">
            <v>3</v>
          </cell>
          <cell r="D1792">
            <v>77</v>
          </cell>
          <cell r="E1792">
            <v>190</v>
          </cell>
          <cell r="F1792">
            <v>74</v>
          </cell>
          <cell r="G1792" t="str">
            <v>SE2500M</v>
          </cell>
          <cell r="H1792" t="str">
            <v>몸통10뚜껑40</v>
          </cell>
          <cell r="I1792">
            <v>2</v>
          </cell>
          <cell r="J1792" t="str">
            <v>삼일이노팩</v>
          </cell>
          <cell r="K1792">
            <v>48</v>
          </cell>
          <cell r="L1792">
            <v>52</v>
          </cell>
          <cell r="M1792">
            <v>202</v>
          </cell>
          <cell r="N1792">
            <v>206</v>
          </cell>
          <cell r="P1792">
            <v>1360</v>
          </cell>
          <cell r="Q1792">
            <v>300</v>
          </cell>
          <cell r="R1792" t="str">
            <v>패드</v>
          </cell>
          <cell r="S1792" t="str">
            <v>주황밴딩</v>
          </cell>
          <cell r="U1792">
            <v>44588</v>
          </cell>
          <cell r="V1792" t="str">
            <v>금형사업부</v>
          </cell>
          <cell r="W1792" t="str">
            <v>노랑비닐(몸통/뚜껑0.02),이물 및 흐트러짐주의 한번에 말아 묶음</v>
          </cell>
          <cell r="Y1792">
            <v>60</v>
          </cell>
          <cell r="Z1792">
            <v>11989</v>
          </cell>
          <cell r="AC1792" t="str">
            <v>석상준차장,코팅완료</v>
          </cell>
          <cell r="AD1792">
            <v>0.85</v>
          </cell>
          <cell r="AE1792">
            <v>75</v>
          </cell>
          <cell r="AF1792">
            <v>4</v>
          </cell>
        </row>
        <row r="1793">
          <cell r="A1793" t="str">
            <v>DW-1호#3</v>
          </cell>
          <cell r="B1793" t="str">
            <v>BOX</v>
          </cell>
          <cell r="C1793">
            <v>3</v>
          </cell>
          <cell r="D1793">
            <v>77</v>
          </cell>
          <cell r="E1793">
            <v>190</v>
          </cell>
          <cell r="F1793">
            <v>74</v>
          </cell>
          <cell r="G1793" t="str">
            <v>SE2500M</v>
          </cell>
          <cell r="H1793" t="str">
            <v>몸통10뚜껑40</v>
          </cell>
          <cell r="I1793">
            <v>2</v>
          </cell>
          <cell r="J1793" t="str">
            <v>삼일이노팩</v>
          </cell>
          <cell r="K1793">
            <v>48</v>
          </cell>
          <cell r="L1793">
            <v>52</v>
          </cell>
          <cell r="M1793">
            <v>202</v>
          </cell>
          <cell r="N1793">
            <v>206</v>
          </cell>
          <cell r="P1793">
            <v>1360</v>
          </cell>
          <cell r="Q1793">
            <v>300</v>
          </cell>
          <cell r="R1793" t="str">
            <v>패드</v>
          </cell>
          <cell r="S1793" t="str">
            <v>주황밴딩</v>
          </cell>
          <cell r="U1793">
            <v>44588</v>
          </cell>
          <cell r="V1793" t="str">
            <v>금형사업부</v>
          </cell>
          <cell r="W1793" t="str">
            <v>노랑비닐(몸통/뚜껑0.02),이물 및 흐트러짐주의 한번에 말아 묶음</v>
          </cell>
          <cell r="Y1793">
            <v>60</v>
          </cell>
          <cell r="Z1793">
            <v>11989</v>
          </cell>
          <cell r="AC1793" t="str">
            <v>석상준차장,코팅완료</v>
          </cell>
          <cell r="AD1793">
            <v>0.85</v>
          </cell>
        </row>
        <row r="1794">
          <cell r="A1794" t="str">
            <v>DW-15K</v>
          </cell>
          <cell r="B1794" t="str">
            <v>BOX</v>
          </cell>
          <cell r="C1794">
            <v>2</v>
          </cell>
          <cell r="D1794">
            <v>65</v>
          </cell>
          <cell r="E1794">
            <v>285</v>
          </cell>
          <cell r="F1794">
            <v>78</v>
          </cell>
          <cell r="G1794" t="str">
            <v>B240NS</v>
          </cell>
          <cell r="H1794" t="str">
            <v>TOP:24/BOT:8</v>
          </cell>
          <cell r="I1794">
            <v>2</v>
          </cell>
          <cell r="J1794" t="str">
            <v>용인공장</v>
          </cell>
          <cell r="P1794">
            <v>1360</v>
          </cell>
          <cell r="Q1794">
            <v>350</v>
          </cell>
          <cell r="R1794" t="str">
            <v>파랑</v>
          </cell>
          <cell r="S1794" t="str">
            <v>파랑</v>
          </cell>
          <cell r="U1794">
            <v>45301</v>
          </cell>
          <cell r="V1794" t="str">
            <v>삼일 용인(이관)</v>
          </cell>
          <cell r="AD1794">
            <v>0.85</v>
          </cell>
          <cell r="AE1794">
            <v>65</v>
          </cell>
          <cell r="AF1794">
            <v>6</v>
          </cell>
        </row>
        <row r="1795">
          <cell r="A1795" t="str">
            <v>DW-15K</v>
          </cell>
          <cell r="B1795" t="str">
            <v>BOX</v>
          </cell>
          <cell r="C1795">
            <v>2</v>
          </cell>
          <cell r="D1795">
            <v>65</v>
          </cell>
          <cell r="E1795">
            <v>285</v>
          </cell>
          <cell r="F1795">
            <v>78</v>
          </cell>
          <cell r="G1795" t="str">
            <v>B240NS</v>
          </cell>
          <cell r="H1795" t="str">
            <v>TOP:24/BOT:8</v>
          </cell>
          <cell r="I1795">
            <v>2</v>
          </cell>
          <cell r="J1795" t="str">
            <v>용인공장</v>
          </cell>
          <cell r="P1795">
            <v>1360</v>
          </cell>
          <cell r="Q1795">
            <v>350</v>
          </cell>
          <cell r="R1795" t="str">
            <v>파랑</v>
          </cell>
          <cell r="S1795" t="str">
            <v>파랑</v>
          </cell>
          <cell r="U1795">
            <v>45301</v>
          </cell>
          <cell r="V1795" t="str">
            <v>삼일 용인(이관)</v>
          </cell>
          <cell r="AD1795">
            <v>0.85</v>
          </cell>
          <cell r="AE1795">
            <v>65</v>
          </cell>
        </row>
        <row r="1796">
          <cell r="A1796" t="str">
            <v>DW-15K</v>
          </cell>
          <cell r="B1796" t="str">
            <v>BOX</v>
          </cell>
          <cell r="C1796">
            <v>2</v>
          </cell>
          <cell r="D1796">
            <v>65</v>
          </cell>
          <cell r="E1796">
            <v>285</v>
          </cell>
          <cell r="F1796">
            <v>78</v>
          </cell>
          <cell r="G1796" t="str">
            <v>B240NS</v>
          </cell>
          <cell r="H1796" t="str">
            <v>TOP:24/BOT:8</v>
          </cell>
          <cell r="I1796">
            <v>2</v>
          </cell>
          <cell r="J1796" t="str">
            <v>용인공장</v>
          </cell>
          <cell r="P1796">
            <v>1360</v>
          </cell>
          <cell r="Q1796">
            <v>350</v>
          </cell>
          <cell r="R1796" t="str">
            <v>파랑</v>
          </cell>
          <cell r="S1796" t="str">
            <v>파랑</v>
          </cell>
          <cell r="U1796">
            <v>45301</v>
          </cell>
          <cell r="V1796" t="str">
            <v>삼일 용인(이관)</v>
          </cell>
          <cell r="AD1796">
            <v>0.85</v>
          </cell>
          <cell r="AE1796">
            <v>65</v>
          </cell>
        </row>
        <row r="1797">
          <cell r="A1797" t="str">
            <v>DTS-1000</v>
          </cell>
          <cell r="B1797" t="str">
            <v>저발</v>
          </cell>
          <cell r="C1797">
            <v>2</v>
          </cell>
          <cell r="D1797">
            <v>100</v>
          </cell>
          <cell r="E1797">
            <v>162</v>
          </cell>
          <cell r="F1797">
            <v>58</v>
          </cell>
          <cell r="G1797" t="str">
            <v>B240NS</v>
          </cell>
          <cell r="H1797">
            <v>20</v>
          </cell>
          <cell r="I1797">
            <v>3</v>
          </cell>
          <cell r="J1797" t="str">
            <v>오비오</v>
          </cell>
          <cell r="O1797">
            <v>900</v>
          </cell>
          <cell r="P1797">
            <v>500</v>
          </cell>
          <cell r="R1797" t="str">
            <v>주황</v>
          </cell>
          <cell r="U1797">
            <v>44662</v>
          </cell>
          <cell r="V1797" t="str">
            <v>이관금형</v>
          </cell>
          <cell r="W1797" t="str">
            <v>50400166, 50400115, 50400114</v>
          </cell>
          <cell r="Y1797">
            <v>50</v>
          </cell>
          <cell r="AC1797" t="str">
            <v>김영석사원</v>
          </cell>
          <cell r="AD1797">
            <v>0.85</v>
          </cell>
        </row>
        <row r="1798">
          <cell r="A1798" t="str">
            <v>DTS-1000</v>
          </cell>
          <cell r="B1798" t="str">
            <v>SET</v>
          </cell>
          <cell r="C1798">
            <v>2</v>
          </cell>
          <cell r="D1798">
            <v>100</v>
          </cell>
          <cell r="E1798">
            <v>162</v>
          </cell>
          <cell r="F1798">
            <v>58</v>
          </cell>
          <cell r="G1798" t="str">
            <v>B240NS</v>
          </cell>
          <cell r="H1798">
            <v>20</v>
          </cell>
          <cell r="I1798">
            <v>3</v>
          </cell>
          <cell r="J1798" t="str">
            <v>오비오</v>
          </cell>
          <cell r="O1798">
            <v>900</v>
          </cell>
          <cell r="P1798">
            <v>500</v>
          </cell>
          <cell r="R1798" t="str">
            <v>주황</v>
          </cell>
          <cell r="U1798">
            <v>44662</v>
          </cell>
          <cell r="V1798" t="str">
            <v>이관금형</v>
          </cell>
          <cell r="W1798" t="str">
            <v>50400166, 50400115, 50400114</v>
          </cell>
          <cell r="Y1798">
            <v>50</v>
          </cell>
          <cell r="AC1798" t="str">
            <v>김영석사원</v>
          </cell>
          <cell r="AD1798">
            <v>0.85</v>
          </cell>
        </row>
        <row r="1799">
          <cell r="A1799" t="str">
            <v>DS3호</v>
          </cell>
          <cell r="B1799" t="str">
            <v>BOX</v>
          </cell>
          <cell r="C1799">
            <v>5</v>
          </cell>
          <cell r="D1799">
            <v>65</v>
          </cell>
          <cell r="E1799">
            <v>114</v>
          </cell>
          <cell r="F1799">
            <v>74</v>
          </cell>
          <cell r="G1799" t="str">
            <v>SE2500M</v>
          </cell>
          <cell r="H1799" t="str">
            <v>몸통12뚜껑24</v>
          </cell>
          <cell r="I1799">
            <v>2</v>
          </cell>
          <cell r="J1799" t="str">
            <v>중부스치로폼</v>
          </cell>
          <cell r="K1799">
            <v>54</v>
          </cell>
          <cell r="L1799">
            <v>58</v>
          </cell>
          <cell r="M1799">
            <v>144</v>
          </cell>
          <cell r="N1799">
            <v>148</v>
          </cell>
          <cell r="O1799">
            <v>530</v>
          </cell>
          <cell r="P1799">
            <v>1360</v>
          </cell>
          <cell r="Q1799">
            <v>250</v>
          </cell>
          <cell r="R1799" t="str">
            <v>빨강</v>
          </cell>
          <cell r="S1799" t="str">
            <v>빨강</v>
          </cell>
          <cell r="T1799" t="str">
            <v>DS3호</v>
          </cell>
          <cell r="U1799">
            <v>41803</v>
          </cell>
          <cell r="V1799" t="str">
            <v>금형제조부</v>
          </cell>
          <cell r="W1799" t="str">
            <v>몸통,뚜껑 따로포장,직가래3개</v>
          </cell>
          <cell r="X1799" t="str">
            <v>A-1105</v>
          </cell>
          <cell r="Y1799">
            <v>64</v>
          </cell>
          <cell r="Z1799">
            <v>7572</v>
          </cell>
          <cell r="AC1799" t="str">
            <v>조우리사원  / 거래처변경 동신→중부스치로폼, 2014.10.24수정2014.12.01기준중량,기준배율변경(120-114,64배)2015.01.07 승인중량(114),,업체승인중량으로 중량관리,2017.05.30포장단위변경(10-&gt;몸통12뚜껑24),190410core1개 파손 4조생산, 2021.05.26재코팅</v>
          </cell>
          <cell r="AD1799">
            <v>0.85</v>
          </cell>
          <cell r="AE1799">
            <v>70</v>
          </cell>
          <cell r="AF1799">
            <v>4</v>
          </cell>
        </row>
        <row r="1800">
          <cell r="A1800" t="str">
            <v>DS1호#2</v>
          </cell>
          <cell r="B1800" t="str">
            <v>BOX</v>
          </cell>
          <cell r="C1800">
            <v>6</v>
          </cell>
          <cell r="D1800">
            <v>65</v>
          </cell>
          <cell r="E1800">
            <v>62</v>
          </cell>
          <cell r="F1800">
            <v>74</v>
          </cell>
          <cell r="G1800" t="str">
            <v>SE2500M</v>
          </cell>
          <cell r="H1800">
            <v>20</v>
          </cell>
          <cell r="I1800">
            <v>2</v>
          </cell>
          <cell r="J1800" t="str">
            <v>중부스치로폼</v>
          </cell>
          <cell r="K1800">
            <v>34</v>
          </cell>
          <cell r="L1800">
            <v>38</v>
          </cell>
          <cell r="M1800">
            <v>108</v>
          </cell>
          <cell r="N1800">
            <v>112</v>
          </cell>
          <cell r="O1800">
            <v>290</v>
          </cell>
          <cell r="P1800">
            <v>1360</v>
          </cell>
          <cell r="Q1800">
            <v>200</v>
          </cell>
          <cell r="R1800" t="str">
            <v>흰색</v>
          </cell>
          <cell r="S1800" t="str">
            <v>흰색</v>
          </cell>
          <cell r="T1800" t="str">
            <v>DS1호(단가 운반비별도단가임)</v>
          </cell>
          <cell r="U1800">
            <v>44529</v>
          </cell>
          <cell r="V1800" t="str">
            <v>금형사업부</v>
          </cell>
          <cell r="W1800" t="str">
            <v>수축,직가래3개</v>
          </cell>
          <cell r="Y1800">
            <v>64</v>
          </cell>
          <cell r="Z1800">
            <v>3965</v>
          </cell>
          <cell r="AC1800" t="str">
            <v>석상준과장,코팅완료</v>
          </cell>
          <cell r="AD1800">
            <v>0.85</v>
          </cell>
          <cell r="AE1800">
            <v>70</v>
          </cell>
        </row>
        <row r="1801">
          <cell r="A1801" t="str">
            <v>DRT90S</v>
          </cell>
          <cell r="B1801" t="str">
            <v>SET</v>
          </cell>
          <cell r="C1801">
            <v>2</v>
          </cell>
          <cell r="D1801">
            <v>80</v>
          </cell>
          <cell r="E1801">
            <v>453</v>
          </cell>
          <cell r="F1801">
            <v>58</v>
          </cell>
          <cell r="G1801" t="str">
            <v>B240NS</v>
          </cell>
          <cell r="H1801">
            <v>5</v>
          </cell>
          <cell r="I1801">
            <v>2</v>
          </cell>
          <cell r="J1801" t="str">
            <v>하츠</v>
          </cell>
          <cell r="K1801">
            <v>98</v>
          </cell>
          <cell r="L1801">
            <v>102</v>
          </cell>
          <cell r="M1801">
            <v>98</v>
          </cell>
          <cell r="N1801">
            <v>102</v>
          </cell>
          <cell r="O1801">
            <v>2060</v>
          </cell>
          <cell r="P1801">
            <v>1360</v>
          </cell>
          <cell r="Q1801">
            <v>200</v>
          </cell>
          <cell r="R1801" t="str">
            <v>보라</v>
          </cell>
          <cell r="S1801" t="str">
            <v>보라</v>
          </cell>
          <cell r="U1801">
            <v>44097</v>
          </cell>
          <cell r="V1801" t="str">
            <v>세일하이테크</v>
          </cell>
          <cell r="W1801" t="str">
            <v>초물중량 (464~497)</v>
          </cell>
          <cell r="Y1801">
            <v>50</v>
          </cell>
          <cell r="Z1801">
            <v>22331</v>
          </cell>
          <cell r="AC1801" t="str">
            <v>석상준과장</v>
          </cell>
          <cell r="AD1801">
            <v>0.83</v>
          </cell>
          <cell r="AF1801">
            <v>6</v>
          </cell>
        </row>
        <row r="1802">
          <cell r="A1802" t="str">
            <v>DR-PAD(대)</v>
          </cell>
          <cell r="B1802" t="str">
            <v>MDRT-003</v>
          </cell>
          <cell r="G1802" t="str">
            <v>SG302</v>
          </cell>
          <cell r="J1802" t="str">
            <v>DRTECH</v>
          </cell>
          <cell r="O1802">
            <v>800</v>
          </cell>
          <cell r="T1802" t="str">
            <v>DR-PAD(대490*490*20T)</v>
          </cell>
          <cell r="U1802">
            <v>39395</v>
          </cell>
          <cell r="Z1802" t="str">
            <v>PAD0.020(490*490*20T)</v>
          </cell>
        </row>
        <row r="1803">
          <cell r="A1803" t="str">
            <v>DR-PAD</v>
          </cell>
          <cell r="B1803" t="str">
            <v>MDRT-002</v>
          </cell>
          <cell r="G1803" t="str">
            <v>SG302</v>
          </cell>
          <cell r="J1803" t="str">
            <v>DRTECH</v>
          </cell>
          <cell r="O1803">
            <v>120</v>
          </cell>
          <cell r="T1803" t="str">
            <v>DR-PAD(490*490*4T)</v>
          </cell>
          <cell r="Z1803" t="str">
            <v>PAD0.020(490*490*4T)</v>
          </cell>
        </row>
        <row r="1804">
          <cell r="A1804" t="str">
            <v>DOORPAD</v>
          </cell>
          <cell r="B1804" t="str">
            <v>PAD</v>
          </cell>
          <cell r="E1804">
            <v>5</v>
          </cell>
          <cell r="J1804" t="str">
            <v>SK매직</v>
          </cell>
        </row>
        <row r="1805">
          <cell r="A1805" t="str">
            <v>DE6D-DRUM-COVER</v>
          </cell>
          <cell r="B1805" t="str">
            <v>저발</v>
          </cell>
          <cell r="C1805" t="str">
            <v>T</v>
          </cell>
          <cell r="D1805">
            <v>300</v>
          </cell>
          <cell r="E1805">
            <v>650</v>
          </cell>
          <cell r="F1805">
            <v>7</v>
          </cell>
          <cell r="G1805" t="str">
            <v>B240NS</v>
          </cell>
          <cell r="H1805">
            <v>20</v>
          </cell>
          <cell r="I1805">
            <v>1</v>
          </cell>
          <cell r="J1805" t="str">
            <v>경성정밀</v>
          </cell>
          <cell r="O1805">
            <v>7800</v>
          </cell>
          <cell r="P1805">
            <v>700</v>
          </cell>
          <cell r="S1805">
            <v>0</v>
          </cell>
          <cell r="T1805" t="str">
            <v>DE6D DRUM COVER</v>
          </cell>
          <cell r="AC1805" t="str">
            <v xml:space="preserve">삼성외주    </v>
          </cell>
          <cell r="AD1805">
            <v>0.95</v>
          </cell>
          <cell r="AE1805">
            <v>300</v>
          </cell>
          <cell r="AF1805">
            <v>2</v>
          </cell>
        </row>
        <row r="1806">
          <cell r="A1806" t="str">
            <v>DDC-65130</v>
          </cell>
          <cell r="B1806" t="str">
            <v>저발</v>
          </cell>
          <cell r="C1806">
            <v>2</v>
          </cell>
          <cell r="D1806">
            <v>100</v>
          </cell>
          <cell r="E1806">
            <v>162</v>
          </cell>
          <cell r="F1806">
            <v>50</v>
          </cell>
          <cell r="G1806" t="str">
            <v>B240NS</v>
          </cell>
          <cell r="H1806">
            <v>10</v>
          </cell>
          <cell r="I1806">
            <v>2</v>
          </cell>
          <cell r="J1806" t="str">
            <v>동명전기</v>
          </cell>
          <cell r="P1806">
            <v>500</v>
          </cell>
          <cell r="R1806" t="str">
            <v>녹색</v>
          </cell>
          <cell r="U1806">
            <v>45135</v>
          </cell>
          <cell r="V1806" t="str">
            <v>삼일 용인(이관)</v>
          </cell>
          <cell r="AD1806">
            <v>0.85</v>
          </cell>
        </row>
        <row r="1807">
          <cell r="A1807" t="str">
            <v>DDC-65130</v>
          </cell>
          <cell r="B1807" t="str">
            <v>SET</v>
          </cell>
          <cell r="C1807">
            <v>2</v>
          </cell>
          <cell r="D1807">
            <v>100</v>
          </cell>
          <cell r="E1807">
            <v>162</v>
          </cell>
          <cell r="F1807">
            <v>50</v>
          </cell>
          <cell r="G1807" t="str">
            <v>B240NS</v>
          </cell>
          <cell r="H1807">
            <v>10</v>
          </cell>
          <cell r="I1807">
            <v>2</v>
          </cell>
          <cell r="J1807" t="str">
            <v>동명전기</v>
          </cell>
          <cell r="P1807">
            <v>500</v>
          </cell>
          <cell r="R1807" t="str">
            <v>녹색</v>
          </cell>
          <cell r="U1807">
            <v>45135</v>
          </cell>
          <cell r="V1807" t="str">
            <v>삼일 용인(이관)</v>
          </cell>
          <cell r="AD1807">
            <v>0.85</v>
          </cell>
        </row>
        <row r="1808">
          <cell r="A1808" t="str">
            <v>D1000PAD</v>
          </cell>
          <cell r="B1808" t="str">
            <v>PAD</v>
          </cell>
          <cell r="J1808" t="str">
            <v>애드라인</v>
          </cell>
          <cell r="O1808">
            <v>33000</v>
          </cell>
          <cell r="P1808" t="str">
            <v>D1000PAD</v>
          </cell>
        </row>
        <row r="1809">
          <cell r="A1809" t="str">
            <v>D1000PAD</v>
          </cell>
          <cell r="B1809" t="str">
            <v>PAD</v>
          </cell>
          <cell r="J1809" t="str">
            <v>애드라인</v>
          </cell>
          <cell r="O1809">
            <v>33000</v>
          </cell>
          <cell r="P1809" t="str">
            <v>D1000PAD</v>
          </cell>
        </row>
        <row r="1810">
          <cell r="A1810" t="str">
            <v>CVVL</v>
          </cell>
          <cell r="B1810" t="str">
            <v>저발</v>
          </cell>
          <cell r="C1810">
            <v>1</v>
          </cell>
          <cell r="D1810">
            <v>633</v>
          </cell>
          <cell r="E1810">
            <v>1000</v>
          </cell>
          <cell r="F1810">
            <v>8</v>
          </cell>
          <cell r="G1810" t="str">
            <v>ZP2500</v>
          </cell>
          <cell r="H1810">
            <v>1</v>
          </cell>
          <cell r="I1810">
            <v>1</v>
          </cell>
          <cell r="J1810" t="str">
            <v>계양전기</v>
          </cell>
          <cell r="K1810">
            <v>70</v>
          </cell>
          <cell r="L1810">
            <v>72</v>
          </cell>
          <cell r="O1810">
            <v>15000</v>
          </cell>
          <cell r="P1810">
            <v>700</v>
          </cell>
          <cell r="S1810">
            <v>0</v>
          </cell>
          <cell r="T1810" t="str">
            <v>CVVL</v>
          </cell>
          <cell r="U1810">
            <v>40646</v>
          </cell>
          <cell r="V1810" t="str">
            <v>금형제조부</v>
          </cell>
          <cell r="W1810" t="str">
            <v>건조철저</v>
          </cell>
          <cell r="X1810" t="str">
            <v>Q-0801</v>
          </cell>
          <cell r="AD1810">
            <v>0.94</v>
          </cell>
          <cell r="AE1810">
            <v>90</v>
          </cell>
          <cell r="AF1810">
            <v>1</v>
          </cell>
        </row>
        <row r="1811">
          <cell r="A1811" t="str">
            <v>CUH</v>
          </cell>
          <cell r="B1811" t="str">
            <v>SET</v>
          </cell>
          <cell r="C1811">
            <v>1</v>
          </cell>
          <cell r="D1811">
            <v>75</v>
          </cell>
          <cell r="E1811">
            <v>430</v>
          </cell>
          <cell r="F1811">
            <v>74</v>
          </cell>
          <cell r="G1811" t="str">
            <v>B240NS</v>
          </cell>
          <cell r="H1811">
            <v>10</v>
          </cell>
          <cell r="I1811">
            <v>2</v>
          </cell>
          <cell r="J1811" t="str">
            <v>하츠</v>
          </cell>
          <cell r="K1811">
            <v>78</v>
          </cell>
          <cell r="L1811">
            <v>82</v>
          </cell>
          <cell r="M1811">
            <v>78</v>
          </cell>
          <cell r="N1811">
            <v>82</v>
          </cell>
          <cell r="O1811">
            <v>2280</v>
          </cell>
          <cell r="P1811">
            <v>1300</v>
          </cell>
          <cell r="Q1811">
            <v>200</v>
          </cell>
          <cell r="R1811" t="str">
            <v xml:space="preserve">파랑 </v>
          </cell>
          <cell r="S1811" t="str">
            <v xml:space="preserve">파랑 </v>
          </cell>
          <cell r="T1811" t="str">
            <v>M310-00295/M310-00296</v>
          </cell>
          <cell r="U1811">
            <v>41719</v>
          </cell>
          <cell r="V1811" t="str">
            <v>하츠이동입고</v>
          </cell>
          <cell r="W1811" t="str">
            <v>초물 500g 내외</v>
          </cell>
          <cell r="X1811" t="str">
            <v>E-0802</v>
          </cell>
          <cell r="AC1811" t="str">
            <v>조우리사원</v>
          </cell>
          <cell r="AD1811">
            <v>0.83</v>
          </cell>
          <cell r="AE1811">
            <v>80</v>
          </cell>
          <cell r="AF1811">
            <v>2</v>
          </cell>
        </row>
        <row r="1812">
          <cell r="A1812" t="str">
            <v>CST-PACKING</v>
          </cell>
          <cell r="B1812" t="str">
            <v>SET</v>
          </cell>
          <cell r="C1812">
            <v>8</v>
          </cell>
          <cell r="D1812">
            <v>71</v>
          </cell>
          <cell r="E1812">
            <v>59</v>
          </cell>
          <cell r="F1812">
            <v>74</v>
          </cell>
          <cell r="G1812" t="str">
            <v>B240NS</v>
          </cell>
          <cell r="H1812">
            <v>20</v>
          </cell>
          <cell r="I1812">
            <v>1</v>
          </cell>
          <cell r="J1812" t="str">
            <v>LGCNS</v>
          </cell>
          <cell r="K1812">
            <v>74</v>
          </cell>
          <cell r="L1812">
            <v>76</v>
          </cell>
          <cell r="O1812">
            <v>380</v>
          </cell>
          <cell r="P1812">
            <v>1500</v>
          </cell>
          <cell r="Q1812">
            <v>200</v>
          </cell>
          <cell r="R1812" t="str">
            <v>검정</v>
          </cell>
          <cell r="S1812" t="str">
            <v>검정</v>
          </cell>
          <cell r="T1812" t="str">
            <v>CST-PACKING</v>
          </cell>
          <cell r="U1812">
            <v>41524</v>
          </cell>
          <cell r="V1812" t="str">
            <v>제일EPS</v>
          </cell>
          <cell r="W1812" t="str">
            <v>4820NZ3130A</v>
          </cell>
          <cell r="X1812" t="str">
            <v>E-1007</v>
          </cell>
          <cell r="AC1812" t="str">
            <v>조우리사원,2013.10.08 코팅</v>
          </cell>
          <cell r="AD1812">
            <v>0.85</v>
          </cell>
          <cell r="AE1812">
            <v>74</v>
          </cell>
          <cell r="AF1812">
            <v>2</v>
          </cell>
        </row>
        <row r="1813">
          <cell r="A1813" t="str">
            <v>C-PRO-UP</v>
          </cell>
          <cell r="B1813" t="str">
            <v>SET</v>
          </cell>
          <cell r="C1813">
            <v>4</v>
          </cell>
          <cell r="D1813">
            <v>70</v>
          </cell>
          <cell r="E1813">
            <v>116</v>
          </cell>
          <cell r="F1813">
            <v>74</v>
          </cell>
          <cell r="G1813" t="str">
            <v>B240NS</v>
          </cell>
          <cell r="H1813">
            <v>10</v>
          </cell>
          <cell r="I1813">
            <v>1</v>
          </cell>
          <cell r="J1813" t="str">
            <v>SK매직</v>
          </cell>
          <cell r="K1813">
            <v>93</v>
          </cell>
          <cell r="L1813">
            <v>97</v>
          </cell>
          <cell r="O1813">
            <v>560</v>
          </cell>
          <cell r="P1813">
            <v>1300</v>
          </cell>
          <cell r="Q1813">
            <v>200</v>
          </cell>
          <cell r="R1813" t="str">
            <v>흰색</v>
          </cell>
          <cell r="S1813" t="str">
            <v>흰색</v>
          </cell>
          <cell r="T1813" t="str">
            <v>DWA C-PRO PAD UP</v>
          </cell>
          <cell r="U1813">
            <v>38136</v>
          </cell>
          <cell r="V1813" t="str">
            <v>삼일금형</v>
          </cell>
          <cell r="W1813" t="str">
            <v>51215-63000</v>
          </cell>
          <cell r="X1813" t="str">
            <v>E-0801</v>
          </cell>
          <cell r="AC1813" t="str">
            <v>2012.01.15기준중량변경(117-&gt;116),2014.08.19배율변경(62배-&gt;65배),2016.08.31수정</v>
          </cell>
          <cell r="AD1813">
            <v>0.85</v>
          </cell>
          <cell r="AE1813">
            <v>75</v>
          </cell>
          <cell r="AF1813">
            <v>4</v>
          </cell>
        </row>
        <row r="1814">
          <cell r="A1814" t="str">
            <v>C-PRO-LOW#3</v>
          </cell>
          <cell r="B1814" t="str">
            <v>SET</v>
          </cell>
          <cell r="C1814">
            <v>2</v>
          </cell>
          <cell r="D1814">
            <v>62</v>
          </cell>
          <cell r="E1814">
            <v>170</v>
          </cell>
          <cell r="F1814">
            <v>74</v>
          </cell>
          <cell r="G1814" t="str">
            <v>B240NS</v>
          </cell>
          <cell r="H1814">
            <v>10</v>
          </cell>
          <cell r="I1814">
            <v>1</v>
          </cell>
          <cell r="J1814" t="str">
            <v>SK매직</v>
          </cell>
          <cell r="K1814">
            <v>101</v>
          </cell>
          <cell r="L1814">
            <v>105</v>
          </cell>
          <cell r="O1814">
            <v>820</v>
          </cell>
          <cell r="P1814">
            <v>1360</v>
          </cell>
          <cell r="Q1814">
            <v>200</v>
          </cell>
          <cell r="R1814" t="str">
            <v>빨강</v>
          </cell>
          <cell r="S1814" t="str">
            <v>빨강</v>
          </cell>
          <cell r="T1814" t="str">
            <v>세미금형</v>
          </cell>
          <cell r="U1814">
            <v>43432</v>
          </cell>
          <cell r="V1814" t="str">
            <v>금형제조부</v>
          </cell>
          <cell r="W1814" t="str">
            <v>51215-62004</v>
          </cell>
          <cell r="X1814" t="str">
            <v>E-0704</v>
          </cell>
          <cell r="AC1814" t="str">
            <v>(빨강+검정)</v>
          </cell>
          <cell r="AD1814">
            <v>0.85</v>
          </cell>
          <cell r="AE1814">
            <v>65</v>
          </cell>
          <cell r="AF1814">
            <v>8</v>
          </cell>
        </row>
        <row r="1815">
          <cell r="A1815" t="str">
            <v>C-PRO-LOW#2</v>
          </cell>
          <cell r="B1815" t="str">
            <v>SET</v>
          </cell>
          <cell r="C1815">
            <v>2</v>
          </cell>
          <cell r="D1815">
            <v>62</v>
          </cell>
          <cell r="E1815">
            <v>170</v>
          </cell>
          <cell r="F1815">
            <v>74</v>
          </cell>
          <cell r="G1815" t="str">
            <v>B240NS</v>
          </cell>
          <cell r="H1815">
            <v>10</v>
          </cell>
          <cell r="I1815">
            <v>1</v>
          </cell>
          <cell r="J1815" t="str">
            <v>SK매직</v>
          </cell>
          <cell r="K1815">
            <v>98</v>
          </cell>
          <cell r="L1815">
            <v>103</v>
          </cell>
          <cell r="O1815">
            <v>820</v>
          </cell>
          <cell r="P1815">
            <v>1360</v>
          </cell>
          <cell r="Q1815">
            <v>200</v>
          </cell>
          <cell r="R1815" t="str">
            <v>빨강</v>
          </cell>
          <cell r="S1815" t="str">
            <v>빨강</v>
          </cell>
          <cell r="T1815" t="str">
            <v>세미금형</v>
          </cell>
          <cell r="U1815">
            <v>43432</v>
          </cell>
          <cell r="V1815" t="str">
            <v>금형제조부</v>
          </cell>
          <cell r="W1815" t="str">
            <v>51215-62004</v>
          </cell>
          <cell r="X1815" t="str">
            <v>E-0704</v>
          </cell>
          <cell r="AC1815" t="str">
            <v>(빨강+검정)</v>
          </cell>
          <cell r="AD1815">
            <v>0.85</v>
          </cell>
          <cell r="AE1815">
            <v>65</v>
          </cell>
          <cell r="AF1815">
            <v>1</v>
          </cell>
        </row>
        <row r="1816">
          <cell r="A1816" t="str">
            <v>C-PRO-LOW</v>
          </cell>
          <cell r="B1816" t="str">
            <v>SET</v>
          </cell>
          <cell r="C1816">
            <v>2</v>
          </cell>
          <cell r="D1816">
            <v>75</v>
          </cell>
          <cell r="E1816">
            <v>170</v>
          </cell>
          <cell r="F1816">
            <v>74</v>
          </cell>
          <cell r="G1816" t="str">
            <v>B240NS</v>
          </cell>
          <cell r="H1816">
            <v>10</v>
          </cell>
          <cell r="I1816">
            <v>1</v>
          </cell>
          <cell r="J1816" t="str">
            <v>SK매직</v>
          </cell>
          <cell r="K1816">
            <v>98</v>
          </cell>
          <cell r="L1816">
            <v>102</v>
          </cell>
          <cell r="O1816">
            <v>820</v>
          </cell>
          <cell r="P1816">
            <v>1300</v>
          </cell>
          <cell r="Q1816">
            <v>200</v>
          </cell>
          <cell r="R1816" t="str">
            <v>빨강</v>
          </cell>
          <cell r="S1816" t="str">
            <v>빨강</v>
          </cell>
          <cell r="T1816" t="str">
            <v>DWA C-PRO PAD LOWER</v>
          </cell>
          <cell r="U1816">
            <v>38134</v>
          </cell>
          <cell r="V1816" t="str">
            <v>삼일금형</v>
          </cell>
          <cell r="W1816" t="str">
            <v>5번에 1번만 비닐 포장, 51215-62004</v>
          </cell>
          <cell r="X1816" t="str">
            <v>E-0704</v>
          </cell>
          <cell r="AC1816" t="str">
            <v>(05.09.07일 코아재제작(자비)), 2011.09.17이동개조, 기준중량변경(225~170),2015.10.09배율변경(62-&gt;65),2017.06.07끈색변경(노랑+검정-&gt;빨강+검정)</v>
          </cell>
          <cell r="AD1816">
            <v>0.85</v>
          </cell>
          <cell r="AE1816">
            <v>75</v>
          </cell>
          <cell r="AF1816">
            <v>4</v>
          </cell>
        </row>
        <row r="1817">
          <cell r="A1817" t="str">
            <v>CORNER-PAD</v>
          </cell>
          <cell r="B1817" t="str">
            <v>저발</v>
          </cell>
          <cell r="C1817">
            <v>6</v>
          </cell>
          <cell r="D1817">
            <v>120</v>
          </cell>
          <cell r="E1817">
            <v>40</v>
          </cell>
          <cell r="F1817">
            <v>74</v>
          </cell>
          <cell r="G1817" t="str">
            <v>B240NS</v>
          </cell>
          <cell r="H1817">
            <v>40</v>
          </cell>
          <cell r="I1817">
            <v>1</v>
          </cell>
          <cell r="J1817" t="str">
            <v>아풍오닉스</v>
          </cell>
          <cell r="K1817">
            <v>83</v>
          </cell>
          <cell r="L1817">
            <v>85</v>
          </cell>
          <cell r="O1817">
            <v>350</v>
          </cell>
          <cell r="P1817">
            <v>700</v>
          </cell>
          <cell r="R1817" t="str">
            <v>녹색</v>
          </cell>
          <cell r="S1817" t="str">
            <v>녹색</v>
          </cell>
          <cell r="U1817">
            <v>42664</v>
          </cell>
          <cell r="V1817" t="str">
            <v>금형제조부</v>
          </cell>
          <cell r="Z1817">
            <v>2381</v>
          </cell>
          <cell r="AC1817" t="str">
            <v>최재학사원 2018. 10.03. 68배--&gt;74배</v>
          </cell>
          <cell r="AD1817">
            <v>0.85</v>
          </cell>
          <cell r="AE1817">
            <v>100</v>
          </cell>
          <cell r="AF1817">
            <v>8</v>
          </cell>
        </row>
        <row r="1818">
          <cell r="A1818" t="str">
            <v>COMPACT</v>
          </cell>
          <cell r="B1818" t="str">
            <v>SET</v>
          </cell>
          <cell r="C1818">
            <v>4</v>
          </cell>
          <cell r="D1818">
            <v>74</v>
          </cell>
          <cell r="E1818">
            <v>135</v>
          </cell>
          <cell r="F1818">
            <v>65</v>
          </cell>
          <cell r="G1818" t="str">
            <v>B240NS/S350</v>
          </cell>
          <cell r="H1818">
            <v>6</v>
          </cell>
          <cell r="I1818">
            <v>1</v>
          </cell>
          <cell r="J1818" t="str">
            <v>SK매직</v>
          </cell>
          <cell r="P1818">
            <v>1360</v>
          </cell>
          <cell r="Q1818">
            <v>300</v>
          </cell>
          <cell r="R1818" t="str">
            <v>녹색</v>
          </cell>
          <cell r="S1818" t="str">
            <v>녹색</v>
          </cell>
          <cell r="U1818">
            <v>43545</v>
          </cell>
          <cell r="V1818" t="str">
            <v>금형제조부</v>
          </cell>
          <cell r="AD1818">
            <v>0.85</v>
          </cell>
          <cell r="AE1818">
            <v>75</v>
          </cell>
          <cell r="AF1818">
            <v>1</v>
          </cell>
        </row>
        <row r="1819">
          <cell r="A1819" t="str">
            <v>COLD외장재</v>
          </cell>
          <cell r="B1819" t="str">
            <v>SET</v>
          </cell>
          <cell r="C1819">
            <v>2</v>
          </cell>
          <cell r="D1819">
            <v>65</v>
          </cell>
          <cell r="E1819">
            <v>200</v>
          </cell>
          <cell r="F1819">
            <v>70</v>
          </cell>
          <cell r="G1819" t="str">
            <v>B240NS</v>
          </cell>
          <cell r="H1819">
            <v>10</v>
          </cell>
          <cell r="I1819">
            <v>2</v>
          </cell>
          <cell r="J1819" t="str">
            <v>SK매직</v>
          </cell>
          <cell r="K1819">
            <v>73</v>
          </cell>
          <cell r="L1819">
            <v>77</v>
          </cell>
          <cell r="M1819">
            <v>73</v>
          </cell>
          <cell r="N1819">
            <v>77</v>
          </cell>
          <cell r="O1819">
            <v>948</v>
          </cell>
          <cell r="P1819">
            <v>1300</v>
          </cell>
          <cell r="Q1819">
            <v>150</v>
          </cell>
          <cell r="R1819" t="str">
            <v>검정</v>
          </cell>
          <cell r="S1819" t="str">
            <v>검정</v>
          </cell>
          <cell r="T1819" t="str">
            <v>COLD외장재</v>
          </cell>
          <cell r="U1819">
            <v>39580</v>
          </cell>
          <cell r="V1819" t="str">
            <v>삼일금형</v>
          </cell>
          <cell r="W1819" t="str">
            <v>57912-66000,65000</v>
          </cell>
          <cell r="X1819" t="str">
            <v>E-0803</v>
          </cell>
          <cell r="AC1819" t="str">
            <v>2012.05.24개조,2013.03.18 LOW끈색 변경(노랑-&gt;흰색),2013.03.21개조, 2013.04.25기준중량변경(204-&gt;200),2013.07.01 끈색변경(검정,흰색-&gt; 검정)</v>
          </cell>
          <cell r="AD1819">
            <v>0.85</v>
          </cell>
          <cell r="AE1819">
            <v>65</v>
          </cell>
          <cell r="AF1819">
            <v>2</v>
          </cell>
        </row>
        <row r="1820">
          <cell r="A1820" t="str">
            <v>CN7</v>
          </cell>
          <cell r="B1820" t="str">
            <v>SET</v>
          </cell>
          <cell r="C1820">
            <v>2</v>
          </cell>
          <cell r="D1820">
            <v>100</v>
          </cell>
          <cell r="E1820">
            <v>757</v>
          </cell>
          <cell r="F1820">
            <v>70</v>
          </cell>
          <cell r="G1820" t="str">
            <v>SG302AN</v>
          </cell>
          <cell r="H1820">
            <v>4</v>
          </cell>
          <cell r="I1820">
            <v>2</v>
          </cell>
          <cell r="J1820" t="str">
            <v>모트렉스</v>
          </cell>
          <cell r="K1820">
            <v>58</v>
          </cell>
          <cell r="L1820">
            <v>62</v>
          </cell>
          <cell r="M1820">
            <v>193</v>
          </cell>
          <cell r="N1820">
            <v>197</v>
          </cell>
          <cell r="P1820">
            <v>1360</v>
          </cell>
          <cell r="Q1820">
            <v>300</v>
          </cell>
          <cell r="R1820" t="str">
            <v>검정</v>
          </cell>
          <cell r="S1820" t="str">
            <v>빨강</v>
          </cell>
          <cell r="T1820" t="str">
            <v>스티로폼(TL/CKD/584*476*270)</v>
          </cell>
          <cell r="U1820">
            <v>43243</v>
          </cell>
          <cell r="V1820" t="str">
            <v>이관금형</v>
          </cell>
          <cell r="W1820" t="str">
            <v>2번 건조, SC721017A-1</v>
          </cell>
          <cell r="Y1820">
            <v>64</v>
          </cell>
          <cell r="AC1820" t="str">
            <v>최재학계장, 190102 아산대여, 2020.02.25 수리입고</v>
          </cell>
          <cell r="AD1820">
            <v>0.85</v>
          </cell>
          <cell r="AE1820">
            <v>75</v>
          </cell>
          <cell r="AF1820">
            <v>4</v>
          </cell>
        </row>
        <row r="1821">
          <cell r="A1821" t="str">
            <v>CK04</v>
          </cell>
          <cell r="B1821" t="str">
            <v>SET</v>
          </cell>
          <cell r="C1821">
            <v>7</v>
          </cell>
          <cell r="D1821">
            <v>80</v>
          </cell>
          <cell r="E1821">
            <v>92</v>
          </cell>
          <cell r="F1821">
            <v>50</v>
          </cell>
          <cell r="G1821" t="str">
            <v>B240NS</v>
          </cell>
          <cell r="H1821">
            <v>20</v>
          </cell>
          <cell r="I1821">
            <v>2</v>
          </cell>
          <cell r="J1821" t="str">
            <v>OVIO</v>
          </cell>
          <cell r="K1821">
            <v>175</v>
          </cell>
          <cell r="L1821">
            <v>177</v>
          </cell>
          <cell r="M1821">
            <v>43</v>
          </cell>
          <cell r="N1821">
            <v>45</v>
          </cell>
          <cell r="O1821">
            <v>733</v>
          </cell>
          <cell r="P1821">
            <v>1360</v>
          </cell>
          <cell r="Q1821">
            <v>300</v>
          </cell>
          <cell r="R1821" t="str">
            <v>검정</v>
          </cell>
          <cell r="S1821" t="str">
            <v>검정</v>
          </cell>
          <cell r="T1821" t="str">
            <v>CK04</v>
          </cell>
          <cell r="U1821">
            <v>42016</v>
          </cell>
          <cell r="V1821" t="str">
            <v>금형제조부</v>
          </cell>
          <cell r="X1821" t="str">
            <v>A-1006</v>
          </cell>
          <cell r="Y1821">
            <v>35</v>
          </cell>
          <cell r="AC1821" t="str">
            <v>최재학사원,2015.07.20 BOT 8EA CAVITY 전용 휘다 수정 입고,2018.02.19배율변경(40배-&gt;42배), 2022.05.06 끈색변경 (주황→검정)</v>
          </cell>
          <cell r="AD1821">
            <v>0.85</v>
          </cell>
          <cell r="AE1821">
            <v>90</v>
          </cell>
          <cell r="AF1821">
            <v>2</v>
          </cell>
        </row>
        <row r="1822">
          <cell r="A1822" t="str">
            <v>CHR-03</v>
          </cell>
          <cell r="B1822" t="str">
            <v>SET</v>
          </cell>
          <cell r="C1822" t="str">
            <v>8</v>
          </cell>
          <cell r="D1822">
            <v>100</v>
          </cell>
          <cell r="E1822">
            <v>60</v>
          </cell>
          <cell r="F1822">
            <v>70</v>
          </cell>
          <cell r="G1822" t="str">
            <v>B240NS</v>
          </cell>
          <cell r="H1822" t="str">
            <v>40</v>
          </cell>
          <cell r="I1822">
            <v>1</v>
          </cell>
          <cell r="J1822" t="str">
            <v>코웨이</v>
          </cell>
          <cell r="K1822">
            <v>113</v>
          </cell>
          <cell r="L1822">
            <v>117</v>
          </cell>
          <cell r="P1822">
            <v>1360</v>
          </cell>
          <cell r="Q1822">
            <v>200</v>
          </cell>
          <cell r="R1822" t="str">
            <v>흰색</v>
          </cell>
          <cell r="U1822">
            <v>44371</v>
          </cell>
          <cell r="V1822" t="str">
            <v>금형사업부</v>
          </cell>
          <cell r="W1822" t="str">
            <v>전자레인지쿠션,21,11,9 코아2개 파손 수리</v>
          </cell>
          <cell r="Y1822">
            <v>60</v>
          </cell>
          <cell r="Z1822">
            <v>3453</v>
          </cell>
          <cell r="AC1822" t="str">
            <v>김영석사원</v>
          </cell>
          <cell r="AD1822">
            <v>0.85</v>
          </cell>
          <cell r="AF1822">
            <v>2</v>
          </cell>
        </row>
        <row r="1823">
          <cell r="A1823" t="str">
            <v>CHPI-7440N-UP</v>
          </cell>
          <cell r="B1823" t="str">
            <v>SET</v>
          </cell>
          <cell r="E1823">
            <v>153</v>
          </cell>
          <cell r="F1823">
            <v>58</v>
          </cell>
          <cell r="G1823" t="str">
            <v>B240NS</v>
          </cell>
          <cell r="J1823" t="str">
            <v>코웨이</v>
          </cell>
          <cell r="P1823">
            <v>1300</v>
          </cell>
          <cell r="Q1823">
            <v>200</v>
          </cell>
          <cell r="R1823" t="str">
            <v>녹색</v>
          </cell>
          <cell r="S1823" t="str">
            <v>PAD</v>
          </cell>
          <cell r="U1823">
            <v>44286</v>
          </cell>
          <cell r="V1823" t="str">
            <v>세일하이테크 이관금형</v>
          </cell>
          <cell r="W1823" t="str">
            <v xml:space="preserve">AP-2021A/1521B LOWER A'SSY 제품 비닐포장 할 것 </v>
          </cell>
          <cell r="AD1823">
            <v>0.85</v>
          </cell>
          <cell r="AF1823">
            <v>8</v>
          </cell>
        </row>
        <row r="1824">
          <cell r="A1824" t="str">
            <v>CHPI-7440N-LOW</v>
          </cell>
          <cell r="B1824" t="str">
            <v>SET</v>
          </cell>
          <cell r="E1824">
            <v>191</v>
          </cell>
          <cell r="F1824">
            <v>58</v>
          </cell>
          <cell r="G1824" t="str">
            <v>B240NS</v>
          </cell>
          <cell r="J1824" t="str">
            <v>코웨이</v>
          </cell>
          <cell r="P1824">
            <v>1300</v>
          </cell>
          <cell r="Q1824">
            <v>200</v>
          </cell>
          <cell r="R1824" t="str">
            <v>녹색</v>
          </cell>
          <cell r="U1824">
            <v>44286</v>
          </cell>
          <cell r="V1824" t="str">
            <v>세일하이테크 이관금형</v>
          </cell>
          <cell r="AD1824">
            <v>0.85</v>
          </cell>
          <cell r="AF1824">
            <v>6</v>
          </cell>
        </row>
        <row r="1825">
          <cell r="A1825" t="str">
            <v>CHPI-7440N</v>
          </cell>
          <cell r="B1825" t="str">
            <v>SET</v>
          </cell>
          <cell r="C1825">
            <v>2</v>
          </cell>
          <cell r="D1825">
            <v>70</v>
          </cell>
          <cell r="E1825">
            <v>344</v>
          </cell>
          <cell r="F1825">
            <v>58</v>
          </cell>
          <cell r="G1825" t="str">
            <v>B240NS</v>
          </cell>
          <cell r="I1825">
            <v>2</v>
          </cell>
          <cell r="J1825" t="str">
            <v>코웨이</v>
          </cell>
          <cell r="K1825">
            <v>97</v>
          </cell>
          <cell r="L1825">
            <v>103</v>
          </cell>
          <cell r="M1825">
            <v>122</v>
          </cell>
          <cell r="N1825">
            <v>128</v>
          </cell>
          <cell r="P1825">
            <v>1300</v>
          </cell>
          <cell r="Q1825">
            <v>200</v>
          </cell>
          <cell r="R1825" t="str">
            <v>녹색</v>
          </cell>
          <cell r="S1825" t="str">
            <v>PAD</v>
          </cell>
          <cell r="U1825">
            <v>44286</v>
          </cell>
          <cell r="V1825" t="str">
            <v>세일하이테크 이관금형</v>
          </cell>
          <cell r="Y1825">
            <v>50</v>
          </cell>
          <cell r="AC1825" t="str">
            <v>석상준과장, 2021.05.06사용배율 변경(70-&gt;74), 2021.12.01모델명변경(AP-2021A/1521B-&gt;노블청정기)</v>
          </cell>
          <cell r="AD1825">
            <v>0.85</v>
          </cell>
          <cell r="AF1825">
            <v>6</v>
          </cell>
        </row>
        <row r="1826">
          <cell r="A1826" t="str">
            <v>CHPCI-7440N-UP</v>
          </cell>
          <cell r="B1826" t="str">
            <v>SET</v>
          </cell>
          <cell r="C1826">
            <v>2</v>
          </cell>
          <cell r="D1826">
            <v>150</v>
          </cell>
          <cell r="E1826">
            <v>153</v>
          </cell>
          <cell r="F1826">
            <v>60</v>
          </cell>
          <cell r="G1826" t="str">
            <v>B240NS</v>
          </cell>
          <cell r="I1826">
            <v>2</v>
          </cell>
          <cell r="J1826" t="str">
            <v>코웨이</v>
          </cell>
          <cell r="P1826">
            <v>1360</v>
          </cell>
          <cell r="Q1826">
            <v>200</v>
          </cell>
          <cell r="U1826">
            <v>46058</v>
          </cell>
          <cell r="V1826" t="str">
            <v>제이티</v>
          </cell>
          <cell r="AD1826">
            <v>0.85</v>
          </cell>
          <cell r="AE1826">
            <v>120</v>
          </cell>
        </row>
        <row r="1827">
          <cell r="A1827" t="str">
            <v>CHPCI-7440N-LOW</v>
          </cell>
          <cell r="B1827" t="str">
            <v>SET</v>
          </cell>
          <cell r="C1827">
            <v>2</v>
          </cell>
          <cell r="D1827">
            <v>150</v>
          </cell>
          <cell r="E1827">
            <v>191</v>
          </cell>
          <cell r="F1827">
            <v>60</v>
          </cell>
          <cell r="G1827" t="str">
            <v>B240NS</v>
          </cell>
          <cell r="I1827">
            <v>2</v>
          </cell>
          <cell r="J1827" t="str">
            <v>코웨이</v>
          </cell>
          <cell r="P1827">
            <v>1360</v>
          </cell>
          <cell r="Q1827">
            <v>200</v>
          </cell>
          <cell r="U1827">
            <v>46058</v>
          </cell>
          <cell r="V1827" t="str">
            <v>제이티</v>
          </cell>
          <cell r="AD1827">
            <v>0.85</v>
          </cell>
          <cell r="AE1827">
            <v>120</v>
          </cell>
        </row>
        <row r="1828">
          <cell r="A1828" t="str">
            <v>CHPCI-7440N</v>
          </cell>
          <cell r="B1828" t="str">
            <v>SET</v>
          </cell>
          <cell r="C1828">
            <v>2</v>
          </cell>
          <cell r="D1828">
            <v>150</v>
          </cell>
          <cell r="E1828">
            <v>344</v>
          </cell>
          <cell r="F1828">
            <v>60</v>
          </cell>
          <cell r="G1828" t="str">
            <v>B240NS</v>
          </cell>
          <cell r="I1828">
            <v>2</v>
          </cell>
          <cell r="J1828" t="str">
            <v>코웨이</v>
          </cell>
          <cell r="P1828">
            <v>1360</v>
          </cell>
          <cell r="Q1828">
            <v>200</v>
          </cell>
          <cell r="U1828">
            <v>46058</v>
          </cell>
          <cell r="V1828" t="str">
            <v>제이티</v>
          </cell>
          <cell r="AD1828">
            <v>0.85</v>
          </cell>
          <cell r="AE1828">
            <v>120</v>
          </cell>
        </row>
        <row r="1829">
          <cell r="A1829" t="str">
            <v>CHPCI-7440N</v>
          </cell>
          <cell r="B1829" t="str">
            <v>SET</v>
          </cell>
          <cell r="C1829">
            <v>2</v>
          </cell>
          <cell r="D1829">
            <v>150</v>
          </cell>
          <cell r="E1829">
            <v>344</v>
          </cell>
          <cell r="F1829">
            <v>60</v>
          </cell>
          <cell r="G1829" t="str">
            <v>B240NS</v>
          </cell>
          <cell r="I1829">
            <v>2</v>
          </cell>
          <cell r="J1829" t="str">
            <v>코웨이</v>
          </cell>
          <cell r="P1829">
            <v>1360</v>
          </cell>
          <cell r="Q1829">
            <v>200</v>
          </cell>
          <cell r="U1829">
            <v>46058</v>
          </cell>
          <cell r="V1829" t="str">
            <v>제이티</v>
          </cell>
          <cell r="AD1829">
            <v>0.85</v>
          </cell>
          <cell r="AE1829">
            <v>120</v>
          </cell>
        </row>
        <row r="1830">
          <cell r="A1830" t="str">
            <v>CHP-5730-REAR</v>
          </cell>
          <cell r="B1830" t="str">
            <v>회색</v>
          </cell>
          <cell r="C1830">
            <v>8</v>
          </cell>
          <cell r="D1830">
            <v>160</v>
          </cell>
          <cell r="E1830">
            <v>36</v>
          </cell>
          <cell r="F1830">
            <v>48</v>
          </cell>
          <cell r="G1830" t="str">
            <v>FI-351</v>
          </cell>
          <cell r="H1830" t="str">
            <v>생산30,포장반40</v>
          </cell>
          <cell r="I1830">
            <v>1</v>
          </cell>
          <cell r="J1830" t="str">
            <v>코웨이</v>
          </cell>
          <cell r="K1830">
            <v>76.099999999999994</v>
          </cell>
          <cell r="L1830">
            <v>77.7</v>
          </cell>
          <cell r="P1830">
            <v>1360</v>
          </cell>
          <cell r="Q1830">
            <v>200</v>
          </cell>
          <cell r="R1830" t="str">
            <v>박스</v>
          </cell>
          <cell r="U1830">
            <v>45736</v>
          </cell>
          <cell r="V1830" t="str">
            <v>대부</v>
          </cell>
          <cell r="AD1830">
            <v>0.85</v>
          </cell>
          <cell r="AE1830">
            <v>80</v>
          </cell>
        </row>
        <row r="1831">
          <cell r="A1831" t="str">
            <v>CHP-5730-REAR</v>
          </cell>
          <cell r="B1831" t="str">
            <v>회색</v>
          </cell>
          <cell r="C1831">
            <v>8</v>
          </cell>
          <cell r="D1831">
            <v>160</v>
          </cell>
          <cell r="E1831">
            <v>36</v>
          </cell>
          <cell r="F1831">
            <v>48</v>
          </cell>
          <cell r="G1831" t="str">
            <v>FI-351</v>
          </cell>
          <cell r="H1831" t="str">
            <v>생산30,포장반40</v>
          </cell>
          <cell r="I1831">
            <v>1</v>
          </cell>
          <cell r="J1831" t="str">
            <v>코웨이</v>
          </cell>
          <cell r="K1831">
            <v>76.099999999999994</v>
          </cell>
          <cell r="L1831">
            <v>77.7</v>
          </cell>
          <cell r="P1831">
            <v>1360</v>
          </cell>
          <cell r="Q1831">
            <v>200</v>
          </cell>
          <cell r="R1831" t="str">
            <v>박스</v>
          </cell>
          <cell r="U1831">
            <v>45736</v>
          </cell>
          <cell r="V1831" t="str">
            <v>대부</v>
          </cell>
          <cell r="AD1831">
            <v>0.85</v>
          </cell>
          <cell r="AE1831">
            <v>80</v>
          </cell>
        </row>
        <row r="1832">
          <cell r="A1832" t="str">
            <v>CHP-5730-LOWER</v>
          </cell>
          <cell r="B1832" t="str">
            <v>회색</v>
          </cell>
          <cell r="C1832">
            <v>6</v>
          </cell>
          <cell r="D1832">
            <v>160</v>
          </cell>
          <cell r="E1832">
            <v>76</v>
          </cell>
          <cell r="F1832">
            <v>48</v>
          </cell>
          <cell r="G1832" t="str">
            <v>FI-351</v>
          </cell>
          <cell r="H1832" t="str">
            <v>생산10,포장반18</v>
          </cell>
          <cell r="I1832">
            <v>1</v>
          </cell>
          <cell r="J1832" t="str">
            <v>코웨이</v>
          </cell>
          <cell r="K1832">
            <v>235.5</v>
          </cell>
          <cell r="L1832">
            <v>239.5</v>
          </cell>
          <cell r="P1832">
            <v>1360</v>
          </cell>
          <cell r="Q1832">
            <v>350</v>
          </cell>
          <cell r="R1832" t="str">
            <v>박스</v>
          </cell>
          <cell r="U1832">
            <v>45736</v>
          </cell>
          <cell r="V1832" t="str">
            <v>대부</v>
          </cell>
          <cell r="AD1832">
            <v>0.85</v>
          </cell>
          <cell r="AE1832">
            <v>80</v>
          </cell>
        </row>
        <row r="1833">
          <cell r="A1833" t="str">
            <v>CHP-5730-LOWER</v>
          </cell>
          <cell r="B1833" t="str">
            <v>회색</v>
          </cell>
          <cell r="C1833">
            <v>6</v>
          </cell>
          <cell r="D1833">
            <v>160</v>
          </cell>
          <cell r="E1833">
            <v>76</v>
          </cell>
          <cell r="F1833">
            <v>48</v>
          </cell>
          <cell r="G1833" t="str">
            <v>FI-351</v>
          </cell>
          <cell r="H1833" t="str">
            <v>생산10,포장반18</v>
          </cell>
          <cell r="I1833">
            <v>1</v>
          </cell>
          <cell r="J1833" t="str">
            <v>코웨이</v>
          </cell>
          <cell r="K1833">
            <v>235.5</v>
          </cell>
          <cell r="L1833">
            <v>239.5</v>
          </cell>
          <cell r="P1833">
            <v>1360</v>
          </cell>
          <cell r="Q1833">
            <v>350</v>
          </cell>
          <cell r="R1833" t="str">
            <v>박스</v>
          </cell>
          <cell r="U1833">
            <v>45736</v>
          </cell>
          <cell r="V1833" t="str">
            <v>대부</v>
          </cell>
          <cell r="AD1833">
            <v>0.85</v>
          </cell>
          <cell r="AE1833">
            <v>80</v>
          </cell>
        </row>
        <row r="1834">
          <cell r="A1834" t="str">
            <v>CHP-5730-FRONT</v>
          </cell>
          <cell r="B1834" t="str">
            <v>회색</v>
          </cell>
          <cell r="C1834">
            <v>8</v>
          </cell>
          <cell r="D1834">
            <v>160</v>
          </cell>
          <cell r="E1834">
            <v>8</v>
          </cell>
          <cell r="F1834">
            <v>48</v>
          </cell>
          <cell r="G1834" t="str">
            <v>FI-351</v>
          </cell>
          <cell r="H1834" t="str">
            <v>생산50,포장반150</v>
          </cell>
          <cell r="I1834">
            <v>1</v>
          </cell>
          <cell r="J1834" t="str">
            <v>코웨이</v>
          </cell>
          <cell r="K1834">
            <v>41.2</v>
          </cell>
          <cell r="L1834">
            <v>42.8</v>
          </cell>
          <cell r="P1834">
            <v>1360</v>
          </cell>
          <cell r="Q1834">
            <v>150</v>
          </cell>
          <cell r="R1834" t="str">
            <v>박스</v>
          </cell>
          <cell r="U1834">
            <v>45736</v>
          </cell>
          <cell r="V1834" t="str">
            <v>대부</v>
          </cell>
          <cell r="AD1834">
            <v>0.85</v>
          </cell>
          <cell r="AE1834">
            <v>80</v>
          </cell>
        </row>
        <row r="1835">
          <cell r="A1835" t="str">
            <v>CHP-5730-FRONT</v>
          </cell>
          <cell r="B1835" t="str">
            <v>회색</v>
          </cell>
          <cell r="C1835">
            <v>8</v>
          </cell>
          <cell r="D1835">
            <v>160</v>
          </cell>
          <cell r="E1835">
            <v>8</v>
          </cell>
          <cell r="F1835">
            <v>48</v>
          </cell>
          <cell r="G1835" t="str">
            <v>FI-351</v>
          </cell>
          <cell r="H1835" t="str">
            <v>생산50,포장반150</v>
          </cell>
          <cell r="I1835">
            <v>1</v>
          </cell>
          <cell r="J1835" t="str">
            <v>코웨이</v>
          </cell>
          <cell r="K1835">
            <v>41.2</v>
          </cell>
          <cell r="L1835">
            <v>42.8</v>
          </cell>
          <cell r="P1835">
            <v>1360</v>
          </cell>
          <cell r="Q1835">
            <v>150</v>
          </cell>
          <cell r="R1835" t="str">
            <v>박스</v>
          </cell>
          <cell r="U1835">
            <v>45736</v>
          </cell>
          <cell r="V1835" t="str">
            <v>대부</v>
          </cell>
          <cell r="AD1835">
            <v>0.85</v>
          </cell>
          <cell r="AE1835">
            <v>80</v>
          </cell>
        </row>
        <row r="1836">
          <cell r="A1836" t="str">
            <v>CHP-4600N-TRAY</v>
          </cell>
          <cell r="B1836" t="str">
            <v>SET</v>
          </cell>
          <cell r="C1836">
            <v>8</v>
          </cell>
          <cell r="D1836">
            <v>110</v>
          </cell>
          <cell r="E1836">
            <v>45</v>
          </cell>
          <cell r="F1836">
            <v>50</v>
          </cell>
          <cell r="G1836" t="str">
            <v>B240NS</v>
          </cell>
          <cell r="H1836">
            <v>20</v>
          </cell>
          <cell r="I1836">
            <v>1</v>
          </cell>
          <cell r="J1836" t="str">
            <v>오비오</v>
          </cell>
          <cell r="K1836">
            <v>137.5</v>
          </cell>
          <cell r="L1836">
            <v>141.5</v>
          </cell>
          <cell r="P1836">
            <v>1360</v>
          </cell>
          <cell r="Q1836">
            <v>250</v>
          </cell>
          <cell r="R1836" t="str">
            <v>보라</v>
          </cell>
          <cell r="U1836">
            <v>45456</v>
          </cell>
          <cell r="V1836" t="str">
            <v>금형사업부</v>
          </cell>
          <cell r="AD1836">
            <v>0.85</v>
          </cell>
        </row>
        <row r="1837">
          <cell r="A1837" t="str">
            <v>CHP-4600N-TRAY</v>
          </cell>
          <cell r="B1837" t="str">
            <v>SET</v>
          </cell>
          <cell r="C1837">
            <v>8</v>
          </cell>
          <cell r="D1837">
            <v>100</v>
          </cell>
          <cell r="E1837">
            <v>45</v>
          </cell>
          <cell r="F1837">
            <v>50</v>
          </cell>
          <cell r="G1837" t="str">
            <v>B240NS</v>
          </cell>
          <cell r="H1837">
            <v>20</v>
          </cell>
          <cell r="I1837">
            <v>1</v>
          </cell>
          <cell r="J1837" t="str">
            <v>오비오</v>
          </cell>
          <cell r="K1837">
            <v>137.5</v>
          </cell>
          <cell r="L1837">
            <v>141.5</v>
          </cell>
          <cell r="P1837">
            <v>1360</v>
          </cell>
          <cell r="Q1837">
            <v>250</v>
          </cell>
          <cell r="R1837" t="str">
            <v>보라</v>
          </cell>
          <cell r="U1837">
            <v>45456</v>
          </cell>
          <cell r="V1837" t="str">
            <v>금형사업부</v>
          </cell>
        </row>
        <row r="1838">
          <cell r="A1838" t="str">
            <v>CHP-4600N ASS'Y</v>
          </cell>
          <cell r="B1838" t="str">
            <v>SET</v>
          </cell>
          <cell r="C1838">
            <v>3</v>
          </cell>
          <cell r="D1838">
            <v>110</v>
          </cell>
          <cell r="E1838">
            <v>247</v>
          </cell>
          <cell r="F1838">
            <v>30</v>
          </cell>
          <cell r="G1838" t="str">
            <v>B240NS</v>
          </cell>
          <cell r="H1838" t="str">
            <v>TOP:15/BOT:15</v>
          </cell>
          <cell r="I1838">
            <v>2</v>
          </cell>
          <cell r="J1838" t="str">
            <v>오비오</v>
          </cell>
          <cell r="K1838">
            <v>53</v>
          </cell>
          <cell r="L1838">
            <v>57</v>
          </cell>
          <cell r="M1838">
            <v>53.5</v>
          </cell>
          <cell r="N1838">
            <v>57.5</v>
          </cell>
          <cell r="P1838">
            <v>1360</v>
          </cell>
          <cell r="Q1838">
            <v>250</v>
          </cell>
          <cell r="R1838" t="str">
            <v>파랑</v>
          </cell>
          <cell r="S1838" t="str">
            <v>빨강</v>
          </cell>
          <cell r="T1838" t="str">
            <v>패드 작업</v>
          </cell>
          <cell r="U1838">
            <v>45456</v>
          </cell>
          <cell r="V1838" t="str">
            <v>금형사업부</v>
          </cell>
          <cell r="W1838" t="str">
            <v>t117 파랑,b130빨강</v>
          </cell>
          <cell r="AD1838">
            <v>0.85</v>
          </cell>
        </row>
        <row r="1839">
          <cell r="A1839" t="str">
            <v>CHP-4600N ASS'Y</v>
          </cell>
          <cell r="B1839" t="str">
            <v>SET</v>
          </cell>
          <cell r="C1839">
            <v>3</v>
          </cell>
          <cell r="D1839">
            <v>100</v>
          </cell>
          <cell r="E1839">
            <v>247</v>
          </cell>
          <cell r="F1839">
            <v>30</v>
          </cell>
          <cell r="G1839" t="str">
            <v>B240NS</v>
          </cell>
          <cell r="H1839" t="str">
            <v>TOP:15/BOT:15</v>
          </cell>
          <cell r="I1839">
            <v>2</v>
          </cell>
          <cell r="J1839" t="str">
            <v>오비오</v>
          </cell>
          <cell r="K1839">
            <v>53</v>
          </cell>
          <cell r="L1839">
            <v>57</v>
          </cell>
          <cell r="M1839">
            <v>53.5</v>
          </cell>
          <cell r="N1839">
            <v>57.5</v>
          </cell>
          <cell r="P1839">
            <v>1360</v>
          </cell>
          <cell r="Q1839">
            <v>250</v>
          </cell>
          <cell r="R1839" t="str">
            <v>파랑</v>
          </cell>
          <cell r="S1839" t="str">
            <v>빨강</v>
          </cell>
          <cell r="T1839" t="str">
            <v>패드 작업</v>
          </cell>
          <cell r="U1839">
            <v>45456</v>
          </cell>
          <cell r="V1839" t="str">
            <v>금형사업부</v>
          </cell>
          <cell r="W1839" t="str">
            <v>t117 파랑,b130빨강</v>
          </cell>
        </row>
        <row r="1840">
          <cell r="A1840" t="str">
            <v>CHP-4600N</v>
          </cell>
          <cell r="B1840" t="str">
            <v>SET</v>
          </cell>
          <cell r="C1840">
            <v>3</v>
          </cell>
          <cell r="D1840">
            <v>120</v>
          </cell>
          <cell r="E1840">
            <v>247</v>
          </cell>
          <cell r="F1840">
            <v>30</v>
          </cell>
          <cell r="G1840" t="str">
            <v>B240NS</v>
          </cell>
          <cell r="H1840" t="str">
            <v>TOP:15/BOT:15</v>
          </cell>
          <cell r="I1840">
            <v>2</v>
          </cell>
          <cell r="J1840" t="str">
            <v>오비오</v>
          </cell>
          <cell r="K1840">
            <v>53</v>
          </cell>
          <cell r="L1840">
            <v>57</v>
          </cell>
          <cell r="M1840">
            <v>53.5</v>
          </cell>
          <cell r="N1840">
            <v>57.5</v>
          </cell>
          <cell r="P1840">
            <v>1360</v>
          </cell>
          <cell r="Q1840">
            <v>250</v>
          </cell>
          <cell r="R1840" t="str">
            <v>파랑</v>
          </cell>
          <cell r="S1840" t="str">
            <v>빨강</v>
          </cell>
          <cell r="U1840">
            <v>45456</v>
          </cell>
          <cell r="V1840" t="str">
            <v>금형사업부</v>
          </cell>
          <cell r="W1840" t="str">
            <v>t117 파랑,b130빨강</v>
          </cell>
          <cell r="AD1840">
            <v>0.85</v>
          </cell>
        </row>
        <row r="1841">
          <cell r="A1841" t="str">
            <v>CHP-4600N</v>
          </cell>
          <cell r="B1841" t="str">
            <v>SET</v>
          </cell>
          <cell r="C1841">
            <v>3</v>
          </cell>
          <cell r="D1841">
            <v>100</v>
          </cell>
          <cell r="E1841">
            <v>247</v>
          </cell>
          <cell r="F1841">
            <v>30</v>
          </cell>
          <cell r="G1841" t="str">
            <v>B240NS</v>
          </cell>
          <cell r="H1841" t="str">
            <v>TOP:15/BOT:15</v>
          </cell>
          <cell r="I1841">
            <v>2</v>
          </cell>
          <cell r="J1841" t="str">
            <v>오비오</v>
          </cell>
          <cell r="K1841">
            <v>53</v>
          </cell>
          <cell r="L1841">
            <v>57</v>
          </cell>
          <cell r="M1841">
            <v>53.5</v>
          </cell>
          <cell r="N1841">
            <v>57.5</v>
          </cell>
          <cell r="P1841">
            <v>1360</v>
          </cell>
          <cell r="Q1841">
            <v>250</v>
          </cell>
          <cell r="R1841" t="str">
            <v>파랑</v>
          </cell>
          <cell r="S1841" t="str">
            <v>빨강</v>
          </cell>
          <cell r="U1841">
            <v>45456</v>
          </cell>
          <cell r="V1841" t="str">
            <v>금형사업부</v>
          </cell>
          <cell r="W1841" t="str">
            <v>t117 파랑,b130빨강</v>
          </cell>
        </row>
        <row r="1842">
          <cell r="A1842" t="str">
            <v>CHP-3960DL</v>
          </cell>
          <cell r="B1842" t="str">
            <v>SET</v>
          </cell>
          <cell r="C1842">
            <v>6</v>
          </cell>
          <cell r="D1842">
            <v>80</v>
          </cell>
          <cell r="E1842">
            <v>74</v>
          </cell>
          <cell r="F1842">
            <v>70</v>
          </cell>
          <cell r="G1842" t="str">
            <v>B240NS</v>
          </cell>
          <cell r="H1842">
            <v>12</v>
          </cell>
          <cell r="I1842">
            <v>2</v>
          </cell>
          <cell r="J1842" t="str">
            <v>청호나이스</v>
          </cell>
          <cell r="K1842">
            <v>139</v>
          </cell>
          <cell r="L1842">
            <v>141</v>
          </cell>
          <cell r="M1842">
            <v>28</v>
          </cell>
          <cell r="N1842">
            <v>30</v>
          </cell>
          <cell r="O1842">
            <v>440</v>
          </cell>
          <cell r="P1842">
            <v>1360</v>
          </cell>
          <cell r="Q1842">
            <v>250</v>
          </cell>
          <cell r="R1842" t="str">
            <v>박스</v>
          </cell>
          <cell r="S1842" t="str">
            <v>박스</v>
          </cell>
          <cell r="T1842" t="str">
            <v>61-0986-0 /61-0987-0,금형번호3878</v>
          </cell>
          <cell r="U1842">
            <v>41851</v>
          </cell>
          <cell r="V1842" t="str">
            <v>엠코리아</v>
          </cell>
          <cell r="W1842" t="str">
            <v>61-0986-0 /61-0987-0 포장반 박스포장</v>
          </cell>
          <cell r="X1842" t="str">
            <v>D-0305</v>
          </cell>
          <cell r="Z1842">
            <v>4431</v>
          </cell>
          <cell r="AC1842" t="str">
            <v>석상준대리 간이, 2014.08.14개조,2014.08.22수정,2016.10.19수리입고 21.02.05 사용배율변경(74-&gt;70)</v>
          </cell>
          <cell r="AD1842">
            <v>0.85</v>
          </cell>
          <cell r="AE1842">
            <v>80</v>
          </cell>
        </row>
        <row r="1843">
          <cell r="A1843" t="str">
            <v>CHP-1700R-REAR</v>
          </cell>
          <cell r="B1843" t="str">
            <v>회색</v>
          </cell>
          <cell r="C1843">
            <v>8</v>
          </cell>
          <cell r="D1843">
            <v>180</v>
          </cell>
          <cell r="E1843">
            <v>51</v>
          </cell>
          <cell r="F1843">
            <v>40</v>
          </cell>
          <cell r="G1843" t="str">
            <v>FI-351</v>
          </cell>
          <cell r="H1843" t="str">
            <v>생산30,포장반60</v>
          </cell>
          <cell r="I1843">
            <v>1</v>
          </cell>
          <cell r="J1843" t="str">
            <v>코웨이</v>
          </cell>
          <cell r="K1843">
            <v>42.1</v>
          </cell>
          <cell r="L1843">
            <v>44.1</v>
          </cell>
          <cell r="P1843">
            <v>1360</v>
          </cell>
          <cell r="Q1843">
            <v>200</v>
          </cell>
          <cell r="R1843" t="str">
            <v>박스</v>
          </cell>
          <cell r="U1843">
            <v>45791</v>
          </cell>
          <cell r="V1843" t="str">
            <v>대부</v>
          </cell>
          <cell r="AC1843" t="str">
            <v>프레임 일체형</v>
          </cell>
          <cell r="AD1843">
            <v>0.85</v>
          </cell>
          <cell r="AE1843">
            <v>80</v>
          </cell>
        </row>
        <row r="1844">
          <cell r="A1844" t="str">
            <v>CHP-1700R-REAR</v>
          </cell>
          <cell r="B1844" t="str">
            <v>회색</v>
          </cell>
          <cell r="C1844">
            <v>8</v>
          </cell>
          <cell r="D1844">
            <v>180</v>
          </cell>
          <cell r="E1844">
            <v>51</v>
          </cell>
          <cell r="F1844">
            <v>40</v>
          </cell>
          <cell r="G1844" t="str">
            <v>FI-351</v>
          </cell>
          <cell r="H1844" t="str">
            <v>생산30,포장반60</v>
          </cell>
          <cell r="I1844">
            <v>1</v>
          </cell>
          <cell r="J1844" t="str">
            <v>코웨이</v>
          </cell>
          <cell r="K1844">
            <v>42.1</v>
          </cell>
          <cell r="L1844">
            <v>44.1</v>
          </cell>
          <cell r="P1844">
            <v>1360</v>
          </cell>
          <cell r="Q1844">
            <v>200</v>
          </cell>
          <cell r="R1844" t="str">
            <v>박스</v>
          </cell>
          <cell r="U1844">
            <v>45791</v>
          </cell>
          <cell r="V1844" t="str">
            <v>대부</v>
          </cell>
          <cell r="AC1844" t="str">
            <v>프레임 일체형</v>
          </cell>
          <cell r="AD1844">
            <v>0.85</v>
          </cell>
          <cell r="AE1844">
            <v>80</v>
          </cell>
        </row>
        <row r="1845">
          <cell r="A1845" t="str">
            <v>CHP-1700R-FRONT</v>
          </cell>
          <cell r="B1845" t="str">
            <v>회색</v>
          </cell>
          <cell r="C1845">
            <v>8</v>
          </cell>
          <cell r="D1845">
            <v>180</v>
          </cell>
          <cell r="E1845">
            <v>115</v>
          </cell>
          <cell r="F1845">
            <v>40</v>
          </cell>
          <cell r="G1845" t="str">
            <v>FI-351</v>
          </cell>
          <cell r="H1845" t="str">
            <v>생산16,포장반16</v>
          </cell>
          <cell r="I1845">
            <v>1</v>
          </cell>
          <cell r="J1845" t="str">
            <v>코웨이</v>
          </cell>
          <cell r="K1845">
            <v>229.6</v>
          </cell>
          <cell r="L1845">
            <v>231.6</v>
          </cell>
          <cell r="P1845">
            <v>1360</v>
          </cell>
          <cell r="Q1845">
            <v>350</v>
          </cell>
          <cell r="R1845" t="str">
            <v>박스</v>
          </cell>
          <cell r="U1845">
            <v>45791</v>
          </cell>
          <cell r="V1845" t="str">
            <v>대부</v>
          </cell>
          <cell r="AC1845" t="str">
            <v>프레임 일체형</v>
          </cell>
          <cell r="AD1845">
            <v>0.85</v>
          </cell>
          <cell r="AE1845">
            <v>80</v>
          </cell>
        </row>
        <row r="1846">
          <cell r="A1846" t="str">
            <v>CHP-1700R-FRONT</v>
          </cell>
          <cell r="B1846" t="str">
            <v>회색</v>
          </cell>
          <cell r="C1846">
            <v>8</v>
          </cell>
          <cell r="D1846">
            <v>180</v>
          </cell>
          <cell r="E1846">
            <v>115</v>
          </cell>
          <cell r="F1846">
            <v>40</v>
          </cell>
          <cell r="G1846" t="str">
            <v>FI-351</v>
          </cell>
          <cell r="H1846" t="str">
            <v>생산16,포장반16</v>
          </cell>
          <cell r="I1846">
            <v>1</v>
          </cell>
          <cell r="J1846" t="str">
            <v>코웨이</v>
          </cell>
          <cell r="K1846">
            <v>229.6</v>
          </cell>
          <cell r="L1846">
            <v>231.6</v>
          </cell>
          <cell r="P1846">
            <v>1360</v>
          </cell>
          <cell r="Q1846">
            <v>350</v>
          </cell>
          <cell r="R1846" t="str">
            <v>박스</v>
          </cell>
          <cell r="U1846">
            <v>45791</v>
          </cell>
          <cell r="V1846" t="str">
            <v>대부</v>
          </cell>
          <cell r="AC1846" t="str">
            <v>프레임 일체형</v>
          </cell>
          <cell r="AD1846">
            <v>0.85</v>
          </cell>
          <cell r="AE1846">
            <v>80</v>
          </cell>
        </row>
        <row r="1847">
          <cell r="A1847" t="str">
            <v>CHP-1700R-BOT</v>
          </cell>
          <cell r="B1847" t="str">
            <v>회색</v>
          </cell>
          <cell r="C1847">
            <v>8</v>
          </cell>
          <cell r="D1847">
            <v>180</v>
          </cell>
          <cell r="E1847">
            <v>47</v>
          </cell>
          <cell r="F1847">
            <v>40</v>
          </cell>
          <cell r="G1847" t="str">
            <v>FI-351</v>
          </cell>
          <cell r="H1847" t="str">
            <v>생산30,포장반50</v>
          </cell>
          <cell r="I1847">
            <v>1</v>
          </cell>
          <cell r="J1847" t="str">
            <v>코웨이</v>
          </cell>
          <cell r="K1847">
            <v>56.7</v>
          </cell>
          <cell r="L1847">
            <v>58.7</v>
          </cell>
          <cell r="P1847">
            <v>1360</v>
          </cell>
          <cell r="Q1847">
            <v>150</v>
          </cell>
          <cell r="R1847" t="str">
            <v>박스</v>
          </cell>
          <cell r="U1847">
            <v>45791</v>
          </cell>
          <cell r="V1847" t="str">
            <v>대부</v>
          </cell>
          <cell r="AC1847" t="str">
            <v>프레임 일체형</v>
          </cell>
          <cell r="AD1847">
            <v>0.85</v>
          </cell>
          <cell r="AE1847">
            <v>80</v>
          </cell>
        </row>
        <row r="1848">
          <cell r="A1848" t="str">
            <v>CHP-1700R-BOT</v>
          </cell>
          <cell r="B1848" t="str">
            <v>회색</v>
          </cell>
          <cell r="C1848">
            <v>8</v>
          </cell>
          <cell r="D1848">
            <v>180</v>
          </cell>
          <cell r="E1848">
            <v>47</v>
          </cell>
          <cell r="F1848">
            <v>40</v>
          </cell>
          <cell r="G1848" t="str">
            <v>FI-351</v>
          </cell>
          <cell r="H1848" t="str">
            <v>생산30,포장반50</v>
          </cell>
          <cell r="I1848">
            <v>1</v>
          </cell>
          <cell r="J1848" t="str">
            <v>코웨이</v>
          </cell>
          <cell r="K1848">
            <v>56.7</v>
          </cell>
          <cell r="L1848">
            <v>58.7</v>
          </cell>
          <cell r="P1848">
            <v>1360</v>
          </cell>
          <cell r="Q1848">
            <v>150</v>
          </cell>
          <cell r="R1848" t="str">
            <v>박스</v>
          </cell>
          <cell r="U1848">
            <v>45791</v>
          </cell>
          <cell r="V1848" t="str">
            <v>대부</v>
          </cell>
          <cell r="AC1848" t="str">
            <v>프레임 일체형</v>
          </cell>
          <cell r="AD1848">
            <v>0.85</v>
          </cell>
          <cell r="AE1848">
            <v>80</v>
          </cell>
        </row>
        <row r="1849">
          <cell r="A1849" t="str">
            <v>CHN-N201BMN</v>
          </cell>
          <cell r="B1849" t="str">
            <v>SET</v>
          </cell>
          <cell r="C1849">
            <v>2</v>
          </cell>
          <cell r="D1849">
            <v>150</v>
          </cell>
          <cell r="E1849">
            <v>312</v>
          </cell>
          <cell r="F1849">
            <v>50</v>
          </cell>
          <cell r="G1849" t="str">
            <v>B240NS</v>
          </cell>
          <cell r="H1849">
            <v>10</v>
          </cell>
          <cell r="I1849">
            <v>4</v>
          </cell>
          <cell r="J1849" t="str">
            <v>알토엔대우</v>
          </cell>
          <cell r="K1849">
            <v>98</v>
          </cell>
          <cell r="L1849">
            <v>102</v>
          </cell>
          <cell r="M1849">
            <v>98</v>
          </cell>
          <cell r="N1849">
            <v>102</v>
          </cell>
          <cell r="P1849">
            <v>1360</v>
          </cell>
          <cell r="Q1849">
            <v>200</v>
          </cell>
          <cell r="R1849" t="str">
            <v>빨강</v>
          </cell>
          <cell r="S1849" t="str">
            <v>파란</v>
          </cell>
          <cell r="U1849">
            <v>44259</v>
          </cell>
          <cell r="V1849" t="str">
            <v>세일하이테크</v>
          </cell>
          <cell r="Y1849">
            <v>40</v>
          </cell>
          <cell r="AC1849" t="str">
            <v>석상준과장, 2021.06.04 기준중량변경(334-&gt;312)</v>
          </cell>
          <cell r="AD1849">
            <v>0.85</v>
          </cell>
          <cell r="AF1849">
            <v>8</v>
          </cell>
        </row>
        <row r="1850">
          <cell r="A1850" t="str">
            <v>CHEF-FAUCET</v>
          </cell>
          <cell r="B1850" t="str">
            <v>SET</v>
          </cell>
          <cell r="C1850">
            <v>6</v>
          </cell>
          <cell r="D1850">
            <v>70</v>
          </cell>
          <cell r="E1850">
            <v>123</v>
          </cell>
          <cell r="F1850">
            <v>58</v>
          </cell>
          <cell r="G1850" t="str">
            <v>B240NS</v>
          </cell>
          <cell r="H1850" t="str">
            <v>생산10포장20</v>
          </cell>
          <cell r="I1850">
            <v>1</v>
          </cell>
          <cell r="J1850" t="str">
            <v>오비오</v>
          </cell>
          <cell r="K1850">
            <v>93</v>
          </cell>
          <cell r="L1850">
            <v>95</v>
          </cell>
          <cell r="P1850">
            <v>1360</v>
          </cell>
          <cell r="Q1850">
            <v>200</v>
          </cell>
          <cell r="R1850" t="str">
            <v>빨강</v>
          </cell>
          <cell r="U1850">
            <v>44145</v>
          </cell>
          <cell r="V1850" t="str">
            <v>세일하이테크</v>
          </cell>
          <cell r="Y1850">
            <v>50</v>
          </cell>
          <cell r="Z1850">
            <v>6125</v>
          </cell>
          <cell r="AC1850" t="str">
            <v>석상준과장, 22021.03.05 재입고, 2021.03.11 CAVITY추가(1*1-&gt;1*6), 2021.03.22 코팅완료</v>
          </cell>
          <cell r="AD1850">
            <v>0.85</v>
          </cell>
          <cell r="AF1850">
            <v>4</v>
          </cell>
        </row>
        <row r="1851">
          <cell r="A1851" t="str">
            <v>CHDH-120D</v>
          </cell>
          <cell r="B1851" t="str">
            <v>SET</v>
          </cell>
          <cell r="C1851">
            <v>3</v>
          </cell>
          <cell r="D1851">
            <v>80</v>
          </cell>
          <cell r="E1851">
            <v>245</v>
          </cell>
          <cell r="F1851">
            <v>70</v>
          </cell>
          <cell r="G1851" t="str">
            <v>B240NS</v>
          </cell>
          <cell r="H1851">
            <v>20</v>
          </cell>
          <cell r="I1851">
            <v>2</v>
          </cell>
          <cell r="J1851" t="str">
            <v>청호나이스</v>
          </cell>
          <cell r="K1851">
            <v>79</v>
          </cell>
          <cell r="L1851">
            <v>81</v>
          </cell>
          <cell r="M1851">
            <v>99</v>
          </cell>
          <cell r="N1851">
            <v>101</v>
          </cell>
          <cell r="O1851">
            <v>1270</v>
          </cell>
          <cell r="P1851">
            <v>1360</v>
          </cell>
          <cell r="Q1851">
            <v>200</v>
          </cell>
          <cell r="R1851" t="str">
            <v>검정</v>
          </cell>
          <cell r="S1851" t="str">
            <v>검정</v>
          </cell>
          <cell r="T1851" t="str">
            <v>69-0126-1 / 69-0127-1,금형번호3875</v>
          </cell>
          <cell r="U1851">
            <v>41629</v>
          </cell>
          <cell r="V1851" t="str">
            <v>금형제조부</v>
          </cell>
          <cell r="W1851" t="str">
            <v>69-0126-0 / 69-0127-0</v>
          </cell>
          <cell r="X1851" t="str">
            <v>E-1106</v>
          </cell>
          <cell r="AC1851" t="str">
            <v>(237kg)김길영계장, 2014.07.22배율변경(57-&gt;62)</v>
          </cell>
          <cell r="AD1851">
            <v>0.85</v>
          </cell>
          <cell r="AE1851">
            <v>80</v>
          </cell>
          <cell r="AF1851">
            <v>6</v>
          </cell>
        </row>
        <row r="1852">
          <cell r="A1852" t="str">
            <v>CHB-1300S</v>
          </cell>
          <cell r="B1852" t="str">
            <v>SET</v>
          </cell>
          <cell r="C1852">
            <v>2</v>
          </cell>
          <cell r="D1852">
            <v>75</v>
          </cell>
          <cell r="E1852">
            <v>246</v>
          </cell>
          <cell r="F1852">
            <v>74</v>
          </cell>
          <cell r="G1852" t="str">
            <v>B240NS</v>
          </cell>
          <cell r="H1852" t="str">
            <v>10/10</v>
          </cell>
          <cell r="I1852">
            <v>3</v>
          </cell>
          <cell r="J1852" t="str">
            <v>청호나이스</v>
          </cell>
          <cell r="O1852">
            <v>10</v>
          </cell>
          <cell r="P1852">
            <v>1360</v>
          </cell>
          <cell r="Q1852">
            <v>250</v>
          </cell>
          <cell r="R1852" t="str">
            <v>빨강</v>
          </cell>
          <cell r="S1852" t="str">
            <v>빨강</v>
          </cell>
          <cell r="T1852" t="str">
            <v>T: 63-0224-0 / D-L: 63-0225-0 / D-R: 63-0226-0,금형번호3873</v>
          </cell>
          <cell r="U1852">
            <v>43341</v>
          </cell>
          <cell r="V1852" t="str">
            <v>금형제조부</v>
          </cell>
          <cell r="Y1852">
            <v>60</v>
          </cell>
          <cell r="Z1852">
            <v>14767</v>
          </cell>
          <cell r="AC1852" t="str">
            <v>최재학계장</v>
          </cell>
          <cell r="AD1852">
            <v>0.85</v>
          </cell>
          <cell r="AE1852">
            <v>80</v>
          </cell>
          <cell r="AF1852">
            <v>6</v>
          </cell>
        </row>
        <row r="1853">
          <cell r="A1853" t="str">
            <v>CHA-N500A</v>
          </cell>
          <cell r="B1853" t="str">
            <v>SET</v>
          </cell>
          <cell r="C1853">
            <v>3</v>
          </cell>
          <cell r="D1853">
            <v>80</v>
          </cell>
          <cell r="E1853">
            <v>178</v>
          </cell>
          <cell r="F1853">
            <v>70</v>
          </cell>
          <cell r="G1853" t="str">
            <v>B240NS</v>
          </cell>
          <cell r="H1853">
            <v>10</v>
          </cell>
          <cell r="I1853">
            <v>2</v>
          </cell>
          <cell r="J1853" t="str">
            <v>청호나이스</v>
          </cell>
          <cell r="K1853">
            <v>91</v>
          </cell>
          <cell r="L1853">
            <v>95</v>
          </cell>
          <cell r="M1853">
            <v>91</v>
          </cell>
          <cell r="N1853">
            <v>95</v>
          </cell>
          <cell r="O1853">
            <v>950</v>
          </cell>
          <cell r="P1853">
            <v>1360</v>
          </cell>
          <cell r="Q1853">
            <v>200</v>
          </cell>
          <cell r="R1853" t="str">
            <v>노랑</v>
          </cell>
          <cell r="S1853" t="str">
            <v>노랑</v>
          </cell>
          <cell r="T1853" t="str">
            <v>62-0374-1 / 62-0375-1,금형번호3880</v>
          </cell>
          <cell r="U1853">
            <v>42564</v>
          </cell>
          <cell r="V1853" t="str">
            <v>금형제조부</v>
          </cell>
          <cell r="W1853" t="str">
            <v>62-0374-1 / 62-0375-1</v>
          </cell>
          <cell r="Y1853">
            <v>60</v>
          </cell>
          <cell r="Z1853">
            <v>10688</v>
          </cell>
          <cell r="AC1853" t="str">
            <v>최재학사원 ,2016.08.29 CAVITY 재제작</v>
          </cell>
          <cell r="AD1853">
            <v>0.85</v>
          </cell>
          <cell r="AE1853">
            <v>80</v>
          </cell>
          <cell r="AF1853">
            <v>16</v>
          </cell>
        </row>
        <row r="1854">
          <cell r="A1854" t="str">
            <v>CEPH-REAR</v>
          </cell>
          <cell r="B1854" t="str">
            <v>SET</v>
          </cell>
          <cell r="C1854">
            <v>1</v>
          </cell>
          <cell r="D1854">
            <v>100</v>
          </cell>
          <cell r="E1854">
            <v>540</v>
          </cell>
          <cell r="F1854">
            <v>65</v>
          </cell>
          <cell r="G1854" t="str">
            <v>B240NS</v>
          </cell>
          <cell r="H1854">
            <v>10</v>
          </cell>
          <cell r="I1854">
            <v>2</v>
          </cell>
          <cell r="J1854" t="str">
            <v>오스템임플란트</v>
          </cell>
          <cell r="K1854">
            <v>248.5</v>
          </cell>
          <cell r="L1854">
            <v>252.5</v>
          </cell>
          <cell r="M1854">
            <v>149</v>
          </cell>
          <cell r="N1854">
            <v>151</v>
          </cell>
          <cell r="O1854">
            <v>3500</v>
          </cell>
          <cell r="P1854">
            <v>1360</v>
          </cell>
          <cell r="Q1854">
            <v>350</v>
          </cell>
          <cell r="R1854" t="str">
            <v>녹색</v>
          </cell>
          <cell r="S1854" t="str">
            <v>녹색</v>
          </cell>
          <cell r="U1854">
            <v>42675</v>
          </cell>
          <cell r="V1854" t="str">
            <v>금형제조부</v>
          </cell>
          <cell r="Z1854">
            <v>26962</v>
          </cell>
          <cell r="AC1854" t="str">
            <v>최재학사원</v>
          </cell>
          <cell r="AD1854">
            <v>0.85</v>
          </cell>
          <cell r="AE1854">
            <v>190</v>
          </cell>
          <cell r="AF1854">
            <v>1</v>
          </cell>
        </row>
        <row r="1855">
          <cell r="A1855" t="str">
            <v>CEPH-FRONT</v>
          </cell>
          <cell r="B1855" t="str">
            <v>SET</v>
          </cell>
          <cell r="C1855">
            <v>1</v>
          </cell>
          <cell r="D1855">
            <v>160</v>
          </cell>
          <cell r="E1855">
            <v>2783</v>
          </cell>
          <cell r="F1855">
            <v>65</v>
          </cell>
          <cell r="G1855" t="str">
            <v>B240NS</v>
          </cell>
          <cell r="H1855">
            <v>1</v>
          </cell>
          <cell r="I1855">
            <v>3</v>
          </cell>
          <cell r="J1855" t="str">
            <v>오스템임플란트</v>
          </cell>
          <cell r="K1855">
            <v>261</v>
          </cell>
          <cell r="L1855">
            <v>265</v>
          </cell>
          <cell r="M1855">
            <v>428</v>
          </cell>
          <cell r="N1855">
            <v>432</v>
          </cell>
          <cell r="O1855">
            <v>35200</v>
          </cell>
          <cell r="P1855">
            <v>1500</v>
          </cell>
          <cell r="Q1855">
            <v>550</v>
          </cell>
          <cell r="R1855" t="str">
            <v>검정</v>
          </cell>
          <cell r="S1855" t="str">
            <v>검정</v>
          </cell>
          <cell r="U1855">
            <v>42681</v>
          </cell>
          <cell r="V1855" t="str">
            <v>금형제조부</v>
          </cell>
          <cell r="AC1855" t="str">
            <v>최재학사원</v>
          </cell>
          <cell r="AD1855">
            <v>0.85</v>
          </cell>
          <cell r="AE1855">
            <v>100</v>
          </cell>
          <cell r="AF1855">
            <v>4</v>
          </cell>
        </row>
        <row r="1856">
          <cell r="A1856" t="str">
            <v>CCNC</v>
          </cell>
          <cell r="B1856" t="str">
            <v>SET</v>
          </cell>
          <cell r="C1856">
            <v>2</v>
          </cell>
          <cell r="D1856">
            <v>100</v>
          </cell>
          <cell r="E1856">
            <v>551</v>
          </cell>
          <cell r="F1856">
            <v>60</v>
          </cell>
          <cell r="G1856" t="str">
            <v>B240NS</v>
          </cell>
          <cell r="H1856">
            <v>5</v>
          </cell>
          <cell r="I1856">
            <v>2</v>
          </cell>
          <cell r="J1856" t="str">
            <v>모트렉스</v>
          </cell>
          <cell r="P1856">
            <v>1360</v>
          </cell>
          <cell r="U1856">
            <v>45258</v>
          </cell>
          <cell r="V1856" t="str">
            <v>금형사업부</v>
          </cell>
          <cell r="AD1856">
            <v>0.85</v>
          </cell>
        </row>
        <row r="1857">
          <cell r="A1857" t="str">
            <v>CCNC</v>
          </cell>
          <cell r="B1857" t="str">
            <v>SET</v>
          </cell>
          <cell r="C1857">
            <v>2</v>
          </cell>
          <cell r="D1857">
            <v>100</v>
          </cell>
          <cell r="E1857">
            <v>551</v>
          </cell>
          <cell r="F1857">
            <v>60</v>
          </cell>
          <cell r="G1857" t="str">
            <v>B240NS</v>
          </cell>
          <cell r="H1857">
            <v>5</v>
          </cell>
          <cell r="I1857">
            <v>2</v>
          </cell>
          <cell r="J1857" t="str">
            <v>모트렉스</v>
          </cell>
          <cell r="P1857">
            <v>1360</v>
          </cell>
          <cell r="U1857">
            <v>45258</v>
          </cell>
          <cell r="V1857" t="str">
            <v>금형사업부</v>
          </cell>
          <cell r="AD1857">
            <v>0.85</v>
          </cell>
        </row>
        <row r="1858">
          <cell r="A1858" t="str">
            <v>C554벽걸이양변기</v>
          </cell>
          <cell r="B1858" t="str">
            <v>SET</v>
          </cell>
          <cell r="C1858">
            <v>1</v>
          </cell>
          <cell r="D1858">
            <v>100</v>
          </cell>
          <cell r="E1858">
            <v>1600</v>
          </cell>
          <cell r="F1858">
            <v>53</v>
          </cell>
          <cell r="G1858" t="str">
            <v>B240NS</v>
          </cell>
          <cell r="I1858">
            <v>2</v>
          </cell>
          <cell r="J1858" t="str">
            <v>IS동서</v>
          </cell>
          <cell r="K1858">
            <v>245</v>
          </cell>
          <cell r="L1858">
            <v>131</v>
          </cell>
          <cell r="M1858">
            <v>129</v>
          </cell>
          <cell r="N1858">
            <v>131</v>
          </cell>
          <cell r="O1858">
            <v>9250</v>
          </cell>
          <cell r="P1858">
            <v>1360</v>
          </cell>
          <cell r="Q1858">
            <v>300</v>
          </cell>
          <cell r="R1858" t="str">
            <v>밴딩</v>
          </cell>
          <cell r="S1858" t="str">
            <v>밴딩</v>
          </cell>
          <cell r="T1858" t="str">
            <v>C554벽걸이양변기</v>
          </cell>
          <cell r="U1858">
            <v>41033</v>
          </cell>
          <cell r="V1858" t="str">
            <v>금형제조부</v>
          </cell>
          <cell r="X1858" t="str">
            <v>A-0106</v>
          </cell>
          <cell r="AC1858" t="str">
            <v>장혁민사원, 2012.05.15승인완료 기준중량변경(2500-&gt;1600),2012.11.26개조</v>
          </cell>
          <cell r="AD1858">
            <v>0.85</v>
          </cell>
          <cell r="AE1858">
            <v>130</v>
          </cell>
          <cell r="AF1858">
            <v>4</v>
          </cell>
        </row>
        <row r="1859">
          <cell r="A1859" t="str">
            <v>BWT-Y23-TANK</v>
          </cell>
          <cell r="B1859" t="str">
            <v>저발</v>
          </cell>
          <cell r="C1859">
            <v>2</v>
          </cell>
          <cell r="D1859">
            <v>120</v>
          </cell>
          <cell r="E1859">
            <v>255</v>
          </cell>
          <cell r="F1859">
            <v>36</v>
          </cell>
          <cell r="G1859" t="str">
            <v>ZP2500</v>
          </cell>
          <cell r="H1859">
            <v>16</v>
          </cell>
          <cell r="I1859">
            <v>2</v>
          </cell>
          <cell r="J1859" t="str">
            <v>오비오</v>
          </cell>
          <cell r="P1859">
            <v>500</v>
          </cell>
          <cell r="Q1859" t="str">
            <v>파랑</v>
          </cell>
          <cell r="U1859">
            <v>45231</v>
          </cell>
          <cell r="V1859" t="str">
            <v>금형사업부</v>
          </cell>
          <cell r="AD1859">
            <v>0.85</v>
          </cell>
        </row>
        <row r="1860">
          <cell r="A1860" t="str">
            <v>BWT-Y23-TANK</v>
          </cell>
          <cell r="B1860" t="str">
            <v>SET</v>
          </cell>
          <cell r="C1860">
            <v>2</v>
          </cell>
          <cell r="D1860">
            <v>120</v>
          </cell>
          <cell r="E1860">
            <v>255</v>
          </cell>
          <cell r="F1860">
            <v>36</v>
          </cell>
          <cell r="G1860" t="str">
            <v>ZP2500</v>
          </cell>
          <cell r="H1860">
            <v>16</v>
          </cell>
          <cell r="I1860">
            <v>2</v>
          </cell>
          <cell r="J1860" t="str">
            <v>오비오</v>
          </cell>
          <cell r="P1860">
            <v>500</v>
          </cell>
          <cell r="Q1860" t="str">
            <v>파랑</v>
          </cell>
          <cell r="U1860">
            <v>45231</v>
          </cell>
          <cell r="V1860" t="str">
            <v>금형사업부</v>
          </cell>
        </row>
        <row r="1861">
          <cell r="A1861" t="str">
            <v>BWT-Y23-L/R</v>
          </cell>
          <cell r="B1861" t="str">
            <v>저발</v>
          </cell>
          <cell r="C1861">
            <v>2</v>
          </cell>
          <cell r="D1861">
            <v>120</v>
          </cell>
          <cell r="E1861">
            <v>106</v>
          </cell>
          <cell r="F1861">
            <v>36</v>
          </cell>
          <cell r="G1861" t="str">
            <v>ZP2500</v>
          </cell>
          <cell r="H1861">
            <v>5</v>
          </cell>
          <cell r="I1861">
            <v>2</v>
          </cell>
          <cell r="J1861" t="str">
            <v>오비오</v>
          </cell>
          <cell r="P1861">
            <v>500</v>
          </cell>
          <cell r="Q1861" t="str">
            <v>파랑</v>
          </cell>
          <cell r="U1861">
            <v>45231</v>
          </cell>
          <cell r="V1861" t="str">
            <v>금형사업부</v>
          </cell>
          <cell r="AD1861">
            <v>0.85</v>
          </cell>
        </row>
        <row r="1862">
          <cell r="A1862" t="str">
            <v>BWT-Y23-L/R</v>
          </cell>
          <cell r="B1862" t="str">
            <v>SET</v>
          </cell>
          <cell r="C1862">
            <v>2</v>
          </cell>
          <cell r="D1862">
            <v>120</v>
          </cell>
          <cell r="E1862">
            <v>106</v>
          </cell>
          <cell r="F1862">
            <v>36</v>
          </cell>
          <cell r="G1862" t="str">
            <v>ZP2500</v>
          </cell>
          <cell r="H1862">
            <v>5</v>
          </cell>
          <cell r="I1862">
            <v>2</v>
          </cell>
          <cell r="J1862" t="str">
            <v>오비오</v>
          </cell>
          <cell r="P1862">
            <v>500</v>
          </cell>
          <cell r="Q1862" t="str">
            <v>파랑</v>
          </cell>
          <cell r="U1862">
            <v>45231</v>
          </cell>
          <cell r="V1862" t="str">
            <v>금형사업부</v>
          </cell>
        </row>
        <row r="1863">
          <cell r="A1863" t="str">
            <v>BTR-460</v>
          </cell>
          <cell r="B1863" t="str">
            <v>SET</v>
          </cell>
          <cell r="C1863">
            <v>3</v>
          </cell>
          <cell r="D1863">
            <v>100</v>
          </cell>
          <cell r="E1863">
            <v>338</v>
          </cell>
          <cell r="F1863">
            <v>70</v>
          </cell>
          <cell r="G1863" t="str">
            <v>B240NS</v>
          </cell>
          <cell r="H1863">
            <v>5</v>
          </cell>
          <cell r="I1863">
            <v>2</v>
          </cell>
          <cell r="J1863" t="str">
            <v>대우루컴즈</v>
          </cell>
          <cell r="K1863">
            <v>118</v>
          </cell>
          <cell r="L1863">
            <v>122</v>
          </cell>
          <cell r="M1863">
            <v>118</v>
          </cell>
          <cell r="N1863">
            <v>122</v>
          </cell>
          <cell r="P1863">
            <v>1360</v>
          </cell>
          <cell r="Q1863">
            <v>250</v>
          </cell>
          <cell r="R1863" t="str">
            <v>노랑</v>
          </cell>
          <cell r="S1863" t="str">
            <v>노랑</v>
          </cell>
          <cell r="U1863">
            <v>44219</v>
          </cell>
          <cell r="V1863" t="str">
            <v>경원 ENG</v>
          </cell>
          <cell r="W1863" t="str">
            <v xml:space="preserve">BARIKATA TOWER(TOWER)  </v>
          </cell>
          <cell r="Y1863">
            <v>60</v>
          </cell>
          <cell r="Z1863">
            <v>20256</v>
          </cell>
          <cell r="AC1863" t="str">
            <v>김영석사원 CAVITY추가 (1*2→2*3)</v>
          </cell>
          <cell r="AD1863">
            <v>0.85</v>
          </cell>
          <cell r="AF1863">
            <v>4</v>
          </cell>
        </row>
        <row r="1864">
          <cell r="A1864" t="str">
            <v>BSR-460</v>
          </cell>
          <cell r="B1864" t="str">
            <v>SET</v>
          </cell>
          <cell r="C1864">
            <v>4</v>
          </cell>
          <cell r="D1864">
            <v>100</v>
          </cell>
          <cell r="E1864">
            <v>280</v>
          </cell>
          <cell r="F1864">
            <v>70</v>
          </cell>
          <cell r="G1864" t="str">
            <v>B240NS</v>
          </cell>
          <cell r="H1864">
            <v>5</v>
          </cell>
          <cell r="I1864">
            <v>2</v>
          </cell>
          <cell r="J1864" t="str">
            <v>대우루컴즈</v>
          </cell>
          <cell r="K1864">
            <v>163</v>
          </cell>
          <cell r="L1864">
            <v>167</v>
          </cell>
          <cell r="M1864">
            <v>163</v>
          </cell>
          <cell r="N1864">
            <v>167</v>
          </cell>
          <cell r="P1864">
            <v>1360</v>
          </cell>
          <cell r="Q1864">
            <v>250</v>
          </cell>
          <cell r="R1864" t="str">
            <v>빨강</v>
          </cell>
          <cell r="S1864" t="str">
            <v>빨강</v>
          </cell>
          <cell r="U1864">
            <v>44219</v>
          </cell>
          <cell r="V1864" t="str">
            <v>경원 ENG</v>
          </cell>
          <cell r="W1864" t="str">
            <v>BARIKATA SILM(SLIM-CASE)</v>
          </cell>
          <cell r="Y1864">
            <v>60</v>
          </cell>
          <cell r="Z1864">
            <v>16832</v>
          </cell>
          <cell r="AC1864" t="str">
            <v>김영석사원 CAVITY추가 (1*2→2*4)</v>
          </cell>
          <cell r="AD1864">
            <v>0.85</v>
          </cell>
          <cell r="AF1864">
            <v>0</v>
          </cell>
        </row>
        <row r="1865">
          <cell r="A1865" t="str">
            <v>BS-BOX(64배)</v>
          </cell>
          <cell r="B1865" t="str">
            <v>BOX</v>
          </cell>
          <cell r="C1865">
            <v>3</v>
          </cell>
          <cell r="D1865">
            <v>70</v>
          </cell>
          <cell r="E1865">
            <v>170</v>
          </cell>
          <cell r="F1865">
            <v>74</v>
          </cell>
          <cell r="G1865" t="str">
            <v>B240NS</v>
          </cell>
          <cell r="H1865">
            <v>6</v>
          </cell>
          <cell r="I1865">
            <v>2</v>
          </cell>
          <cell r="J1865" t="str">
            <v>범산목장</v>
          </cell>
          <cell r="K1865">
            <v>33</v>
          </cell>
          <cell r="L1865">
            <v>37</v>
          </cell>
          <cell r="M1865">
            <v>163</v>
          </cell>
          <cell r="N1865">
            <v>167</v>
          </cell>
          <cell r="O1865">
            <v>1450</v>
          </cell>
          <cell r="P1865">
            <v>1360</v>
          </cell>
          <cell r="Q1865">
            <v>250</v>
          </cell>
          <cell r="R1865" t="str">
            <v>파랑</v>
          </cell>
          <cell r="S1865" t="str">
            <v>파랑</v>
          </cell>
          <cell r="T1865" t="str">
            <v>아이스크림박스</v>
          </cell>
          <cell r="U1865">
            <v>40401</v>
          </cell>
          <cell r="V1865" t="str">
            <v>금형제조부</v>
          </cell>
          <cell r="Y1865">
            <v>50</v>
          </cell>
          <cell r="Z1865">
            <v>10728</v>
          </cell>
          <cell r="AD1865">
            <v>0.85</v>
          </cell>
          <cell r="AE1865">
            <v>70</v>
          </cell>
          <cell r="AF1865">
            <v>2</v>
          </cell>
        </row>
        <row r="1866">
          <cell r="A1866" t="str">
            <v>BS-BOX</v>
          </cell>
          <cell r="B1866" t="str">
            <v>BOX</v>
          </cell>
          <cell r="C1866">
            <v>3</v>
          </cell>
          <cell r="D1866">
            <v>60</v>
          </cell>
          <cell r="E1866">
            <v>215</v>
          </cell>
          <cell r="F1866">
            <v>65</v>
          </cell>
          <cell r="G1866" t="str">
            <v>B240NS</v>
          </cell>
          <cell r="H1866">
            <v>6</v>
          </cell>
          <cell r="I1866">
            <v>2</v>
          </cell>
          <cell r="J1866" t="str">
            <v>범산목장</v>
          </cell>
          <cell r="K1866">
            <v>33</v>
          </cell>
          <cell r="L1866">
            <v>37</v>
          </cell>
          <cell r="M1866">
            <v>163</v>
          </cell>
          <cell r="N1866">
            <v>167</v>
          </cell>
          <cell r="O1866">
            <v>1450</v>
          </cell>
          <cell r="P1866">
            <v>1360</v>
          </cell>
          <cell r="Q1866">
            <v>250</v>
          </cell>
          <cell r="R1866" t="str">
            <v>녹색</v>
          </cell>
          <cell r="S1866" t="str">
            <v>녹색</v>
          </cell>
          <cell r="T1866" t="str">
            <v>아이스크림박스</v>
          </cell>
          <cell r="U1866">
            <v>40401</v>
          </cell>
          <cell r="V1866" t="str">
            <v>금형제조부</v>
          </cell>
          <cell r="X1866" t="str">
            <v>A-0304</v>
          </cell>
          <cell r="Y1866">
            <v>50</v>
          </cell>
          <cell r="Z1866">
            <v>10728</v>
          </cell>
          <cell r="AC1866" t="str">
            <v>2010.08.25승인완료, 2014.05.02기준중량변경(268-&gt;215)</v>
          </cell>
          <cell r="AD1866">
            <v>0.85</v>
          </cell>
          <cell r="AE1866">
            <v>60</v>
          </cell>
          <cell r="AF1866">
            <v>2</v>
          </cell>
        </row>
        <row r="1867">
          <cell r="A1867" t="str">
            <v>BR4-TOP</v>
          </cell>
          <cell r="B1867" t="str">
            <v>회색</v>
          </cell>
          <cell r="C1867">
            <v>2</v>
          </cell>
          <cell r="D1867">
            <v>130</v>
          </cell>
          <cell r="E1867">
            <v>400</v>
          </cell>
          <cell r="F1867">
            <v>40</v>
          </cell>
          <cell r="G1867" t="str">
            <v>ZP2500</v>
          </cell>
          <cell r="H1867">
            <v>1</v>
          </cell>
          <cell r="I1867">
            <v>2</v>
          </cell>
          <cell r="J1867" t="str">
            <v>㈜탭스</v>
          </cell>
          <cell r="O1867">
            <v>1892</v>
          </cell>
          <cell r="P1867">
            <v>1600</v>
          </cell>
          <cell r="Q1867">
            <v>200</v>
          </cell>
          <cell r="T1867" t="str">
            <v>BR4 TOP</v>
          </cell>
          <cell r="U1867">
            <v>45267</v>
          </cell>
          <cell r="V1867" t="str">
            <v>대양이동입고</v>
          </cell>
          <cell r="W1867" t="str">
            <v>보령4호 뚜껑</v>
          </cell>
          <cell r="AD1867">
            <v>0.85</v>
          </cell>
        </row>
        <row r="1868">
          <cell r="A1868" t="str">
            <v>BR4-TOP</v>
          </cell>
          <cell r="B1868" t="str">
            <v>BOX</v>
          </cell>
          <cell r="C1868">
            <v>2</v>
          </cell>
          <cell r="D1868">
            <v>130</v>
          </cell>
          <cell r="E1868">
            <v>400</v>
          </cell>
          <cell r="F1868">
            <v>40</v>
          </cell>
          <cell r="G1868" t="str">
            <v>ZP2500</v>
          </cell>
          <cell r="H1868">
            <v>1</v>
          </cell>
          <cell r="I1868">
            <v>2</v>
          </cell>
          <cell r="J1868" t="str">
            <v>㈜탭스</v>
          </cell>
          <cell r="O1868">
            <v>1892</v>
          </cell>
          <cell r="P1868">
            <v>1600</v>
          </cell>
          <cell r="Q1868">
            <v>200</v>
          </cell>
          <cell r="T1868" t="str">
            <v>BR4 TOP</v>
          </cell>
          <cell r="U1868">
            <v>45267</v>
          </cell>
          <cell r="V1868" t="str">
            <v>대양이동입고</v>
          </cell>
          <cell r="W1868" t="str">
            <v>보령4호 뚜껑</v>
          </cell>
          <cell r="AD1868">
            <v>0.85</v>
          </cell>
        </row>
        <row r="1869">
          <cell r="A1869" t="str">
            <v>BR4-TOP</v>
          </cell>
          <cell r="B1869" t="str">
            <v>BOX</v>
          </cell>
          <cell r="C1869">
            <v>2</v>
          </cell>
          <cell r="D1869">
            <v>130</v>
          </cell>
          <cell r="E1869">
            <v>400</v>
          </cell>
          <cell r="F1869">
            <v>40</v>
          </cell>
          <cell r="G1869" t="str">
            <v>ZP2500</v>
          </cell>
          <cell r="H1869">
            <v>1</v>
          </cell>
          <cell r="I1869">
            <v>2</v>
          </cell>
          <cell r="J1869" t="str">
            <v>㈜탭스</v>
          </cell>
          <cell r="O1869">
            <v>1892</v>
          </cell>
          <cell r="P1869">
            <v>1600</v>
          </cell>
          <cell r="Q1869">
            <v>200</v>
          </cell>
          <cell r="T1869" t="str">
            <v>BR4 TOP</v>
          </cell>
          <cell r="U1869">
            <v>45267</v>
          </cell>
          <cell r="V1869" t="str">
            <v>대양이동입고</v>
          </cell>
          <cell r="W1869" t="str">
            <v>보령4호 뚜껑</v>
          </cell>
          <cell r="AD1869">
            <v>0.85</v>
          </cell>
        </row>
        <row r="1870">
          <cell r="A1870" t="str">
            <v>BR4-TOP</v>
          </cell>
          <cell r="B1870" t="str">
            <v>BOX</v>
          </cell>
          <cell r="D1870">
            <v>100</v>
          </cell>
          <cell r="E1870">
            <v>411</v>
          </cell>
          <cell r="F1870">
            <v>40</v>
          </cell>
          <cell r="G1870" t="str">
            <v>ZP2500</v>
          </cell>
          <cell r="J1870" t="str">
            <v>㈜탭스</v>
          </cell>
          <cell r="T1870" t="str">
            <v>BR4 TOP</v>
          </cell>
          <cell r="U1870">
            <v>45267</v>
          </cell>
          <cell r="V1870" t="str">
            <v>대양이동입고</v>
          </cell>
          <cell r="W1870" t="str">
            <v>보령4호 뚜껑</v>
          </cell>
          <cell r="AD1870">
            <v>0.85</v>
          </cell>
        </row>
        <row r="1871">
          <cell r="A1871" t="str">
            <v>BR4-BOT</v>
          </cell>
          <cell r="B1871" t="str">
            <v>회색</v>
          </cell>
          <cell r="C1871">
            <v>4</v>
          </cell>
          <cell r="D1871">
            <v>180</v>
          </cell>
          <cell r="E1871">
            <v>1100</v>
          </cell>
          <cell r="F1871">
            <v>40</v>
          </cell>
          <cell r="G1871" t="str">
            <v>ZP2500</v>
          </cell>
          <cell r="H1871">
            <v>1</v>
          </cell>
          <cell r="I1871">
            <v>1</v>
          </cell>
          <cell r="J1871" t="str">
            <v>㈜탭스</v>
          </cell>
          <cell r="O1871">
            <v>7583</v>
          </cell>
          <cell r="P1871">
            <v>1600</v>
          </cell>
          <cell r="Q1871">
            <v>600</v>
          </cell>
          <cell r="T1871" t="str">
            <v>BR4 BODY</v>
          </cell>
          <cell r="U1871">
            <v>45267</v>
          </cell>
          <cell r="V1871" t="str">
            <v>대양이동입고</v>
          </cell>
          <cell r="W1871" t="str">
            <v>보령4호 몸통</v>
          </cell>
          <cell r="AC1871" t="str">
            <v>고정후레임입고</v>
          </cell>
          <cell r="AD1871">
            <v>0.85</v>
          </cell>
        </row>
        <row r="1872">
          <cell r="A1872" t="str">
            <v>BR4-BOT</v>
          </cell>
          <cell r="B1872" t="str">
            <v>BOX</v>
          </cell>
          <cell r="C1872">
            <v>4</v>
          </cell>
          <cell r="D1872">
            <v>180</v>
          </cell>
          <cell r="E1872">
            <v>1100</v>
          </cell>
          <cell r="F1872">
            <v>40</v>
          </cell>
          <cell r="G1872" t="str">
            <v>ZP2500</v>
          </cell>
          <cell r="H1872">
            <v>1</v>
          </cell>
          <cell r="I1872">
            <v>1</v>
          </cell>
          <cell r="J1872" t="str">
            <v>㈜탭스</v>
          </cell>
          <cell r="O1872">
            <v>7583</v>
          </cell>
          <cell r="P1872">
            <v>1600</v>
          </cell>
          <cell r="Q1872">
            <v>600</v>
          </cell>
          <cell r="T1872" t="str">
            <v>BR4 BODY</v>
          </cell>
          <cell r="U1872">
            <v>45267</v>
          </cell>
          <cell r="V1872" t="str">
            <v>대양이동입고</v>
          </cell>
          <cell r="W1872" t="str">
            <v>보령4호 몸통</v>
          </cell>
          <cell r="AC1872" t="str">
            <v>고정후레임입고</v>
          </cell>
          <cell r="AD1872">
            <v>0.85</v>
          </cell>
        </row>
        <row r="1873">
          <cell r="A1873" t="str">
            <v>BR4-BOT</v>
          </cell>
          <cell r="B1873" t="str">
            <v>BOX</v>
          </cell>
          <cell r="C1873">
            <v>4</v>
          </cell>
          <cell r="D1873">
            <v>180</v>
          </cell>
          <cell r="E1873">
            <v>1100</v>
          </cell>
          <cell r="F1873">
            <v>40</v>
          </cell>
          <cell r="G1873" t="str">
            <v>ZP2500</v>
          </cell>
          <cell r="H1873">
            <v>1</v>
          </cell>
          <cell r="I1873">
            <v>1</v>
          </cell>
          <cell r="J1873" t="str">
            <v>㈜탭스</v>
          </cell>
          <cell r="O1873">
            <v>7583</v>
          </cell>
          <cell r="P1873">
            <v>1600</v>
          </cell>
          <cell r="Q1873">
            <v>600</v>
          </cell>
          <cell r="T1873" t="str">
            <v>BR4 BODY</v>
          </cell>
          <cell r="U1873">
            <v>45267</v>
          </cell>
          <cell r="V1873" t="str">
            <v>대양이동입고</v>
          </cell>
          <cell r="W1873" t="str">
            <v>보령4호 몸통</v>
          </cell>
          <cell r="AC1873" t="str">
            <v>고정후레임입고</v>
          </cell>
          <cell r="AD1873">
            <v>0.85</v>
          </cell>
        </row>
        <row r="1874">
          <cell r="A1874" t="str">
            <v>BR4-BOT</v>
          </cell>
          <cell r="B1874" t="str">
            <v>BOX</v>
          </cell>
          <cell r="D1874">
            <v>100</v>
          </cell>
          <cell r="E1874">
            <v>1226</v>
          </cell>
          <cell r="F1874">
            <v>40</v>
          </cell>
          <cell r="G1874" t="str">
            <v>ZP2500</v>
          </cell>
          <cell r="J1874" t="str">
            <v>㈜탭스</v>
          </cell>
          <cell r="T1874" t="str">
            <v>BR4 BODY</v>
          </cell>
          <cell r="U1874">
            <v>45267</v>
          </cell>
          <cell r="V1874" t="str">
            <v>대양이동입고</v>
          </cell>
          <cell r="W1874" t="str">
            <v>보령4호 몸통</v>
          </cell>
          <cell r="AD1874">
            <v>0.85</v>
          </cell>
        </row>
        <row r="1875">
          <cell r="A1875" t="str">
            <v>BR02-TOP</v>
          </cell>
          <cell r="B1875" t="str">
            <v>회색</v>
          </cell>
          <cell r="C1875">
            <v>1</v>
          </cell>
          <cell r="D1875">
            <v>180</v>
          </cell>
          <cell r="E1875">
            <v>317</v>
          </cell>
          <cell r="F1875">
            <v>40</v>
          </cell>
          <cell r="G1875" t="str">
            <v>ZP2500</v>
          </cell>
          <cell r="H1875">
            <v>1</v>
          </cell>
          <cell r="I1875">
            <v>1</v>
          </cell>
          <cell r="J1875" t="str">
            <v>㈜탭스</v>
          </cell>
          <cell r="O1875">
            <v>1753</v>
          </cell>
          <cell r="P1875">
            <v>1600</v>
          </cell>
          <cell r="Q1875">
            <v>200</v>
          </cell>
          <cell r="T1875" t="str">
            <v>BR4 TOP</v>
          </cell>
          <cell r="U1875">
            <v>45267</v>
          </cell>
          <cell r="V1875" t="str">
            <v>대양이동입고</v>
          </cell>
          <cell r="W1875" t="str">
            <v>보령3호 뚜껑</v>
          </cell>
          <cell r="AD1875">
            <v>0.85</v>
          </cell>
          <cell r="AF1875">
            <v>4</v>
          </cell>
        </row>
        <row r="1876">
          <cell r="A1876" t="str">
            <v>BR02-TOP</v>
          </cell>
          <cell r="B1876" t="str">
            <v>BOX</v>
          </cell>
          <cell r="C1876">
            <v>1</v>
          </cell>
          <cell r="D1876">
            <v>180</v>
          </cell>
          <cell r="E1876">
            <v>317</v>
          </cell>
          <cell r="F1876">
            <v>40</v>
          </cell>
          <cell r="G1876" t="str">
            <v>ZP2500</v>
          </cell>
          <cell r="H1876">
            <v>1</v>
          </cell>
          <cell r="I1876">
            <v>1</v>
          </cell>
          <cell r="J1876" t="str">
            <v>㈜탭스</v>
          </cell>
          <cell r="O1876">
            <v>1753</v>
          </cell>
          <cell r="P1876">
            <v>1600</v>
          </cell>
          <cell r="Q1876">
            <v>200</v>
          </cell>
          <cell r="T1876" t="str">
            <v>BR4 TOP</v>
          </cell>
          <cell r="U1876">
            <v>45267</v>
          </cell>
          <cell r="V1876" t="str">
            <v>대양이동입고</v>
          </cell>
          <cell r="W1876" t="str">
            <v>보령3호 뚜껑</v>
          </cell>
          <cell r="AD1876">
            <v>0.85</v>
          </cell>
        </row>
        <row r="1877">
          <cell r="A1877" t="str">
            <v>BR02-BOT</v>
          </cell>
          <cell r="B1877" t="str">
            <v>회색</v>
          </cell>
          <cell r="C1877">
            <v>4</v>
          </cell>
          <cell r="D1877">
            <v>180</v>
          </cell>
          <cell r="E1877">
            <v>721</v>
          </cell>
          <cell r="F1877">
            <v>40</v>
          </cell>
          <cell r="G1877" t="str">
            <v>ZP2500</v>
          </cell>
          <cell r="H1877">
            <v>1</v>
          </cell>
          <cell r="I1877">
            <v>1</v>
          </cell>
          <cell r="J1877" t="str">
            <v>㈜탭스</v>
          </cell>
          <cell r="O1877">
            <v>3988</v>
          </cell>
          <cell r="P1877">
            <v>1600</v>
          </cell>
          <cell r="Q1877">
            <v>400</v>
          </cell>
          <cell r="T1877" t="str">
            <v>BR3 BODY BOX</v>
          </cell>
          <cell r="U1877">
            <v>45267</v>
          </cell>
          <cell r="V1877" t="str">
            <v>대양이동입고</v>
          </cell>
          <cell r="W1877" t="str">
            <v>보령3호 몸통</v>
          </cell>
          <cell r="AD1877">
            <v>0.85</v>
          </cell>
          <cell r="AF1877">
            <v>3</v>
          </cell>
        </row>
        <row r="1878">
          <cell r="A1878" t="str">
            <v>BR02-BOT</v>
          </cell>
          <cell r="B1878" t="str">
            <v>BOX</v>
          </cell>
          <cell r="C1878">
            <v>4</v>
          </cell>
          <cell r="D1878">
            <v>180</v>
          </cell>
          <cell r="E1878">
            <v>721</v>
          </cell>
          <cell r="F1878">
            <v>40</v>
          </cell>
          <cell r="G1878" t="str">
            <v>ZP2500</v>
          </cell>
          <cell r="H1878">
            <v>1</v>
          </cell>
          <cell r="I1878">
            <v>1</v>
          </cell>
          <cell r="J1878" t="str">
            <v>㈜탭스</v>
          </cell>
          <cell r="O1878">
            <v>3988</v>
          </cell>
          <cell r="P1878">
            <v>1600</v>
          </cell>
          <cell r="Q1878">
            <v>400</v>
          </cell>
          <cell r="T1878" t="str">
            <v>BR3 BODY BOX</v>
          </cell>
          <cell r="U1878">
            <v>45267</v>
          </cell>
          <cell r="V1878" t="str">
            <v>대양이동입고</v>
          </cell>
          <cell r="W1878" t="str">
            <v>보령3호 몸통</v>
          </cell>
          <cell r="AD1878">
            <v>0.85</v>
          </cell>
        </row>
        <row r="1879">
          <cell r="A1879" t="str">
            <v>BR01-TOP</v>
          </cell>
          <cell r="B1879" t="str">
            <v>회색</v>
          </cell>
          <cell r="C1879">
            <v>3</v>
          </cell>
          <cell r="D1879">
            <v>180</v>
          </cell>
          <cell r="E1879">
            <v>114</v>
          </cell>
          <cell r="F1879">
            <v>40</v>
          </cell>
          <cell r="G1879" t="str">
            <v>ZP2500</v>
          </cell>
          <cell r="H1879">
            <v>1</v>
          </cell>
          <cell r="I1879">
            <v>3</v>
          </cell>
          <cell r="J1879" t="str">
            <v>㈜탭스</v>
          </cell>
          <cell r="O1879">
            <v>620</v>
          </cell>
          <cell r="P1879">
            <v>1600</v>
          </cell>
          <cell r="Q1879">
            <v>200</v>
          </cell>
          <cell r="T1879" t="str">
            <v>BR2 TOP</v>
          </cell>
          <cell r="U1879">
            <v>45267</v>
          </cell>
          <cell r="V1879" t="str">
            <v>대양이동입고</v>
          </cell>
          <cell r="W1879" t="str">
            <v>보령2호 뚜껑</v>
          </cell>
          <cell r="AD1879">
            <v>0.85</v>
          </cell>
        </row>
        <row r="1880">
          <cell r="A1880" t="str">
            <v>BR01-TOP</v>
          </cell>
          <cell r="B1880" t="str">
            <v>BOX</v>
          </cell>
          <cell r="C1880">
            <v>3</v>
          </cell>
          <cell r="D1880">
            <v>180</v>
          </cell>
          <cell r="E1880">
            <v>114</v>
          </cell>
          <cell r="F1880">
            <v>40</v>
          </cell>
          <cell r="G1880" t="str">
            <v>ZP2500</v>
          </cell>
          <cell r="H1880">
            <v>1</v>
          </cell>
          <cell r="I1880">
            <v>3</v>
          </cell>
          <cell r="J1880" t="str">
            <v>㈜탭스</v>
          </cell>
          <cell r="O1880">
            <v>620</v>
          </cell>
          <cell r="P1880">
            <v>1600</v>
          </cell>
          <cell r="Q1880">
            <v>200</v>
          </cell>
          <cell r="T1880" t="str">
            <v>BR2 TOP</v>
          </cell>
          <cell r="U1880">
            <v>45267</v>
          </cell>
          <cell r="V1880" t="str">
            <v>대양이동입고</v>
          </cell>
          <cell r="W1880" t="str">
            <v>보령2호 뚜껑</v>
          </cell>
          <cell r="AD1880">
            <v>0.85</v>
          </cell>
        </row>
        <row r="1881">
          <cell r="A1881" t="str">
            <v>BR01-TOP</v>
          </cell>
          <cell r="B1881" t="str">
            <v>BOX</v>
          </cell>
          <cell r="D1881">
            <v>100</v>
          </cell>
          <cell r="E1881">
            <v>114</v>
          </cell>
          <cell r="F1881">
            <v>40</v>
          </cell>
          <cell r="G1881" t="str">
            <v>ZP2500</v>
          </cell>
          <cell r="J1881" t="str">
            <v>㈜탭스</v>
          </cell>
          <cell r="T1881" t="str">
            <v>BR2 TOP</v>
          </cell>
          <cell r="U1881">
            <v>45267</v>
          </cell>
          <cell r="V1881" t="str">
            <v>대양이동입고</v>
          </cell>
          <cell r="W1881" t="str">
            <v>보령2호 뚜껑</v>
          </cell>
          <cell r="AD1881">
            <v>0.85</v>
          </cell>
        </row>
        <row r="1882">
          <cell r="A1882" t="str">
            <v>BR01-BOT</v>
          </cell>
          <cell r="B1882" t="str">
            <v>회색</v>
          </cell>
          <cell r="C1882">
            <v>3</v>
          </cell>
          <cell r="D1882">
            <v>180</v>
          </cell>
          <cell r="E1882">
            <v>467</v>
          </cell>
          <cell r="F1882">
            <v>40</v>
          </cell>
          <cell r="G1882" t="str">
            <v>ZP2500</v>
          </cell>
          <cell r="H1882">
            <v>1</v>
          </cell>
          <cell r="I1882">
            <v>3</v>
          </cell>
          <cell r="J1882" t="str">
            <v>㈜탭스</v>
          </cell>
          <cell r="O1882">
            <v>2539</v>
          </cell>
          <cell r="P1882">
            <v>1600</v>
          </cell>
          <cell r="Q1882">
            <v>400</v>
          </cell>
          <cell r="T1882" t="str">
            <v>BR2 BODY</v>
          </cell>
          <cell r="U1882">
            <v>45267</v>
          </cell>
          <cell r="V1882" t="str">
            <v>대양이동입고</v>
          </cell>
          <cell r="W1882" t="str">
            <v>보령2호 몸통</v>
          </cell>
          <cell r="AD1882">
            <v>0.85</v>
          </cell>
        </row>
        <row r="1883">
          <cell r="A1883" t="str">
            <v>BR01-BOT</v>
          </cell>
          <cell r="B1883" t="str">
            <v>BOX</v>
          </cell>
          <cell r="C1883">
            <v>3</v>
          </cell>
          <cell r="D1883">
            <v>180</v>
          </cell>
          <cell r="E1883">
            <v>467</v>
          </cell>
          <cell r="F1883">
            <v>40</v>
          </cell>
          <cell r="G1883" t="str">
            <v>ZP2500</v>
          </cell>
          <cell r="H1883">
            <v>1</v>
          </cell>
          <cell r="I1883">
            <v>3</v>
          </cell>
          <cell r="J1883" t="str">
            <v>㈜탭스</v>
          </cell>
          <cell r="O1883">
            <v>2539</v>
          </cell>
          <cell r="P1883">
            <v>1600</v>
          </cell>
          <cell r="Q1883">
            <v>400</v>
          </cell>
          <cell r="T1883" t="str">
            <v>BR2 BODY</v>
          </cell>
          <cell r="U1883">
            <v>45267</v>
          </cell>
          <cell r="V1883" t="str">
            <v>대양이동입고</v>
          </cell>
          <cell r="W1883" t="str">
            <v>보령2호 몸통</v>
          </cell>
          <cell r="AD1883">
            <v>0.85</v>
          </cell>
        </row>
        <row r="1884">
          <cell r="A1884" t="str">
            <v>BR01-BOT</v>
          </cell>
          <cell r="B1884" t="str">
            <v>BOX</v>
          </cell>
          <cell r="D1884">
            <v>100</v>
          </cell>
          <cell r="E1884">
            <v>467</v>
          </cell>
          <cell r="F1884">
            <v>40</v>
          </cell>
          <cell r="G1884" t="str">
            <v>ZP2500</v>
          </cell>
          <cell r="J1884" t="str">
            <v>㈜탭스</v>
          </cell>
          <cell r="T1884" t="str">
            <v>BR2 BODY</v>
          </cell>
          <cell r="U1884">
            <v>45267</v>
          </cell>
          <cell r="V1884" t="str">
            <v>대양이동입고</v>
          </cell>
          <cell r="W1884" t="str">
            <v>보령2호 몸통</v>
          </cell>
          <cell r="AD1884">
            <v>0.85</v>
          </cell>
        </row>
        <row r="1885">
          <cell r="A1885" t="str">
            <v>BN81-18099A</v>
          </cell>
          <cell r="B1885" t="str">
            <v>SET</v>
          </cell>
          <cell r="J1885" t="str">
            <v>삼성전자</v>
          </cell>
          <cell r="O1885">
            <v>59179</v>
          </cell>
        </row>
        <row r="1886">
          <cell r="A1886" t="str">
            <v>BN81-18098A</v>
          </cell>
          <cell r="B1886" t="str">
            <v>SET</v>
          </cell>
          <cell r="J1886" t="str">
            <v>삼성전자</v>
          </cell>
          <cell r="O1886">
            <v>37260</v>
          </cell>
        </row>
        <row r="1887">
          <cell r="A1887" t="str">
            <v>BN81-18097A</v>
          </cell>
          <cell r="B1887" t="str">
            <v>SET</v>
          </cell>
          <cell r="E1887">
            <v>3205</v>
          </cell>
          <cell r="J1887" t="str">
            <v>삼성전자</v>
          </cell>
          <cell r="O1887">
            <v>22000</v>
          </cell>
        </row>
        <row r="1888">
          <cell r="A1888" t="str">
            <v>BN81-18096A</v>
          </cell>
          <cell r="B1888" t="str">
            <v>SET</v>
          </cell>
          <cell r="J1888" t="str">
            <v>삼성전자</v>
          </cell>
          <cell r="O1888">
            <v>12087</v>
          </cell>
        </row>
        <row r="1889">
          <cell r="A1889" t="str">
            <v>BN69-22149A-1</v>
          </cell>
          <cell r="B1889" t="str">
            <v>SET</v>
          </cell>
          <cell r="C1889">
            <v>3</v>
          </cell>
          <cell r="D1889">
            <v>100</v>
          </cell>
          <cell r="E1889">
            <v>218</v>
          </cell>
          <cell r="F1889">
            <v>70</v>
          </cell>
          <cell r="G1889" t="str">
            <v>B240NS</v>
          </cell>
          <cell r="H1889">
            <v>1</v>
          </cell>
          <cell r="I1889">
            <v>2</v>
          </cell>
          <cell r="J1889" t="str">
            <v>삼성전자</v>
          </cell>
          <cell r="K1889">
            <v>95</v>
          </cell>
          <cell r="L1889">
            <v>99</v>
          </cell>
          <cell r="M1889">
            <v>95</v>
          </cell>
          <cell r="N1889">
            <v>99</v>
          </cell>
          <cell r="P1889">
            <v>1600</v>
          </cell>
          <cell r="Q1889">
            <v>200</v>
          </cell>
          <cell r="T1889" t="str">
            <v>KMA-STAND</v>
          </cell>
          <cell r="U1889">
            <v>44158</v>
          </cell>
          <cell r="V1889" t="str">
            <v>이피엠테크</v>
          </cell>
          <cell r="Y1889">
            <v>60</v>
          </cell>
          <cell r="AC1889" t="str">
            <v>석상준과장</v>
          </cell>
          <cell r="AD1889">
            <v>0.85</v>
          </cell>
          <cell r="AF1889">
            <v>4</v>
          </cell>
        </row>
        <row r="1890">
          <cell r="A1890" t="str">
            <v>BN69-20912</v>
          </cell>
          <cell r="B1890" t="str">
            <v>SET</v>
          </cell>
          <cell r="C1890">
            <v>7</v>
          </cell>
          <cell r="D1890">
            <v>200</v>
          </cell>
          <cell r="E1890">
            <v>1689</v>
          </cell>
          <cell r="F1890">
            <v>60</v>
          </cell>
          <cell r="G1890" t="str">
            <v>B240NS</v>
          </cell>
          <cell r="H1890">
            <v>1</v>
          </cell>
          <cell r="I1890">
            <v>1</v>
          </cell>
          <cell r="J1890" t="str">
            <v>삼성전자</v>
          </cell>
          <cell r="P1890">
            <v>2700</v>
          </cell>
          <cell r="Q1890">
            <v>400</v>
          </cell>
          <cell r="U1890" t="str">
            <v>2020.01.22</v>
          </cell>
          <cell r="V1890" t="str">
            <v>제이티</v>
          </cell>
          <cell r="W1890" t="str">
            <v>75Q800T</v>
          </cell>
          <cell r="Y1890">
            <v>60</v>
          </cell>
          <cell r="AD1890">
            <v>0.85</v>
          </cell>
          <cell r="AF1890">
            <v>6</v>
          </cell>
        </row>
        <row r="1891">
          <cell r="A1891" t="str">
            <v>BN69-20259A#12</v>
          </cell>
          <cell r="B1891" t="str">
            <v>SPL</v>
          </cell>
          <cell r="C1891">
            <v>4</v>
          </cell>
          <cell r="D1891">
            <v>300</v>
          </cell>
          <cell r="E1891">
            <v>180</v>
          </cell>
          <cell r="F1891">
            <v>68</v>
          </cell>
          <cell r="G1891" t="str">
            <v>SG302AN</v>
          </cell>
          <cell r="H1891">
            <v>1</v>
          </cell>
          <cell r="I1891">
            <v>1</v>
          </cell>
          <cell r="J1891" t="str">
            <v>삼성전자</v>
          </cell>
          <cell r="P1891">
            <v>2700</v>
          </cell>
          <cell r="Q1891">
            <v>200</v>
          </cell>
          <cell r="U1891">
            <v>43886</v>
          </cell>
          <cell r="V1891" t="str">
            <v>제이티</v>
          </cell>
          <cell r="Y1891">
            <v>60</v>
          </cell>
        </row>
        <row r="1892">
          <cell r="A1892" t="str">
            <v>BN69-19044A#11</v>
          </cell>
          <cell r="B1892" t="str">
            <v>SET</v>
          </cell>
          <cell r="C1892">
            <v>4</v>
          </cell>
          <cell r="D1892">
            <v>100</v>
          </cell>
          <cell r="E1892">
            <v>848</v>
          </cell>
          <cell r="F1892">
            <v>68</v>
          </cell>
          <cell r="G1892" t="str">
            <v>SG302AN</v>
          </cell>
          <cell r="I1892">
            <v>2</v>
          </cell>
          <cell r="J1892" t="str">
            <v>삼성전자</v>
          </cell>
        </row>
        <row r="1893">
          <cell r="A1893" t="str">
            <v>BN69-18575A</v>
          </cell>
          <cell r="B1893" t="str">
            <v>SET</v>
          </cell>
          <cell r="C1893">
            <v>4</v>
          </cell>
          <cell r="D1893">
            <v>150</v>
          </cell>
          <cell r="E1893">
            <v>294</v>
          </cell>
          <cell r="F1893">
            <v>74</v>
          </cell>
          <cell r="G1893" t="str">
            <v>B240NS</v>
          </cell>
          <cell r="H1893">
            <v>4</v>
          </cell>
          <cell r="I1893">
            <v>1</v>
          </cell>
          <cell r="J1893" t="str">
            <v>삼성전자</v>
          </cell>
          <cell r="O1893">
            <v>1480</v>
          </cell>
          <cell r="P1893">
            <v>1500</v>
          </cell>
          <cell r="Q1893">
            <v>550</v>
          </cell>
          <cell r="R1893" t="str">
            <v>검정</v>
          </cell>
          <cell r="S1893" t="str">
            <v>검정</v>
          </cell>
          <cell r="T1893" t="str">
            <v>CUSHION-DP CHASSIS;QNQ9FA</v>
          </cell>
          <cell r="U1893">
            <v>43206</v>
          </cell>
          <cell r="V1893" t="str">
            <v>금형제조부</v>
          </cell>
          <cell r="W1893" t="str">
            <v>내부 살대 뜯겨나는 불량 주의 생산!!, 지정원료사용!!</v>
          </cell>
          <cell r="Y1893">
            <v>60</v>
          </cell>
          <cell r="Z1893">
            <v>17537</v>
          </cell>
          <cell r="AC1893" t="str">
            <v>최재학계장,후레임일체,2018.05.22코팅입고, 샷시포장재 에서 모델명 변경(180806), 중량 350g--&gt;294g으로 변경(180806), C/T 160초, 후레임/금형 배열 문제로 냉각, 이형 문제 多, 생산성 문제, 181113아산대여</v>
          </cell>
          <cell r="AD1893">
            <v>0.85</v>
          </cell>
          <cell r="AE1893">
            <v>100</v>
          </cell>
          <cell r="AF1893">
            <v>2</v>
          </cell>
        </row>
        <row r="1894">
          <cell r="A1894" t="str">
            <v>BN69-15194A(개선형)</v>
          </cell>
          <cell r="B1894" t="str">
            <v>SET</v>
          </cell>
          <cell r="C1894">
            <v>1</v>
          </cell>
          <cell r="D1894">
            <v>234</v>
          </cell>
          <cell r="E1894">
            <v>667</v>
          </cell>
          <cell r="F1894">
            <v>74</v>
          </cell>
          <cell r="G1894" t="str">
            <v>B240NS</v>
          </cell>
          <cell r="H1894">
            <v>1</v>
          </cell>
          <cell r="I1894">
            <v>2</v>
          </cell>
          <cell r="J1894" t="str">
            <v>삼성전자</v>
          </cell>
          <cell r="K1894">
            <v>268</v>
          </cell>
          <cell r="L1894">
            <v>272</v>
          </cell>
          <cell r="M1894">
            <v>268</v>
          </cell>
          <cell r="N1894">
            <v>272</v>
          </cell>
          <cell r="O1894">
            <v>10</v>
          </cell>
          <cell r="P1894">
            <v>1600</v>
          </cell>
          <cell r="Q1894">
            <v>350</v>
          </cell>
          <cell r="S1894">
            <v>0</v>
          </cell>
          <cell r="T1894" t="str">
            <v>55Q7C-US#1</v>
          </cell>
          <cell r="U1894">
            <v>42901</v>
          </cell>
          <cell r="V1894" t="str">
            <v>제이티</v>
          </cell>
          <cell r="W1894" t="str">
            <v>55Q7C-US</v>
          </cell>
          <cell r="Y1894">
            <v>60</v>
          </cell>
          <cell r="AC1894" t="str">
            <v>BN69-15194A 동일 금형(개조 입고)</v>
          </cell>
          <cell r="AD1894">
            <v>0.85</v>
          </cell>
          <cell r="AE1894">
            <v>234</v>
          </cell>
          <cell r="AF1894">
            <v>1</v>
          </cell>
        </row>
        <row r="1895">
          <cell r="A1895" t="str">
            <v>BN69-15194A</v>
          </cell>
          <cell r="B1895" t="str">
            <v>SET</v>
          </cell>
          <cell r="C1895">
            <v>1</v>
          </cell>
          <cell r="D1895">
            <v>234</v>
          </cell>
          <cell r="E1895">
            <v>667</v>
          </cell>
          <cell r="F1895">
            <v>74</v>
          </cell>
          <cell r="G1895" t="str">
            <v>B240NS</v>
          </cell>
          <cell r="H1895">
            <v>1</v>
          </cell>
          <cell r="I1895">
            <v>2</v>
          </cell>
          <cell r="J1895" t="str">
            <v>삼성전자</v>
          </cell>
          <cell r="K1895">
            <v>268</v>
          </cell>
          <cell r="L1895">
            <v>272</v>
          </cell>
          <cell r="M1895">
            <v>268</v>
          </cell>
          <cell r="N1895">
            <v>272</v>
          </cell>
          <cell r="O1895">
            <v>10</v>
          </cell>
          <cell r="P1895">
            <v>1600</v>
          </cell>
          <cell r="Q1895">
            <v>350</v>
          </cell>
          <cell r="S1895">
            <v>0</v>
          </cell>
          <cell r="T1895" t="str">
            <v>55Q7C-US#1</v>
          </cell>
          <cell r="U1895">
            <v>42895</v>
          </cell>
          <cell r="V1895" t="str">
            <v>제이티</v>
          </cell>
          <cell r="W1895" t="str">
            <v>55Q7C-US</v>
          </cell>
          <cell r="Y1895">
            <v>60</v>
          </cell>
          <cell r="AC1895" t="str">
            <v>()김길영대리,코팅입고</v>
          </cell>
          <cell r="AD1895">
            <v>0.85</v>
          </cell>
          <cell r="AE1895">
            <v>234</v>
          </cell>
          <cell r="AF1895">
            <v>2</v>
          </cell>
        </row>
        <row r="1896">
          <cell r="A1896" t="str">
            <v>BN69-14082A</v>
          </cell>
          <cell r="B1896" t="str">
            <v>SET</v>
          </cell>
          <cell r="J1896" t="str">
            <v>삼성전자</v>
          </cell>
        </row>
        <row r="1897">
          <cell r="A1897" t="str">
            <v>BN69-13651A#5</v>
          </cell>
          <cell r="B1897" t="str">
            <v>SET</v>
          </cell>
          <cell r="C1897">
            <v>1</v>
          </cell>
          <cell r="D1897">
            <v>87</v>
          </cell>
          <cell r="E1897">
            <v>915</v>
          </cell>
          <cell r="F1897">
            <v>74</v>
          </cell>
          <cell r="G1897" t="str">
            <v>B240NS</v>
          </cell>
          <cell r="H1897">
            <v>1</v>
          </cell>
          <cell r="I1897">
            <v>4</v>
          </cell>
          <cell r="J1897" t="str">
            <v>삼성전자</v>
          </cell>
          <cell r="K1897">
            <v>248</v>
          </cell>
          <cell r="L1897">
            <v>252</v>
          </cell>
          <cell r="M1897">
            <v>248</v>
          </cell>
          <cell r="N1897">
            <v>252</v>
          </cell>
          <cell r="P1897">
            <v>1360</v>
          </cell>
          <cell r="Q1897">
            <v>350</v>
          </cell>
          <cell r="S1897">
            <v>0</v>
          </cell>
          <cell r="T1897" t="str">
            <v>65KS9000-YS#1</v>
          </cell>
          <cell r="U1897">
            <v>42403</v>
          </cell>
          <cell r="V1897" t="str">
            <v>세일</v>
          </cell>
          <cell r="W1897" t="str">
            <v>65KS9000-YS</v>
          </cell>
          <cell r="Y1897">
            <v>60</v>
          </cell>
          <cell r="AD1897">
            <v>0.85</v>
          </cell>
          <cell r="AE1897">
            <v>87</v>
          </cell>
          <cell r="AF1897">
            <v>2</v>
          </cell>
        </row>
        <row r="1898">
          <cell r="A1898" t="str">
            <v>BN69-13287B</v>
          </cell>
          <cell r="B1898" t="str">
            <v>SET</v>
          </cell>
          <cell r="C1898">
            <v>1</v>
          </cell>
          <cell r="D1898">
            <v>85</v>
          </cell>
          <cell r="E1898">
            <v>466</v>
          </cell>
          <cell r="F1898">
            <v>74</v>
          </cell>
          <cell r="G1898" t="str">
            <v>B240NS</v>
          </cell>
          <cell r="H1898">
            <v>5</v>
          </cell>
          <cell r="I1898">
            <v>2</v>
          </cell>
          <cell r="J1898" t="str">
            <v>삼성전자</v>
          </cell>
          <cell r="K1898">
            <v>233</v>
          </cell>
          <cell r="L1898">
            <v>237</v>
          </cell>
          <cell r="M1898">
            <v>203</v>
          </cell>
          <cell r="N1898">
            <v>207</v>
          </cell>
          <cell r="O1898">
            <v>2132</v>
          </cell>
          <cell r="P1898" t="str">
            <v>1600MS</v>
          </cell>
          <cell r="Q1898">
            <v>350</v>
          </cell>
          <cell r="R1898" t="str">
            <v>노랑</v>
          </cell>
          <cell r="S1898" t="str">
            <v>노랑</v>
          </cell>
          <cell r="T1898" t="str">
            <v>43KU6500-YS#1</v>
          </cell>
          <cell r="U1898">
            <v>42394</v>
          </cell>
          <cell r="V1898" t="str">
            <v>제이티</v>
          </cell>
          <cell r="W1898" t="str">
            <v>43KU6500-YS 테이프부착</v>
          </cell>
          <cell r="Y1898">
            <v>60</v>
          </cell>
          <cell r="AC1898" t="str">
            <v>(206Kg)김창준과장, 코팅완료,2016.04.08개조</v>
          </cell>
          <cell r="AD1898">
            <v>0.85</v>
          </cell>
          <cell r="AE1898">
            <v>85</v>
          </cell>
          <cell r="AF1898">
            <v>2</v>
          </cell>
        </row>
        <row r="1899">
          <cell r="A1899" t="str">
            <v>BN69-13237B</v>
          </cell>
          <cell r="B1899" t="str">
            <v>SET</v>
          </cell>
          <cell r="C1899">
            <v>1</v>
          </cell>
          <cell r="D1899">
            <v>100</v>
          </cell>
          <cell r="E1899">
            <v>492</v>
          </cell>
          <cell r="F1899">
            <v>74</v>
          </cell>
          <cell r="G1899" t="str">
            <v>B240NS</v>
          </cell>
          <cell r="H1899">
            <v>1</v>
          </cell>
          <cell r="I1899">
            <v>2</v>
          </cell>
          <cell r="J1899" t="str">
            <v>삼성전자</v>
          </cell>
          <cell r="K1899">
            <v>233</v>
          </cell>
          <cell r="L1899">
            <v>237</v>
          </cell>
          <cell r="M1899">
            <v>203</v>
          </cell>
          <cell r="N1899">
            <v>207</v>
          </cell>
          <cell r="O1899">
            <v>2213</v>
          </cell>
          <cell r="P1899" t="str">
            <v>1600MS</v>
          </cell>
          <cell r="Q1899">
            <v>350</v>
          </cell>
          <cell r="S1899">
            <v>0</v>
          </cell>
          <cell r="T1899" t="str">
            <v>49KU6300-KR#1</v>
          </cell>
          <cell r="U1899">
            <v>42445</v>
          </cell>
          <cell r="V1899" t="str">
            <v>이피엠테크</v>
          </cell>
          <cell r="W1899" t="str">
            <v>49KU6300-KR 테이프부착</v>
          </cell>
          <cell r="Y1899">
            <v>60</v>
          </cell>
          <cell r="AC1899" t="str">
            <v>(214Kg)최재학사원,2016.03.23개조,2016.03.29개조,2016.04.05개조</v>
          </cell>
          <cell r="AD1899">
            <v>0.85</v>
          </cell>
          <cell r="AE1899">
            <v>100</v>
          </cell>
          <cell r="AF1899">
            <v>1</v>
          </cell>
        </row>
        <row r="1900">
          <cell r="A1900" t="str">
            <v>BN69-13235B</v>
          </cell>
          <cell r="B1900" t="str">
            <v>SET</v>
          </cell>
          <cell r="C1900">
            <v>1</v>
          </cell>
          <cell r="D1900">
            <v>90</v>
          </cell>
          <cell r="E1900">
            <v>403</v>
          </cell>
          <cell r="F1900">
            <v>74</v>
          </cell>
          <cell r="G1900" t="str">
            <v>B240NS</v>
          </cell>
          <cell r="H1900">
            <v>5</v>
          </cell>
          <cell r="I1900">
            <v>2</v>
          </cell>
          <cell r="J1900" t="str">
            <v>삼성전자</v>
          </cell>
          <cell r="K1900">
            <v>203</v>
          </cell>
          <cell r="L1900">
            <v>207</v>
          </cell>
          <cell r="M1900">
            <v>203</v>
          </cell>
          <cell r="N1900">
            <v>207</v>
          </cell>
          <cell r="O1900">
            <v>1878</v>
          </cell>
          <cell r="P1900" t="str">
            <v>1600MS</v>
          </cell>
          <cell r="Q1900">
            <v>300</v>
          </cell>
          <cell r="R1900" t="str">
            <v>주황</v>
          </cell>
          <cell r="S1900" t="str">
            <v>주황</v>
          </cell>
          <cell r="T1900" t="str">
            <v>43KU6500-QS#1</v>
          </cell>
          <cell r="U1900">
            <v>42397</v>
          </cell>
          <cell r="V1900" t="str">
            <v>제이티</v>
          </cell>
          <cell r="W1900" t="str">
            <v>43KU6500-QS 테이프부착</v>
          </cell>
          <cell r="Y1900">
            <v>60</v>
          </cell>
          <cell r="AC1900" t="str">
            <v>(182Kg)김창준과장2016.1.30코팅입고.2016.2.3수정입고,2016.02.15개조,2016.04.06개조</v>
          </cell>
          <cell r="AD1900">
            <v>0.85</v>
          </cell>
          <cell r="AE1900">
            <v>90</v>
          </cell>
          <cell r="AF1900">
            <v>2</v>
          </cell>
        </row>
        <row r="1901">
          <cell r="A1901" t="str">
            <v>BN69-13163B</v>
          </cell>
          <cell r="B1901" t="str">
            <v>SET</v>
          </cell>
          <cell r="C1901">
            <v>1</v>
          </cell>
          <cell r="D1901">
            <v>90</v>
          </cell>
          <cell r="E1901">
            <v>548</v>
          </cell>
          <cell r="F1901">
            <v>74</v>
          </cell>
          <cell r="G1901" t="str">
            <v>B240NS</v>
          </cell>
          <cell r="H1901">
            <v>5</v>
          </cell>
          <cell r="I1901">
            <v>2</v>
          </cell>
          <cell r="J1901" t="str">
            <v>삼성전자</v>
          </cell>
          <cell r="K1901">
            <v>231</v>
          </cell>
          <cell r="L1901">
            <v>235</v>
          </cell>
          <cell r="M1901">
            <v>211</v>
          </cell>
          <cell r="N1901">
            <v>215</v>
          </cell>
          <cell r="O1901">
            <v>2421</v>
          </cell>
          <cell r="P1901" t="str">
            <v>1600MS</v>
          </cell>
          <cell r="Q1901">
            <v>350</v>
          </cell>
          <cell r="R1901" t="str">
            <v>검정</v>
          </cell>
          <cell r="S1901" t="str">
            <v>검정</v>
          </cell>
          <cell r="T1901" t="str">
            <v>49KU6500-TS#1</v>
          </cell>
          <cell r="U1901">
            <v>42416</v>
          </cell>
          <cell r="V1901" t="str">
            <v>제이티</v>
          </cell>
          <cell r="W1901" t="str">
            <v>49KU6500-TS 테이프부착</v>
          </cell>
          <cell r="Y1901">
            <v>60</v>
          </cell>
          <cell r="AC1901" t="str">
            <v>(Kg)김창준과장,코팅완료,2016.02.20 개조</v>
          </cell>
          <cell r="AD1901">
            <v>0.85</v>
          </cell>
          <cell r="AE1901">
            <v>90</v>
          </cell>
          <cell r="AF1901">
            <v>1</v>
          </cell>
        </row>
        <row r="1902">
          <cell r="A1902" t="str">
            <v>BN69-12460B</v>
          </cell>
          <cell r="B1902" t="str">
            <v>PAD</v>
          </cell>
          <cell r="E1902">
            <v>2.73</v>
          </cell>
          <cell r="J1902" t="str">
            <v>삼성전자</v>
          </cell>
          <cell r="O1902">
            <v>46</v>
          </cell>
          <cell r="P1902" t="str">
            <v>70*65*30T(50배)</v>
          </cell>
        </row>
        <row r="1903">
          <cell r="A1903" t="str">
            <v>BN69-12460A</v>
          </cell>
          <cell r="B1903" t="str">
            <v>PAD</v>
          </cell>
          <cell r="E1903">
            <v>3.36</v>
          </cell>
          <cell r="J1903" t="str">
            <v>삼성전자</v>
          </cell>
          <cell r="O1903">
            <v>54</v>
          </cell>
          <cell r="P1903" t="str">
            <v>80*50*42T(50배)</v>
          </cell>
        </row>
        <row r="1904">
          <cell r="A1904" t="str">
            <v>BN69-12392A</v>
          </cell>
          <cell r="B1904" t="str">
            <v>PAD</v>
          </cell>
          <cell r="E1904">
            <v>2680</v>
          </cell>
          <cell r="J1904" t="str">
            <v>삼성전자</v>
          </cell>
          <cell r="O1904">
            <v>23024</v>
          </cell>
          <cell r="P1904" t="str">
            <v>730*460*400T</v>
          </cell>
        </row>
        <row r="1905">
          <cell r="A1905" t="str">
            <v>BN69-12349A</v>
          </cell>
          <cell r="B1905" t="str">
            <v>PAD</v>
          </cell>
          <cell r="E1905">
            <v>22</v>
          </cell>
          <cell r="J1905" t="str">
            <v>삼성전자</v>
          </cell>
          <cell r="O1905">
            <v>201</v>
          </cell>
          <cell r="P1905" t="str">
            <v>140*120*80T-삼각형</v>
          </cell>
        </row>
        <row r="1906">
          <cell r="A1906" t="str">
            <v>BN69-12304F</v>
          </cell>
          <cell r="B1906" t="str">
            <v>PAD</v>
          </cell>
          <cell r="E1906">
            <v>80</v>
          </cell>
          <cell r="J1906" t="str">
            <v>삼성전자</v>
          </cell>
          <cell r="O1906">
            <v>528</v>
          </cell>
          <cell r="P1906" t="str">
            <v>575*418*20T</v>
          </cell>
        </row>
        <row r="1907">
          <cell r="A1907" t="str">
            <v>BN69-12304E</v>
          </cell>
          <cell r="B1907" t="str">
            <v>PAD</v>
          </cell>
          <cell r="E1907">
            <v>187</v>
          </cell>
          <cell r="J1907" t="str">
            <v>삼성전자</v>
          </cell>
          <cell r="O1907">
            <v>1132</v>
          </cell>
          <cell r="P1907" t="str">
            <v>820*454*25T</v>
          </cell>
        </row>
        <row r="1908">
          <cell r="A1908" t="str">
            <v>BN69-12304C</v>
          </cell>
          <cell r="B1908" t="str">
            <v>PAD</v>
          </cell>
          <cell r="E1908">
            <v>490</v>
          </cell>
          <cell r="J1908" t="str">
            <v>삼성전자</v>
          </cell>
          <cell r="O1908">
            <v>4346</v>
          </cell>
          <cell r="P1908" t="str">
            <v>1020*575*50T(60배)</v>
          </cell>
        </row>
        <row r="1909">
          <cell r="A1909" t="str">
            <v>BN69-12304B</v>
          </cell>
          <cell r="B1909" t="str">
            <v>PAD</v>
          </cell>
          <cell r="E1909">
            <v>174</v>
          </cell>
          <cell r="J1909" t="str">
            <v>삼성전자</v>
          </cell>
          <cell r="P1909" t="str">
            <v>740*300*47T(60배)</v>
          </cell>
        </row>
        <row r="1910">
          <cell r="A1910" t="str">
            <v>BN69-12304A</v>
          </cell>
          <cell r="B1910" t="str">
            <v>PAD</v>
          </cell>
          <cell r="E1910">
            <v>118</v>
          </cell>
          <cell r="J1910" t="str">
            <v>삼성전자</v>
          </cell>
          <cell r="O1910">
            <v>873</v>
          </cell>
          <cell r="P1910" t="str">
            <v>750*220*43T</v>
          </cell>
        </row>
        <row r="1911">
          <cell r="A1911" t="str">
            <v>BN69-12069B</v>
          </cell>
          <cell r="B1911" t="str">
            <v>SET</v>
          </cell>
          <cell r="C1911">
            <v>1</v>
          </cell>
          <cell r="D1911">
            <v>570</v>
          </cell>
          <cell r="E1911">
            <v>5360</v>
          </cell>
          <cell r="F1911">
            <v>30</v>
          </cell>
          <cell r="G1911" t="str">
            <v>B240NS</v>
          </cell>
          <cell r="H1911">
            <v>2</v>
          </cell>
          <cell r="I1911">
            <v>1</v>
          </cell>
          <cell r="J1911" t="str">
            <v>삼성전자</v>
          </cell>
          <cell r="K1911">
            <v>332</v>
          </cell>
          <cell r="L1911">
            <v>336</v>
          </cell>
          <cell r="O1911">
            <v>72337</v>
          </cell>
          <cell r="P1911">
            <v>1360</v>
          </cell>
          <cell r="Q1911">
            <v>450</v>
          </cell>
          <cell r="R1911" t="str">
            <v>비닐</v>
          </cell>
          <cell r="S1911" t="str">
            <v>비닐</v>
          </cell>
          <cell r="T1911" t="str">
            <v>J5200-43#1</v>
          </cell>
          <cell r="U1911">
            <v>42059</v>
          </cell>
          <cell r="V1911" t="str">
            <v>제이티</v>
          </cell>
          <cell r="W1911" t="str">
            <v>J5200-43(BN69-12069A동일금형)</v>
          </cell>
          <cell r="Y1911" t="str">
            <v>50</v>
          </cell>
          <cell r="Z1911">
            <v>160800</v>
          </cell>
          <cell r="AC1911" t="str">
            <v>(942Kg)최재학사원,후레임일체,코팅입고201504.20수정입고,2015.10.09배율변경57-&gt;62, 180611 후레임 해외영구반출</v>
          </cell>
          <cell r="AD1911">
            <v>0.9</v>
          </cell>
          <cell r="AE1911">
            <v>570</v>
          </cell>
          <cell r="AF1911">
            <v>2</v>
          </cell>
        </row>
        <row r="1912">
          <cell r="A1912" t="str">
            <v>BN69-11671A#4</v>
          </cell>
          <cell r="B1912" t="str">
            <v>SET</v>
          </cell>
          <cell r="C1912">
            <v>1</v>
          </cell>
          <cell r="D1912">
            <v>160</v>
          </cell>
          <cell r="E1912">
            <v>1879</v>
          </cell>
          <cell r="F1912">
            <v>65</v>
          </cell>
          <cell r="G1912" t="str">
            <v>B240NS</v>
          </cell>
          <cell r="H1912">
            <v>2</v>
          </cell>
          <cell r="I1912">
            <v>1</v>
          </cell>
          <cell r="J1912" t="str">
            <v>삼성전자</v>
          </cell>
          <cell r="K1912">
            <v>256</v>
          </cell>
          <cell r="L1912">
            <v>260</v>
          </cell>
          <cell r="O1912">
            <v>8906</v>
          </cell>
          <cell r="P1912">
            <v>1400</v>
          </cell>
          <cell r="Q1912">
            <v>350</v>
          </cell>
          <cell r="R1912" t="str">
            <v>비닐</v>
          </cell>
          <cell r="S1912" t="str">
            <v>비닐</v>
          </cell>
          <cell r="T1912" t="str">
            <v>J4003 32</v>
          </cell>
          <cell r="U1912">
            <v>42198</v>
          </cell>
          <cell r="V1912" t="str">
            <v>제이티</v>
          </cell>
          <cell r="W1912" t="str">
            <v>J4003 32 PANEL</v>
          </cell>
          <cell r="AC1912" t="str">
            <v>김창준과장</v>
          </cell>
          <cell r="AD1912">
            <v>0.85</v>
          </cell>
          <cell r="AE1912">
            <v>160</v>
          </cell>
          <cell r="AF1912">
            <v>2</v>
          </cell>
        </row>
        <row r="1913">
          <cell r="A1913" t="str">
            <v>BN69-11371A#2</v>
          </cell>
          <cell r="B1913" t="str">
            <v>SET</v>
          </cell>
          <cell r="C1913">
            <v>1</v>
          </cell>
          <cell r="D1913">
            <v>240</v>
          </cell>
          <cell r="E1913">
            <v>4373</v>
          </cell>
          <cell r="F1913">
            <v>65</v>
          </cell>
          <cell r="G1913" t="str">
            <v>B240NS</v>
          </cell>
          <cell r="H1913">
            <v>2</v>
          </cell>
          <cell r="I1913">
            <v>1</v>
          </cell>
          <cell r="J1913" t="str">
            <v>삼성전자</v>
          </cell>
          <cell r="K1913">
            <v>408</v>
          </cell>
          <cell r="L1913">
            <v>412</v>
          </cell>
          <cell r="O1913">
            <v>17356</v>
          </cell>
          <cell r="P1913">
            <v>1700</v>
          </cell>
          <cell r="Q1913">
            <v>550</v>
          </cell>
          <cell r="R1913" t="str">
            <v>밴딩</v>
          </cell>
          <cell r="S1913" t="str">
            <v>밴딩</v>
          </cell>
          <cell r="T1913" t="str">
            <v>J5500-55#2</v>
          </cell>
          <cell r="U1913">
            <v>42639</v>
          </cell>
          <cell r="V1913" t="str">
            <v>제이티</v>
          </cell>
          <cell r="W1913" t="str">
            <v>J5500-55 PANEL</v>
          </cell>
          <cell r="Y1913" t="str">
            <v>50</v>
          </cell>
          <cell r="Z1913">
            <v>218650</v>
          </cell>
          <cell r="AC1913" t="str">
            <v xml:space="preserve">김길영대리,알금형 </v>
          </cell>
          <cell r="AD1913">
            <v>0.85</v>
          </cell>
          <cell r="AE1913">
            <v>240</v>
          </cell>
          <cell r="AF1913">
            <v>1</v>
          </cell>
          <cell r="AG1913">
            <v>75</v>
          </cell>
        </row>
        <row r="1914">
          <cell r="A1914" t="str">
            <v>BN69-11337C</v>
          </cell>
          <cell r="B1914" t="str">
            <v>SET</v>
          </cell>
          <cell r="C1914">
            <v>1</v>
          </cell>
          <cell r="D1914">
            <v>715</v>
          </cell>
          <cell r="E1914">
            <v>6228</v>
          </cell>
          <cell r="F1914">
            <v>30</v>
          </cell>
          <cell r="G1914" t="str">
            <v>B240NS</v>
          </cell>
          <cell r="H1914">
            <v>1</v>
          </cell>
          <cell r="I1914">
            <v>1</v>
          </cell>
          <cell r="J1914" t="str">
            <v>삼성전자</v>
          </cell>
          <cell r="K1914">
            <v>360</v>
          </cell>
          <cell r="L1914">
            <v>364</v>
          </cell>
          <cell r="M1914">
            <v>360</v>
          </cell>
          <cell r="N1914">
            <v>364</v>
          </cell>
          <cell r="O1914">
            <v>14679</v>
          </cell>
          <cell r="P1914">
            <v>1360</v>
          </cell>
          <cell r="Q1914">
            <v>500</v>
          </cell>
          <cell r="S1914">
            <v>0</v>
          </cell>
          <cell r="T1914" t="str">
            <v>J6900 48/JU7500 48</v>
          </cell>
          <cell r="U1914">
            <v>42177</v>
          </cell>
          <cell r="V1914" t="str">
            <v>제이티</v>
          </cell>
          <cell r="W1914" t="str">
            <v>J6900 48/JU7500 48(BN69-11337A동일금형)</v>
          </cell>
          <cell r="AC1914" t="str">
            <v>2015.6.22  EPS코리아에서 이관 김창준과장</v>
          </cell>
          <cell r="AD1914">
            <v>0.9</v>
          </cell>
          <cell r="AE1914">
            <v>715</v>
          </cell>
          <cell r="AF1914">
            <v>2</v>
          </cell>
        </row>
        <row r="1915">
          <cell r="A1915" t="str">
            <v>BN69-11270A</v>
          </cell>
          <cell r="B1915" t="str">
            <v>PAD</v>
          </cell>
          <cell r="E1915">
            <v>1728</v>
          </cell>
          <cell r="J1915" t="str">
            <v>삼성전자</v>
          </cell>
          <cell r="O1915">
            <v>10768</v>
          </cell>
          <cell r="P1915" t="str">
            <v>1150*900*100T</v>
          </cell>
        </row>
        <row r="1916">
          <cell r="A1916" t="str">
            <v>BN69-11043Q</v>
          </cell>
          <cell r="B1916" t="str">
            <v>PAD</v>
          </cell>
          <cell r="E1916">
            <v>46</v>
          </cell>
          <cell r="J1916" t="str">
            <v>삼성전자</v>
          </cell>
          <cell r="O1916">
            <v>300</v>
          </cell>
          <cell r="P1916" t="str">
            <v>300*140*65T(60배)</v>
          </cell>
        </row>
        <row r="1917">
          <cell r="A1917" t="str">
            <v>BN69-11043P</v>
          </cell>
          <cell r="B1917" t="str">
            <v>PAD</v>
          </cell>
          <cell r="E1917">
            <v>25</v>
          </cell>
          <cell r="J1917" t="str">
            <v>삼성전자</v>
          </cell>
          <cell r="O1917">
            <v>180</v>
          </cell>
          <cell r="P1917" t="str">
            <v>300*140*35T(60배)</v>
          </cell>
        </row>
        <row r="1918">
          <cell r="A1918" t="str">
            <v>BN69-11043N</v>
          </cell>
          <cell r="B1918" t="str">
            <v>PAD</v>
          </cell>
          <cell r="E1918">
            <v>692</v>
          </cell>
          <cell r="J1918" t="str">
            <v>삼성전자</v>
          </cell>
          <cell r="P1918" t="str">
            <v>1070*450*86T(60배)</v>
          </cell>
        </row>
        <row r="1919">
          <cell r="A1919" t="str">
            <v>BN69-11043L</v>
          </cell>
          <cell r="B1919" t="str">
            <v>PAD</v>
          </cell>
          <cell r="E1919">
            <v>193</v>
          </cell>
          <cell r="J1919" t="str">
            <v>삼성전자</v>
          </cell>
          <cell r="P1919" t="str">
            <v>1070*450*24T(60배)</v>
          </cell>
        </row>
        <row r="1920">
          <cell r="A1920" t="str">
            <v>BN69-11043K</v>
          </cell>
          <cell r="B1920" t="str">
            <v>PAD</v>
          </cell>
          <cell r="E1920">
            <v>370</v>
          </cell>
          <cell r="J1920" t="str">
            <v>삼성전자</v>
          </cell>
          <cell r="O1920">
            <v>4450</v>
          </cell>
          <cell r="P1920" t="str">
            <v>1020*550*33T(50배)</v>
          </cell>
        </row>
        <row r="1921">
          <cell r="A1921" t="str">
            <v>BN69-11043J</v>
          </cell>
          <cell r="B1921" t="str">
            <v>PAD</v>
          </cell>
          <cell r="E1921">
            <v>119</v>
          </cell>
          <cell r="J1921" t="str">
            <v>삼성전자</v>
          </cell>
          <cell r="O1921">
            <v>631</v>
          </cell>
          <cell r="P1921" t="str">
            <v>900*440*18T</v>
          </cell>
        </row>
        <row r="1922">
          <cell r="A1922" t="str">
            <v>BN69-11043G</v>
          </cell>
          <cell r="B1922" t="str">
            <v>PAD</v>
          </cell>
          <cell r="E1922">
            <v>828</v>
          </cell>
          <cell r="J1922" t="str">
            <v>삼성전자</v>
          </cell>
          <cell r="O1922">
            <v>4797</v>
          </cell>
          <cell r="P1922" t="str">
            <v>1100*510*59T(60배)</v>
          </cell>
        </row>
        <row r="1923">
          <cell r="A1923" t="str">
            <v>BN69-11043F</v>
          </cell>
          <cell r="B1923" t="str">
            <v>PAD</v>
          </cell>
          <cell r="E1923">
            <v>187</v>
          </cell>
          <cell r="J1923" t="str">
            <v>삼성전자</v>
          </cell>
          <cell r="O1923">
            <v>2134</v>
          </cell>
          <cell r="P1923" t="str">
            <v>940*360*32T</v>
          </cell>
        </row>
        <row r="1924">
          <cell r="A1924" t="str">
            <v>BN69-11043E</v>
          </cell>
          <cell r="B1924" t="str">
            <v>PAD</v>
          </cell>
          <cell r="E1924">
            <v>50</v>
          </cell>
          <cell r="J1924" t="str">
            <v>삼성전자</v>
          </cell>
          <cell r="O1924">
            <v>437</v>
          </cell>
          <cell r="P1924" t="str">
            <v>610*270*18T(60배)</v>
          </cell>
        </row>
        <row r="1925">
          <cell r="A1925" t="str">
            <v>BN69-11043D</v>
          </cell>
          <cell r="B1925" t="str">
            <v>PAD</v>
          </cell>
          <cell r="E1925">
            <v>9</v>
          </cell>
          <cell r="J1925" t="str">
            <v>삼성전자</v>
          </cell>
          <cell r="O1925">
            <v>68</v>
          </cell>
          <cell r="P1925" t="str">
            <v>150*100*35T</v>
          </cell>
        </row>
        <row r="1926">
          <cell r="A1926" t="str">
            <v>BN69-11043C</v>
          </cell>
          <cell r="B1926" t="str">
            <v>PAD</v>
          </cell>
          <cell r="E1926">
            <v>118</v>
          </cell>
          <cell r="J1926" t="str">
            <v>삼성전자</v>
          </cell>
          <cell r="O1926">
            <v>873</v>
          </cell>
          <cell r="P1926" t="str">
            <v>710*400*25T</v>
          </cell>
        </row>
        <row r="1927">
          <cell r="A1927" t="str">
            <v>BN69-11043B</v>
          </cell>
          <cell r="B1927" t="str">
            <v>PAD</v>
          </cell>
          <cell r="E1927">
            <v>119</v>
          </cell>
          <cell r="J1927" t="str">
            <v>삼성전자</v>
          </cell>
          <cell r="O1927">
            <v>1086</v>
          </cell>
          <cell r="P1927" t="str">
            <v>1230*290*20T</v>
          </cell>
        </row>
        <row r="1928">
          <cell r="A1928" t="str">
            <v>BN69-11043A</v>
          </cell>
          <cell r="B1928" t="str">
            <v>PAD</v>
          </cell>
          <cell r="E1928">
            <v>85</v>
          </cell>
          <cell r="J1928" t="str">
            <v>삼성전자</v>
          </cell>
          <cell r="O1928">
            <v>607</v>
          </cell>
          <cell r="P1928" t="str">
            <v>710*400*18T</v>
          </cell>
        </row>
        <row r="1929">
          <cell r="A1929" t="str">
            <v>BN69-10441A</v>
          </cell>
          <cell r="B1929" t="str">
            <v>PAD</v>
          </cell>
          <cell r="E1929">
            <v>9</v>
          </cell>
          <cell r="J1929" t="str">
            <v>파버나인</v>
          </cell>
          <cell r="O1929">
            <v>160</v>
          </cell>
          <cell r="P1929" t="str">
            <v>125*90*13T</v>
          </cell>
        </row>
        <row r="1930">
          <cell r="A1930" t="str">
            <v>BN69-10441A</v>
          </cell>
          <cell r="B1930" t="str">
            <v>PAD</v>
          </cell>
          <cell r="E1930">
            <v>9</v>
          </cell>
          <cell r="J1930" t="str">
            <v>파버나인</v>
          </cell>
          <cell r="O1930">
            <v>160</v>
          </cell>
          <cell r="P1930" t="str">
            <v>125*90*13T</v>
          </cell>
        </row>
        <row r="1931">
          <cell r="A1931" t="str">
            <v>BN69-09698A</v>
          </cell>
          <cell r="B1931" t="str">
            <v>SET</v>
          </cell>
          <cell r="C1931">
            <v>1</v>
          </cell>
          <cell r="D1931">
            <v>200</v>
          </cell>
          <cell r="E1931">
            <v>5031</v>
          </cell>
          <cell r="F1931">
            <v>65</v>
          </cell>
          <cell r="G1931" t="str">
            <v>B240NS</v>
          </cell>
          <cell r="H1931">
            <v>2</v>
          </cell>
          <cell r="I1931">
            <v>1</v>
          </cell>
          <cell r="J1931" t="str">
            <v>삼성전자</v>
          </cell>
          <cell r="K1931">
            <v>438.5</v>
          </cell>
          <cell r="L1931">
            <v>442.5</v>
          </cell>
          <cell r="O1931">
            <v>19815</v>
          </cell>
          <cell r="P1931">
            <v>1600</v>
          </cell>
          <cell r="Q1931">
            <v>550</v>
          </cell>
          <cell r="R1931" t="str">
            <v>밴딩</v>
          </cell>
          <cell r="S1931" t="str">
            <v>밴딩</v>
          </cell>
          <cell r="T1931" t="str">
            <v>H7K-60#1</v>
          </cell>
          <cell r="U1931">
            <v>41596</v>
          </cell>
          <cell r="V1931" t="str">
            <v>제이티</v>
          </cell>
          <cell r="W1931" t="str">
            <v>H7K-60 PANEL</v>
          </cell>
          <cell r="X1931" t="str">
            <v>C-0706</v>
          </cell>
          <cell r="AC1931" t="str">
            <v>(1300kg)후레임일체형,김길영계장,2013.11.18코팅,2013.12.09개조,2013.12.13중량및묶음변경(4982-&gt;5050),2014.01.15중량변경(5050-&gt;5031),2014.02.13 개조, 180611후레임 해외영구반출</v>
          </cell>
          <cell r="AD1931">
            <v>0.85</v>
          </cell>
          <cell r="AE1931">
            <v>200</v>
          </cell>
          <cell r="AF1931">
            <v>1</v>
          </cell>
        </row>
        <row r="1932">
          <cell r="A1932" t="str">
            <v>BN69-09658B</v>
          </cell>
          <cell r="B1932" t="str">
            <v>SET</v>
          </cell>
          <cell r="C1932">
            <v>1</v>
          </cell>
          <cell r="D1932">
            <v>720</v>
          </cell>
          <cell r="E1932">
            <v>3678</v>
          </cell>
          <cell r="F1932">
            <v>30</v>
          </cell>
          <cell r="G1932" t="str">
            <v>B240NS</v>
          </cell>
          <cell r="H1932">
            <v>2</v>
          </cell>
          <cell r="I1932">
            <v>1</v>
          </cell>
          <cell r="J1932" t="str">
            <v>삼성전자</v>
          </cell>
          <cell r="K1932">
            <v>306.5</v>
          </cell>
          <cell r="L1932">
            <v>310.5</v>
          </cell>
          <cell r="O1932">
            <v>10</v>
          </cell>
          <cell r="P1932">
            <v>1400</v>
          </cell>
          <cell r="Q1932">
            <v>400</v>
          </cell>
          <cell r="R1932" t="str">
            <v>밴딩</v>
          </cell>
          <cell r="S1932" t="str">
            <v>밴딩</v>
          </cell>
          <cell r="T1932" t="str">
            <v>H-VNB-40#1</v>
          </cell>
          <cell r="U1932">
            <v>41551</v>
          </cell>
          <cell r="V1932" t="str">
            <v>제이티</v>
          </cell>
          <cell r="W1932" t="str">
            <v>H-VNB-40 PANEL</v>
          </cell>
          <cell r="AD1932">
            <v>0.9</v>
          </cell>
          <cell r="AE1932">
            <v>720</v>
          </cell>
          <cell r="AF1932">
            <v>2</v>
          </cell>
        </row>
        <row r="1933">
          <cell r="A1933" t="str">
            <v>BN69-09286D</v>
          </cell>
          <cell r="B1933" t="str">
            <v>PAD</v>
          </cell>
          <cell r="E1933">
            <v>283</v>
          </cell>
          <cell r="J1933" t="str">
            <v>삼성전자</v>
          </cell>
          <cell r="O1933">
            <v>2585</v>
          </cell>
          <cell r="P1933" t="str">
            <v>1100*550*28T</v>
          </cell>
          <cell r="R1933" t="str">
            <v>패널UD 65인치</v>
          </cell>
        </row>
        <row r="1934">
          <cell r="A1934" t="str">
            <v>BN69-09286C</v>
          </cell>
          <cell r="B1934" t="str">
            <v>PAD</v>
          </cell>
          <cell r="E1934">
            <v>354</v>
          </cell>
          <cell r="J1934" t="str">
            <v>삼성전자</v>
          </cell>
          <cell r="O1934">
            <v>3100</v>
          </cell>
          <cell r="P1934" t="str">
            <v>1100*500*35T</v>
          </cell>
          <cell r="R1934" t="str">
            <v>패널UD 65인치</v>
          </cell>
        </row>
        <row r="1935">
          <cell r="A1935" t="str">
            <v>BN69-09286B</v>
          </cell>
          <cell r="B1935" t="str">
            <v>PAD</v>
          </cell>
          <cell r="E1935">
            <v>354</v>
          </cell>
          <cell r="J1935" t="str">
            <v>삼성전자</v>
          </cell>
          <cell r="O1935">
            <v>3000</v>
          </cell>
          <cell r="P1935" t="str">
            <v>1000*400*35T</v>
          </cell>
          <cell r="R1935" t="str">
            <v>패널UD 55인치</v>
          </cell>
        </row>
        <row r="1936">
          <cell r="A1936" t="str">
            <v>BN69-08254A</v>
          </cell>
          <cell r="B1936" t="str">
            <v>SET</v>
          </cell>
          <cell r="J1936" t="str">
            <v>삼성전자</v>
          </cell>
        </row>
        <row r="1937">
          <cell r="A1937" t="str">
            <v>BN69-07936A</v>
          </cell>
          <cell r="B1937" t="str">
            <v>PAD</v>
          </cell>
          <cell r="E1937">
            <v>0</v>
          </cell>
          <cell r="J1937" t="str">
            <v>삼성전자</v>
          </cell>
          <cell r="P1937" t="str">
            <v>530*530*25T</v>
          </cell>
        </row>
        <row r="1938">
          <cell r="A1938" t="str">
            <v>BN69-07317V</v>
          </cell>
          <cell r="J1938" t="str">
            <v>삼성전자</v>
          </cell>
          <cell r="O1938">
            <v>1860</v>
          </cell>
          <cell r="T1938" t="str">
            <v>1000*420*26T</v>
          </cell>
          <cell r="U1938">
            <v>41374</v>
          </cell>
        </row>
        <row r="1939">
          <cell r="A1939" t="str">
            <v>BN69-07317V</v>
          </cell>
          <cell r="B1939" t="str">
            <v>PAD</v>
          </cell>
          <cell r="E1939">
            <v>182</v>
          </cell>
          <cell r="J1939" t="str">
            <v>삼성전자</v>
          </cell>
          <cell r="O1939">
            <v>1660</v>
          </cell>
          <cell r="P1939" t="str">
            <v>1000*420*26T</v>
          </cell>
        </row>
        <row r="1940">
          <cell r="A1940" t="str">
            <v>BN69-07317U</v>
          </cell>
          <cell r="J1940" t="str">
            <v>삼성전자</v>
          </cell>
          <cell r="O1940">
            <v>840</v>
          </cell>
          <cell r="T1940" t="str">
            <v>850*300*26T</v>
          </cell>
          <cell r="U1940">
            <v>41374</v>
          </cell>
        </row>
        <row r="1941">
          <cell r="A1941" t="str">
            <v>BN69-07317U</v>
          </cell>
          <cell r="B1941" t="str">
            <v>PAD</v>
          </cell>
          <cell r="E1941">
            <v>110</v>
          </cell>
          <cell r="J1941" t="str">
            <v>삼성전자</v>
          </cell>
          <cell r="O1941">
            <v>840</v>
          </cell>
          <cell r="P1941" t="str">
            <v>850*300*26T</v>
          </cell>
        </row>
        <row r="1942">
          <cell r="A1942" t="str">
            <v>BN69-07317L</v>
          </cell>
          <cell r="B1942" t="str">
            <v>PAD</v>
          </cell>
          <cell r="E1942">
            <v>635</v>
          </cell>
          <cell r="J1942" t="str">
            <v>삼성전자</v>
          </cell>
          <cell r="O1942">
            <v>5460</v>
          </cell>
          <cell r="P1942" t="str">
            <v>1300*650*45T</v>
          </cell>
        </row>
        <row r="1943">
          <cell r="A1943" t="str">
            <v>BN69-07317K</v>
          </cell>
          <cell r="B1943" t="str">
            <v>PAD</v>
          </cell>
          <cell r="E1943">
            <v>354</v>
          </cell>
          <cell r="J1943" t="str">
            <v>삼성전자</v>
          </cell>
          <cell r="O1943">
            <v>3100</v>
          </cell>
          <cell r="P1943" t="str">
            <v>1100*550*35T</v>
          </cell>
        </row>
        <row r="1944">
          <cell r="A1944" t="str">
            <v>BN69-07317J</v>
          </cell>
          <cell r="B1944" t="str">
            <v>PAD</v>
          </cell>
          <cell r="E1944">
            <v>292</v>
          </cell>
          <cell r="J1944" t="str">
            <v>삼성전자</v>
          </cell>
          <cell r="O1944">
            <v>3100</v>
          </cell>
          <cell r="P1944" t="str">
            <v>1000*500*35T</v>
          </cell>
        </row>
        <row r="1945">
          <cell r="A1945" t="str">
            <v>BN69-07317H</v>
          </cell>
          <cell r="B1945" t="str">
            <v>PAD</v>
          </cell>
          <cell r="E1945">
            <v>268</v>
          </cell>
          <cell r="J1945" t="str">
            <v>삼성전자</v>
          </cell>
          <cell r="O1945">
            <v>1200</v>
          </cell>
          <cell r="P1945" t="str">
            <v>850*450*42T</v>
          </cell>
        </row>
        <row r="1946">
          <cell r="A1946" t="str">
            <v>BN69-07317G</v>
          </cell>
          <cell r="B1946" t="str">
            <v>PAD</v>
          </cell>
          <cell r="E1946">
            <v>131</v>
          </cell>
          <cell r="J1946" t="str">
            <v>삼성전자</v>
          </cell>
          <cell r="O1946">
            <v>1050</v>
          </cell>
          <cell r="P1946" t="str">
            <v>670*280*42T</v>
          </cell>
        </row>
        <row r="1947">
          <cell r="A1947" t="str">
            <v>BN69-07317F</v>
          </cell>
          <cell r="B1947" t="str">
            <v>PAD</v>
          </cell>
          <cell r="J1947" t="str">
            <v>삼성전자</v>
          </cell>
          <cell r="O1947">
            <v>800</v>
          </cell>
          <cell r="P1947" t="str">
            <v xml:space="preserve">                              570*250*42T</v>
          </cell>
        </row>
        <row r="1948">
          <cell r="A1948" t="str">
            <v>BN69-07317E</v>
          </cell>
          <cell r="B1948" t="str">
            <v>PAD</v>
          </cell>
          <cell r="E1948">
            <v>0</v>
          </cell>
          <cell r="J1948" t="str">
            <v>삼성전자</v>
          </cell>
          <cell r="O1948">
            <v>2910</v>
          </cell>
          <cell r="P1948" t="str">
            <v>1000*470*26T</v>
          </cell>
        </row>
        <row r="1949">
          <cell r="A1949" t="str">
            <v>BN69-07317B</v>
          </cell>
          <cell r="B1949" t="str">
            <v>PAD</v>
          </cell>
          <cell r="E1949">
            <v>10.8</v>
          </cell>
          <cell r="J1949" t="str">
            <v>삼성전자</v>
          </cell>
          <cell r="O1949">
            <v>160</v>
          </cell>
          <cell r="P1949" t="str">
            <v>250*130*20</v>
          </cell>
        </row>
        <row r="1950">
          <cell r="A1950" t="str">
            <v xml:space="preserve">BN69-07317A </v>
          </cell>
          <cell r="B1950" t="str">
            <v>PAD</v>
          </cell>
          <cell r="E1950">
            <v>0</v>
          </cell>
          <cell r="J1950" t="str">
            <v>삼성전자</v>
          </cell>
          <cell r="O1950">
            <v>15</v>
          </cell>
          <cell r="Q1950" t="str">
            <v>100*60*44</v>
          </cell>
        </row>
        <row r="1951">
          <cell r="A1951" t="str">
            <v>BN69-06780A</v>
          </cell>
          <cell r="B1951" t="str">
            <v>PAD</v>
          </cell>
          <cell r="E1951">
            <v>0</v>
          </cell>
          <cell r="J1951" t="str">
            <v>삼성전자</v>
          </cell>
          <cell r="K1951" t="str">
            <v>태우</v>
          </cell>
          <cell r="O1951">
            <v>85</v>
          </cell>
          <cell r="Q1951" t="str">
            <v>390*115*30T</v>
          </cell>
        </row>
        <row r="1952">
          <cell r="A1952" t="str">
            <v>BN69-05034J</v>
          </cell>
          <cell r="B1952" t="str">
            <v>PAD</v>
          </cell>
          <cell r="J1952" t="str">
            <v>삼성전자</v>
          </cell>
          <cell r="O1952">
            <v>2500</v>
          </cell>
          <cell r="P1952" t="str">
            <v>910*415*38T</v>
          </cell>
        </row>
        <row r="1953">
          <cell r="A1953" t="str">
            <v>BN69-05034AB</v>
          </cell>
          <cell r="B1953" t="str">
            <v>PAD</v>
          </cell>
          <cell r="E1953">
            <v>0</v>
          </cell>
          <cell r="J1953" t="str">
            <v>삼성전자</v>
          </cell>
          <cell r="O1953">
            <v>395</v>
          </cell>
          <cell r="Q1953" t="str">
            <v>435*360*50T</v>
          </cell>
        </row>
        <row r="1954">
          <cell r="A1954" t="str">
            <v>BN69-05034A</v>
          </cell>
          <cell r="B1954" t="str">
            <v>PAD</v>
          </cell>
          <cell r="E1954">
            <v>0</v>
          </cell>
          <cell r="J1954" t="str">
            <v>삼성전자</v>
          </cell>
          <cell r="O1954">
            <v>530</v>
          </cell>
          <cell r="Q1954" t="str">
            <v>500*435*43T</v>
          </cell>
        </row>
        <row r="1955">
          <cell r="A1955" t="str">
            <v>BN69-03729A</v>
          </cell>
          <cell r="B1955" t="str">
            <v>SET</v>
          </cell>
          <cell r="C1955">
            <v>2</v>
          </cell>
          <cell r="D1955">
            <v>110</v>
          </cell>
          <cell r="E1955">
            <v>1040</v>
          </cell>
          <cell r="F1955">
            <v>74</v>
          </cell>
          <cell r="G1955" t="str">
            <v>B240NS</v>
          </cell>
          <cell r="H1955">
            <v>3</v>
          </cell>
          <cell r="I1955">
            <v>2</v>
          </cell>
          <cell r="J1955" t="str">
            <v>삼성전자</v>
          </cell>
          <cell r="K1955">
            <v>278</v>
          </cell>
          <cell r="L1955">
            <v>282</v>
          </cell>
          <cell r="M1955">
            <v>278</v>
          </cell>
          <cell r="N1955">
            <v>282</v>
          </cell>
          <cell r="O1955">
            <v>5170</v>
          </cell>
          <cell r="P1955">
            <v>1360</v>
          </cell>
          <cell r="Q1955">
            <v>400</v>
          </cell>
          <cell r="R1955" t="str">
            <v>검정</v>
          </cell>
          <cell r="S1955" t="str">
            <v>검정</v>
          </cell>
          <cell r="T1955" t="str">
            <v>STN-520WE#1</v>
          </cell>
          <cell r="U1955">
            <v>39861</v>
          </cell>
          <cell r="V1955" t="str">
            <v>ELCKOREA</v>
          </cell>
          <cell r="W1955" t="str">
            <v>STN520WE</v>
          </cell>
          <cell r="X1955" t="str">
            <v>C-0305</v>
          </cell>
          <cell r="AC1955" t="str">
            <v>2009.05.20승인완료(090601기준중량변경),2009.06.09최종승인완료, 2009.08.19 코팅완료</v>
          </cell>
          <cell r="AD1955">
            <v>0.85</v>
          </cell>
          <cell r="AE1955">
            <v>100</v>
          </cell>
          <cell r="AF1955">
            <v>1</v>
          </cell>
        </row>
        <row r="1956">
          <cell r="A1956" t="str">
            <v>BN69-02687E</v>
          </cell>
          <cell r="B1956" t="str">
            <v>PAD</v>
          </cell>
          <cell r="E1956">
            <v>0</v>
          </cell>
          <cell r="J1956" t="str">
            <v>삼성전자</v>
          </cell>
          <cell r="O1956">
            <v>195</v>
          </cell>
          <cell r="P1956" t="str">
            <v>400*280*25T</v>
          </cell>
          <cell r="Q1956" t="str">
            <v>400*280*25T</v>
          </cell>
          <cell r="R1956" t="str">
            <v>㈜태우</v>
          </cell>
        </row>
        <row r="1957">
          <cell r="A1957" t="str">
            <v>BN69-02687D</v>
          </cell>
          <cell r="B1957" t="str">
            <v>PAD</v>
          </cell>
          <cell r="E1957">
            <v>45</v>
          </cell>
          <cell r="J1957" t="str">
            <v>삼성전자</v>
          </cell>
          <cell r="K1957" t="str">
            <v>태우</v>
          </cell>
          <cell r="O1957">
            <v>185</v>
          </cell>
          <cell r="P1957" t="str">
            <v>태우PAD</v>
          </cell>
          <cell r="Q1957" t="str">
            <v>310*290*30T</v>
          </cell>
        </row>
        <row r="1958">
          <cell r="A1958" t="str">
            <v>BN69-02545A#2</v>
          </cell>
          <cell r="B1958" t="str">
            <v>SET</v>
          </cell>
          <cell r="C1958">
            <v>1</v>
          </cell>
          <cell r="D1958">
            <v>125</v>
          </cell>
          <cell r="E1958">
            <v>1100</v>
          </cell>
          <cell r="F1958">
            <v>65</v>
          </cell>
          <cell r="G1958" t="str">
            <v>B240NS</v>
          </cell>
          <cell r="H1958">
            <v>3</v>
          </cell>
          <cell r="I1958">
            <v>3</v>
          </cell>
          <cell r="J1958" t="str">
            <v>삼성전자</v>
          </cell>
          <cell r="K1958">
            <v>119</v>
          </cell>
          <cell r="L1958">
            <v>123</v>
          </cell>
          <cell r="M1958">
            <v>119</v>
          </cell>
          <cell r="N1958">
            <v>123</v>
          </cell>
          <cell r="P1958">
            <v>1500</v>
          </cell>
          <cell r="Q1958">
            <v>250</v>
          </cell>
          <cell r="R1958" t="str">
            <v>빨강</v>
          </cell>
          <cell r="S1958" t="str">
            <v>빨강</v>
          </cell>
          <cell r="T1958" t="str">
            <v>CEING-MOUNT</v>
          </cell>
          <cell r="U1958">
            <v>44354</v>
          </cell>
          <cell r="V1958" t="str">
            <v>제이티</v>
          </cell>
          <cell r="W1958" t="str">
            <v>CML, 비닐포장!!!</v>
          </cell>
          <cell r="Y1958" t="str">
            <v>55</v>
          </cell>
          <cell r="AC1958" t="str">
            <v>석상준과장, 2022.10.11 기준중량 및 기준배율 변경 (1211-&gt;1100, 52-&gt;55)</v>
          </cell>
          <cell r="AD1958">
            <v>0.85</v>
          </cell>
          <cell r="AE1958">
            <v>90</v>
          </cell>
          <cell r="AF1958">
            <v>4</v>
          </cell>
        </row>
        <row r="1959">
          <cell r="A1959" t="str">
            <v>BN69-02407A</v>
          </cell>
          <cell r="B1959" t="str">
            <v>SET</v>
          </cell>
          <cell r="C1959">
            <v>5</v>
          </cell>
          <cell r="D1959">
            <v>120</v>
          </cell>
          <cell r="E1959">
            <v>229</v>
          </cell>
          <cell r="F1959">
            <v>65</v>
          </cell>
          <cell r="G1959" t="str">
            <v>B240NS</v>
          </cell>
          <cell r="H1959">
            <v>9</v>
          </cell>
          <cell r="I1959">
            <v>2</v>
          </cell>
          <cell r="J1959" t="str">
            <v>삼성전자</v>
          </cell>
          <cell r="K1959">
            <v>159</v>
          </cell>
          <cell r="L1959">
            <v>161</v>
          </cell>
          <cell r="M1959">
            <v>159</v>
          </cell>
          <cell r="N1959">
            <v>161</v>
          </cell>
          <cell r="O1959">
            <v>1060</v>
          </cell>
          <cell r="P1959">
            <v>1300</v>
          </cell>
          <cell r="Q1959">
            <v>250</v>
          </cell>
          <cell r="R1959" t="str">
            <v>파랑</v>
          </cell>
          <cell r="S1959" t="str">
            <v>파랑</v>
          </cell>
          <cell r="T1959" t="str">
            <v>L750-52STAND</v>
          </cell>
          <cell r="U1959">
            <v>40896</v>
          </cell>
          <cell r="V1959" t="str">
            <v>ELCKOREA</v>
          </cell>
          <cell r="W1959" t="str">
            <v>L750-52STAND</v>
          </cell>
          <cell r="AC1959" t="str">
            <v>2011.12.19폐기DATA에서 DATA불러옴</v>
          </cell>
          <cell r="AD1959">
            <v>0.85</v>
          </cell>
          <cell r="AE1959">
            <v>100</v>
          </cell>
          <cell r="AF1959">
            <v>1</v>
          </cell>
        </row>
        <row r="1960">
          <cell r="A1960" t="str">
            <v>BN69-02029A</v>
          </cell>
          <cell r="B1960" t="str">
            <v>PAD</v>
          </cell>
          <cell r="E1960">
            <v>0</v>
          </cell>
          <cell r="J1960" t="str">
            <v>삼성전자</v>
          </cell>
          <cell r="O1960">
            <v>95</v>
          </cell>
          <cell r="P1960" t="str">
            <v xml:space="preserve"> 520*110*20T</v>
          </cell>
          <cell r="Q1960" t="str">
            <v>XL24PAD</v>
          </cell>
          <cell r="R1960" t="str">
            <v>동오정밀</v>
          </cell>
        </row>
        <row r="1961">
          <cell r="A1961" t="str">
            <v>BN69-01983A</v>
          </cell>
          <cell r="B1961" t="str">
            <v>PAD</v>
          </cell>
          <cell r="E1961">
            <v>0</v>
          </cell>
          <cell r="J1961" t="str">
            <v>삼성전자</v>
          </cell>
          <cell r="O1961">
            <v>110</v>
          </cell>
          <cell r="P1961" t="str">
            <v>600*140*30T</v>
          </cell>
          <cell r="Q1961" t="str">
            <v>XL30PAD</v>
          </cell>
          <cell r="R1961" t="str">
            <v>동오정밀</v>
          </cell>
        </row>
        <row r="1962">
          <cell r="A1962" t="str">
            <v>BMR-460</v>
          </cell>
          <cell r="B1962" t="str">
            <v>SET</v>
          </cell>
          <cell r="C1962">
            <v>4</v>
          </cell>
          <cell r="D1962">
            <v>100</v>
          </cell>
          <cell r="E1962">
            <v>316</v>
          </cell>
          <cell r="F1962">
            <v>70</v>
          </cell>
          <cell r="G1962" t="str">
            <v>B240NS</v>
          </cell>
          <cell r="H1962">
            <v>5</v>
          </cell>
          <cell r="I1962">
            <v>2</v>
          </cell>
          <cell r="J1962" t="str">
            <v>대우루컴즈</v>
          </cell>
          <cell r="K1962">
            <v>152</v>
          </cell>
          <cell r="L1962">
            <v>156</v>
          </cell>
          <cell r="P1962">
            <v>1360</v>
          </cell>
          <cell r="Q1962">
            <v>250</v>
          </cell>
          <cell r="R1962" t="str">
            <v>녹색</v>
          </cell>
          <cell r="S1962" t="str">
            <v>녹색</v>
          </cell>
          <cell r="U1962">
            <v>44219</v>
          </cell>
          <cell r="V1962" t="str">
            <v>경원 ENG</v>
          </cell>
          <cell r="W1962" t="str">
            <v xml:space="preserve">BARIKATA MICRO(MICRO-CASE) </v>
          </cell>
          <cell r="Y1962">
            <v>60</v>
          </cell>
          <cell r="Z1962">
            <v>18952</v>
          </cell>
          <cell r="AC1962" t="str">
            <v>김영석사원  CAVITY추가 (1*2→2*4)</v>
          </cell>
          <cell r="AD1962">
            <v>0.85</v>
          </cell>
          <cell r="AF1962">
            <v>6</v>
          </cell>
        </row>
        <row r="1963">
          <cell r="A1963" t="str">
            <v>BMP1</v>
          </cell>
          <cell r="B1963" t="str">
            <v>SET</v>
          </cell>
          <cell r="C1963">
            <v>2</v>
          </cell>
          <cell r="D1963">
            <v>100</v>
          </cell>
          <cell r="E1963">
            <v>404</v>
          </cell>
          <cell r="F1963">
            <v>50</v>
          </cell>
          <cell r="G1963" t="str">
            <v>B240NS</v>
          </cell>
          <cell r="H1963">
            <v>1</v>
          </cell>
          <cell r="I1963">
            <v>4</v>
          </cell>
          <cell r="J1963" t="str">
            <v>신명전기</v>
          </cell>
          <cell r="P1963">
            <v>1360</v>
          </cell>
          <cell r="Q1963">
            <v>200</v>
          </cell>
          <cell r="U1963">
            <v>44326</v>
          </cell>
          <cell r="V1963" t="str">
            <v>세일하이테크</v>
          </cell>
          <cell r="W1963" t="str">
            <v>NYT쿠션</v>
          </cell>
          <cell r="Y1963">
            <v>40</v>
          </cell>
          <cell r="AC1963" t="str">
            <v>석상준과장</v>
          </cell>
          <cell r="AD1963">
            <v>0.85</v>
          </cell>
        </row>
        <row r="1964">
          <cell r="A1964" t="str">
            <v>BLENDER</v>
          </cell>
          <cell r="B1964" t="str">
            <v>SET</v>
          </cell>
          <cell r="C1964">
            <v>2</v>
          </cell>
          <cell r="D1964">
            <v>100</v>
          </cell>
          <cell r="E1964">
            <v>560</v>
          </cell>
          <cell r="F1964">
            <v>65</v>
          </cell>
          <cell r="G1964" t="str">
            <v>B240NS</v>
          </cell>
          <cell r="I1964">
            <v>2</v>
          </cell>
          <cell r="J1964" t="str">
            <v>IS동서</v>
          </cell>
          <cell r="K1964">
            <v>245</v>
          </cell>
          <cell r="L1964">
            <v>139</v>
          </cell>
          <cell r="M1964">
            <v>137</v>
          </cell>
          <cell r="N1964">
            <v>139</v>
          </cell>
          <cell r="O1964">
            <v>3370</v>
          </cell>
          <cell r="P1964">
            <v>1360</v>
          </cell>
          <cell r="Q1964">
            <v>250</v>
          </cell>
          <cell r="R1964" t="str">
            <v>보라</v>
          </cell>
          <cell r="S1964" t="str">
            <v>보라</v>
          </cell>
          <cell r="U1964">
            <v>42618</v>
          </cell>
          <cell r="V1964" t="str">
            <v>금형제조부</v>
          </cell>
          <cell r="AC1964" t="str">
            <v>최재학사원,2016.10.11기준(사용)배율변경&lt;60(65)-&gt;50(57)&gt;</v>
          </cell>
          <cell r="AD1964">
            <v>0.85</v>
          </cell>
          <cell r="AE1964">
            <v>65</v>
          </cell>
          <cell r="AF1964">
            <v>2</v>
          </cell>
        </row>
        <row r="1965">
          <cell r="A1965" t="str">
            <v>BK02 G TOP</v>
          </cell>
          <cell r="B1965" t="str">
            <v>회색</v>
          </cell>
          <cell r="C1965">
            <v>1</v>
          </cell>
          <cell r="D1965">
            <v>180</v>
          </cell>
          <cell r="E1965">
            <v>650</v>
          </cell>
          <cell r="F1965">
            <v>40</v>
          </cell>
          <cell r="G1965" t="str">
            <v>ZP2500</v>
          </cell>
          <cell r="H1965">
            <v>6</v>
          </cell>
          <cell r="I1965">
            <v>1</v>
          </cell>
          <cell r="J1965" t="str">
            <v>㈜탭스</v>
          </cell>
          <cell r="K1965">
            <v>70</v>
          </cell>
          <cell r="L1965">
            <v>74</v>
          </cell>
          <cell r="M1965">
            <v>81</v>
          </cell>
          <cell r="N1965">
            <v>85</v>
          </cell>
          <cell r="P1965">
            <v>1360</v>
          </cell>
          <cell r="Q1965">
            <v>200</v>
          </cell>
          <cell r="R1965" t="str">
            <v>비닐</v>
          </cell>
          <cell r="T1965" t="str">
            <v>베르나 뚜껑</v>
          </cell>
          <cell r="U1965">
            <v>45264</v>
          </cell>
          <cell r="V1965" t="str">
            <v>대양이동입고</v>
          </cell>
          <cell r="W1965" t="str">
            <v>구형 베르나 뚜껑</v>
          </cell>
          <cell r="AD1965">
            <v>0.85</v>
          </cell>
        </row>
        <row r="1966">
          <cell r="A1966" t="str">
            <v>BK02 G TOP</v>
          </cell>
          <cell r="B1966" t="str">
            <v>BOX</v>
          </cell>
          <cell r="C1966">
            <v>1</v>
          </cell>
          <cell r="D1966">
            <v>180</v>
          </cell>
          <cell r="E1966">
            <v>650</v>
          </cell>
          <cell r="F1966">
            <v>40</v>
          </cell>
          <cell r="G1966" t="str">
            <v>ZP2500</v>
          </cell>
          <cell r="H1966">
            <v>6</v>
          </cell>
          <cell r="I1966">
            <v>1</v>
          </cell>
          <cell r="J1966" t="str">
            <v>㈜탭스</v>
          </cell>
          <cell r="K1966">
            <v>70</v>
          </cell>
          <cell r="L1966">
            <v>74</v>
          </cell>
          <cell r="M1966">
            <v>81</v>
          </cell>
          <cell r="N1966">
            <v>85</v>
          </cell>
          <cell r="P1966">
            <v>1360</v>
          </cell>
          <cell r="Q1966">
            <v>200</v>
          </cell>
          <cell r="R1966" t="str">
            <v>비닐</v>
          </cell>
          <cell r="T1966" t="str">
            <v>베르나 뚜껑</v>
          </cell>
          <cell r="U1966">
            <v>45264</v>
          </cell>
          <cell r="V1966" t="str">
            <v>대양이동입고</v>
          </cell>
          <cell r="W1966" t="str">
            <v>구형 베르나 뚜껑</v>
          </cell>
          <cell r="AD1966">
            <v>0.85</v>
          </cell>
        </row>
        <row r="1967">
          <cell r="A1967" t="str">
            <v>BK02 G IN-T/B</v>
          </cell>
          <cell r="B1967" t="str">
            <v>회색</v>
          </cell>
          <cell r="C1967">
            <v>2</v>
          </cell>
          <cell r="D1967">
            <v>180</v>
          </cell>
          <cell r="E1967">
            <v>800</v>
          </cell>
          <cell r="F1967">
            <v>40</v>
          </cell>
          <cell r="G1967" t="str">
            <v>ZP2500</v>
          </cell>
          <cell r="H1967">
            <v>1</v>
          </cell>
          <cell r="I1967">
            <v>2</v>
          </cell>
          <cell r="J1967" t="str">
            <v>㈜탭스</v>
          </cell>
          <cell r="P1967">
            <v>1600</v>
          </cell>
          <cell r="Q1967">
            <v>400</v>
          </cell>
          <cell r="T1967" t="str">
            <v>녹십자</v>
          </cell>
          <cell r="U1967">
            <v>45264</v>
          </cell>
          <cell r="V1967" t="str">
            <v>대양이동입고</v>
          </cell>
          <cell r="W1967" t="str">
            <v>베르나 내피(T/B)2</v>
          </cell>
          <cell r="AD1967">
            <v>0.85</v>
          </cell>
        </row>
        <row r="1968">
          <cell r="A1968" t="str">
            <v>BK02 G IN-T/B</v>
          </cell>
          <cell r="B1968" t="str">
            <v>BOX</v>
          </cell>
          <cell r="C1968">
            <v>2</v>
          </cell>
          <cell r="D1968">
            <v>180</v>
          </cell>
          <cell r="E1968">
            <v>800</v>
          </cell>
          <cell r="F1968">
            <v>40</v>
          </cell>
          <cell r="G1968" t="str">
            <v>ZP2500</v>
          </cell>
          <cell r="H1968">
            <v>1</v>
          </cell>
          <cell r="I1968">
            <v>2</v>
          </cell>
          <cell r="J1968" t="str">
            <v>㈜탭스</v>
          </cell>
          <cell r="P1968">
            <v>1600</v>
          </cell>
          <cell r="Q1968">
            <v>400</v>
          </cell>
          <cell r="T1968" t="str">
            <v>녹십자</v>
          </cell>
          <cell r="U1968">
            <v>45264</v>
          </cell>
          <cell r="V1968" t="str">
            <v>대양이동입고</v>
          </cell>
          <cell r="W1968" t="str">
            <v>베르나 내피(T/B)2</v>
          </cell>
          <cell r="AD1968">
            <v>0.85</v>
          </cell>
        </row>
        <row r="1969">
          <cell r="A1969" t="str">
            <v>BK02 G BOT</v>
          </cell>
          <cell r="B1969" t="str">
            <v>회색</v>
          </cell>
          <cell r="C1969">
            <v>2</v>
          </cell>
          <cell r="D1969">
            <v>180</v>
          </cell>
          <cell r="E1969">
            <v>1900</v>
          </cell>
          <cell r="F1969">
            <v>40</v>
          </cell>
          <cell r="G1969" t="str">
            <v>ZP2500</v>
          </cell>
          <cell r="H1969">
            <v>2</v>
          </cell>
          <cell r="I1969">
            <v>2</v>
          </cell>
          <cell r="J1969" t="str">
            <v>㈜탭스</v>
          </cell>
          <cell r="K1969">
            <v>470</v>
          </cell>
          <cell r="L1969">
            <v>474</v>
          </cell>
          <cell r="O1969">
            <v>12348</v>
          </cell>
          <cell r="P1969">
            <v>1600</v>
          </cell>
          <cell r="Q1969">
            <v>550</v>
          </cell>
          <cell r="R1969" t="str">
            <v>비닐</v>
          </cell>
          <cell r="T1969" t="str">
            <v>베르나 몸통</v>
          </cell>
          <cell r="U1969">
            <v>45267</v>
          </cell>
          <cell r="V1969" t="str">
            <v>대양이동입고</v>
          </cell>
          <cell r="W1969" t="str">
            <v>베르나 외피 몸통 신형</v>
          </cell>
          <cell r="AD1969">
            <v>0.85</v>
          </cell>
        </row>
        <row r="1970">
          <cell r="A1970" t="str">
            <v>BK02 G BOT</v>
          </cell>
          <cell r="B1970" t="str">
            <v>BOX</v>
          </cell>
          <cell r="C1970">
            <v>2</v>
          </cell>
          <cell r="D1970">
            <v>180</v>
          </cell>
          <cell r="E1970">
            <v>1900</v>
          </cell>
          <cell r="F1970">
            <v>40</v>
          </cell>
          <cell r="G1970" t="str">
            <v>ZP2500</v>
          </cell>
          <cell r="H1970">
            <v>2</v>
          </cell>
          <cell r="I1970">
            <v>2</v>
          </cell>
          <cell r="J1970" t="str">
            <v>㈜탭스</v>
          </cell>
          <cell r="K1970">
            <v>470</v>
          </cell>
          <cell r="L1970">
            <v>474</v>
          </cell>
          <cell r="O1970">
            <v>12348</v>
          </cell>
          <cell r="P1970">
            <v>1600</v>
          </cell>
          <cell r="Q1970">
            <v>550</v>
          </cell>
          <cell r="R1970" t="str">
            <v>비닐</v>
          </cell>
          <cell r="T1970" t="str">
            <v>베르나 몸통</v>
          </cell>
          <cell r="U1970">
            <v>45267</v>
          </cell>
          <cell r="V1970" t="str">
            <v>대양이동입고</v>
          </cell>
          <cell r="W1970" t="str">
            <v>베르나 외피 몸통 신형</v>
          </cell>
          <cell r="AD1970">
            <v>0.85</v>
          </cell>
        </row>
        <row r="1971">
          <cell r="A1971" t="str">
            <v>BK02 G BOT</v>
          </cell>
          <cell r="B1971" t="str">
            <v>BOX</v>
          </cell>
          <cell r="C1971">
            <v>2</v>
          </cell>
          <cell r="D1971">
            <v>180</v>
          </cell>
          <cell r="E1971">
            <v>2100</v>
          </cell>
          <cell r="F1971">
            <v>40</v>
          </cell>
          <cell r="G1971" t="str">
            <v>ZP2500</v>
          </cell>
          <cell r="H1971">
            <v>2</v>
          </cell>
          <cell r="I1971">
            <v>2</v>
          </cell>
          <cell r="J1971" t="str">
            <v>㈜탭스</v>
          </cell>
          <cell r="K1971">
            <v>470</v>
          </cell>
          <cell r="L1971">
            <v>474</v>
          </cell>
          <cell r="O1971">
            <v>12348</v>
          </cell>
          <cell r="P1971">
            <v>1600</v>
          </cell>
          <cell r="Q1971">
            <v>550</v>
          </cell>
          <cell r="R1971" t="str">
            <v>비닐</v>
          </cell>
          <cell r="T1971" t="str">
            <v>베르나 몸통</v>
          </cell>
          <cell r="U1971">
            <v>45267</v>
          </cell>
          <cell r="V1971" t="str">
            <v>대양이동입고</v>
          </cell>
          <cell r="W1971" t="str">
            <v>베르나 외피 몸통 신형</v>
          </cell>
          <cell r="AD1971">
            <v>0.85</v>
          </cell>
        </row>
        <row r="1972">
          <cell r="A1972" t="str">
            <v>BK02 G BOT</v>
          </cell>
          <cell r="B1972" t="str">
            <v>BOX</v>
          </cell>
          <cell r="D1972">
            <v>100</v>
          </cell>
          <cell r="E1972">
            <v>336</v>
          </cell>
          <cell r="F1972">
            <v>40</v>
          </cell>
          <cell r="G1972" t="str">
            <v>ZP2500</v>
          </cell>
          <cell r="J1972" t="str">
            <v>㈜탭스</v>
          </cell>
          <cell r="T1972" t="str">
            <v>베르나 몸통</v>
          </cell>
          <cell r="U1972">
            <v>45267</v>
          </cell>
          <cell r="V1972" t="str">
            <v>대양이동입고</v>
          </cell>
          <cell r="W1972" t="str">
            <v>베르나 외피 몸통 신형</v>
          </cell>
          <cell r="AD1972">
            <v>0.85</v>
          </cell>
        </row>
        <row r="1973">
          <cell r="A1973" t="str">
            <v>BIUP(수출용)</v>
          </cell>
          <cell r="B1973" t="str">
            <v>SET</v>
          </cell>
          <cell r="C1973">
            <v>3</v>
          </cell>
          <cell r="D1973">
            <v>75</v>
          </cell>
          <cell r="E1973">
            <v>155</v>
          </cell>
          <cell r="F1973">
            <v>53</v>
          </cell>
          <cell r="G1973" t="str">
            <v>B240NS</v>
          </cell>
          <cell r="H1973">
            <v>10</v>
          </cell>
          <cell r="I1973">
            <v>1</v>
          </cell>
          <cell r="J1973" t="str">
            <v>SK매직</v>
          </cell>
          <cell r="K1973">
            <v>118</v>
          </cell>
          <cell r="L1973">
            <v>122</v>
          </cell>
          <cell r="O1973">
            <v>747</v>
          </cell>
          <cell r="P1973">
            <v>1300</v>
          </cell>
          <cell r="Q1973">
            <v>250</v>
          </cell>
          <cell r="R1973" t="str">
            <v>흰색</v>
          </cell>
          <cell r="S1973" t="str">
            <v>흰색</v>
          </cell>
          <cell r="T1973" t="str">
            <v>BUILT IN UPPER(수출용)</v>
          </cell>
          <cell r="U1973">
            <v>38832</v>
          </cell>
          <cell r="V1973" t="str">
            <v>삼일금형</v>
          </cell>
          <cell r="W1973" t="str">
            <v>51220-40001</v>
          </cell>
          <cell r="X1973" t="str">
            <v>E-0406</v>
          </cell>
          <cell r="AC1973" t="str">
            <v>2012.01.15기준중량변경(160-&gt;155)</v>
          </cell>
          <cell r="AD1973">
            <v>0.85</v>
          </cell>
          <cell r="AE1973">
            <v>100</v>
          </cell>
          <cell r="AF1973">
            <v>0</v>
          </cell>
        </row>
        <row r="1974">
          <cell r="A1974" t="str">
            <v>BIUP#3</v>
          </cell>
          <cell r="B1974" t="str">
            <v>SET</v>
          </cell>
          <cell r="C1974">
            <v>1</v>
          </cell>
          <cell r="D1974">
            <v>85</v>
          </cell>
          <cell r="E1974">
            <v>290</v>
          </cell>
          <cell r="F1974">
            <v>65</v>
          </cell>
          <cell r="G1974" t="str">
            <v>B240NS</v>
          </cell>
          <cell r="H1974">
            <v>7</v>
          </cell>
          <cell r="I1974">
            <v>1</v>
          </cell>
          <cell r="J1974" t="str">
            <v>SK매직</v>
          </cell>
          <cell r="K1974">
            <v>148</v>
          </cell>
          <cell r="L1974">
            <v>152</v>
          </cell>
          <cell r="P1974">
            <v>1360</v>
          </cell>
          <cell r="Q1974">
            <v>300</v>
          </cell>
          <cell r="R1974" t="str">
            <v>빨강</v>
          </cell>
          <cell r="S1974" t="str">
            <v>빨강</v>
          </cell>
          <cell r="T1974" t="str">
            <v>꺼꾸로 조립 바랍니다.세미금형</v>
          </cell>
          <cell r="U1974">
            <v>43426</v>
          </cell>
          <cell r="V1974" t="str">
            <v>금형제조부</v>
          </cell>
          <cell r="W1974" t="str">
            <v>5다발에 1번씩만 포장</v>
          </cell>
          <cell r="Y1974">
            <v>50</v>
          </cell>
          <cell r="AC1974" t="str">
            <v>2020.11.03 Ø20 2개소 추가,2021.04.19 수리 2021.04.22 재코팅</v>
          </cell>
          <cell r="AD1974">
            <v>0.85</v>
          </cell>
          <cell r="AE1974">
            <v>80</v>
          </cell>
          <cell r="AF1974">
            <v>8</v>
          </cell>
        </row>
        <row r="1975">
          <cell r="A1975" t="str">
            <v>BIUP#2</v>
          </cell>
          <cell r="B1975" t="str">
            <v>SET</v>
          </cell>
          <cell r="C1975">
            <v>1</v>
          </cell>
          <cell r="D1975">
            <v>80</v>
          </cell>
          <cell r="E1975">
            <v>289</v>
          </cell>
          <cell r="F1975">
            <v>70</v>
          </cell>
          <cell r="G1975" t="str">
            <v>B240NS</v>
          </cell>
          <cell r="H1975">
            <v>7</v>
          </cell>
          <cell r="I1975">
            <v>1</v>
          </cell>
          <cell r="J1975" t="str">
            <v>SK매직</v>
          </cell>
          <cell r="K1975">
            <v>148</v>
          </cell>
          <cell r="L1975">
            <v>152</v>
          </cell>
          <cell r="O1975">
            <v>1394</v>
          </cell>
          <cell r="P1975">
            <v>1300</v>
          </cell>
          <cell r="Q1975">
            <v>250</v>
          </cell>
          <cell r="R1975" t="str">
            <v>빨강</v>
          </cell>
          <cell r="S1975" t="str">
            <v>빨강</v>
          </cell>
          <cell r="T1975" t="str">
            <v>BUILT IN UPPER#2</v>
          </cell>
          <cell r="U1975">
            <v>39227</v>
          </cell>
          <cell r="V1975" t="str">
            <v>삼일금형</v>
          </cell>
          <cell r="W1975" t="str">
            <v>51213-59000</v>
          </cell>
          <cell r="X1975" t="str">
            <v>E-1001</v>
          </cell>
          <cell r="AC1975" t="str">
            <v>2012.01.15기준중량변경(290-&gt;289), 2012.06.13 금형수리,2013.02.04수정</v>
          </cell>
          <cell r="AD1975">
            <v>0.85</v>
          </cell>
          <cell r="AE1975">
            <v>85</v>
          </cell>
          <cell r="AF1975">
            <v>6</v>
          </cell>
        </row>
        <row r="1976">
          <cell r="A1976" t="str">
            <v>BILOW(수출용)</v>
          </cell>
          <cell r="B1976" t="str">
            <v>SET</v>
          </cell>
          <cell r="C1976">
            <v>1</v>
          </cell>
          <cell r="D1976">
            <v>75</v>
          </cell>
          <cell r="E1976">
            <v>263</v>
          </cell>
          <cell r="F1976">
            <v>53</v>
          </cell>
          <cell r="G1976" t="str">
            <v>B240NS</v>
          </cell>
          <cell r="H1976">
            <v>10</v>
          </cell>
          <cell r="I1976">
            <v>1</v>
          </cell>
          <cell r="J1976" t="str">
            <v>SK매직</v>
          </cell>
          <cell r="K1976">
            <v>85</v>
          </cell>
          <cell r="L1976">
            <v>89</v>
          </cell>
          <cell r="O1976">
            <v>1269</v>
          </cell>
          <cell r="P1976">
            <v>1300</v>
          </cell>
          <cell r="Q1976">
            <v>150</v>
          </cell>
          <cell r="R1976" t="str">
            <v>흰색</v>
          </cell>
          <cell r="S1976" t="str">
            <v>흰색</v>
          </cell>
          <cell r="T1976" t="str">
            <v>BUILT IN LOWER(수출용)</v>
          </cell>
          <cell r="U1976">
            <v>38833</v>
          </cell>
          <cell r="V1976" t="str">
            <v>삼일금형</v>
          </cell>
          <cell r="W1976" t="str">
            <v>51220-41001</v>
          </cell>
          <cell r="X1976" t="str">
            <v>E-0202</v>
          </cell>
          <cell r="AD1976">
            <v>0.85</v>
          </cell>
          <cell r="AE1976">
            <v>75</v>
          </cell>
          <cell r="AF1976">
            <v>0</v>
          </cell>
        </row>
        <row r="1977">
          <cell r="A1977" t="str">
            <v>BI-LOW</v>
          </cell>
          <cell r="B1977" t="str">
            <v>SET</v>
          </cell>
          <cell r="C1977">
            <v>1</v>
          </cell>
          <cell r="D1977">
            <v>100</v>
          </cell>
          <cell r="E1977">
            <v>360</v>
          </cell>
          <cell r="F1977">
            <v>65</v>
          </cell>
          <cell r="G1977" t="str">
            <v>B240NS</v>
          </cell>
          <cell r="H1977">
            <v>7</v>
          </cell>
          <cell r="I1977">
            <v>1</v>
          </cell>
          <cell r="J1977" t="str">
            <v>SK매직</v>
          </cell>
          <cell r="K1977">
            <v>153</v>
          </cell>
          <cell r="L1977">
            <v>157</v>
          </cell>
          <cell r="O1977">
            <v>1649</v>
          </cell>
          <cell r="P1977">
            <v>1300</v>
          </cell>
          <cell r="Q1977">
            <v>250</v>
          </cell>
          <cell r="R1977" t="str">
            <v>주황</v>
          </cell>
          <cell r="S1977" t="str">
            <v>주황</v>
          </cell>
          <cell r="T1977" t="str">
            <v>BUILT IN LOWER</v>
          </cell>
          <cell r="U1977">
            <v>37762</v>
          </cell>
          <cell r="V1977" t="str">
            <v>삼일금형</v>
          </cell>
          <cell r="W1977" t="str">
            <v>51210-58001</v>
          </cell>
          <cell r="AC1977" t="str">
            <v xml:space="preserve">(04.11.17 CORE개조입고)    </v>
          </cell>
          <cell r="AD1977">
            <v>0.85</v>
          </cell>
          <cell r="AE1977">
            <v>100</v>
          </cell>
          <cell r="AF1977">
            <v>2</v>
          </cell>
        </row>
        <row r="1978">
          <cell r="A1978" t="str">
            <v>BID-S36O30</v>
          </cell>
          <cell r="B1978" t="str">
            <v>SET</v>
          </cell>
          <cell r="C1978">
            <v>2</v>
          </cell>
          <cell r="D1978">
            <v>100</v>
          </cell>
          <cell r="E1978">
            <v>413</v>
          </cell>
          <cell r="F1978">
            <v>70</v>
          </cell>
          <cell r="G1978" t="str">
            <v>B240NS</v>
          </cell>
          <cell r="H1978">
            <v>10</v>
          </cell>
          <cell r="I1978">
            <v>2</v>
          </cell>
          <cell r="J1978" t="str">
            <v>SK매직</v>
          </cell>
          <cell r="K1978">
            <v>133</v>
          </cell>
          <cell r="L1978">
            <v>137</v>
          </cell>
          <cell r="M1978">
            <v>88</v>
          </cell>
          <cell r="N1978">
            <v>92</v>
          </cell>
          <cell r="O1978">
            <v>1660</v>
          </cell>
          <cell r="P1978">
            <v>1500</v>
          </cell>
          <cell r="Q1978">
            <v>250</v>
          </cell>
          <cell r="R1978" t="str">
            <v>보라</v>
          </cell>
          <cell r="S1978" t="str">
            <v>보라</v>
          </cell>
          <cell r="U1978">
            <v>44057</v>
          </cell>
          <cell r="V1978" t="str">
            <v>세일하이테크</v>
          </cell>
          <cell r="W1978" t="str">
            <v xml:space="preserve">M500100004_05직가래 3개 / 5다발 중 1다발만 비닐포장 할 것 </v>
          </cell>
          <cell r="Y1978">
            <v>60</v>
          </cell>
          <cell r="AC1978" t="str">
            <v>석상준과장, 2020.09.28BURR 및 코팅완료</v>
          </cell>
          <cell r="AD1978">
            <v>0.85</v>
          </cell>
          <cell r="AF1978">
            <v>4</v>
          </cell>
        </row>
        <row r="1979">
          <cell r="A1979" t="str">
            <v>BENCH</v>
          </cell>
          <cell r="B1979" t="str">
            <v>SET</v>
          </cell>
          <cell r="C1979">
            <v>1</v>
          </cell>
          <cell r="D1979">
            <v>100</v>
          </cell>
          <cell r="E1979">
            <v>1660</v>
          </cell>
          <cell r="F1979">
            <v>65</v>
          </cell>
          <cell r="G1979" t="str">
            <v>B240NS</v>
          </cell>
          <cell r="H1979" t="str">
            <v>3</v>
          </cell>
          <cell r="I1979">
            <v>2</v>
          </cell>
          <cell r="J1979" t="str">
            <v>이시다</v>
          </cell>
          <cell r="P1979" t="str">
            <v>1500</v>
          </cell>
          <cell r="Q1979" t="str">
            <v>400</v>
          </cell>
          <cell r="R1979" t="str">
            <v>비닐</v>
          </cell>
          <cell r="U1979">
            <v>44714</v>
          </cell>
          <cell r="V1979" t="str">
            <v>금형사업부</v>
          </cell>
          <cell r="W1979" t="str">
            <v>비닐포장만2번</v>
          </cell>
          <cell r="Y1979">
            <v>60</v>
          </cell>
          <cell r="AC1979" t="str">
            <v>김영석사원</v>
          </cell>
          <cell r="AD1979">
            <v>0.85</v>
          </cell>
        </row>
        <row r="1980">
          <cell r="A1980" t="str">
            <v>BENCH</v>
          </cell>
          <cell r="B1980" t="str">
            <v>SET</v>
          </cell>
          <cell r="C1980">
            <v>1</v>
          </cell>
          <cell r="D1980">
            <v>100</v>
          </cell>
          <cell r="E1980">
            <v>1660</v>
          </cell>
          <cell r="F1980">
            <v>65</v>
          </cell>
          <cell r="G1980" t="str">
            <v>B240NS</v>
          </cell>
          <cell r="H1980" t="str">
            <v>3</v>
          </cell>
          <cell r="I1980">
            <v>2</v>
          </cell>
          <cell r="J1980" t="str">
            <v>이시다</v>
          </cell>
          <cell r="P1980" t="str">
            <v>1500</v>
          </cell>
          <cell r="R1980" t="str">
            <v>녹색</v>
          </cell>
          <cell r="U1980">
            <v>44714</v>
          </cell>
          <cell r="V1980" t="str">
            <v>금형사업부</v>
          </cell>
          <cell r="Y1980">
            <v>60</v>
          </cell>
          <cell r="AC1980" t="str">
            <v>김영석사원</v>
          </cell>
          <cell r="AD1980">
            <v>0.85</v>
          </cell>
        </row>
        <row r="1981">
          <cell r="A1981" t="str">
            <v>BDF/L</v>
          </cell>
          <cell r="B1981" t="str">
            <v>SET</v>
          </cell>
          <cell r="C1981">
            <v>2</v>
          </cell>
          <cell r="D1981">
            <v>85</v>
          </cell>
          <cell r="E1981">
            <v>700</v>
          </cell>
          <cell r="F1981">
            <v>65</v>
          </cell>
          <cell r="G1981" t="str">
            <v>B240NS</v>
          </cell>
          <cell r="H1981">
            <v>4</v>
          </cell>
          <cell r="I1981">
            <v>2</v>
          </cell>
          <cell r="J1981" t="str">
            <v>모트렉스</v>
          </cell>
          <cell r="K1981">
            <v>108</v>
          </cell>
          <cell r="L1981">
            <v>112</v>
          </cell>
          <cell r="M1981">
            <v>148</v>
          </cell>
          <cell r="N1981">
            <v>152</v>
          </cell>
          <cell r="O1981">
            <v>4950</v>
          </cell>
          <cell r="P1981">
            <v>1360</v>
          </cell>
          <cell r="Q1981">
            <v>250</v>
          </cell>
          <cell r="R1981" t="str">
            <v>노랑</v>
          </cell>
          <cell r="S1981" t="str">
            <v>노랑</v>
          </cell>
          <cell r="U1981">
            <v>42705</v>
          </cell>
          <cell r="V1981" t="str">
            <v>금형제조부</v>
          </cell>
          <cell r="W1981" t="str">
            <v>2번 건조</v>
          </cell>
          <cell r="Y1981">
            <v>50</v>
          </cell>
          <cell r="Z1981">
            <v>46009</v>
          </cell>
          <cell r="AC1981" t="str">
            <v>최재학사원/18.01.19 금형 수정으로 끈색 빨강→흰색 변경, 190102 아산대여, 2020.06.15개조입고</v>
          </cell>
          <cell r="AD1981">
            <v>0.85</v>
          </cell>
          <cell r="AE1981">
            <v>85</v>
          </cell>
          <cell r="AF1981">
            <v>4</v>
          </cell>
        </row>
        <row r="1982">
          <cell r="A1982" t="str">
            <v>BD-CD-OS</v>
          </cell>
          <cell r="B1982" t="str">
            <v>SET</v>
          </cell>
          <cell r="C1982">
            <v>2</v>
          </cell>
          <cell r="D1982">
            <v>80</v>
          </cell>
          <cell r="E1982">
            <v>1025</v>
          </cell>
          <cell r="F1982">
            <v>70</v>
          </cell>
          <cell r="G1982" t="str">
            <v>B240NS</v>
          </cell>
          <cell r="H1982">
            <v>3</v>
          </cell>
          <cell r="I1982">
            <v>2</v>
          </cell>
          <cell r="J1982" t="str">
            <v>모트렉스</v>
          </cell>
          <cell r="K1982">
            <v>190</v>
          </cell>
          <cell r="L1982">
            <v>194</v>
          </cell>
          <cell r="M1982">
            <v>181</v>
          </cell>
          <cell r="N1982">
            <v>185</v>
          </cell>
          <cell r="O1982">
            <v>5250</v>
          </cell>
          <cell r="P1982">
            <v>1360</v>
          </cell>
          <cell r="Q1982">
            <v>300</v>
          </cell>
          <cell r="R1982" t="str">
            <v>검정</v>
          </cell>
          <cell r="S1982" t="str">
            <v>검정</v>
          </cell>
          <cell r="T1982" t="str">
            <v>냉각불량, 배부름 확인 필!!!</v>
          </cell>
          <cell r="U1982">
            <v>43216</v>
          </cell>
          <cell r="V1982" t="str">
            <v>금형제조부</v>
          </cell>
          <cell r="W1982" t="str">
            <v>2번 건조, SC721032A,스티로폼(BD/CD/OS/580*480*375)</v>
          </cell>
          <cell r="Y1982">
            <v>60</v>
          </cell>
          <cell r="Z1982">
            <v>61489</v>
          </cell>
          <cell r="AC1982" t="str">
            <v>최재학계장,190102 아산대여,2019.04.24끈색변경(노랑-&gt;검정), 2020.04.13 파손수리, 2021.01.15배율변경(74-&gt;70), 2021.01.28 코팅완료</v>
          </cell>
          <cell r="AD1982">
            <v>0.85</v>
          </cell>
          <cell r="AE1982">
            <v>75</v>
          </cell>
        </row>
        <row r="1983">
          <cell r="A1983" t="str">
            <v>BD-CD-OS</v>
          </cell>
          <cell r="B1983" t="str">
            <v>SET</v>
          </cell>
          <cell r="C1983">
            <v>2</v>
          </cell>
          <cell r="D1983">
            <v>80</v>
          </cell>
          <cell r="E1983">
            <v>1025</v>
          </cell>
          <cell r="F1983">
            <v>70</v>
          </cell>
          <cell r="G1983" t="str">
            <v>B240NS</v>
          </cell>
          <cell r="H1983">
            <v>3</v>
          </cell>
          <cell r="I1983">
            <v>2</v>
          </cell>
          <cell r="J1983" t="str">
            <v>모트렉스</v>
          </cell>
          <cell r="K1983">
            <v>190</v>
          </cell>
          <cell r="L1983">
            <v>194</v>
          </cell>
          <cell r="M1983">
            <v>181</v>
          </cell>
          <cell r="N1983">
            <v>185</v>
          </cell>
          <cell r="O1983">
            <v>5250</v>
          </cell>
          <cell r="P1983">
            <v>1360</v>
          </cell>
          <cell r="Q1983">
            <v>300</v>
          </cell>
          <cell r="R1983" t="str">
            <v>검정</v>
          </cell>
          <cell r="S1983" t="str">
            <v>검정</v>
          </cell>
          <cell r="T1983" t="str">
            <v>냉각불량, 배부름 확인 필!!!</v>
          </cell>
          <cell r="U1983">
            <v>43216</v>
          </cell>
          <cell r="V1983" t="str">
            <v>금형제조부</v>
          </cell>
          <cell r="W1983" t="str">
            <v>2번 건조, SC721032A,스티로폼(BD/CD/OS/580*480*375)</v>
          </cell>
          <cell r="Y1983">
            <v>60</v>
          </cell>
          <cell r="Z1983">
            <v>61489</v>
          </cell>
          <cell r="AC1983" t="str">
            <v>최재학계장,190102 아산대여,2019.04.24끈색변경(노랑-&gt;검정), 2020.04.13 파손수리, 2021.01.15배율변경(74-&gt;70), 2021.01.28 코팅완료</v>
          </cell>
          <cell r="AD1983">
            <v>0.85</v>
          </cell>
          <cell r="AE1983">
            <v>75</v>
          </cell>
          <cell r="AF1983">
            <v>4</v>
          </cell>
        </row>
        <row r="1984">
          <cell r="A1984" t="str">
            <v>BD-CD-OS</v>
          </cell>
          <cell r="B1984" t="str">
            <v>SET</v>
          </cell>
          <cell r="C1984">
            <v>2</v>
          </cell>
          <cell r="D1984">
            <v>80</v>
          </cell>
          <cell r="E1984">
            <v>1025</v>
          </cell>
          <cell r="F1984">
            <v>70</v>
          </cell>
          <cell r="G1984" t="str">
            <v>SG302AN</v>
          </cell>
          <cell r="H1984">
            <v>3</v>
          </cell>
          <cell r="I1984">
            <v>2</v>
          </cell>
          <cell r="J1984" t="str">
            <v>모트렉스</v>
          </cell>
          <cell r="K1984">
            <v>190</v>
          </cell>
          <cell r="L1984">
            <v>194</v>
          </cell>
          <cell r="M1984">
            <v>181</v>
          </cell>
          <cell r="N1984">
            <v>185</v>
          </cell>
          <cell r="O1984">
            <v>5250</v>
          </cell>
          <cell r="P1984">
            <v>1360</v>
          </cell>
          <cell r="Q1984">
            <v>300</v>
          </cell>
          <cell r="R1984" t="str">
            <v>검정</v>
          </cell>
          <cell r="S1984" t="str">
            <v>검정</v>
          </cell>
          <cell r="T1984" t="str">
            <v>냉각불량, 배부름 확인 필!!!</v>
          </cell>
          <cell r="U1984">
            <v>43216</v>
          </cell>
          <cell r="V1984" t="str">
            <v>금형제조부</v>
          </cell>
          <cell r="W1984" t="str">
            <v>2번 건조, SC721032A,스티로폼(BD/CD/OS/580*480*375)</v>
          </cell>
          <cell r="Y1984">
            <v>60</v>
          </cell>
          <cell r="Z1984">
            <v>61489</v>
          </cell>
          <cell r="AC1984" t="str">
            <v>최재학계장,190102 아산대여,2019.04.24끈색변경(노랑-&gt;검정), 2020.04.13 파손수리, 2021.01.15배율변경(74-&gt;70), 2021.01.28 코팅완료</v>
          </cell>
          <cell r="AD1984">
            <v>0.85</v>
          </cell>
          <cell r="AE1984">
            <v>75</v>
          </cell>
          <cell r="AF1984">
            <v>4</v>
          </cell>
        </row>
        <row r="1985">
          <cell r="A1985" t="str">
            <v>BB16/17-A</v>
          </cell>
          <cell r="B1985" t="str">
            <v>SET</v>
          </cell>
          <cell r="C1985">
            <v>8</v>
          </cell>
          <cell r="D1985">
            <v>100</v>
          </cell>
          <cell r="E1985">
            <v>49</v>
          </cell>
          <cell r="F1985">
            <v>70</v>
          </cell>
          <cell r="G1985" t="str">
            <v>B240NS</v>
          </cell>
          <cell r="H1985">
            <v>32</v>
          </cell>
          <cell r="I1985">
            <v>2</v>
          </cell>
          <cell r="J1985" t="str">
            <v>코웨이</v>
          </cell>
          <cell r="K1985">
            <v>97</v>
          </cell>
          <cell r="L1985">
            <v>103</v>
          </cell>
          <cell r="M1985">
            <v>97</v>
          </cell>
          <cell r="N1985">
            <v>103</v>
          </cell>
          <cell r="P1985">
            <v>1360</v>
          </cell>
          <cell r="Q1985">
            <v>200</v>
          </cell>
          <cell r="R1985" t="str">
            <v>파란</v>
          </cell>
          <cell r="U1985">
            <v>44755</v>
          </cell>
          <cell r="V1985" t="str">
            <v>대부</v>
          </cell>
          <cell r="AC1985" t="str">
            <v>김영석사원</v>
          </cell>
          <cell r="AD1985">
            <v>0.85</v>
          </cell>
        </row>
        <row r="1986">
          <cell r="A1986" t="str">
            <v>BB16/17-A</v>
          </cell>
          <cell r="B1986" t="str">
            <v>SET</v>
          </cell>
          <cell r="C1986">
            <v>8</v>
          </cell>
          <cell r="D1986">
            <v>100</v>
          </cell>
          <cell r="E1986">
            <v>49</v>
          </cell>
          <cell r="F1986">
            <v>70</v>
          </cell>
          <cell r="G1986" t="str">
            <v>B240NS</v>
          </cell>
          <cell r="H1986">
            <v>32</v>
          </cell>
          <cell r="I1986">
            <v>2</v>
          </cell>
          <cell r="J1986" t="str">
            <v>코웨이</v>
          </cell>
          <cell r="K1986">
            <v>97</v>
          </cell>
          <cell r="L1986">
            <v>103</v>
          </cell>
          <cell r="M1986">
            <v>97</v>
          </cell>
          <cell r="N1986">
            <v>103</v>
          </cell>
          <cell r="P1986">
            <v>1360</v>
          </cell>
          <cell r="Q1986">
            <v>250</v>
          </cell>
          <cell r="R1986" t="str">
            <v>파란</v>
          </cell>
          <cell r="U1986">
            <v>44755</v>
          </cell>
          <cell r="V1986" t="str">
            <v>대부</v>
          </cell>
          <cell r="AC1986" t="str">
            <v>김영석사원</v>
          </cell>
          <cell r="AD1986">
            <v>0.85</v>
          </cell>
        </row>
        <row r="1987">
          <cell r="A1987" t="str">
            <v>BATTERY-TRAY</v>
          </cell>
          <cell r="B1987" t="str">
            <v>SET</v>
          </cell>
          <cell r="C1987">
            <v>2</v>
          </cell>
          <cell r="D1987">
            <v>122</v>
          </cell>
          <cell r="E1987">
            <v>1010</v>
          </cell>
          <cell r="F1987">
            <v>53</v>
          </cell>
          <cell r="G1987" t="str">
            <v>B240NS</v>
          </cell>
          <cell r="H1987">
            <v>1</v>
          </cell>
          <cell r="I1987">
            <v>1</v>
          </cell>
          <cell r="J1987" t="str">
            <v>LG전자</v>
          </cell>
          <cell r="K1987">
            <v>165</v>
          </cell>
          <cell r="L1987">
            <v>167</v>
          </cell>
          <cell r="O1987">
            <v>18562</v>
          </cell>
          <cell r="P1987">
            <v>1500</v>
          </cell>
          <cell r="Q1987">
            <v>250</v>
          </cell>
          <cell r="S1987">
            <v>0</v>
          </cell>
          <cell r="U1987">
            <v>42460</v>
          </cell>
          <cell r="V1987" t="str">
            <v>금형제조부</v>
          </cell>
          <cell r="Y1987" t="str">
            <v>40</v>
          </cell>
          <cell r="AC1987" t="str">
            <v>최재학사원</v>
          </cell>
          <cell r="AD1987">
            <v>0.85</v>
          </cell>
          <cell r="AE1987">
            <v>122</v>
          </cell>
          <cell r="AF1987">
            <v>2</v>
          </cell>
        </row>
        <row r="1988">
          <cell r="A1988" t="str">
            <v>BAS37-A</v>
          </cell>
          <cell r="B1988" t="str">
            <v>SET</v>
          </cell>
          <cell r="C1988">
            <v>3</v>
          </cell>
          <cell r="D1988">
            <v>80</v>
          </cell>
          <cell r="E1988">
            <v>203</v>
          </cell>
          <cell r="F1988">
            <v>70</v>
          </cell>
          <cell r="G1988" t="str">
            <v>B240NS</v>
          </cell>
          <cell r="H1988" t="str">
            <v>L:20/R:20</v>
          </cell>
          <cell r="I1988">
            <v>2</v>
          </cell>
          <cell r="J1988" t="str">
            <v>코웨이</v>
          </cell>
          <cell r="K1988">
            <v>106</v>
          </cell>
          <cell r="L1988">
            <v>110</v>
          </cell>
          <cell r="M1988">
            <v>89</v>
          </cell>
          <cell r="N1988">
            <v>91</v>
          </cell>
          <cell r="P1988">
            <v>1360</v>
          </cell>
          <cell r="Q1988">
            <v>200</v>
          </cell>
          <cell r="R1988" t="str">
            <v>빨강</v>
          </cell>
          <cell r="S1988" t="str">
            <v>파랑</v>
          </cell>
          <cell r="U1988">
            <v>44344</v>
          </cell>
          <cell r="V1988" t="str">
            <v>대원금형</v>
          </cell>
          <cell r="W1988" t="str">
            <v xml:space="preserve">L/R 포장 혼입 주의 및 같은방향으로 묶을 것!! </v>
          </cell>
          <cell r="Y1988">
            <v>60</v>
          </cell>
          <cell r="Z1988">
            <v>12491</v>
          </cell>
          <cell r="AC1988" t="str">
            <v>석상준과장 2021.07.02 코팅완료 , 각인추가</v>
          </cell>
          <cell r="AD1988">
            <v>0.85</v>
          </cell>
          <cell r="AF1988">
            <v>2</v>
          </cell>
        </row>
        <row r="1989">
          <cell r="A1989" t="str">
            <v>BAPE-L3000N</v>
          </cell>
          <cell r="B1989" t="str">
            <v>SET</v>
          </cell>
          <cell r="C1989">
            <v>3</v>
          </cell>
          <cell r="D1989">
            <v>75</v>
          </cell>
          <cell r="E1989">
            <v>300</v>
          </cell>
          <cell r="F1989">
            <v>70</v>
          </cell>
          <cell r="G1989" t="str">
            <v>B240NS</v>
          </cell>
          <cell r="H1989">
            <v>6</v>
          </cell>
          <cell r="I1989">
            <v>2</v>
          </cell>
          <cell r="J1989" t="str">
            <v>모트렉스</v>
          </cell>
          <cell r="O1989">
            <v>1380</v>
          </cell>
          <cell r="P1989">
            <v>1360</v>
          </cell>
          <cell r="Q1989">
            <v>200</v>
          </cell>
          <cell r="R1989" t="str">
            <v>빨강</v>
          </cell>
          <cell r="S1989" t="str">
            <v>빨강</v>
          </cell>
          <cell r="U1989">
            <v>43007</v>
          </cell>
          <cell r="V1989" t="str">
            <v>이관금형</v>
          </cell>
          <cell r="W1989" t="str">
            <v>2번 건조</v>
          </cell>
          <cell r="Y1989">
            <v>60</v>
          </cell>
          <cell r="AC1989" t="str">
            <v>최재학계장</v>
          </cell>
          <cell r="AD1989">
            <v>0.85</v>
          </cell>
          <cell r="AE1989">
            <v>75</v>
          </cell>
          <cell r="AF1989">
            <v>2</v>
          </cell>
        </row>
        <row r="1990">
          <cell r="A1990" t="str">
            <v>B60</v>
          </cell>
          <cell r="B1990" t="str">
            <v>SET</v>
          </cell>
          <cell r="C1990">
            <v>3</v>
          </cell>
          <cell r="D1990">
            <v>65</v>
          </cell>
          <cell r="E1990">
            <v>150</v>
          </cell>
          <cell r="F1990">
            <v>70</v>
          </cell>
          <cell r="G1990" t="str">
            <v>B240NS</v>
          </cell>
          <cell r="H1990">
            <v>10</v>
          </cell>
          <cell r="I1990">
            <v>2</v>
          </cell>
          <cell r="J1990" t="str">
            <v>하츠</v>
          </cell>
          <cell r="K1990">
            <v>78</v>
          </cell>
          <cell r="L1990">
            <v>82</v>
          </cell>
          <cell r="M1990">
            <v>78</v>
          </cell>
          <cell r="N1990">
            <v>82</v>
          </cell>
          <cell r="O1990">
            <v>800</v>
          </cell>
          <cell r="P1990">
            <v>1300</v>
          </cell>
          <cell r="Q1990">
            <v>150</v>
          </cell>
          <cell r="R1990" t="str">
            <v>노랑</v>
          </cell>
          <cell r="S1990" t="str">
            <v>노랑</v>
          </cell>
          <cell r="T1990" t="str">
            <v>M310-00165/M310-00166</v>
          </cell>
          <cell r="U1990">
            <v>41719</v>
          </cell>
          <cell r="V1990" t="str">
            <v>하츠이동입고</v>
          </cell>
          <cell r="W1990" t="str">
            <v>L/R 포장 혼입 주의,초물175g 내외</v>
          </cell>
          <cell r="X1990" t="str">
            <v>E-1002</v>
          </cell>
          <cell r="AC1990" t="str">
            <v>조우리사원,2015.10.09배율변경(65-&gt;70)</v>
          </cell>
          <cell r="AD1990">
            <v>0.83</v>
          </cell>
          <cell r="AE1990">
            <v>85</v>
          </cell>
          <cell r="AF1990">
            <v>4</v>
          </cell>
        </row>
        <row r="1991">
          <cell r="A1991" t="str">
            <v>B3300</v>
          </cell>
          <cell r="B1991" t="str">
            <v>SET</v>
          </cell>
          <cell r="C1991">
            <v>2</v>
          </cell>
          <cell r="D1991">
            <v>100</v>
          </cell>
          <cell r="E1991">
            <v>111</v>
          </cell>
          <cell r="F1991">
            <v>65</v>
          </cell>
          <cell r="G1991" t="str">
            <v>B240NS</v>
          </cell>
          <cell r="H1991">
            <v>10</v>
          </cell>
          <cell r="I1991">
            <v>1</v>
          </cell>
          <cell r="J1991" t="str">
            <v>SK매직</v>
          </cell>
          <cell r="P1991">
            <v>1500</v>
          </cell>
          <cell r="R1991" t="str">
            <v>빨강</v>
          </cell>
          <cell r="U1991">
            <v>44666</v>
          </cell>
          <cell r="V1991" t="str">
            <v>금형사업부</v>
          </cell>
          <cell r="W1991" t="str">
            <v>M50010003300, 22.09.02 수정</v>
          </cell>
          <cell r="Y1991">
            <v>60</v>
          </cell>
          <cell r="AC1991" t="str">
            <v>김영석사원</v>
          </cell>
          <cell r="AD1991">
            <v>0.85</v>
          </cell>
        </row>
        <row r="1992">
          <cell r="A1992" t="str">
            <v>B-13</v>
          </cell>
          <cell r="B1992" t="str">
            <v>SET</v>
          </cell>
          <cell r="C1992">
            <v>4</v>
          </cell>
          <cell r="D1992">
            <v>150</v>
          </cell>
          <cell r="E1992">
            <v>1252</v>
          </cell>
          <cell r="F1992">
            <v>60</v>
          </cell>
          <cell r="G1992" t="str">
            <v>B240NS</v>
          </cell>
          <cell r="H1992">
            <v>1</v>
          </cell>
          <cell r="I1992">
            <v>1</v>
          </cell>
          <cell r="J1992" t="str">
            <v>진보</v>
          </cell>
          <cell r="K1992">
            <v>188</v>
          </cell>
          <cell r="L1992">
            <v>192</v>
          </cell>
          <cell r="M1992">
            <v>188</v>
          </cell>
          <cell r="N1992">
            <v>192</v>
          </cell>
          <cell r="P1992">
            <v>1360</v>
          </cell>
          <cell r="Q1992">
            <v>300</v>
          </cell>
          <cell r="R1992" t="str">
            <v>주황</v>
          </cell>
          <cell r="U1992">
            <v>45971</v>
          </cell>
          <cell r="V1992" t="str">
            <v>금형제조부</v>
          </cell>
          <cell r="AD1992">
            <v>0.85</v>
          </cell>
          <cell r="AE1992">
            <v>90</v>
          </cell>
        </row>
        <row r="1993">
          <cell r="A1993" t="str">
            <v>B-13</v>
          </cell>
          <cell r="B1993" t="str">
            <v>SET</v>
          </cell>
          <cell r="C1993">
            <v>4</v>
          </cell>
          <cell r="D1993">
            <v>150</v>
          </cell>
          <cell r="E1993">
            <v>1252</v>
          </cell>
          <cell r="F1993">
            <v>60</v>
          </cell>
          <cell r="G1993" t="str">
            <v>B240NS</v>
          </cell>
          <cell r="H1993">
            <v>1</v>
          </cell>
          <cell r="I1993">
            <v>1</v>
          </cell>
          <cell r="J1993" t="str">
            <v>진보</v>
          </cell>
          <cell r="K1993">
            <v>188</v>
          </cell>
          <cell r="L1993">
            <v>192</v>
          </cell>
          <cell r="M1993">
            <v>188</v>
          </cell>
          <cell r="N1993">
            <v>192</v>
          </cell>
          <cell r="P1993">
            <v>1360</v>
          </cell>
          <cell r="Q1993">
            <v>300</v>
          </cell>
          <cell r="R1993" t="str">
            <v>주황</v>
          </cell>
          <cell r="U1993">
            <v>45971</v>
          </cell>
          <cell r="V1993" t="str">
            <v>금형제조부</v>
          </cell>
          <cell r="AD1993">
            <v>0.85</v>
          </cell>
          <cell r="AE1993">
            <v>90</v>
          </cell>
        </row>
        <row r="1994">
          <cell r="A1994" t="str">
            <v>B10</v>
          </cell>
          <cell r="B1994" t="str">
            <v>SET</v>
          </cell>
          <cell r="C1994">
            <v>2</v>
          </cell>
          <cell r="D1994">
            <v>100</v>
          </cell>
          <cell r="E1994">
            <v>216</v>
          </cell>
          <cell r="F1994">
            <v>65</v>
          </cell>
          <cell r="G1994" t="str">
            <v>B240NS</v>
          </cell>
          <cell r="H1994">
            <v>8</v>
          </cell>
          <cell r="I1994">
            <v>2</v>
          </cell>
          <cell r="J1994" t="str">
            <v>삼성HME</v>
          </cell>
          <cell r="K1994">
            <v>99</v>
          </cell>
          <cell r="L1994">
            <v>101</v>
          </cell>
          <cell r="M1994">
            <v>99</v>
          </cell>
          <cell r="N1994">
            <v>101</v>
          </cell>
          <cell r="O1994">
            <v>1440</v>
          </cell>
          <cell r="P1994">
            <v>1360</v>
          </cell>
          <cell r="Q1994">
            <v>200</v>
          </cell>
          <cell r="R1994" t="str">
            <v>보라</v>
          </cell>
          <cell r="S1994" t="str">
            <v>보라</v>
          </cell>
          <cell r="T1994" t="str">
            <v>B10</v>
          </cell>
          <cell r="U1994">
            <v>40840</v>
          </cell>
          <cell r="V1994" t="str">
            <v>금형제조부</v>
          </cell>
          <cell r="W1994" t="str">
            <v>6~9호기 이동 이형 문제!</v>
          </cell>
          <cell r="X1994" t="str">
            <v>R-0201</v>
          </cell>
          <cell r="AC1994" t="str">
            <v>석상준계장, 2011.12.08CAVITY추가(2*1-&gt;2*2),2016.07.07수정</v>
          </cell>
          <cell r="AD1994">
            <v>0.85</v>
          </cell>
          <cell r="AE1994">
            <v>100</v>
          </cell>
          <cell r="AF1994">
            <v>1</v>
          </cell>
        </row>
        <row r="1995">
          <cell r="A1995" t="str">
            <v>AR100-SIDE</v>
          </cell>
          <cell r="B1995" t="str">
            <v>SPL</v>
          </cell>
          <cell r="C1995">
            <v>1</v>
          </cell>
          <cell r="D1995">
            <v>150</v>
          </cell>
          <cell r="E1995">
            <v>350</v>
          </cell>
          <cell r="F1995">
            <v>65</v>
          </cell>
          <cell r="G1995" t="str">
            <v>B240NS</v>
          </cell>
          <cell r="H1995">
            <v>1</v>
          </cell>
          <cell r="I1995">
            <v>4</v>
          </cell>
          <cell r="J1995" t="str">
            <v>KB-FOAM</v>
          </cell>
          <cell r="P1995">
            <v>1500</v>
          </cell>
          <cell r="Q1995">
            <v>350</v>
          </cell>
          <cell r="U1995">
            <v>44231</v>
          </cell>
          <cell r="V1995" t="str">
            <v>금형사업부</v>
          </cell>
          <cell r="Y1995">
            <v>60</v>
          </cell>
          <cell r="AC1995" t="str">
            <v>석상준과장</v>
          </cell>
          <cell r="AD1995">
            <v>0.85</v>
          </cell>
          <cell r="AF1995">
            <v>8</v>
          </cell>
        </row>
        <row r="1996">
          <cell r="A1996" t="str">
            <v>AP-35</v>
          </cell>
          <cell r="B1996" t="str">
            <v>SET</v>
          </cell>
          <cell r="C1996">
            <v>3</v>
          </cell>
          <cell r="D1996">
            <v>150</v>
          </cell>
          <cell r="E1996">
            <v>1013</v>
          </cell>
          <cell r="F1996">
            <v>60</v>
          </cell>
          <cell r="G1996" t="str">
            <v>B240NS</v>
          </cell>
          <cell r="H1996">
            <v>2</v>
          </cell>
          <cell r="I1996">
            <v>2</v>
          </cell>
          <cell r="J1996" t="str">
            <v>에이시스</v>
          </cell>
          <cell r="K1996">
            <v>273</v>
          </cell>
          <cell r="L1996">
            <v>277</v>
          </cell>
          <cell r="M1996">
            <v>273</v>
          </cell>
          <cell r="N1996">
            <v>277</v>
          </cell>
          <cell r="P1996">
            <v>1700</v>
          </cell>
          <cell r="Q1996">
            <v>350</v>
          </cell>
          <cell r="R1996" t="str">
            <v>검정</v>
          </cell>
          <cell r="U1996">
            <v>45804</v>
          </cell>
          <cell r="V1996" t="str">
            <v>금형사업부</v>
          </cell>
          <cell r="W1996" t="str">
            <v>건조2번돌리기,이물,융착,확인</v>
          </cell>
          <cell r="AD1996">
            <v>0.85</v>
          </cell>
          <cell r="AE1996">
            <v>80</v>
          </cell>
        </row>
        <row r="1997">
          <cell r="A1997" t="str">
            <v>AP-35</v>
          </cell>
          <cell r="B1997" t="str">
            <v>SET</v>
          </cell>
          <cell r="C1997">
            <v>3</v>
          </cell>
          <cell r="D1997">
            <v>150</v>
          </cell>
          <cell r="E1997">
            <v>1013</v>
          </cell>
          <cell r="F1997">
            <v>60</v>
          </cell>
          <cell r="G1997" t="str">
            <v>B240NS</v>
          </cell>
          <cell r="H1997">
            <v>2</v>
          </cell>
          <cell r="I1997">
            <v>2</v>
          </cell>
          <cell r="J1997" t="str">
            <v>에이시스</v>
          </cell>
          <cell r="K1997">
            <v>273</v>
          </cell>
          <cell r="L1997">
            <v>277</v>
          </cell>
          <cell r="M1997">
            <v>273</v>
          </cell>
          <cell r="N1997">
            <v>277</v>
          </cell>
          <cell r="P1997">
            <v>1700</v>
          </cell>
          <cell r="Q1997">
            <v>350</v>
          </cell>
          <cell r="R1997" t="str">
            <v>검정</v>
          </cell>
          <cell r="U1997">
            <v>45804</v>
          </cell>
          <cell r="V1997" t="str">
            <v>금형사업부</v>
          </cell>
          <cell r="W1997" t="str">
            <v>건조2번돌리기,이물,융착,확인</v>
          </cell>
          <cell r="AD1997">
            <v>0.85</v>
          </cell>
          <cell r="AE1997">
            <v>80</v>
          </cell>
        </row>
        <row r="1998">
          <cell r="A1998" t="str">
            <v>AP-27H8550/60</v>
          </cell>
          <cell r="B1998" t="str">
            <v>SET</v>
          </cell>
          <cell r="C1998">
            <v>1</v>
          </cell>
          <cell r="D1998">
            <v>80</v>
          </cell>
          <cell r="E1998">
            <v>590</v>
          </cell>
          <cell r="F1998">
            <v>70</v>
          </cell>
          <cell r="G1998" t="str">
            <v>B240NS</v>
          </cell>
          <cell r="H1998">
            <v>4</v>
          </cell>
          <cell r="I1998">
            <v>2</v>
          </cell>
          <cell r="J1998" t="str">
            <v>청호나이스</v>
          </cell>
          <cell r="K1998">
            <v>113</v>
          </cell>
          <cell r="L1998">
            <v>117</v>
          </cell>
          <cell r="M1998">
            <v>113</v>
          </cell>
          <cell r="N1998">
            <v>117</v>
          </cell>
          <cell r="O1998">
            <v>2900</v>
          </cell>
          <cell r="P1998">
            <v>1360</v>
          </cell>
          <cell r="Q1998">
            <v>250</v>
          </cell>
          <cell r="R1998" t="str">
            <v>녹색</v>
          </cell>
          <cell r="S1998" t="str">
            <v>녹색</v>
          </cell>
          <cell r="T1998" t="str">
            <v>62-0433-1 / 62-0434-1,금형번호3872</v>
          </cell>
          <cell r="U1998">
            <v>43035</v>
          </cell>
          <cell r="V1998" t="str">
            <v>금형제조부</v>
          </cell>
          <cell r="W1998" t="str">
            <v>6호기착형금지</v>
          </cell>
          <cell r="Y1998">
            <v>60</v>
          </cell>
          <cell r="Z1998">
            <v>35356</v>
          </cell>
          <cell r="AC1998" t="str">
            <v>최재학계장,2018.02.13배율변경(68배-&gt;74배)</v>
          </cell>
          <cell r="AD1998">
            <v>0.85</v>
          </cell>
          <cell r="AE1998">
            <v>80</v>
          </cell>
          <cell r="AF1998">
            <v>1</v>
          </cell>
        </row>
        <row r="1999">
          <cell r="A1999" t="str">
            <v>AP-20K(40배)</v>
          </cell>
          <cell r="B1999" t="str">
            <v>BOX</v>
          </cell>
          <cell r="C1999">
            <v>2</v>
          </cell>
          <cell r="D1999">
            <v>100</v>
          </cell>
          <cell r="E1999">
            <v>393</v>
          </cell>
          <cell r="F1999">
            <v>50</v>
          </cell>
          <cell r="G1999" t="str">
            <v>SE2500M</v>
          </cell>
          <cell r="H1999">
            <v>6</v>
          </cell>
          <cell r="I1999">
            <v>2</v>
          </cell>
          <cell r="J1999" t="str">
            <v>알파</v>
          </cell>
          <cell r="P1999">
            <v>1360</v>
          </cell>
          <cell r="Q1999">
            <v>400</v>
          </cell>
          <cell r="R1999" t="str">
            <v>노랑</v>
          </cell>
          <cell r="U1999">
            <v>44739</v>
          </cell>
          <cell r="V1999" t="str">
            <v>경원 ENG</v>
          </cell>
          <cell r="Y1999">
            <v>40</v>
          </cell>
          <cell r="Z1999">
            <v>15726</v>
          </cell>
          <cell r="AC1999" t="str">
            <v>김영석사원</v>
          </cell>
          <cell r="AD1999">
            <v>0.85</v>
          </cell>
        </row>
        <row r="2000">
          <cell r="A2000" t="str">
            <v>AP-20K(40배)</v>
          </cell>
          <cell r="B2000" t="str">
            <v>BOX</v>
          </cell>
          <cell r="C2000">
            <v>2</v>
          </cell>
          <cell r="D2000">
            <v>100</v>
          </cell>
          <cell r="E2000">
            <v>393</v>
          </cell>
          <cell r="F2000">
            <v>50</v>
          </cell>
          <cell r="G2000" t="str">
            <v>SE2500M</v>
          </cell>
          <cell r="H2000">
            <v>6</v>
          </cell>
          <cell r="I2000">
            <v>2</v>
          </cell>
          <cell r="J2000" t="str">
            <v>알파</v>
          </cell>
          <cell r="P2000">
            <v>1360</v>
          </cell>
          <cell r="Q2000">
            <v>200</v>
          </cell>
          <cell r="U2000">
            <v>44739</v>
          </cell>
          <cell r="V2000" t="str">
            <v>경원 ENG</v>
          </cell>
          <cell r="Y2000">
            <v>40</v>
          </cell>
          <cell r="Z2000">
            <v>15726</v>
          </cell>
          <cell r="AC2000" t="str">
            <v>김영석사원</v>
          </cell>
          <cell r="AD2000">
            <v>0.85</v>
          </cell>
        </row>
        <row r="2001">
          <cell r="A2001" t="str">
            <v>AP-20K</v>
          </cell>
          <cell r="B2001" t="str">
            <v>BOX</v>
          </cell>
          <cell r="C2001">
            <v>2</v>
          </cell>
          <cell r="D2001">
            <v>100</v>
          </cell>
          <cell r="E2001">
            <v>262</v>
          </cell>
          <cell r="F2001">
            <v>70</v>
          </cell>
          <cell r="G2001" t="str">
            <v>SE2500M</v>
          </cell>
          <cell r="H2001">
            <v>6</v>
          </cell>
          <cell r="I2001">
            <v>2</v>
          </cell>
          <cell r="J2001" t="str">
            <v>알파</v>
          </cell>
          <cell r="K2001">
            <v>56</v>
          </cell>
          <cell r="L2001">
            <v>60</v>
          </cell>
          <cell r="M2001">
            <v>298</v>
          </cell>
          <cell r="N2001">
            <v>302</v>
          </cell>
          <cell r="P2001">
            <v>1360</v>
          </cell>
          <cell r="Q2001">
            <v>400</v>
          </cell>
          <cell r="R2001" t="str">
            <v>파랑</v>
          </cell>
          <cell r="U2001">
            <v>44739</v>
          </cell>
          <cell r="V2001" t="str">
            <v>경원 ENG</v>
          </cell>
          <cell r="Y2001">
            <v>60</v>
          </cell>
          <cell r="Z2001">
            <v>15726</v>
          </cell>
          <cell r="AC2001" t="str">
            <v>김영석사원</v>
          </cell>
          <cell r="AD2001">
            <v>0.85</v>
          </cell>
        </row>
        <row r="2002">
          <cell r="A2002" t="str">
            <v>AP-20K</v>
          </cell>
          <cell r="B2002" t="str">
            <v>BOX</v>
          </cell>
          <cell r="C2002">
            <v>2</v>
          </cell>
          <cell r="D2002">
            <v>100</v>
          </cell>
          <cell r="E2002">
            <v>262</v>
          </cell>
          <cell r="F2002">
            <v>70</v>
          </cell>
          <cell r="G2002" t="str">
            <v>SE2500M</v>
          </cell>
          <cell r="H2002">
            <v>6</v>
          </cell>
          <cell r="I2002">
            <v>2</v>
          </cell>
          <cell r="J2002" t="str">
            <v>알파</v>
          </cell>
          <cell r="K2002">
            <v>56</v>
          </cell>
          <cell r="L2002">
            <v>60</v>
          </cell>
          <cell r="M2002">
            <v>298</v>
          </cell>
          <cell r="N2002">
            <v>302</v>
          </cell>
          <cell r="P2002">
            <v>1360</v>
          </cell>
          <cell r="Q2002">
            <v>200</v>
          </cell>
          <cell r="R2002" t="str">
            <v>파랑</v>
          </cell>
          <cell r="U2002">
            <v>44739</v>
          </cell>
          <cell r="V2002" t="str">
            <v>경원 ENG</v>
          </cell>
          <cell r="Y2002">
            <v>60</v>
          </cell>
          <cell r="Z2002">
            <v>15726</v>
          </cell>
          <cell r="AC2002" t="str">
            <v>김영석사원</v>
          </cell>
          <cell r="AD2002">
            <v>0.85</v>
          </cell>
        </row>
        <row r="2003">
          <cell r="A2003" t="str">
            <v>AP-2021B/1521B</v>
          </cell>
          <cell r="J2003" t="str">
            <v>코웨이</v>
          </cell>
        </row>
        <row r="2004">
          <cell r="A2004" t="str">
            <v>AP-1321B/1821A</v>
          </cell>
          <cell r="J2004" t="str">
            <v>코웨이</v>
          </cell>
        </row>
        <row r="2005">
          <cell r="A2005" t="str">
            <v>AMULETO-MINI</v>
          </cell>
          <cell r="B2005" t="str">
            <v>저발</v>
          </cell>
          <cell r="C2005">
            <v>1</v>
          </cell>
          <cell r="D2005">
            <v>160</v>
          </cell>
          <cell r="E2005">
            <v>330</v>
          </cell>
          <cell r="F2005">
            <v>70</v>
          </cell>
          <cell r="G2005" t="str">
            <v>B240NS</v>
          </cell>
          <cell r="H2005">
            <v>10</v>
          </cell>
          <cell r="I2005">
            <v>1</v>
          </cell>
          <cell r="J2005" t="str">
            <v>대영오앤이</v>
          </cell>
          <cell r="K2005">
            <v>109</v>
          </cell>
          <cell r="L2005">
            <v>111</v>
          </cell>
          <cell r="O2005">
            <v>10</v>
          </cell>
          <cell r="P2005">
            <v>700</v>
          </cell>
          <cell r="R2005" t="str">
            <v>비닐</v>
          </cell>
          <cell r="S2005" t="str">
            <v>비닐</v>
          </cell>
          <cell r="T2005" t="str">
            <v>비닐포장만 건조주의</v>
          </cell>
          <cell r="U2005">
            <v>43231</v>
          </cell>
          <cell r="V2005" t="str">
            <v>금형제조부</v>
          </cell>
          <cell r="W2005" t="str">
            <v>배부름형합확인, 건조확인, 2차건조</v>
          </cell>
          <cell r="X2005">
            <v>60</v>
          </cell>
          <cell r="Z2005">
            <v>19523</v>
          </cell>
          <cell r="AC2005" t="str">
            <v>최재학계장,최창호차장,2018.09.06배율변경(48-&gt;68),중량변경(451.7-&gt;330)</v>
          </cell>
          <cell r="AD2005">
            <v>0.85</v>
          </cell>
          <cell r="AE2005">
            <v>160</v>
          </cell>
          <cell r="AF2005">
            <v>1</v>
          </cell>
        </row>
        <row r="2006">
          <cell r="A2006" t="str">
            <v>AL-SLIM</v>
          </cell>
          <cell r="B2006" t="str">
            <v>SET</v>
          </cell>
          <cell r="C2006">
            <v>8</v>
          </cell>
          <cell r="D2006">
            <v>95</v>
          </cell>
          <cell r="E2006">
            <v>106</v>
          </cell>
          <cell r="F2006">
            <v>70</v>
          </cell>
          <cell r="G2006" t="str">
            <v>B240NS</v>
          </cell>
          <cell r="H2006">
            <v>16</v>
          </cell>
          <cell r="I2006">
            <v>1</v>
          </cell>
          <cell r="J2006" t="str">
            <v>에이텍</v>
          </cell>
          <cell r="K2006">
            <v>124</v>
          </cell>
          <cell r="L2006">
            <v>126</v>
          </cell>
          <cell r="M2006">
            <v>124</v>
          </cell>
          <cell r="N2006">
            <v>126</v>
          </cell>
          <cell r="O2006">
            <v>495</v>
          </cell>
          <cell r="P2006">
            <v>1360</v>
          </cell>
          <cell r="Q2006">
            <v>200</v>
          </cell>
          <cell r="R2006" t="str">
            <v>파랑</v>
          </cell>
          <cell r="S2006" t="str">
            <v>파랑</v>
          </cell>
          <cell r="T2006" t="str">
            <v>PC SLIM</v>
          </cell>
          <cell r="U2006">
            <v>40311</v>
          </cell>
          <cell r="V2006" t="str">
            <v>삼일금형</v>
          </cell>
          <cell r="W2006" t="str">
            <v>PRACRCUS0158A</v>
          </cell>
          <cell r="X2006" t="str">
            <v>계양리 J-3</v>
          </cell>
          <cell r="AC2006" t="str">
            <v>2010.08.20개조</v>
          </cell>
          <cell r="AD2006">
            <v>0.85</v>
          </cell>
          <cell r="AE2006">
            <v>90</v>
          </cell>
          <cell r="AF2006">
            <v>1</v>
          </cell>
        </row>
        <row r="2007">
          <cell r="A2007" t="str">
            <v>AL-PAC-L/R</v>
          </cell>
          <cell r="B2007" t="str">
            <v>SET</v>
          </cell>
          <cell r="C2007">
            <v>2</v>
          </cell>
          <cell r="D2007">
            <v>100</v>
          </cell>
          <cell r="E2007">
            <v>467</v>
          </cell>
          <cell r="F2007">
            <v>74</v>
          </cell>
          <cell r="G2007" t="str">
            <v>SG302</v>
          </cell>
          <cell r="H2007" t="str">
            <v>4</v>
          </cell>
          <cell r="I2007">
            <v>2</v>
          </cell>
          <cell r="J2007" t="str">
            <v>에이시스</v>
          </cell>
          <cell r="K2007">
            <v>158</v>
          </cell>
          <cell r="L2007">
            <v>162</v>
          </cell>
          <cell r="M2007">
            <v>158</v>
          </cell>
          <cell r="N2007">
            <v>162</v>
          </cell>
          <cell r="P2007">
            <v>1360</v>
          </cell>
          <cell r="Q2007">
            <v>250</v>
          </cell>
          <cell r="R2007" t="str">
            <v>파랑</v>
          </cell>
          <cell r="S2007" t="str">
            <v>파랑</v>
          </cell>
          <cell r="U2007">
            <v>44483</v>
          </cell>
          <cell r="V2007" t="str">
            <v>이피엠테크</v>
          </cell>
          <cell r="W2007" t="str">
            <v>PAC HQ</v>
          </cell>
          <cell r="Y2007">
            <v>60</v>
          </cell>
          <cell r="Z2007">
            <v>29005</v>
          </cell>
          <cell r="AC2007" t="str">
            <v>석상준과장, 2021.11.08코팅완료, 2021.12.25 수정</v>
          </cell>
          <cell r="AD2007">
            <v>0.85</v>
          </cell>
          <cell r="AF2007">
            <v>2</v>
          </cell>
        </row>
        <row r="2008">
          <cell r="A2008" t="str">
            <v>AK69-00872A</v>
          </cell>
          <cell r="B2008" t="str">
            <v>PAD</v>
          </cell>
          <cell r="E2008">
            <v>0</v>
          </cell>
          <cell r="J2008" t="str">
            <v>삼성전자</v>
          </cell>
          <cell r="O2008">
            <v>30</v>
          </cell>
          <cell r="Q2008" t="str">
            <v>190*140*25T</v>
          </cell>
        </row>
        <row r="2009">
          <cell r="A2009" t="str">
            <v>AH69-03737W</v>
          </cell>
          <cell r="B2009" t="str">
            <v>PAD</v>
          </cell>
          <cell r="E2009">
            <v>0</v>
          </cell>
          <cell r="J2009" t="str">
            <v>삼성전자</v>
          </cell>
          <cell r="K2009" t="str">
            <v>파버나인</v>
          </cell>
          <cell r="O2009">
            <v>420</v>
          </cell>
          <cell r="Q2009" t="str">
            <v>1000*85*36T</v>
          </cell>
        </row>
        <row r="2010">
          <cell r="A2010" t="str">
            <v>AH69-03395H</v>
          </cell>
          <cell r="B2010" t="str">
            <v>PAD</v>
          </cell>
          <cell r="E2010">
            <v>8</v>
          </cell>
          <cell r="J2010" t="str">
            <v>삼성전자</v>
          </cell>
          <cell r="O2010">
            <v>120</v>
          </cell>
          <cell r="P2010" t="str">
            <v>500*95*10T</v>
          </cell>
        </row>
        <row r="2011">
          <cell r="A2011" t="str">
            <v>AH69-03395G</v>
          </cell>
          <cell r="B2011" t="str">
            <v>PAD</v>
          </cell>
          <cell r="J2011" t="str">
            <v>삼성전자</v>
          </cell>
          <cell r="O2011">
            <v>660</v>
          </cell>
          <cell r="P2011" t="str">
            <v>430*130*140T</v>
          </cell>
          <cell r="Q2011" t="str">
            <v>430*130*140T</v>
          </cell>
        </row>
        <row r="2012">
          <cell r="A2012" t="str">
            <v xml:space="preserve">AH69-03395F </v>
          </cell>
          <cell r="B2012" t="str">
            <v>PAD</v>
          </cell>
          <cell r="E2012">
            <v>0</v>
          </cell>
          <cell r="J2012" t="str">
            <v>삼성전자</v>
          </cell>
          <cell r="O2012">
            <v>155</v>
          </cell>
          <cell r="Q2012" t="str">
            <v>395*100*65T</v>
          </cell>
        </row>
        <row r="2013">
          <cell r="A2013" t="str">
            <v>AH69-03395C</v>
          </cell>
          <cell r="B2013" t="str">
            <v>PAD</v>
          </cell>
          <cell r="E2013">
            <v>0</v>
          </cell>
          <cell r="J2013" t="str">
            <v>삼성전자</v>
          </cell>
          <cell r="O2013">
            <v>185</v>
          </cell>
          <cell r="Q2013" t="str">
            <v>188*142*120T</v>
          </cell>
        </row>
        <row r="2014">
          <cell r="A2014" t="str">
            <v>AH69-03395B</v>
          </cell>
          <cell r="B2014" t="str">
            <v>PAD</v>
          </cell>
          <cell r="E2014">
            <v>0</v>
          </cell>
          <cell r="J2014" t="str">
            <v>삼성전자</v>
          </cell>
          <cell r="O2014">
            <v>210</v>
          </cell>
          <cell r="Q2014" t="str">
            <v>315*188*55T</v>
          </cell>
        </row>
        <row r="2015">
          <cell r="A2015" t="str">
            <v>AH69-03395A</v>
          </cell>
          <cell r="B2015" t="str">
            <v>PAD</v>
          </cell>
          <cell r="E2015">
            <v>0</v>
          </cell>
          <cell r="J2015" t="str">
            <v>삼성전자</v>
          </cell>
          <cell r="Q2015" t="str">
            <v>215*100*35T</v>
          </cell>
        </row>
        <row r="2016">
          <cell r="A2016" t="str">
            <v>AH69-02919C</v>
          </cell>
          <cell r="B2016" t="str">
            <v>PAD</v>
          </cell>
          <cell r="E2016">
            <v>0</v>
          </cell>
          <cell r="J2016" t="str">
            <v>삼성전자</v>
          </cell>
          <cell r="O2016">
            <v>90</v>
          </cell>
          <cell r="Q2016" t="str">
            <v>430*100*33T</v>
          </cell>
        </row>
        <row r="2017">
          <cell r="A2017" t="str">
            <v>AE-BAPE</v>
          </cell>
          <cell r="B2017" t="str">
            <v>SET</v>
          </cell>
          <cell r="C2017">
            <v>2</v>
          </cell>
          <cell r="D2017">
            <v>80</v>
          </cell>
          <cell r="E2017">
            <v>793</v>
          </cell>
          <cell r="F2017">
            <v>65</v>
          </cell>
          <cell r="G2017" t="str">
            <v>B240NS</v>
          </cell>
          <cell r="H2017">
            <v>4</v>
          </cell>
          <cell r="I2017">
            <v>2</v>
          </cell>
          <cell r="J2017" t="str">
            <v>모트렉스</v>
          </cell>
          <cell r="K2017">
            <v>109</v>
          </cell>
          <cell r="L2017">
            <v>101</v>
          </cell>
          <cell r="M2017">
            <v>159</v>
          </cell>
          <cell r="N2017">
            <v>161</v>
          </cell>
          <cell r="O2017">
            <v>4000</v>
          </cell>
          <cell r="P2017">
            <v>1360</v>
          </cell>
          <cell r="Q2017">
            <v>250</v>
          </cell>
          <cell r="R2017" t="str">
            <v>녹색</v>
          </cell>
          <cell r="S2017" t="str">
            <v>녹색</v>
          </cell>
          <cell r="T2017" t="str">
            <v>AE-BAPE#1</v>
          </cell>
          <cell r="U2017">
            <v>42899</v>
          </cell>
          <cell r="V2017" t="str">
            <v>금형제조부</v>
          </cell>
          <cell r="W2017" t="str">
            <v>2번 건조, AE-BAPE</v>
          </cell>
          <cell r="Y2017">
            <v>50</v>
          </cell>
          <cell r="Z2017">
            <v>39632</v>
          </cell>
          <cell r="AC2017" t="str">
            <v>김길영대리,2*1선제작입고,2017.07.11 CAVITY 채움(2*2)및 코팅 입고</v>
          </cell>
          <cell r="AD2017">
            <v>0.85</v>
          </cell>
          <cell r="AE2017">
            <v>80</v>
          </cell>
          <cell r="AF2017">
            <v>2</v>
          </cell>
        </row>
        <row r="2018">
          <cell r="A2018" t="str">
            <v>ADPE</v>
          </cell>
          <cell r="B2018" t="str">
            <v>SET</v>
          </cell>
          <cell r="C2018">
            <v>2</v>
          </cell>
          <cell r="D2018">
            <v>80</v>
          </cell>
          <cell r="E2018">
            <v>440</v>
          </cell>
          <cell r="F2018">
            <v>74</v>
          </cell>
          <cell r="G2018" t="str">
            <v>B240NS</v>
          </cell>
          <cell r="H2018">
            <v>5</v>
          </cell>
          <cell r="I2018">
            <v>2</v>
          </cell>
          <cell r="J2018" t="str">
            <v>모트렉스</v>
          </cell>
          <cell r="O2018">
            <v>2250</v>
          </cell>
          <cell r="P2018">
            <v>1360</v>
          </cell>
          <cell r="Q2018">
            <v>200</v>
          </cell>
          <cell r="R2018" t="str">
            <v>노랑</v>
          </cell>
          <cell r="S2018" t="str">
            <v>노랑</v>
          </cell>
          <cell r="T2018" t="str">
            <v>스티로폼(AD/CKD/584*476*220)</v>
          </cell>
          <cell r="U2018">
            <v>43243</v>
          </cell>
          <cell r="V2018" t="str">
            <v>이관금형</v>
          </cell>
          <cell r="W2018" t="str">
            <v>2번 건조, SC721018A</v>
          </cell>
          <cell r="Y2018">
            <v>64</v>
          </cell>
          <cell r="AC2018" t="str">
            <v>최재학계장, 181116 아산대여</v>
          </cell>
          <cell r="AD2018">
            <v>0.85</v>
          </cell>
          <cell r="AE2018">
            <v>75</v>
          </cell>
        </row>
        <row r="2019">
          <cell r="A2019" t="str">
            <v>ADPE</v>
          </cell>
          <cell r="B2019" t="str">
            <v>SET</v>
          </cell>
          <cell r="C2019">
            <v>2</v>
          </cell>
          <cell r="D2019">
            <v>80</v>
          </cell>
          <cell r="E2019">
            <v>440</v>
          </cell>
          <cell r="F2019">
            <v>74</v>
          </cell>
          <cell r="G2019" t="str">
            <v>B240NS</v>
          </cell>
          <cell r="H2019">
            <v>5</v>
          </cell>
          <cell r="I2019">
            <v>2</v>
          </cell>
          <cell r="J2019" t="str">
            <v>모트렉스</v>
          </cell>
          <cell r="O2019">
            <v>2250</v>
          </cell>
          <cell r="P2019">
            <v>1360</v>
          </cell>
          <cell r="Q2019">
            <v>200</v>
          </cell>
          <cell r="R2019" t="str">
            <v>노랑</v>
          </cell>
          <cell r="S2019" t="str">
            <v>노랑</v>
          </cell>
          <cell r="T2019" t="str">
            <v>스티로폼(AD/CKD/584*476*220)</v>
          </cell>
          <cell r="U2019">
            <v>43243</v>
          </cell>
          <cell r="V2019" t="str">
            <v>이관금형</v>
          </cell>
          <cell r="W2019" t="str">
            <v>2번 건조, SC721018A</v>
          </cell>
          <cell r="Y2019">
            <v>64</v>
          </cell>
          <cell r="AC2019" t="str">
            <v>최재학계장, 181116 아산대여</v>
          </cell>
          <cell r="AD2019">
            <v>0.85</v>
          </cell>
          <cell r="AE2019">
            <v>75</v>
          </cell>
          <cell r="AF2019">
            <v>4</v>
          </cell>
        </row>
        <row r="2020">
          <cell r="A2020" t="str">
            <v>ADPE</v>
          </cell>
          <cell r="B2020" t="str">
            <v>SET</v>
          </cell>
          <cell r="C2020">
            <v>2</v>
          </cell>
          <cell r="D2020">
            <v>80</v>
          </cell>
          <cell r="E2020">
            <v>440</v>
          </cell>
          <cell r="F2020">
            <v>74</v>
          </cell>
          <cell r="G2020" t="str">
            <v>SG302AN</v>
          </cell>
          <cell r="H2020">
            <v>5</v>
          </cell>
          <cell r="I2020">
            <v>2</v>
          </cell>
          <cell r="J2020" t="str">
            <v>모트렉스</v>
          </cell>
          <cell r="O2020">
            <v>2250</v>
          </cell>
          <cell r="P2020">
            <v>1360</v>
          </cell>
          <cell r="Q2020">
            <v>200</v>
          </cell>
          <cell r="R2020" t="str">
            <v>노랑</v>
          </cell>
          <cell r="S2020" t="str">
            <v>노랑</v>
          </cell>
          <cell r="T2020" t="str">
            <v>스티로폼(AD/CKD/584*476*220)</v>
          </cell>
          <cell r="U2020">
            <v>43243</v>
          </cell>
          <cell r="V2020" t="str">
            <v>이관금형</v>
          </cell>
          <cell r="W2020" t="str">
            <v>2번 건조, SC721018A</v>
          </cell>
          <cell r="Y2020">
            <v>64</v>
          </cell>
          <cell r="AC2020" t="str">
            <v>최재학계장, 181116 아산대여</v>
          </cell>
          <cell r="AD2020">
            <v>0.85</v>
          </cell>
          <cell r="AE2020">
            <v>75</v>
          </cell>
          <cell r="AF2020">
            <v>4</v>
          </cell>
        </row>
        <row r="2021">
          <cell r="A2021" t="str">
            <v>ADB-N351BON</v>
          </cell>
          <cell r="B2021" t="str">
            <v>SET</v>
          </cell>
          <cell r="C2021">
            <v>2</v>
          </cell>
          <cell r="D2021">
            <v>100</v>
          </cell>
          <cell r="E2021">
            <v>501</v>
          </cell>
          <cell r="F2021">
            <v>58</v>
          </cell>
          <cell r="G2021" t="str">
            <v>B240NS</v>
          </cell>
          <cell r="H2021">
            <v>1</v>
          </cell>
          <cell r="I2021">
            <v>2</v>
          </cell>
          <cell r="J2021" t="str">
            <v>알토엔대우</v>
          </cell>
          <cell r="K2021">
            <v>118</v>
          </cell>
          <cell r="L2021">
            <v>122</v>
          </cell>
          <cell r="M2021">
            <v>123</v>
          </cell>
          <cell r="N2021">
            <v>127</v>
          </cell>
          <cell r="P2021">
            <v>1360</v>
          </cell>
          <cell r="Q2021">
            <v>250</v>
          </cell>
          <cell r="U2021">
            <v>44137</v>
          </cell>
          <cell r="V2021" t="str">
            <v>금형사업부</v>
          </cell>
          <cell r="W2021" t="str">
            <v>꺼꾸로 조립</v>
          </cell>
          <cell r="Y2021">
            <v>50</v>
          </cell>
          <cell r="Z2021">
            <v>25376</v>
          </cell>
          <cell r="AD2021">
            <v>0.85</v>
          </cell>
          <cell r="AF2021">
            <v>6</v>
          </cell>
        </row>
        <row r="2022">
          <cell r="A2022" t="str">
            <v>ADB-N301BON-BOX</v>
          </cell>
          <cell r="B2022" t="str">
            <v>SET</v>
          </cell>
          <cell r="E2022">
            <v>456</v>
          </cell>
          <cell r="H2022" t="str">
            <v>U5/L5</v>
          </cell>
          <cell r="J2022" t="str">
            <v>알토엔대우</v>
          </cell>
          <cell r="R2022" t="str">
            <v>빨강</v>
          </cell>
          <cell r="S2022" t="str">
            <v>BOX</v>
          </cell>
          <cell r="U2022">
            <v>43634</v>
          </cell>
          <cell r="Y2022">
            <v>50</v>
          </cell>
          <cell r="AC2022" t="str">
            <v>금형없음, ADB-N301BON 금형 박스 CODE</v>
          </cell>
          <cell r="AD2022">
            <v>0.85</v>
          </cell>
          <cell r="AE2022">
            <v>100</v>
          </cell>
          <cell r="AF2022">
            <v>1</v>
          </cell>
        </row>
        <row r="2023">
          <cell r="A2023" t="str">
            <v>ADB-N301BON</v>
          </cell>
          <cell r="B2023" t="str">
            <v>SET</v>
          </cell>
          <cell r="C2023">
            <v>2</v>
          </cell>
          <cell r="D2023">
            <v>95</v>
          </cell>
          <cell r="E2023">
            <v>456</v>
          </cell>
          <cell r="F2023">
            <v>65</v>
          </cell>
          <cell r="G2023" t="str">
            <v>B240NS</v>
          </cell>
          <cell r="H2023" t="str">
            <v>U5/L5</v>
          </cell>
          <cell r="I2023">
            <v>2</v>
          </cell>
          <cell r="J2023" t="str">
            <v>알토엔대우</v>
          </cell>
          <cell r="K2023">
            <v>118</v>
          </cell>
          <cell r="L2023">
            <v>122</v>
          </cell>
          <cell r="M2023">
            <v>123</v>
          </cell>
          <cell r="N2023">
            <v>127</v>
          </cell>
          <cell r="P2023">
            <v>1360</v>
          </cell>
          <cell r="Q2023">
            <v>250</v>
          </cell>
          <cell r="R2023" t="str">
            <v>빨강</v>
          </cell>
          <cell r="S2023" t="str">
            <v>빨강</v>
          </cell>
          <cell r="U2023">
            <v>43634</v>
          </cell>
          <cell r="V2023" t="str">
            <v>세일하이테크</v>
          </cell>
          <cell r="W2023" t="str">
            <v>모델명, 각인 대조 후 생산</v>
          </cell>
          <cell r="Y2023">
            <v>50</v>
          </cell>
          <cell r="AC2023" t="str">
            <v>190618 2*1 간이금형,190719 2*2 입고</v>
          </cell>
          <cell r="AD2023">
            <v>0.85</v>
          </cell>
          <cell r="AE2023">
            <v>100</v>
          </cell>
          <cell r="AF2023">
            <v>12</v>
          </cell>
        </row>
        <row r="2024">
          <cell r="A2024" t="str">
            <v>ADB-N230BON</v>
          </cell>
          <cell r="B2024" t="str">
            <v>SET</v>
          </cell>
          <cell r="C2024">
            <v>3</v>
          </cell>
          <cell r="D2024">
            <v>100</v>
          </cell>
          <cell r="E2024">
            <v>486</v>
          </cell>
          <cell r="F2024">
            <v>50</v>
          </cell>
          <cell r="G2024" t="str">
            <v>B240NS</v>
          </cell>
          <cell r="H2024" t="str">
            <v>UP:10 LOW:10</v>
          </cell>
          <cell r="I2024">
            <v>2</v>
          </cell>
          <cell r="J2024" t="str">
            <v>알토엔대우</v>
          </cell>
          <cell r="P2024">
            <v>1360</v>
          </cell>
          <cell r="Q2024">
            <v>250</v>
          </cell>
          <cell r="R2024" t="str">
            <v>주황</v>
          </cell>
          <cell r="T2024" t="str">
            <v xml:space="preserve">비닐 X, UP/LOW 따로 </v>
          </cell>
          <cell r="U2024" t="str">
            <v>2022.10.28</v>
          </cell>
          <cell r="V2024" t="str">
            <v>금형사업부</v>
          </cell>
          <cell r="AC2024" t="str">
            <v>김영석사원</v>
          </cell>
          <cell r="AD2024">
            <v>0.85</v>
          </cell>
        </row>
        <row r="2025">
          <cell r="A2025" t="str">
            <v>ADB-N230BON</v>
          </cell>
          <cell r="B2025" t="str">
            <v>SET</v>
          </cell>
          <cell r="C2025">
            <v>3</v>
          </cell>
          <cell r="D2025">
            <v>100</v>
          </cell>
          <cell r="E2025">
            <v>486</v>
          </cell>
          <cell r="F2025">
            <v>50</v>
          </cell>
          <cell r="G2025" t="str">
            <v>B240NS</v>
          </cell>
          <cell r="H2025" t="str">
            <v>UP:10 LOW:10</v>
          </cell>
          <cell r="I2025">
            <v>2</v>
          </cell>
          <cell r="J2025" t="str">
            <v>알토엔대우</v>
          </cell>
          <cell r="P2025">
            <v>1360</v>
          </cell>
          <cell r="Q2025">
            <v>250</v>
          </cell>
          <cell r="R2025" t="str">
            <v>주황</v>
          </cell>
          <cell r="T2025" t="str">
            <v xml:space="preserve">비닐 X, UP/LOW 따로 </v>
          </cell>
          <cell r="U2025" t="str">
            <v>2022.10.28</v>
          </cell>
          <cell r="V2025" t="str">
            <v>금형사업부</v>
          </cell>
          <cell r="AC2025" t="str">
            <v>김영석사원</v>
          </cell>
          <cell r="AD2025">
            <v>0.85</v>
          </cell>
        </row>
        <row r="2026">
          <cell r="A2026" t="str">
            <v>ADB-N230BON</v>
          </cell>
          <cell r="B2026" t="str">
            <v>SET</v>
          </cell>
          <cell r="C2026">
            <v>3</v>
          </cell>
          <cell r="D2026">
            <v>100</v>
          </cell>
          <cell r="E2026">
            <v>486</v>
          </cell>
          <cell r="F2026">
            <v>50</v>
          </cell>
          <cell r="G2026" t="str">
            <v>B240NS</v>
          </cell>
          <cell r="H2026">
            <v>1</v>
          </cell>
          <cell r="I2026">
            <v>2</v>
          </cell>
          <cell r="J2026" t="str">
            <v>알토엔대우</v>
          </cell>
          <cell r="P2026">
            <v>1360</v>
          </cell>
          <cell r="Q2026">
            <v>250</v>
          </cell>
          <cell r="T2026" t="str">
            <v xml:space="preserve">비닐 X, UP/LOW 따로 </v>
          </cell>
          <cell r="U2026" t="str">
            <v>2022.10.28</v>
          </cell>
          <cell r="V2026" t="str">
            <v>금형사업부</v>
          </cell>
          <cell r="AC2026" t="str">
            <v>김영석사원</v>
          </cell>
          <cell r="AD2026">
            <v>0.85</v>
          </cell>
        </row>
        <row r="2027">
          <cell r="A2027" t="str">
            <v>ACL-V32(신)</v>
          </cell>
          <cell r="B2027" t="str">
            <v>SET</v>
          </cell>
          <cell r="C2027">
            <v>2</v>
          </cell>
          <cell r="D2027">
            <v>85</v>
          </cell>
          <cell r="E2027">
            <v>1018</v>
          </cell>
          <cell r="F2027">
            <v>65</v>
          </cell>
          <cell r="G2027" t="str">
            <v>B240NS</v>
          </cell>
          <cell r="H2027">
            <v>5</v>
          </cell>
          <cell r="I2027">
            <v>2</v>
          </cell>
          <cell r="J2027" t="str">
            <v>SK매직</v>
          </cell>
          <cell r="K2027">
            <v>118</v>
          </cell>
          <cell r="L2027">
            <v>122</v>
          </cell>
          <cell r="M2027">
            <v>168</v>
          </cell>
          <cell r="N2027">
            <v>172</v>
          </cell>
          <cell r="O2027">
            <v>4850</v>
          </cell>
          <cell r="P2027">
            <v>1360</v>
          </cell>
          <cell r="Q2027">
            <v>300</v>
          </cell>
          <cell r="R2027" t="str">
            <v>검정</v>
          </cell>
          <cell r="S2027" t="str">
            <v>노랑</v>
          </cell>
          <cell r="U2027">
            <v>43570</v>
          </cell>
          <cell r="V2027" t="str">
            <v>금형제조부</v>
          </cell>
          <cell r="W2027" t="str">
            <v>지그재그 건조!</v>
          </cell>
          <cell r="Y2027">
            <v>50</v>
          </cell>
          <cell r="Z2027">
            <v>50910</v>
          </cell>
          <cell r="AC2027" t="str">
            <v>이동 수정시, CAVITY 300 서포트 교체</v>
          </cell>
          <cell r="AD2027">
            <v>0.85</v>
          </cell>
          <cell r="AE2027">
            <v>85</v>
          </cell>
          <cell r="AF2027">
            <v>1</v>
          </cell>
        </row>
        <row r="2028">
          <cell r="A2028" t="str">
            <v>ACL-V32(60배)</v>
          </cell>
          <cell r="B2028" t="str">
            <v>SET</v>
          </cell>
          <cell r="C2028">
            <v>2</v>
          </cell>
          <cell r="D2028">
            <v>85</v>
          </cell>
          <cell r="E2028">
            <v>850</v>
          </cell>
          <cell r="F2028">
            <v>70</v>
          </cell>
          <cell r="G2028" t="str">
            <v>B240NS</v>
          </cell>
          <cell r="H2028">
            <v>5</v>
          </cell>
          <cell r="I2028">
            <v>2</v>
          </cell>
          <cell r="J2028" t="str">
            <v>SK매직</v>
          </cell>
          <cell r="K2028">
            <v>118</v>
          </cell>
          <cell r="L2028">
            <v>122</v>
          </cell>
          <cell r="M2028">
            <v>168</v>
          </cell>
          <cell r="N2028">
            <v>172</v>
          </cell>
          <cell r="P2028">
            <v>1360</v>
          </cell>
          <cell r="Q2028">
            <v>300</v>
          </cell>
          <cell r="R2028" t="str">
            <v>녹색</v>
          </cell>
          <cell r="S2028" t="str">
            <v>보라</v>
          </cell>
          <cell r="U2028">
            <v>43649</v>
          </cell>
          <cell r="Y2028">
            <v>60</v>
          </cell>
          <cell r="Z2028">
            <v>50910</v>
          </cell>
          <cell r="AC2028" t="str">
            <v>190718 716g--&gt;850g 으로 변경</v>
          </cell>
          <cell r="AD2028">
            <v>0.85</v>
          </cell>
          <cell r="AE2028">
            <v>85</v>
          </cell>
          <cell r="AF2028">
            <v>4</v>
          </cell>
        </row>
        <row r="2029">
          <cell r="A2029" t="str">
            <v>ACL-V32</v>
          </cell>
          <cell r="B2029" t="str">
            <v>SET</v>
          </cell>
          <cell r="C2029">
            <v>2</v>
          </cell>
          <cell r="D2029">
            <v>80</v>
          </cell>
          <cell r="E2029">
            <v>1030</v>
          </cell>
          <cell r="F2029">
            <v>65</v>
          </cell>
          <cell r="G2029" t="str">
            <v>B240NS</v>
          </cell>
          <cell r="H2029">
            <v>5</v>
          </cell>
          <cell r="I2029">
            <v>2</v>
          </cell>
          <cell r="J2029" t="str">
            <v>SK매직</v>
          </cell>
          <cell r="K2029">
            <v>118</v>
          </cell>
          <cell r="L2029">
            <v>122</v>
          </cell>
          <cell r="M2029">
            <v>168</v>
          </cell>
          <cell r="N2029">
            <v>172</v>
          </cell>
          <cell r="O2029">
            <v>4850</v>
          </cell>
          <cell r="P2029">
            <v>1360</v>
          </cell>
          <cell r="Q2029">
            <v>300</v>
          </cell>
          <cell r="R2029" t="str">
            <v>파랑</v>
          </cell>
          <cell r="S2029" t="str">
            <v>빨강</v>
          </cell>
          <cell r="U2029">
            <v>43570</v>
          </cell>
          <cell r="V2029" t="str">
            <v>금형제조부</v>
          </cell>
          <cell r="W2029" t="str">
            <v>지그재그 건조!</v>
          </cell>
          <cell r="Y2029">
            <v>50</v>
          </cell>
          <cell r="Z2029">
            <v>51500</v>
          </cell>
          <cell r="AC2029" t="str">
            <v>이동 수정시, CAVITY 300 서포트 교체</v>
          </cell>
          <cell r="AD2029">
            <v>0.85</v>
          </cell>
          <cell r="AE2029">
            <v>85</v>
          </cell>
          <cell r="AF2029">
            <v>9</v>
          </cell>
        </row>
        <row r="2030">
          <cell r="A2030" t="str">
            <v>ACL25C1-LOW</v>
          </cell>
          <cell r="B2030" t="str">
            <v>SET</v>
          </cell>
          <cell r="C2030">
            <v>6</v>
          </cell>
          <cell r="D2030">
            <v>70</v>
          </cell>
          <cell r="E2030">
            <v>96</v>
          </cell>
          <cell r="F2030">
            <v>74</v>
          </cell>
          <cell r="G2030" t="str">
            <v>B240NS</v>
          </cell>
          <cell r="H2030">
            <v>15</v>
          </cell>
          <cell r="I2030">
            <v>1</v>
          </cell>
          <cell r="J2030" t="str">
            <v>SK매직</v>
          </cell>
          <cell r="K2030">
            <v>61</v>
          </cell>
          <cell r="L2030">
            <v>65</v>
          </cell>
          <cell r="O2030">
            <v>900</v>
          </cell>
          <cell r="P2030">
            <v>1500</v>
          </cell>
          <cell r="Q2030">
            <v>150</v>
          </cell>
          <cell r="R2030" t="str">
            <v>녹색</v>
          </cell>
          <cell r="S2030" t="str">
            <v>PAD</v>
          </cell>
          <cell r="U2030">
            <v>44004</v>
          </cell>
          <cell r="V2030" t="str">
            <v>금형제조부</v>
          </cell>
          <cell r="W2030" t="str">
            <v>M500100001, 패드작업으로 미포장</v>
          </cell>
          <cell r="Y2030">
            <v>60</v>
          </cell>
          <cell r="AC2030" t="str">
            <v>석상준과장, 2020.07.24 개조, 2020.08.17 코팅, 2021.04.28 사용배율 변경(70-&gt;74)</v>
          </cell>
          <cell r="AD2030">
            <v>0.85</v>
          </cell>
          <cell r="AF2030">
            <v>6</v>
          </cell>
        </row>
        <row r="2031">
          <cell r="A2031" t="str">
            <v>ACL25C1-25C</v>
          </cell>
          <cell r="B2031" t="str">
            <v>SET</v>
          </cell>
          <cell r="C2031">
            <v>3</v>
          </cell>
          <cell r="D2031">
            <v>100</v>
          </cell>
          <cell r="E2031">
            <v>217</v>
          </cell>
          <cell r="F2031">
            <v>70</v>
          </cell>
          <cell r="G2031" t="str">
            <v>B240NS</v>
          </cell>
          <cell r="H2031">
            <v>6</v>
          </cell>
          <cell r="I2031">
            <v>1</v>
          </cell>
          <cell r="J2031" t="str">
            <v>SK매직</v>
          </cell>
          <cell r="K2031">
            <v>196</v>
          </cell>
          <cell r="L2031">
            <v>200</v>
          </cell>
          <cell r="O2031">
            <v>905</v>
          </cell>
          <cell r="P2031">
            <v>1500</v>
          </cell>
          <cell r="Q2031">
            <v>350</v>
          </cell>
          <cell r="R2031" t="str">
            <v>주황</v>
          </cell>
          <cell r="U2031">
            <v>44004</v>
          </cell>
          <cell r="V2031" t="str">
            <v>금형제조부</v>
          </cell>
          <cell r="W2031" t="str">
            <v>M500100002</v>
          </cell>
          <cell r="Y2031">
            <v>60</v>
          </cell>
          <cell r="AC2031" t="str">
            <v>석상준과장, 2020.07.03 BURR 수리 및 분리배출각인, 수정, 2020.07.24 돌기수정, 2020.08.17 코팅, 2020.11.02수정, 2020.11.11기준중량변경 및 끈색상 변경(220-&gt;217, 파랑-&gt;보라)</v>
          </cell>
          <cell r="AD2031">
            <v>0.85</v>
          </cell>
          <cell r="AF2031">
            <v>6</v>
          </cell>
        </row>
        <row r="2032">
          <cell r="A2032" t="str">
            <v>ACL25C1-20C</v>
          </cell>
          <cell r="B2032" t="str">
            <v>SET</v>
          </cell>
          <cell r="C2032">
            <v>4</v>
          </cell>
          <cell r="D2032">
            <v>100</v>
          </cell>
          <cell r="E2032">
            <v>191</v>
          </cell>
          <cell r="F2032">
            <v>70</v>
          </cell>
          <cell r="G2032" t="str">
            <v>B240NS</v>
          </cell>
          <cell r="H2032">
            <v>6</v>
          </cell>
          <cell r="I2032">
            <v>1</v>
          </cell>
          <cell r="J2032" t="str">
            <v>SK매직</v>
          </cell>
          <cell r="K2032">
            <v>196</v>
          </cell>
          <cell r="L2032">
            <v>200</v>
          </cell>
          <cell r="O2032">
            <v>795</v>
          </cell>
          <cell r="P2032">
            <v>1700</v>
          </cell>
          <cell r="Q2032">
            <v>350</v>
          </cell>
          <cell r="R2032" t="str">
            <v>흰색</v>
          </cell>
          <cell r="U2032">
            <v>44004</v>
          </cell>
          <cell r="V2032" t="str">
            <v>금형제조부</v>
          </cell>
          <cell r="W2032" t="str">
            <v>M500100003</v>
          </cell>
          <cell r="Y2032">
            <v>60</v>
          </cell>
          <cell r="AC2032" t="str">
            <v>석상준과장, 2020.07.03 BURR 수리 및 분리배출각인, 수정, 2020.08.17 코팅, 2020.11.02수정, 2020.11.11기준중량변경 및 끈색상 변경(196-&gt;191, 녹색-&gt;노랑)</v>
          </cell>
          <cell r="AD2032">
            <v>0.85</v>
          </cell>
          <cell r="AF2032">
            <v>6</v>
          </cell>
        </row>
        <row r="2033">
          <cell r="A2033" t="str">
            <v>ACL-170</v>
          </cell>
          <cell r="B2033" t="str">
            <v>SET</v>
          </cell>
          <cell r="C2033">
            <v>3</v>
          </cell>
          <cell r="D2033">
            <v>80</v>
          </cell>
          <cell r="E2033">
            <v>223</v>
          </cell>
          <cell r="F2033">
            <v>70</v>
          </cell>
          <cell r="G2033" t="str">
            <v>B240NS</v>
          </cell>
          <cell r="H2033" t="str">
            <v>10/10</v>
          </cell>
          <cell r="I2033">
            <v>3</v>
          </cell>
          <cell r="J2033" t="str">
            <v>SK매직</v>
          </cell>
          <cell r="P2033">
            <v>1360</v>
          </cell>
          <cell r="Q2033">
            <v>250</v>
          </cell>
          <cell r="R2033" t="str">
            <v>녹색</v>
          </cell>
          <cell r="S2033">
            <v>0</v>
          </cell>
          <cell r="U2033">
            <v>43438</v>
          </cell>
          <cell r="V2033" t="str">
            <v>금형제조부</v>
          </cell>
          <cell r="W2033" t="str">
            <v>초물 260g 내외, 포장방법확인, 건조확인</v>
          </cell>
          <cell r="Y2033">
            <v>60</v>
          </cell>
          <cell r="AC2033" t="str">
            <v>50배 UP110/LOW159 60배 UP91/LOW132, 2019.01.02 60배LOW:132g/UPPER:91g</v>
          </cell>
          <cell r="AD2033">
            <v>0.85</v>
          </cell>
          <cell r="AE2033">
            <v>90</v>
          </cell>
          <cell r="AF2033">
            <v>6</v>
          </cell>
        </row>
        <row r="2034">
          <cell r="A2034" t="str">
            <v>ACL-15C1A</v>
          </cell>
          <cell r="B2034" t="str">
            <v>SET</v>
          </cell>
          <cell r="C2034">
            <v>4</v>
          </cell>
          <cell r="D2034">
            <v>100</v>
          </cell>
          <cell r="E2034">
            <v>179</v>
          </cell>
          <cell r="F2034">
            <v>70</v>
          </cell>
          <cell r="G2034" t="str">
            <v>B240NS</v>
          </cell>
          <cell r="H2034">
            <v>6</v>
          </cell>
          <cell r="I2034">
            <v>1</v>
          </cell>
          <cell r="J2034" t="str">
            <v>SK매직</v>
          </cell>
          <cell r="K2034">
            <v>197.5</v>
          </cell>
          <cell r="L2034">
            <v>201.5</v>
          </cell>
          <cell r="P2034">
            <v>1360</v>
          </cell>
          <cell r="Q2034">
            <v>350</v>
          </cell>
          <cell r="R2034" t="str">
            <v>빨강</v>
          </cell>
          <cell r="S2034" t="str">
            <v>빨강</v>
          </cell>
          <cell r="U2034">
            <v>44344</v>
          </cell>
          <cell r="V2034" t="str">
            <v>이피엠테크</v>
          </cell>
          <cell r="Y2034">
            <v>60</v>
          </cell>
          <cell r="Z2034">
            <v>13080</v>
          </cell>
          <cell r="AC2034" t="str">
            <v xml:space="preserve">석상준과장, 2021.06.03 BURR및 수정, 2021.06.21 코팅, </v>
          </cell>
          <cell r="AD2034">
            <v>0.85</v>
          </cell>
          <cell r="AF2034">
            <v>8</v>
          </cell>
        </row>
        <row r="2035">
          <cell r="A2035" t="str">
            <v>AC4000</v>
          </cell>
          <cell r="B2035" t="str">
            <v>SET</v>
          </cell>
          <cell r="C2035">
            <v>3</v>
          </cell>
          <cell r="D2035">
            <v>80</v>
          </cell>
          <cell r="E2035">
            <v>260</v>
          </cell>
          <cell r="F2035">
            <v>74</v>
          </cell>
          <cell r="G2035" t="str">
            <v>B240NS</v>
          </cell>
          <cell r="H2035">
            <v>20</v>
          </cell>
          <cell r="I2035">
            <v>2</v>
          </cell>
          <cell r="J2035" t="str">
            <v>IS동서/삼홍테크</v>
          </cell>
          <cell r="K2035">
            <v>79</v>
          </cell>
          <cell r="L2035">
            <v>81</v>
          </cell>
          <cell r="M2035">
            <v>117</v>
          </cell>
          <cell r="N2035">
            <v>121</v>
          </cell>
          <cell r="O2035">
            <v>1500</v>
          </cell>
          <cell r="P2035">
            <v>1300</v>
          </cell>
          <cell r="Q2035">
            <v>200</v>
          </cell>
          <cell r="R2035" t="str">
            <v>흰색</v>
          </cell>
          <cell r="S2035" t="str">
            <v>흰색</v>
          </cell>
          <cell r="T2035" t="str">
            <v>AC-4000</v>
          </cell>
          <cell r="U2035">
            <v>42139</v>
          </cell>
          <cell r="V2035" t="str">
            <v>대영기계</v>
          </cell>
          <cell r="W2035" t="str">
            <v>몸통,뚜껑 따로 포장</v>
          </cell>
          <cell r="X2035" t="str">
            <v>E-0401</v>
          </cell>
          <cell r="AC2035" t="str">
            <v>강윤호차장,2015.05.15 타사이관금형</v>
          </cell>
          <cell r="AD2035">
            <v>0.85</v>
          </cell>
          <cell r="AE2035">
            <v>90</v>
          </cell>
          <cell r="AF2035">
            <v>2</v>
          </cell>
        </row>
        <row r="2036">
          <cell r="A2036" t="str">
            <v>AA69-10202K</v>
          </cell>
          <cell r="B2036" t="str">
            <v>PAD</v>
          </cell>
          <cell r="E2036">
            <v>0</v>
          </cell>
          <cell r="J2036" t="str">
            <v>삼성전자</v>
          </cell>
          <cell r="O2036">
            <v>235</v>
          </cell>
          <cell r="P2036" t="str">
            <v>600*440*18T</v>
          </cell>
          <cell r="Q2036" t="str">
            <v>SKDPAD</v>
          </cell>
          <cell r="R2036" t="str">
            <v xml:space="preserve">SKD    </v>
          </cell>
        </row>
        <row r="2037">
          <cell r="A2037" t="str">
            <v>AA69-10045B</v>
          </cell>
          <cell r="B2037" t="str">
            <v>PAD</v>
          </cell>
          <cell r="E2037">
            <v>194</v>
          </cell>
          <cell r="J2037" t="str">
            <v>삼성전자</v>
          </cell>
          <cell r="O2037">
            <v>719</v>
          </cell>
          <cell r="P2037" t="str">
            <v>900*360*36T</v>
          </cell>
          <cell r="Q2037" t="str">
            <v>36T</v>
          </cell>
          <cell r="R2037" t="str">
            <v xml:space="preserve">    </v>
          </cell>
        </row>
        <row r="2038">
          <cell r="A2038" t="str">
            <v>AA69-10045A</v>
          </cell>
          <cell r="B2038" t="str">
            <v>PAD</v>
          </cell>
          <cell r="E2038">
            <v>97</v>
          </cell>
          <cell r="J2038" t="str">
            <v>삼성전자</v>
          </cell>
          <cell r="O2038">
            <v>340</v>
          </cell>
          <cell r="P2038" t="str">
            <v>900*360*18T</v>
          </cell>
          <cell r="Q2038" t="str">
            <v>18T</v>
          </cell>
          <cell r="R2038" t="str">
            <v xml:space="preserve">    </v>
          </cell>
        </row>
        <row r="2039">
          <cell r="A2039" t="str">
            <v>AA69-05183F</v>
          </cell>
          <cell r="B2039" t="str">
            <v>PAD</v>
          </cell>
          <cell r="E2039">
            <v>0</v>
          </cell>
          <cell r="J2039" t="str">
            <v>삼성전자</v>
          </cell>
          <cell r="O2039">
            <v>1630</v>
          </cell>
          <cell r="Q2039" t="str">
            <v>1000*645*18T</v>
          </cell>
        </row>
        <row r="2040">
          <cell r="A2040" t="str">
            <v>AA69-05114A</v>
          </cell>
          <cell r="B2040" t="str">
            <v>PAD</v>
          </cell>
          <cell r="E2040">
            <v>0</v>
          </cell>
          <cell r="J2040" t="str">
            <v>삼성전자</v>
          </cell>
          <cell r="K2040" t="str">
            <v>동오정밀</v>
          </cell>
          <cell r="O2040">
            <v>200</v>
          </cell>
          <cell r="P2040" t="str">
            <v>동오정밀</v>
          </cell>
          <cell r="Q2040" t="str">
            <v>750*105*36T</v>
          </cell>
        </row>
        <row r="2041">
          <cell r="A2041" t="str">
            <v>AA69-05113A</v>
          </cell>
          <cell r="B2041" t="str">
            <v>PAD</v>
          </cell>
          <cell r="E2041">
            <v>28</v>
          </cell>
          <cell r="J2041" t="str">
            <v>삼성전자</v>
          </cell>
          <cell r="O2041">
            <v>120</v>
          </cell>
          <cell r="P2041" t="str">
            <v>동오정밀</v>
          </cell>
          <cell r="Q2041" t="str">
            <v>740*65*36T</v>
          </cell>
        </row>
        <row r="2042">
          <cell r="A2042" t="str">
            <v>AA69-05110A</v>
          </cell>
          <cell r="B2042" t="str">
            <v>PAD</v>
          </cell>
          <cell r="E2042">
            <v>0</v>
          </cell>
          <cell r="J2042" t="str">
            <v>삼성전자</v>
          </cell>
          <cell r="O2042">
            <v>190</v>
          </cell>
          <cell r="P2042" t="str">
            <v>동오정밀</v>
          </cell>
          <cell r="Q2042" t="str">
            <v>650*110*36T</v>
          </cell>
        </row>
        <row r="2043">
          <cell r="A2043" t="str">
            <v>AA69-05109A</v>
          </cell>
          <cell r="B2043" t="str">
            <v>PAD</v>
          </cell>
          <cell r="E2043">
            <v>0</v>
          </cell>
          <cell r="J2043" t="str">
            <v>삼성전자</v>
          </cell>
          <cell r="O2043">
            <v>110</v>
          </cell>
          <cell r="P2043" t="str">
            <v>동오정밀</v>
          </cell>
          <cell r="Q2043" t="str">
            <v>650*65*36T</v>
          </cell>
        </row>
        <row r="2044">
          <cell r="A2044" t="str">
            <v>AA69-02874Z</v>
          </cell>
          <cell r="B2044" t="str">
            <v>PAD</v>
          </cell>
          <cell r="E2044">
            <v>0</v>
          </cell>
          <cell r="J2044" t="str">
            <v>삼성전자</v>
          </cell>
          <cell r="O2044">
            <v>2575</v>
          </cell>
          <cell r="P2044" t="str">
            <v>995*530*36T</v>
          </cell>
          <cell r="Q2044" t="str">
            <v>K280PAD#2</v>
          </cell>
          <cell r="R2044" t="str">
            <v xml:space="preserve">KS테크    </v>
          </cell>
        </row>
        <row r="2045">
          <cell r="A2045" t="str">
            <v>AA69-02492U</v>
          </cell>
          <cell r="B2045" t="str">
            <v>PAD</v>
          </cell>
          <cell r="E2045">
            <v>0</v>
          </cell>
          <cell r="J2045" t="str">
            <v>삼성전자</v>
          </cell>
          <cell r="O2045">
            <v>2260</v>
          </cell>
          <cell r="P2045" t="str">
            <v>OMEGA→아주전자PAD(변경)</v>
          </cell>
          <cell r="Q2045" t="str">
            <v>아주전자PAD</v>
          </cell>
          <cell r="R2045" t="str">
            <v>1070*550*36T</v>
          </cell>
        </row>
        <row r="2046">
          <cell r="A2046" t="str">
            <v>AA69-02492M</v>
          </cell>
          <cell r="B2046" t="str">
            <v>PAD</v>
          </cell>
          <cell r="E2046">
            <v>0</v>
          </cell>
          <cell r="J2046" t="str">
            <v>삼성전자</v>
          </cell>
          <cell r="O2046">
            <v>529</v>
          </cell>
          <cell r="P2046" t="str">
            <v>550*416*36(KS테크놀로지)</v>
          </cell>
          <cell r="Q2046" t="str">
            <v>DLP PAD</v>
          </cell>
          <cell r="R2046" t="str">
            <v xml:space="preserve">    </v>
          </cell>
        </row>
        <row r="2047">
          <cell r="A2047" t="str">
            <v xml:space="preserve">AA69-02316Z </v>
          </cell>
          <cell r="B2047" t="str">
            <v>PAD</v>
          </cell>
          <cell r="E2047">
            <v>0</v>
          </cell>
          <cell r="J2047" t="str">
            <v>삼성전자</v>
          </cell>
          <cell r="O2047">
            <v>295</v>
          </cell>
          <cell r="Q2047" t="str">
            <v>435*215*52T</v>
          </cell>
        </row>
        <row r="2048">
          <cell r="A2048" t="str">
            <v>AA69-02316W</v>
          </cell>
          <cell r="B2048" t="str">
            <v>PAD</v>
          </cell>
          <cell r="E2048">
            <v>0</v>
          </cell>
          <cell r="J2048" t="str">
            <v>삼성전자</v>
          </cell>
          <cell r="O2048">
            <v>270</v>
          </cell>
          <cell r="Q2048" t="str">
            <v>430*270*34T</v>
          </cell>
        </row>
        <row r="2049">
          <cell r="A2049" t="str">
            <v>AA69-01205Y</v>
          </cell>
          <cell r="B2049" t="str">
            <v>PAD</v>
          </cell>
          <cell r="E2049">
            <v>0</v>
          </cell>
          <cell r="J2049" t="str">
            <v>삼성전자</v>
          </cell>
          <cell r="K2049" t="str">
            <v>대진화학</v>
          </cell>
          <cell r="O2049">
            <v>25</v>
          </cell>
          <cell r="P2049" t="str">
            <v>250*170*10T</v>
          </cell>
          <cell r="Q2049" t="str">
            <v>250*170*10T</v>
          </cell>
        </row>
        <row r="2050">
          <cell r="A2050" t="str">
            <v>A750보급형</v>
          </cell>
          <cell r="B2050" t="str">
            <v>SET</v>
          </cell>
          <cell r="C2050">
            <v>2</v>
          </cell>
          <cell r="D2050">
            <v>100</v>
          </cell>
          <cell r="E2050">
            <v>700</v>
          </cell>
          <cell r="F2050">
            <v>70</v>
          </cell>
          <cell r="G2050" t="str">
            <v>B240NS</v>
          </cell>
          <cell r="H2050">
            <v>2</v>
          </cell>
          <cell r="I2050">
            <v>2</v>
          </cell>
          <cell r="J2050" t="str">
            <v>청호나이스</v>
          </cell>
          <cell r="K2050">
            <v>198</v>
          </cell>
          <cell r="L2050">
            <v>202</v>
          </cell>
          <cell r="M2050">
            <v>198</v>
          </cell>
          <cell r="N2050">
            <v>202</v>
          </cell>
          <cell r="P2050">
            <v>1360</v>
          </cell>
          <cell r="Q2050">
            <v>300</v>
          </cell>
          <cell r="R2050" t="str">
            <v>노랑</v>
          </cell>
          <cell r="T2050" t="str">
            <v>62-0588-0/62-0589-0</v>
          </cell>
          <cell r="U2050">
            <v>44074</v>
          </cell>
          <cell r="V2050" t="str">
            <v>청호나이스</v>
          </cell>
          <cell r="Y2050">
            <v>60</v>
          </cell>
          <cell r="Z2050">
            <v>42309</v>
          </cell>
          <cell r="AC2050" t="str">
            <v>석상준과장, 홀다TYPE, 2021.01.28 코팅완료</v>
          </cell>
          <cell r="AD2050">
            <v>0.85</v>
          </cell>
          <cell r="AF2050">
            <v>6</v>
          </cell>
        </row>
        <row r="2051">
          <cell r="A2051" t="str">
            <v>A750-UP/LOW</v>
          </cell>
          <cell r="B2051" t="str">
            <v>SET</v>
          </cell>
          <cell r="C2051">
            <v>2</v>
          </cell>
          <cell r="D2051">
            <v>100</v>
          </cell>
          <cell r="E2051">
            <v>812</v>
          </cell>
          <cell r="F2051">
            <v>70</v>
          </cell>
          <cell r="G2051" t="str">
            <v>B240NS</v>
          </cell>
          <cell r="H2051">
            <v>2</v>
          </cell>
          <cell r="I2051">
            <v>2</v>
          </cell>
          <cell r="J2051" t="str">
            <v>청호나이스</v>
          </cell>
          <cell r="K2051">
            <v>198</v>
          </cell>
          <cell r="L2051">
            <v>202</v>
          </cell>
          <cell r="M2051">
            <v>258</v>
          </cell>
          <cell r="N2051">
            <v>262</v>
          </cell>
          <cell r="P2051">
            <v>1360</v>
          </cell>
          <cell r="Q2051">
            <v>350</v>
          </cell>
          <cell r="R2051" t="str">
            <v>검정</v>
          </cell>
          <cell r="T2051" t="str">
            <v>62-0524-0/62-0523-0</v>
          </cell>
          <cell r="U2051">
            <v>43802</v>
          </cell>
          <cell r="V2051" t="str">
            <v>금형제조부</v>
          </cell>
          <cell r="W2051" t="str">
            <v>미건조시 한바퀴더 건조할 것!!</v>
          </cell>
          <cell r="Y2051">
            <v>60</v>
          </cell>
          <cell r="Z2051">
            <v>51234</v>
          </cell>
          <cell r="AC2051" t="str">
            <v>2020.02.17 개조, 2021.01.07 코팅완료, 2021.04.27 BURR수리</v>
          </cell>
          <cell r="AD2051">
            <v>0.85</v>
          </cell>
          <cell r="AE2051">
            <v>100</v>
          </cell>
          <cell r="AF2051">
            <v>4</v>
          </cell>
        </row>
        <row r="2052">
          <cell r="A2052" t="str">
            <v>A700-L/R</v>
          </cell>
          <cell r="B2052" t="str">
            <v>SET</v>
          </cell>
          <cell r="C2052">
            <v>2</v>
          </cell>
          <cell r="D2052">
            <v>100</v>
          </cell>
          <cell r="E2052">
            <v>309</v>
          </cell>
          <cell r="F2052">
            <v>65</v>
          </cell>
          <cell r="G2052" t="str">
            <v>B240NS</v>
          </cell>
          <cell r="H2052">
            <v>4</v>
          </cell>
          <cell r="I2052">
            <v>2</v>
          </cell>
          <cell r="J2052" t="str">
            <v>SK매직</v>
          </cell>
          <cell r="K2052">
            <v>111</v>
          </cell>
          <cell r="L2052">
            <v>115</v>
          </cell>
          <cell r="M2052">
            <v>111</v>
          </cell>
          <cell r="N2052">
            <v>113</v>
          </cell>
          <cell r="P2052">
            <v>1360</v>
          </cell>
          <cell r="Q2052">
            <v>250</v>
          </cell>
          <cell r="R2052" t="str">
            <v>빨강</v>
          </cell>
          <cell r="U2052">
            <v>44649</v>
          </cell>
          <cell r="V2052" t="str">
            <v>이관금형</v>
          </cell>
          <cell r="W2052" t="str">
            <v>반드시 2번 건조!!</v>
          </cell>
          <cell r="Y2052">
            <v>60</v>
          </cell>
          <cell r="AC2052" t="str">
            <v>김영석사원</v>
          </cell>
          <cell r="AD2052">
            <v>0.85</v>
          </cell>
        </row>
        <row r="2053">
          <cell r="A2053" t="str">
            <v>A700-BOT</v>
          </cell>
          <cell r="B2053" t="str">
            <v>SET</v>
          </cell>
          <cell r="C2053">
            <v>6</v>
          </cell>
          <cell r="D2053">
            <v>100</v>
          </cell>
          <cell r="E2053">
            <v>120</v>
          </cell>
          <cell r="F2053">
            <v>65</v>
          </cell>
          <cell r="G2053" t="str">
            <v>B240NS</v>
          </cell>
          <cell r="H2053">
            <v>20</v>
          </cell>
          <cell r="I2053">
            <v>1</v>
          </cell>
          <cell r="J2053" t="str">
            <v>SK매직</v>
          </cell>
          <cell r="K2053">
            <v>88</v>
          </cell>
          <cell r="L2053">
            <v>92</v>
          </cell>
          <cell r="P2053">
            <v>1360</v>
          </cell>
          <cell r="Q2053">
            <v>150</v>
          </cell>
          <cell r="R2053" t="str">
            <v>흰색</v>
          </cell>
          <cell r="U2053">
            <v>44649</v>
          </cell>
          <cell r="V2053" t="str">
            <v>이관금형</v>
          </cell>
          <cell r="Y2053">
            <v>60</v>
          </cell>
          <cell r="AC2053" t="str">
            <v>김영석사원</v>
          </cell>
          <cell r="AD2053">
            <v>0.85</v>
          </cell>
        </row>
        <row r="2054">
          <cell r="A2054" t="str">
            <v>A600S</v>
          </cell>
          <cell r="B2054" t="str">
            <v>SET</v>
          </cell>
          <cell r="C2054">
            <v>3</v>
          </cell>
          <cell r="D2054">
            <v>100</v>
          </cell>
          <cell r="E2054">
            <v>385</v>
          </cell>
          <cell r="F2054">
            <v>70</v>
          </cell>
          <cell r="G2054" t="str">
            <v>B240NS</v>
          </cell>
          <cell r="H2054" t="str">
            <v>16/16</v>
          </cell>
          <cell r="I2054">
            <v>2</v>
          </cell>
          <cell r="J2054" t="str">
            <v>청호나이스</v>
          </cell>
          <cell r="K2054">
            <v>135</v>
          </cell>
          <cell r="L2054">
            <v>137</v>
          </cell>
          <cell r="M2054">
            <v>129</v>
          </cell>
          <cell r="N2054">
            <v>131</v>
          </cell>
          <cell r="P2054">
            <v>1360</v>
          </cell>
          <cell r="Q2054">
            <v>250</v>
          </cell>
          <cell r="R2054" t="str">
            <v>파랑</v>
          </cell>
          <cell r="S2054" t="str">
            <v>노랑</v>
          </cell>
          <cell r="T2054" t="str">
            <v>62-0498-00/62-0499-00,금형번호66472</v>
          </cell>
          <cell r="U2054">
            <v>43717</v>
          </cell>
          <cell r="V2054" t="str">
            <v>금형제조부</v>
          </cell>
          <cell r="W2054" t="str">
            <v>A510-UP/LOW 동일모델</v>
          </cell>
          <cell r="Y2054">
            <v>60</v>
          </cell>
          <cell r="Z2054">
            <v>23055</v>
          </cell>
          <cell r="AC2054" t="str">
            <v>모델명 변경191203</v>
          </cell>
          <cell r="AD2054">
            <v>0.85</v>
          </cell>
          <cell r="AE2054">
            <v>100</v>
          </cell>
          <cell r="AF2054">
            <v>6</v>
          </cell>
        </row>
        <row r="2055">
          <cell r="A2055" t="str">
            <v>A2GL</v>
          </cell>
          <cell r="B2055" t="str">
            <v>SET</v>
          </cell>
          <cell r="C2055">
            <v>1</v>
          </cell>
          <cell r="D2055">
            <v>100</v>
          </cell>
          <cell r="E2055">
            <v>770</v>
          </cell>
          <cell r="F2055">
            <v>74</v>
          </cell>
          <cell r="G2055" t="str">
            <v>B240NS</v>
          </cell>
          <cell r="H2055" t="str">
            <v>TOP:5 / BOT10</v>
          </cell>
          <cell r="I2055">
            <v>1</v>
          </cell>
          <cell r="J2055" t="str">
            <v>에이텍</v>
          </cell>
          <cell r="K2055">
            <v>167.5</v>
          </cell>
          <cell r="L2055">
            <v>171.5</v>
          </cell>
          <cell r="M2055">
            <v>97.5</v>
          </cell>
          <cell r="N2055">
            <v>101.5</v>
          </cell>
          <cell r="P2055">
            <v>1360</v>
          </cell>
          <cell r="Q2055">
            <v>300</v>
          </cell>
          <cell r="R2055" t="str">
            <v>파랑</v>
          </cell>
          <cell r="T2055" t="str">
            <v>2302-021 / 체적계산시 중량</v>
          </cell>
          <cell r="U2055">
            <v>45028</v>
          </cell>
          <cell r="V2055" t="str">
            <v>금형사업부</v>
          </cell>
          <cell r="Y2055">
            <v>60</v>
          </cell>
          <cell r="AD2055">
            <v>0.85</v>
          </cell>
          <cell r="AF2055">
            <v>6</v>
          </cell>
        </row>
        <row r="2056">
          <cell r="A2056" t="str">
            <v>A2GL</v>
          </cell>
          <cell r="B2056" t="str">
            <v>SET</v>
          </cell>
          <cell r="C2056">
            <v>1</v>
          </cell>
          <cell r="D2056">
            <v>100</v>
          </cell>
          <cell r="E2056">
            <v>770</v>
          </cell>
          <cell r="F2056">
            <v>74</v>
          </cell>
          <cell r="G2056" t="str">
            <v>B240NS</v>
          </cell>
          <cell r="H2056" t="str">
            <v>TOP:5 / BOT10</v>
          </cell>
          <cell r="I2056">
            <v>1</v>
          </cell>
          <cell r="J2056" t="str">
            <v>에이텍</v>
          </cell>
          <cell r="K2056">
            <v>167.5</v>
          </cell>
          <cell r="L2056">
            <v>171.5</v>
          </cell>
          <cell r="M2056">
            <v>97.5</v>
          </cell>
          <cell r="N2056">
            <v>101.5</v>
          </cell>
          <cell r="P2056">
            <v>1360</v>
          </cell>
          <cell r="Q2056">
            <v>300</v>
          </cell>
          <cell r="R2056" t="str">
            <v>파랑</v>
          </cell>
          <cell r="T2056" t="str">
            <v>2302-021 / 체적계산시 중량</v>
          </cell>
          <cell r="U2056">
            <v>45028</v>
          </cell>
          <cell r="V2056" t="str">
            <v>금형사업부</v>
          </cell>
          <cell r="Y2056">
            <v>60</v>
          </cell>
          <cell r="AD2056">
            <v>0.85</v>
          </cell>
        </row>
        <row r="2057">
          <cell r="A2057" t="str">
            <v>A2GD</v>
          </cell>
          <cell r="B2057" t="str">
            <v>SET</v>
          </cell>
          <cell r="C2057">
            <v>1</v>
          </cell>
          <cell r="D2057">
            <v>100</v>
          </cell>
          <cell r="E2057">
            <v>873</v>
          </cell>
          <cell r="F2057">
            <v>58</v>
          </cell>
          <cell r="G2057" t="str">
            <v>B240NS</v>
          </cell>
          <cell r="H2057">
            <v>4</v>
          </cell>
          <cell r="I2057">
            <v>1</v>
          </cell>
          <cell r="J2057" t="str">
            <v>에이텍</v>
          </cell>
          <cell r="K2057">
            <v>187</v>
          </cell>
          <cell r="L2057">
            <v>191</v>
          </cell>
          <cell r="M2057">
            <v>73</v>
          </cell>
          <cell r="N2057">
            <v>77</v>
          </cell>
          <cell r="P2057">
            <v>1360</v>
          </cell>
          <cell r="Q2057">
            <v>300</v>
          </cell>
          <cell r="R2057" t="str">
            <v>빨강</v>
          </cell>
          <cell r="U2057">
            <v>44985</v>
          </cell>
          <cell r="V2057" t="str">
            <v>금형사업부</v>
          </cell>
          <cell r="AD2057">
            <v>0.85</v>
          </cell>
        </row>
        <row r="2058">
          <cell r="A2058" t="str">
            <v>A2GD</v>
          </cell>
          <cell r="B2058" t="str">
            <v>SET</v>
          </cell>
          <cell r="C2058">
            <v>1</v>
          </cell>
          <cell r="D2058">
            <v>100</v>
          </cell>
          <cell r="E2058">
            <v>873</v>
          </cell>
          <cell r="F2058">
            <v>58</v>
          </cell>
          <cell r="G2058" t="str">
            <v>B240NS</v>
          </cell>
          <cell r="H2058">
            <v>4</v>
          </cell>
          <cell r="I2058">
            <v>1</v>
          </cell>
          <cell r="J2058" t="str">
            <v>에이텍</v>
          </cell>
          <cell r="K2058">
            <v>187</v>
          </cell>
          <cell r="L2058">
            <v>191</v>
          </cell>
          <cell r="M2058">
            <v>73</v>
          </cell>
          <cell r="N2058">
            <v>77</v>
          </cell>
          <cell r="P2058">
            <v>1360</v>
          </cell>
          <cell r="Q2058">
            <v>300</v>
          </cell>
          <cell r="R2058" t="str">
            <v>빨강</v>
          </cell>
          <cell r="U2058">
            <v>44985</v>
          </cell>
          <cell r="V2058" t="str">
            <v>금형사업부</v>
          </cell>
          <cell r="AD2058">
            <v>0.85</v>
          </cell>
        </row>
        <row r="2059">
          <cell r="A2059" t="str">
            <v>A200-L/R</v>
          </cell>
          <cell r="B2059" t="str">
            <v>SET</v>
          </cell>
          <cell r="C2059">
            <v>2</v>
          </cell>
          <cell r="D2059">
            <v>100</v>
          </cell>
          <cell r="E2059">
            <v>386</v>
          </cell>
          <cell r="F2059">
            <v>65</v>
          </cell>
          <cell r="G2059" t="str">
            <v>B240NS</v>
          </cell>
          <cell r="H2059">
            <v>4</v>
          </cell>
          <cell r="I2059">
            <v>2</v>
          </cell>
          <cell r="J2059" t="str">
            <v>SK매직</v>
          </cell>
          <cell r="P2059">
            <v>1360</v>
          </cell>
          <cell r="Q2059">
            <v>200</v>
          </cell>
          <cell r="R2059" t="str">
            <v>파랑</v>
          </cell>
          <cell r="T2059" t="str">
            <v>2번 건조</v>
          </cell>
          <cell r="U2059">
            <v>44677</v>
          </cell>
          <cell r="V2059" t="str">
            <v>이관금형</v>
          </cell>
          <cell r="Y2059">
            <v>60</v>
          </cell>
          <cell r="AC2059" t="str">
            <v>김영석사원</v>
          </cell>
          <cell r="AD2059">
            <v>0.85</v>
          </cell>
        </row>
        <row r="2060">
          <cell r="A2060" t="str">
            <v>A200-L/R</v>
          </cell>
          <cell r="B2060" t="str">
            <v>SET</v>
          </cell>
          <cell r="C2060">
            <v>2</v>
          </cell>
          <cell r="D2060">
            <v>100</v>
          </cell>
          <cell r="E2060">
            <v>386</v>
          </cell>
          <cell r="F2060">
            <v>65</v>
          </cell>
          <cell r="G2060" t="str">
            <v>B240NS</v>
          </cell>
          <cell r="H2060">
            <v>5</v>
          </cell>
          <cell r="I2060">
            <v>2</v>
          </cell>
          <cell r="J2060" t="str">
            <v>SK매직</v>
          </cell>
          <cell r="P2060">
            <v>1360</v>
          </cell>
          <cell r="U2060">
            <v>44677</v>
          </cell>
          <cell r="V2060" t="str">
            <v>이관금형</v>
          </cell>
          <cell r="Y2060">
            <v>60</v>
          </cell>
          <cell r="AC2060" t="str">
            <v>김영석사원</v>
          </cell>
          <cell r="AD2060">
            <v>0.85</v>
          </cell>
        </row>
        <row r="2061">
          <cell r="A2061" t="str">
            <v>A200-BOT</v>
          </cell>
          <cell r="B2061" t="str">
            <v>SET</v>
          </cell>
          <cell r="C2061">
            <v>6</v>
          </cell>
          <cell r="D2061">
            <v>100</v>
          </cell>
          <cell r="E2061">
            <v>120</v>
          </cell>
          <cell r="F2061">
            <v>65</v>
          </cell>
          <cell r="G2061" t="str">
            <v>B240NS</v>
          </cell>
          <cell r="H2061">
            <v>20</v>
          </cell>
          <cell r="I2061">
            <v>1</v>
          </cell>
          <cell r="J2061" t="str">
            <v>SK매직</v>
          </cell>
          <cell r="P2061">
            <v>1360</v>
          </cell>
          <cell r="Q2061">
            <v>200</v>
          </cell>
          <cell r="R2061" t="str">
            <v>녹색</v>
          </cell>
          <cell r="U2061">
            <v>44677</v>
          </cell>
          <cell r="V2061" t="str">
            <v>이관금형</v>
          </cell>
          <cell r="AC2061" t="str">
            <v>김영석사원</v>
          </cell>
          <cell r="AD2061">
            <v>0.85</v>
          </cell>
        </row>
        <row r="2062">
          <cell r="A2062" t="str">
            <v>A200-BOT</v>
          </cell>
          <cell r="B2062" t="str">
            <v>SET</v>
          </cell>
          <cell r="C2062">
            <v>6</v>
          </cell>
          <cell r="D2062">
            <v>100</v>
          </cell>
          <cell r="E2062">
            <v>120</v>
          </cell>
          <cell r="F2062">
            <v>65</v>
          </cell>
          <cell r="G2062" t="str">
            <v>B240NS</v>
          </cell>
          <cell r="H2062">
            <v>20</v>
          </cell>
          <cell r="I2062">
            <v>1</v>
          </cell>
          <cell r="J2062" t="str">
            <v>SK매직</v>
          </cell>
          <cell r="P2062">
            <v>1360</v>
          </cell>
          <cell r="U2062">
            <v>44677</v>
          </cell>
          <cell r="V2062" t="str">
            <v>이관금형</v>
          </cell>
          <cell r="AC2062" t="str">
            <v>김영석사원</v>
          </cell>
          <cell r="AD2062">
            <v>0.85</v>
          </cell>
        </row>
        <row r="2063">
          <cell r="A2063" t="str">
            <v>A100포장재</v>
          </cell>
          <cell r="B2063" t="str">
            <v>SET</v>
          </cell>
          <cell r="C2063">
            <v>6</v>
          </cell>
          <cell r="D2063">
            <v>100</v>
          </cell>
          <cell r="E2063">
            <v>102</v>
          </cell>
          <cell r="F2063">
            <v>58</v>
          </cell>
          <cell r="G2063" t="str">
            <v>B240NS</v>
          </cell>
          <cell r="H2063">
            <v>20</v>
          </cell>
          <cell r="I2063">
            <v>1</v>
          </cell>
          <cell r="J2063" t="str">
            <v>하이필</v>
          </cell>
          <cell r="K2063">
            <v>43</v>
          </cell>
          <cell r="L2063">
            <v>47</v>
          </cell>
          <cell r="P2063">
            <v>1360</v>
          </cell>
          <cell r="Q2063">
            <v>200</v>
          </cell>
          <cell r="R2063" t="str">
            <v>노랑</v>
          </cell>
          <cell r="U2063">
            <v>44582</v>
          </cell>
          <cell r="V2063" t="str">
            <v>경원 ENG</v>
          </cell>
          <cell r="W2063" t="str">
            <v>2번 건조</v>
          </cell>
          <cell r="Y2063">
            <v>50</v>
          </cell>
          <cell r="Z2063">
            <v>5101</v>
          </cell>
          <cell r="AC2063" t="str">
            <v>석상준차장</v>
          </cell>
          <cell r="AD2063">
            <v>0.85</v>
          </cell>
          <cell r="AF2063">
            <v>4</v>
          </cell>
        </row>
        <row r="2064">
          <cell r="A2064" t="str">
            <v>A100포장재</v>
          </cell>
          <cell r="B2064" t="str">
            <v>SET</v>
          </cell>
          <cell r="C2064">
            <v>6</v>
          </cell>
          <cell r="D2064">
            <v>100</v>
          </cell>
          <cell r="E2064">
            <v>102</v>
          </cell>
          <cell r="F2064">
            <v>58</v>
          </cell>
          <cell r="G2064" t="str">
            <v>B240NS</v>
          </cell>
          <cell r="H2064">
            <v>20</v>
          </cell>
          <cell r="I2064">
            <v>1</v>
          </cell>
          <cell r="J2064" t="str">
            <v>하이필</v>
          </cell>
          <cell r="K2064">
            <v>43</v>
          </cell>
          <cell r="L2064">
            <v>47</v>
          </cell>
          <cell r="P2064">
            <v>1360</v>
          </cell>
          <cell r="Q2064">
            <v>200</v>
          </cell>
          <cell r="R2064" t="str">
            <v>노랑</v>
          </cell>
          <cell r="U2064">
            <v>44582</v>
          </cell>
          <cell r="V2064" t="str">
            <v>경원 ENG</v>
          </cell>
          <cell r="W2064" t="str">
            <v>2번 건조</v>
          </cell>
          <cell r="Y2064">
            <v>50</v>
          </cell>
          <cell r="Z2064">
            <v>5101</v>
          </cell>
          <cell r="AC2064" t="str">
            <v>석상준차장</v>
          </cell>
          <cell r="AD2064">
            <v>0.85</v>
          </cell>
        </row>
        <row r="2065">
          <cell r="A2065" t="str">
            <v>9구박스</v>
          </cell>
          <cell r="B2065" t="str">
            <v>BOX</v>
          </cell>
          <cell r="C2065">
            <v>2</v>
          </cell>
          <cell r="D2065">
            <v>80</v>
          </cell>
          <cell r="E2065">
            <v>730</v>
          </cell>
          <cell r="F2065">
            <v>74</v>
          </cell>
          <cell r="G2065" t="str">
            <v>B240NS</v>
          </cell>
          <cell r="H2065">
            <v>3</v>
          </cell>
          <cell r="I2065">
            <v>2</v>
          </cell>
          <cell r="J2065" t="str">
            <v>동진화성</v>
          </cell>
          <cell r="K2065">
            <v>109</v>
          </cell>
          <cell r="L2065">
            <v>111</v>
          </cell>
          <cell r="M2065">
            <v>268</v>
          </cell>
          <cell r="N2065">
            <v>272</v>
          </cell>
          <cell r="O2065">
            <v>3900</v>
          </cell>
          <cell r="P2065">
            <v>1360</v>
          </cell>
          <cell r="Q2065">
            <v>350</v>
          </cell>
          <cell r="R2065" t="str">
            <v>비닐</v>
          </cell>
          <cell r="S2065" t="str">
            <v>비닐</v>
          </cell>
          <cell r="T2065" t="str">
            <v>9구박스</v>
          </cell>
          <cell r="U2065">
            <v>40758</v>
          </cell>
          <cell r="V2065" t="str">
            <v>금형제조부</v>
          </cell>
          <cell r="X2065" t="str">
            <v>D-0905</v>
          </cell>
          <cell r="AC2065" t="str">
            <v>2011.12.22기준중량변경(918-&gt;830 2012.01.01적용), 2013.03.21기준중량변경(830-&gt;730)(배율57-&gt;65)</v>
          </cell>
          <cell r="AD2065">
            <v>0.85</v>
          </cell>
          <cell r="AE2065">
            <v>80</v>
          </cell>
          <cell r="AF2065">
            <v>6</v>
          </cell>
        </row>
        <row r="2066">
          <cell r="A2066" t="str">
            <v>9560-ULB(회색)</v>
          </cell>
          <cell r="B2066" t="str">
            <v>저발</v>
          </cell>
          <cell r="C2066">
            <v>2</v>
          </cell>
          <cell r="D2066">
            <v>135</v>
          </cell>
          <cell r="E2066">
            <v>45</v>
          </cell>
          <cell r="F2066">
            <v>36</v>
          </cell>
          <cell r="G2066" t="str">
            <v>ZP2500</v>
          </cell>
          <cell r="H2066">
            <v>1</v>
          </cell>
          <cell r="I2066">
            <v>3</v>
          </cell>
          <cell r="J2066" t="str">
            <v>청호나이스</v>
          </cell>
          <cell r="O2066">
            <v>10</v>
          </cell>
          <cell r="P2066">
            <v>500</v>
          </cell>
          <cell r="R2066" t="str">
            <v>박스</v>
          </cell>
          <cell r="T2066" t="str">
            <v>WI-55S9560M_EPS UNIT UPPER/LOWER/EVA BACK,금형4105,61-1698-0/61-1699-0/61-1700-0</v>
          </cell>
          <cell r="U2066">
            <v>43606</v>
          </cell>
          <cell r="V2066" t="str">
            <v>이관금형</v>
          </cell>
          <cell r="W2066" t="str">
            <v>제품별 따로 포장61-1698-0/61-1699-0/61-1700-0, 건조주의!</v>
          </cell>
          <cell r="Y2066">
            <v>30</v>
          </cell>
          <cell r="AC2066" t="str">
            <v>최재학계장</v>
          </cell>
          <cell r="AD2066">
            <v>0.85</v>
          </cell>
          <cell r="AE2066">
            <v>130</v>
          </cell>
          <cell r="AF2066">
            <v>10</v>
          </cell>
        </row>
        <row r="2067">
          <cell r="A2067" t="str">
            <v>9560-ULB</v>
          </cell>
          <cell r="B2067" t="str">
            <v>저발</v>
          </cell>
          <cell r="C2067">
            <v>2</v>
          </cell>
          <cell r="D2067">
            <v>135</v>
          </cell>
          <cell r="E2067">
            <v>45</v>
          </cell>
          <cell r="F2067">
            <v>36</v>
          </cell>
          <cell r="G2067" t="str">
            <v>B240NS</v>
          </cell>
          <cell r="H2067">
            <v>1</v>
          </cell>
          <cell r="I2067">
            <v>3</v>
          </cell>
          <cell r="J2067" t="str">
            <v>청호나이스</v>
          </cell>
          <cell r="O2067">
            <v>10</v>
          </cell>
          <cell r="P2067">
            <v>500</v>
          </cell>
          <cell r="R2067" t="str">
            <v>박스</v>
          </cell>
          <cell r="T2067" t="str">
            <v>WI-55S9560M_EPS UNIT UPPER/LOWER/EVA BACK,금형4105</v>
          </cell>
          <cell r="U2067">
            <v>43606</v>
          </cell>
          <cell r="V2067" t="str">
            <v>이관금형</v>
          </cell>
          <cell r="W2067" t="str">
            <v>제품별 따로 포장61-1698-0/61-1699-0/61-1700-0, 건조주의!</v>
          </cell>
          <cell r="Y2067">
            <v>30</v>
          </cell>
          <cell r="AC2067" t="str">
            <v>최재학계장</v>
          </cell>
          <cell r="AD2067">
            <v>0.85</v>
          </cell>
          <cell r="AE2067">
            <v>130</v>
          </cell>
          <cell r="AF2067">
            <v>9</v>
          </cell>
        </row>
        <row r="2068">
          <cell r="A2068" t="str">
            <v>9560-LU</v>
          </cell>
          <cell r="B2068" t="str">
            <v>SET</v>
          </cell>
          <cell r="C2068">
            <v>2</v>
          </cell>
          <cell r="D2068">
            <v>74</v>
          </cell>
          <cell r="E2068">
            <v>525</v>
          </cell>
          <cell r="F2068">
            <v>65</v>
          </cell>
          <cell r="G2068" t="str">
            <v>B240NS</v>
          </cell>
          <cell r="H2068">
            <v>1</v>
          </cell>
          <cell r="I2068">
            <v>2</v>
          </cell>
          <cell r="J2068" t="str">
            <v>청호나이스</v>
          </cell>
          <cell r="O2068">
            <v>10</v>
          </cell>
          <cell r="P2068">
            <v>1300</v>
          </cell>
          <cell r="Q2068">
            <v>200</v>
          </cell>
          <cell r="T2068" t="str">
            <v>WI-55S9560M_EPS PAD LOWER/WPS PAD UPPER,금형4106,61-1703-1/61-0712-1</v>
          </cell>
          <cell r="U2068">
            <v>43606</v>
          </cell>
          <cell r="V2068" t="str">
            <v>이관금형</v>
          </cell>
          <cell r="W2068" t="str">
            <v>61-1703-1/61-1702-1, 건조주의!</v>
          </cell>
          <cell r="Y2068">
            <v>50</v>
          </cell>
          <cell r="AC2068" t="str">
            <v>최재학계장</v>
          </cell>
          <cell r="AD2068">
            <v>0.85</v>
          </cell>
          <cell r="AE2068">
            <v>80</v>
          </cell>
          <cell r="AF2068">
            <v>5</v>
          </cell>
        </row>
        <row r="2069">
          <cell r="A2069" t="str">
            <v>9560-C</v>
          </cell>
          <cell r="B2069" t="str">
            <v>저발</v>
          </cell>
          <cell r="C2069">
            <v>2</v>
          </cell>
          <cell r="D2069">
            <v>100</v>
          </cell>
          <cell r="E2069">
            <v>24</v>
          </cell>
          <cell r="F2069">
            <v>36</v>
          </cell>
          <cell r="G2069" t="str">
            <v>B240NS</v>
          </cell>
          <cell r="H2069">
            <v>1</v>
          </cell>
          <cell r="I2069">
            <v>1</v>
          </cell>
          <cell r="J2069" t="str">
            <v>청호나이스</v>
          </cell>
          <cell r="O2069">
            <v>10</v>
          </cell>
          <cell r="P2069">
            <v>500</v>
          </cell>
          <cell r="R2069" t="str">
            <v>박스</v>
          </cell>
          <cell r="T2069" t="str">
            <v>WI-55S9560M_EPS UNIT COVER,금형4104,61-1697-0</v>
          </cell>
          <cell r="U2069">
            <v>43606</v>
          </cell>
          <cell r="V2069" t="str">
            <v>이관금형</v>
          </cell>
          <cell r="W2069" t="str">
            <v>61-1697-0</v>
          </cell>
          <cell r="Y2069">
            <v>30</v>
          </cell>
          <cell r="AC2069" t="str">
            <v>최재학계장</v>
          </cell>
          <cell r="AD2069">
            <v>0.85</v>
          </cell>
          <cell r="AE2069">
            <v>180</v>
          </cell>
          <cell r="AF2069">
            <v>9</v>
          </cell>
        </row>
        <row r="2070">
          <cell r="A2070" t="str">
            <v>95000/96000#2(60배)</v>
          </cell>
          <cell r="B2070" t="str">
            <v>SET</v>
          </cell>
          <cell r="C2070">
            <v>1</v>
          </cell>
          <cell r="D2070">
            <v>100</v>
          </cell>
          <cell r="E2070">
            <v>416</v>
          </cell>
          <cell r="F2070">
            <v>70</v>
          </cell>
          <cell r="G2070" t="str">
            <v>B240NS</v>
          </cell>
          <cell r="H2070">
            <v>10</v>
          </cell>
          <cell r="I2070">
            <v>2</v>
          </cell>
          <cell r="J2070" t="str">
            <v>경동</v>
          </cell>
          <cell r="P2070">
            <v>1500</v>
          </cell>
          <cell r="R2070" t="str">
            <v>흰색</v>
          </cell>
          <cell r="S2070" t="str">
            <v>노랑</v>
          </cell>
          <cell r="U2070">
            <v>44630</v>
          </cell>
          <cell r="V2070" t="str">
            <v>이관금형</v>
          </cell>
          <cell r="AC2070" t="str">
            <v>김영석계장</v>
          </cell>
          <cell r="AD2070">
            <v>0.85</v>
          </cell>
        </row>
        <row r="2071">
          <cell r="A2071" t="str">
            <v>95000/96000#2</v>
          </cell>
          <cell r="B2071" t="str">
            <v>SET</v>
          </cell>
          <cell r="C2071">
            <v>2</v>
          </cell>
          <cell r="D2071">
            <v>100</v>
          </cell>
          <cell r="E2071">
            <v>499</v>
          </cell>
          <cell r="F2071">
            <v>65</v>
          </cell>
          <cell r="G2071" t="str">
            <v>B240NS</v>
          </cell>
          <cell r="H2071" t="str">
            <v>TOP:10 / BOT:10</v>
          </cell>
          <cell r="I2071">
            <v>1</v>
          </cell>
          <cell r="J2071" t="str">
            <v>경동</v>
          </cell>
          <cell r="K2071">
            <v>103.6</v>
          </cell>
          <cell r="L2071">
            <v>106.4</v>
          </cell>
          <cell r="M2071">
            <v>63.6</v>
          </cell>
          <cell r="N2071">
            <v>66.400000000000006</v>
          </cell>
          <cell r="P2071">
            <v>1500</v>
          </cell>
          <cell r="Q2071">
            <v>200</v>
          </cell>
          <cell r="R2071" t="str">
            <v>하얀</v>
          </cell>
          <cell r="T2071" t="str">
            <v>2302-029 / TOP : 하얀끈 / BOT : 노랑끈</v>
          </cell>
          <cell r="U2071">
            <v>45014</v>
          </cell>
          <cell r="V2071" t="str">
            <v>금형사업부</v>
          </cell>
          <cell r="W2071" t="str">
            <v>2302-029</v>
          </cell>
          <cell r="AD2071">
            <v>0.85</v>
          </cell>
        </row>
        <row r="2072">
          <cell r="A2072" t="str">
            <v>95000/96000</v>
          </cell>
          <cell r="B2072" t="str">
            <v>SET</v>
          </cell>
          <cell r="C2072">
            <v>1</v>
          </cell>
          <cell r="D2072">
            <v>100</v>
          </cell>
          <cell r="E2072">
            <v>499</v>
          </cell>
          <cell r="F2072">
            <v>65</v>
          </cell>
          <cell r="G2072" t="str">
            <v>B240NS</v>
          </cell>
          <cell r="H2072">
            <v>10</v>
          </cell>
          <cell r="I2072">
            <v>2</v>
          </cell>
          <cell r="J2072" t="str">
            <v>SK매직</v>
          </cell>
          <cell r="O2072">
            <v>2365</v>
          </cell>
          <cell r="P2072">
            <v>1500</v>
          </cell>
          <cell r="R2072" t="str">
            <v>흰색</v>
          </cell>
          <cell r="S2072" t="str">
            <v>노랑</v>
          </cell>
          <cell r="U2072">
            <v>44630</v>
          </cell>
          <cell r="V2072" t="str">
            <v>이관금형</v>
          </cell>
          <cell r="W2072" t="str">
            <v>2번 건조 및 포장반에서 끈 묶을 것</v>
          </cell>
          <cell r="Y2072">
            <v>60</v>
          </cell>
          <cell r="AC2072" t="str">
            <v>김영석사원</v>
          </cell>
          <cell r="AD2072">
            <v>0.85</v>
          </cell>
        </row>
        <row r="2073">
          <cell r="A2073" t="str">
            <v>950*600*30T</v>
          </cell>
          <cell r="B2073" t="str">
            <v>MSBO-121</v>
          </cell>
          <cell r="J2073" t="str">
            <v>S-LCD</v>
          </cell>
          <cell r="O2073">
            <v>4700</v>
          </cell>
          <cell r="T2073" t="str">
            <v>개발실SPL_PAD</v>
          </cell>
          <cell r="U2073">
            <v>39788</v>
          </cell>
        </row>
        <row r="2074">
          <cell r="A2074" t="str">
            <v>950*600*20T</v>
          </cell>
          <cell r="B2074" t="str">
            <v>MSBO-120</v>
          </cell>
          <cell r="J2074" t="str">
            <v>S-LCD</v>
          </cell>
          <cell r="O2074">
            <v>3300</v>
          </cell>
          <cell r="T2074" t="str">
            <v>개발실SPL_PAD</v>
          </cell>
          <cell r="U2074">
            <v>39788</v>
          </cell>
        </row>
        <row r="2075">
          <cell r="A2075" t="str">
            <v>950*600*10T</v>
          </cell>
          <cell r="B2075" t="str">
            <v>MSBO-119</v>
          </cell>
          <cell r="J2075" t="str">
            <v>S-LCD</v>
          </cell>
          <cell r="O2075">
            <v>2000</v>
          </cell>
          <cell r="T2075" t="str">
            <v>개발실SPL_PAD</v>
          </cell>
          <cell r="U2075">
            <v>39788</v>
          </cell>
        </row>
        <row r="2076">
          <cell r="A2076" t="str">
            <v>950*590*300</v>
          </cell>
          <cell r="B2076" t="str">
            <v>PSSY-289</v>
          </cell>
          <cell r="J2076" t="str">
            <v>삼성전자</v>
          </cell>
          <cell r="O2076">
            <v>16342</v>
          </cell>
          <cell r="T2076" t="str">
            <v>950*590*300</v>
          </cell>
        </row>
        <row r="2077">
          <cell r="A2077" t="str">
            <v>920*150*70</v>
          </cell>
          <cell r="B2077" t="str">
            <v>PAD</v>
          </cell>
          <cell r="E2077">
            <v>161</v>
          </cell>
          <cell r="J2077" t="str">
            <v>삼성전자</v>
          </cell>
          <cell r="O2077">
            <v>2000</v>
          </cell>
        </row>
        <row r="2078">
          <cell r="A2078" t="str">
            <v>920*150*100</v>
          </cell>
          <cell r="B2078" t="str">
            <v>PAD</v>
          </cell>
          <cell r="E2078">
            <v>230</v>
          </cell>
          <cell r="J2078" t="str">
            <v>삼성전자</v>
          </cell>
          <cell r="O2078">
            <v>2600</v>
          </cell>
        </row>
        <row r="2079">
          <cell r="A2079" t="str">
            <v>910*290*20T(40배)</v>
          </cell>
          <cell r="B2079" t="str">
            <v>PAD</v>
          </cell>
          <cell r="C2079" t="str">
            <v>CODE:20041787A</v>
          </cell>
          <cell r="E2079">
            <v>126</v>
          </cell>
          <cell r="J2079" t="str">
            <v>경동</v>
          </cell>
          <cell r="O2079">
            <v>950</v>
          </cell>
          <cell r="P2079" t="str">
            <v>910*290*20T(40배)</v>
          </cell>
        </row>
        <row r="2080">
          <cell r="A2080" t="str">
            <v>910*290*20T(40배)</v>
          </cell>
          <cell r="B2080" t="str">
            <v>PAD</v>
          </cell>
          <cell r="C2080" t="str">
            <v>CODE:20041787A</v>
          </cell>
          <cell r="E2080">
            <v>126</v>
          </cell>
          <cell r="J2080" t="str">
            <v>경동</v>
          </cell>
          <cell r="O2080">
            <v>950</v>
          </cell>
          <cell r="P2080" t="str">
            <v>910*290*20T(40배)</v>
          </cell>
        </row>
        <row r="2081">
          <cell r="A2081" t="str">
            <v>900*500*25T</v>
          </cell>
          <cell r="B2081" t="str">
            <v>PAD</v>
          </cell>
          <cell r="E2081">
            <v>0</v>
          </cell>
          <cell r="J2081" t="str">
            <v>크라텍</v>
          </cell>
          <cell r="O2081">
            <v>100</v>
          </cell>
        </row>
        <row r="2082">
          <cell r="A2082" t="str">
            <v>900*500*25T</v>
          </cell>
          <cell r="B2082" t="str">
            <v>PAD</v>
          </cell>
          <cell r="E2082">
            <v>0</v>
          </cell>
          <cell r="J2082" t="str">
            <v>크라텍</v>
          </cell>
          <cell r="O2082">
            <v>100</v>
          </cell>
        </row>
        <row r="2083">
          <cell r="A2083" t="str">
            <v>900*360*35</v>
          </cell>
          <cell r="B2083" t="str">
            <v>PAD</v>
          </cell>
          <cell r="E2083">
            <v>0</v>
          </cell>
          <cell r="J2083" t="str">
            <v>위니아만도</v>
          </cell>
          <cell r="O2083">
            <v>1100</v>
          </cell>
          <cell r="P2083" t="str">
            <v>900*540*35</v>
          </cell>
          <cell r="Q2083" t="str">
            <v>WD114771</v>
          </cell>
        </row>
        <row r="2084">
          <cell r="A2084" t="str">
            <v>900*360*35</v>
          </cell>
          <cell r="B2084" t="str">
            <v>PAD</v>
          </cell>
          <cell r="E2084">
            <v>0</v>
          </cell>
          <cell r="J2084" t="str">
            <v>위니아만도</v>
          </cell>
          <cell r="O2084">
            <v>1100</v>
          </cell>
          <cell r="P2084" t="str">
            <v>900*540*35</v>
          </cell>
          <cell r="Q2084" t="str">
            <v>WD114771</v>
          </cell>
        </row>
        <row r="2085">
          <cell r="A2085" t="str">
            <v>900*240*70</v>
          </cell>
          <cell r="B2085" t="str">
            <v>PAD</v>
          </cell>
          <cell r="E2085">
            <v>0</v>
          </cell>
          <cell r="J2085" t="str">
            <v>위니아만도</v>
          </cell>
          <cell r="O2085">
            <v>1600</v>
          </cell>
          <cell r="P2085" t="str">
            <v>900*540*70</v>
          </cell>
          <cell r="Q2085" t="str">
            <v>WD114733</v>
          </cell>
        </row>
        <row r="2086">
          <cell r="A2086" t="str">
            <v>900*240*70</v>
          </cell>
          <cell r="B2086" t="str">
            <v>PAD</v>
          </cell>
          <cell r="E2086">
            <v>0</v>
          </cell>
          <cell r="J2086" t="str">
            <v>위니아만도</v>
          </cell>
          <cell r="O2086">
            <v>1600</v>
          </cell>
          <cell r="P2086" t="str">
            <v>900*540*70</v>
          </cell>
          <cell r="Q2086" t="str">
            <v>WD114733</v>
          </cell>
        </row>
        <row r="2087">
          <cell r="A2087" t="str">
            <v>900*1600*25T(40배)</v>
          </cell>
          <cell r="B2087" t="str">
            <v>PAD</v>
          </cell>
          <cell r="C2087">
            <v>2</v>
          </cell>
          <cell r="D2087">
            <v>100</v>
          </cell>
          <cell r="E2087">
            <v>900</v>
          </cell>
          <cell r="F2087">
            <v>40</v>
          </cell>
          <cell r="G2087" t="str">
            <v>B240NS</v>
          </cell>
          <cell r="H2087">
            <v>10</v>
          </cell>
          <cell r="I2087">
            <v>1</v>
          </cell>
          <cell r="J2087" t="str">
            <v>가화텍</v>
          </cell>
          <cell r="P2087">
            <v>1500</v>
          </cell>
          <cell r="Q2087">
            <v>150</v>
          </cell>
          <cell r="S2087" t="str">
            <v>패드</v>
          </cell>
          <cell r="U2087">
            <v>45217</v>
          </cell>
          <cell r="V2087" t="str">
            <v>금형사업부</v>
          </cell>
          <cell r="AD2087">
            <v>0.85</v>
          </cell>
        </row>
        <row r="2088">
          <cell r="A2088" t="str">
            <v>900*100*100T</v>
          </cell>
          <cell r="B2088" t="str">
            <v>PAD</v>
          </cell>
          <cell r="E2088">
            <v>0</v>
          </cell>
          <cell r="J2088" t="str">
            <v>인알파코리아</v>
          </cell>
          <cell r="O2088">
            <v>1800</v>
          </cell>
          <cell r="P2088" t="str">
            <v>900*100*100T</v>
          </cell>
        </row>
        <row r="2089">
          <cell r="A2089" t="str">
            <v>900*100*100T</v>
          </cell>
          <cell r="B2089" t="str">
            <v>PAD</v>
          </cell>
          <cell r="E2089">
            <v>0</v>
          </cell>
          <cell r="J2089" t="str">
            <v>인알파코리아</v>
          </cell>
          <cell r="O2089">
            <v>1800</v>
          </cell>
          <cell r="P2089" t="str">
            <v>900*100*100T</v>
          </cell>
        </row>
        <row r="2090">
          <cell r="A2090" t="str">
            <v>8K</v>
          </cell>
          <cell r="B2090" t="str">
            <v>저발</v>
          </cell>
          <cell r="C2090">
            <v>8</v>
          </cell>
          <cell r="D2090">
            <v>70</v>
          </cell>
          <cell r="E2090">
            <v>25</v>
          </cell>
          <cell r="F2090">
            <v>74</v>
          </cell>
          <cell r="G2090" t="str">
            <v>B240NS</v>
          </cell>
          <cell r="H2090">
            <v>48</v>
          </cell>
          <cell r="I2090">
            <v>1</v>
          </cell>
          <cell r="J2090" t="str">
            <v>IS동서/삼홍테크</v>
          </cell>
          <cell r="O2090">
            <v>320</v>
          </cell>
          <cell r="P2090">
            <v>500</v>
          </cell>
          <cell r="R2090" t="str">
            <v>검정</v>
          </cell>
          <cell r="S2090" t="str">
            <v>검정</v>
          </cell>
          <cell r="T2090" t="str">
            <v>8K</v>
          </cell>
          <cell r="U2090">
            <v>42140</v>
          </cell>
          <cell r="V2090" t="str">
            <v>대영기계</v>
          </cell>
          <cell r="X2090" t="str">
            <v>F-0101</v>
          </cell>
          <cell r="AC2090" t="str">
            <v>강윤호차장,2015.05.16 타사이관금형</v>
          </cell>
          <cell r="AD2090">
            <v>0.85</v>
          </cell>
          <cell r="AE2090">
            <v>100</v>
          </cell>
          <cell r="AF2090">
            <v>4</v>
          </cell>
        </row>
        <row r="2091">
          <cell r="A2091" t="str">
            <v>865*42*30*15*12</v>
          </cell>
          <cell r="B2091" t="str">
            <v>PAD</v>
          </cell>
          <cell r="E2091">
            <v>0</v>
          </cell>
          <cell r="J2091" t="str">
            <v>현보</v>
          </cell>
          <cell r="O2091">
            <v>470</v>
          </cell>
          <cell r="P2091" t="str">
            <v>865*42*30*15*12</v>
          </cell>
          <cell r="Q2091" t="str">
            <v>DOOR SIDE</v>
          </cell>
        </row>
        <row r="2092">
          <cell r="A2092" t="str">
            <v>865*42*30*15*12</v>
          </cell>
          <cell r="B2092" t="str">
            <v>PAD</v>
          </cell>
          <cell r="E2092">
            <v>0</v>
          </cell>
          <cell r="J2092" t="str">
            <v>현보</v>
          </cell>
          <cell r="O2092">
            <v>470</v>
          </cell>
          <cell r="P2092" t="str">
            <v>865*42*30*15*12</v>
          </cell>
          <cell r="Q2092" t="str">
            <v>DOOR SIDE</v>
          </cell>
        </row>
        <row r="2093">
          <cell r="A2093" t="str">
            <v>850*375*55</v>
          </cell>
          <cell r="B2093" t="str">
            <v>PAD</v>
          </cell>
          <cell r="E2093">
            <v>219</v>
          </cell>
          <cell r="J2093" t="str">
            <v>뉴옵틱스</v>
          </cell>
        </row>
        <row r="2094">
          <cell r="A2094" t="str">
            <v>850*245*85</v>
          </cell>
          <cell r="B2094" t="str">
            <v>PAD</v>
          </cell>
          <cell r="E2094">
            <v>253</v>
          </cell>
          <cell r="J2094" t="str">
            <v>뉴옵틱스</v>
          </cell>
        </row>
        <row r="2095">
          <cell r="A2095" t="str">
            <v>850*180*5T</v>
          </cell>
          <cell r="B2095" t="str">
            <v>PAD</v>
          </cell>
          <cell r="J2095" t="str">
            <v>삼성전자</v>
          </cell>
          <cell r="O2095">
            <v>0</v>
          </cell>
          <cell r="P2095" t="str">
            <v>850*180*5T</v>
          </cell>
        </row>
        <row r="2096">
          <cell r="A2096" t="str">
            <v>840C-EPS</v>
          </cell>
          <cell r="B2096" t="str">
            <v>SET</v>
          </cell>
          <cell r="C2096">
            <v>4</v>
          </cell>
          <cell r="D2096">
            <v>130</v>
          </cell>
          <cell r="E2096">
            <v>325</v>
          </cell>
          <cell r="F2096">
            <v>62</v>
          </cell>
          <cell r="G2096" t="str">
            <v>SF400</v>
          </cell>
          <cell r="H2096">
            <v>6</v>
          </cell>
          <cell r="I2096">
            <v>2</v>
          </cell>
          <cell r="J2096" t="str">
            <v>하이텍코리아</v>
          </cell>
          <cell r="K2096">
            <v>99</v>
          </cell>
          <cell r="L2096">
            <v>101</v>
          </cell>
          <cell r="M2096">
            <v>282</v>
          </cell>
          <cell r="N2096">
            <v>286</v>
          </cell>
          <cell r="O2096">
            <v>1750</v>
          </cell>
          <cell r="P2096">
            <v>1360</v>
          </cell>
          <cell r="Q2096">
            <v>400</v>
          </cell>
          <cell r="R2096" t="str">
            <v>비닐</v>
          </cell>
          <cell r="S2096" t="str">
            <v>비닐</v>
          </cell>
          <cell r="U2096">
            <v>42353</v>
          </cell>
          <cell r="V2096" t="str">
            <v>금형제조부</v>
          </cell>
          <cell r="W2096" t="str">
            <v>높이치수확인, SGG400 원료사용</v>
          </cell>
          <cell r="Z2096">
            <v>15751</v>
          </cell>
          <cell r="AC2096" t="str">
            <v>최재학사원,2015.12.21수정입고,2016.06.30수정입고</v>
          </cell>
          <cell r="AD2096">
            <v>0.85</v>
          </cell>
          <cell r="AE2096">
            <v>85</v>
          </cell>
          <cell r="AF2096">
            <v>2</v>
          </cell>
        </row>
        <row r="2097">
          <cell r="A2097" t="str">
            <v>840*240*50T(40배)</v>
          </cell>
          <cell r="B2097" t="str">
            <v>PAD</v>
          </cell>
          <cell r="E2097">
            <v>250</v>
          </cell>
          <cell r="J2097" t="str">
            <v>경동</v>
          </cell>
          <cell r="O2097">
            <v>1590</v>
          </cell>
        </row>
        <row r="2098">
          <cell r="A2098" t="str">
            <v>82APFA3225-6A(EPS)-UP</v>
          </cell>
          <cell r="B2098" t="str">
            <v>SET</v>
          </cell>
          <cell r="C2098">
            <v>3</v>
          </cell>
          <cell r="D2098">
            <v>75</v>
          </cell>
          <cell r="E2098">
            <v>180</v>
          </cell>
          <cell r="F2098">
            <v>70</v>
          </cell>
          <cell r="G2098" t="str">
            <v>B240NS/S350</v>
          </cell>
          <cell r="H2098">
            <v>10</v>
          </cell>
          <cell r="I2098">
            <v>1</v>
          </cell>
          <cell r="J2098" t="str">
            <v>한국터치스크린</v>
          </cell>
          <cell r="P2098">
            <v>1500</v>
          </cell>
          <cell r="Q2098">
            <v>300</v>
          </cell>
          <cell r="R2098" t="str">
            <v>검정</v>
          </cell>
          <cell r="S2098" t="str">
            <v>주황</v>
          </cell>
          <cell r="T2098" t="str">
            <v>UP:180g LOW:210g / 종이PAD 부착X</v>
          </cell>
          <cell r="U2098">
            <v>43319</v>
          </cell>
          <cell r="W2098" t="str">
            <v>82APFA3225-6A(EPS) 동일금형</v>
          </cell>
          <cell r="Y2098">
            <v>50</v>
          </cell>
          <cell r="AC2098" t="str">
            <v>TOP:210g BOT:180g(180804 입고, CAVITY 후레임 일체형입고, CORE 후레임 없이 입고, 금형사업부 1500H 로 BASE 판 절단 가공, 핀부싱 15mm), 2020.03.20 재코팅입고</v>
          </cell>
          <cell r="AD2098">
            <v>0.85</v>
          </cell>
          <cell r="AE2098">
            <v>150</v>
          </cell>
          <cell r="AF2098">
            <v>6</v>
          </cell>
        </row>
        <row r="2099">
          <cell r="A2099" t="str">
            <v>82APFA3225-6A(EPS)-LOW</v>
          </cell>
          <cell r="B2099" t="str">
            <v>SET</v>
          </cell>
          <cell r="C2099">
            <v>3</v>
          </cell>
          <cell r="D2099">
            <v>75</v>
          </cell>
          <cell r="E2099">
            <v>210</v>
          </cell>
          <cell r="F2099">
            <v>70</v>
          </cell>
          <cell r="G2099" t="str">
            <v>B240NS/S350</v>
          </cell>
          <cell r="H2099">
            <v>10</v>
          </cell>
          <cell r="I2099">
            <v>1</v>
          </cell>
          <cell r="J2099" t="str">
            <v>한국터치스크린</v>
          </cell>
          <cell r="P2099">
            <v>1500</v>
          </cell>
          <cell r="Q2099">
            <v>300</v>
          </cell>
          <cell r="R2099" t="str">
            <v>검정</v>
          </cell>
          <cell r="S2099" t="str">
            <v>주황</v>
          </cell>
          <cell r="T2099" t="str">
            <v>UP:180g LOW:210g / 종이PAD 부착X</v>
          </cell>
          <cell r="U2099">
            <v>43319</v>
          </cell>
          <cell r="W2099" t="str">
            <v>82APFA3225-6A(EPS) 동일금형</v>
          </cell>
          <cell r="Y2099">
            <v>50</v>
          </cell>
          <cell r="AC2099" t="str">
            <v>TOP:210g BOT:180g(180804 입고, CAVITY 후레임 일체형입고, CORE 후레임 없이 입고, 금형사업부 1500H 로 BASE 판 절단 가공, 핀부싱 15mm), 2020.03.20 재코팅입고</v>
          </cell>
          <cell r="AD2099">
            <v>0.85</v>
          </cell>
          <cell r="AE2099">
            <v>150</v>
          </cell>
          <cell r="AF2099">
            <v>20</v>
          </cell>
        </row>
        <row r="2100">
          <cell r="A2100" t="str">
            <v>82APFA3225-6A(EPS)</v>
          </cell>
          <cell r="B2100" t="str">
            <v>SET</v>
          </cell>
          <cell r="C2100">
            <v>3</v>
          </cell>
          <cell r="D2100">
            <v>75</v>
          </cell>
          <cell r="E2100">
            <v>390</v>
          </cell>
          <cell r="F2100">
            <v>70</v>
          </cell>
          <cell r="G2100" t="str">
            <v>B240NS/S350</v>
          </cell>
          <cell r="H2100">
            <v>10</v>
          </cell>
          <cell r="I2100">
            <v>2</v>
          </cell>
          <cell r="J2100" t="str">
            <v>한국터치스크린</v>
          </cell>
          <cell r="P2100">
            <v>1500</v>
          </cell>
          <cell r="Q2100">
            <v>300</v>
          </cell>
          <cell r="R2100" t="str">
            <v>검정</v>
          </cell>
          <cell r="S2100" t="str">
            <v>주황</v>
          </cell>
          <cell r="T2100" t="str">
            <v>UP:180g LOW:210g</v>
          </cell>
          <cell r="U2100">
            <v>43319</v>
          </cell>
          <cell r="Y2100">
            <v>50</v>
          </cell>
          <cell r="AC2100" t="str">
            <v>TOP:210g BOT:180g(180804 입고, CAVITY 후레임 일체형입고, CORE 후레임 없이 입고, 금형사업부 1500H 로 BASE 판 절단 가공, 핀부싱 15mm), 2020.03.20 재코팅입고</v>
          </cell>
          <cell r="AD2100">
            <v>0.85</v>
          </cell>
          <cell r="AE2100">
            <v>150</v>
          </cell>
          <cell r="AF2100">
            <v>6</v>
          </cell>
        </row>
        <row r="2101">
          <cell r="A2101" t="str">
            <v>82APFA3225-6A</v>
          </cell>
          <cell r="B2101" t="str">
            <v>SET</v>
          </cell>
          <cell r="C2101">
            <v>3</v>
          </cell>
          <cell r="D2101">
            <v>75</v>
          </cell>
          <cell r="E2101">
            <v>390</v>
          </cell>
          <cell r="F2101">
            <v>70</v>
          </cell>
          <cell r="G2101" t="str">
            <v>B240NS/S350</v>
          </cell>
          <cell r="H2101">
            <v>10</v>
          </cell>
          <cell r="I2101">
            <v>2</v>
          </cell>
          <cell r="J2101" t="str">
            <v>한국터치스크린</v>
          </cell>
          <cell r="P2101">
            <v>1500</v>
          </cell>
          <cell r="Q2101">
            <v>300</v>
          </cell>
          <cell r="R2101" t="str">
            <v>검정</v>
          </cell>
          <cell r="S2101" t="str">
            <v>주황</v>
          </cell>
          <cell r="T2101" t="str">
            <v>UP:180g LOW:210g / 종이PAD 부착X</v>
          </cell>
          <cell r="U2101">
            <v>43319</v>
          </cell>
          <cell r="Y2101">
            <v>50</v>
          </cell>
          <cell r="AC2101" t="str">
            <v>TOP:210g BOT:180g(180804 입고, CAVITY 후레임 일체형입고, CORE 후레임 없이 입고, 금형사업부 1500H 로 BASE 판 절단 가공, 핀부싱 15mm), 2020.03.20 재코팅입고</v>
          </cell>
          <cell r="AD2101">
            <v>0.85</v>
          </cell>
          <cell r="AE2101">
            <v>150</v>
          </cell>
          <cell r="AF2101">
            <v>6</v>
          </cell>
        </row>
        <row r="2102">
          <cell r="A2102" t="str">
            <v>828*65*30</v>
          </cell>
          <cell r="B2102" t="str">
            <v>PAD</v>
          </cell>
          <cell r="E2102">
            <v>20</v>
          </cell>
          <cell r="J2102" t="str">
            <v>이파람</v>
          </cell>
          <cell r="AD2102">
            <v>0.85</v>
          </cell>
        </row>
        <row r="2103">
          <cell r="A2103" t="str">
            <v>826*500*20T(40배)</v>
          </cell>
          <cell r="B2103" t="str">
            <v>PAD</v>
          </cell>
          <cell r="E2103">
            <v>0</v>
          </cell>
          <cell r="J2103" t="str">
            <v>경동원</v>
          </cell>
          <cell r="N2103" t="str">
            <v/>
          </cell>
          <cell r="O2103">
            <v>16342</v>
          </cell>
          <cell r="P2103" t="str">
            <v>950*590*300</v>
          </cell>
          <cell r="Q2103" t="str">
            <v>950*590*300</v>
          </cell>
        </row>
        <row r="2104">
          <cell r="A2104" t="str">
            <v>826*460*20T(40배)</v>
          </cell>
          <cell r="B2104" t="str">
            <v>PAD</v>
          </cell>
          <cell r="E2104">
            <v>0</v>
          </cell>
          <cell r="J2104" t="str">
            <v>경동원</v>
          </cell>
          <cell r="N2104" t="str">
            <v/>
          </cell>
          <cell r="O2104">
            <v>5688</v>
          </cell>
          <cell r="P2104" t="str">
            <v>1220*860*45T</v>
          </cell>
          <cell r="Q2104" t="str">
            <v>1220*860*45T</v>
          </cell>
          <cell r="S2104">
            <v>260</v>
          </cell>
        </row>
        <row r="2105">
          <cell r="A2105" t="str">
            <v>8231F내장재-KEY</v>
          </cell>
          <cell r="B2105" t="str">
            <v>저발</v>
          </cell>
          <cell r="C2105">
            <v>4</v>
          </cell>
          <cell r="D2105">
            <v>75</v>
          </cell>
          <cell r="E2105">
            <v>7</v>
          </cell>
          <cell r="F2105">
            <v>36</v>
          </cell>
          <cell r="G2105" t="str">
            <v>B240NS</v>
          </cell>
          <cell r="H2105">
            <v>20</v>
          </cell>
          <cell r="I2105">
            <v>1</v>
          </cell>
          <cell r="J2105" t="str">
            <v>SK매직</v>
          </cell>
          <cell r="K2105">
            <v>37.799999999999997</v>
          </cell>
          <cell r="L2105">
            <v>39.799999999999997</v>
          </cell>
          <cell r="O2105">
            <v>0</v>
          </cell>
          <cell r="P2105">
            <v>700</v>
          </cell>
          <cell r="R2105" t="str">
            <v>빨강</v>
          </cell>
          <cell r="S2105" t="str">
            <v>빨강</v>
          </cell>
          <cell r="T2105" t="str">
            <v>8231F내장재KEY</v>
          </cell>
          <cell r="U2105">
            <v>41040</v>
          </cell>
          <cell r="V2105" t="str">
            <v>금형제조부</v>
          </cell>
          <cell r="AC2105" t="str">
            <v>장혁민사원,각각470G/2660원</v>
          </cell>
          <cell r="AD2105">
            <v>0.9</v>
          </cell>
          <cell r="AE2105">
            <v>75</v>
          </cell>
          <cell r="AF2105">
            <v>4</v>
          </cell>
        </row>
        <row r="2106">
          <cell r="A2106" t="str">
            <v>800*140*30T</v>
          </cell>
          <cell r="B2106" t="str">
            <v>PAD</v>
          </cell>
          <cell r="E2106">
            <v>56</v>
          </cell>
          <cell r="J2106" t="str">
            <v>파버나인</v>
          </cell>
          <cell r="O2106">
            <v>1480</v>
          </cell>
        </row>
        <row r="2107">
          <cell r="A2107" t="str">
            <v>75SB/SONAGI(40배)</v>
          </cell>
          <cell r="B2107" t="str">
            <v>SET</v>
          </cell>
          <cell r="E2107">
            <v>2972</v>
          </cell>
          <cell r="J2107" t="str">
            <v>뉴옵틱스</v>
          </cell>
          <cell r="P2107">
            <v>1500</v>
          </cell>
          <cell r="Q2107">
            <v>350</v>
          </cell>
          <cell r="U2107">
            <v>45415</v>
          </cell>
          <cell r="V2107" t="str">
            <v>금형사업부</v>
          </cell>
          <cell r="Y2107">
            <v>50</v>
          </cell>
        </row>
        <row r="2108">
          <cell r="A2108" t="str">
            <v>75SB/SONAGI</v>
          </cell>
          <cell r="B2108" t="str">
            <v>SET</v>
          </cell>
          <cell r="C2108">
            <v>1</v>
          </cell>
          <cell r="D2108">
            <v>200</v>
          </cell>
          <cell r="E2108">
            <v>2378</v>
          </cell>
          <cell r="F2108">
            <v>50</v>
          </cell>
          <cell r="G2108" t="str">
            <v>B240NS</v>
          </cell>
          <cell r="H2108">
            <v>1</v>
          </cell>
          <cell r="I2108">
            <v>8</v>
          </cell>
          <cell r="J2108" t="str">
            <v>뉴옵틱스</v>
          </cell>
          <cell r="P2108">
            <v>1600</v>
          </cell>
          <cell r="Q2108">
            <v>400</v>
          </cell>
          <cell r="U2108">
            <v>45425</v>
          </cell>
          <cell r="V2108" t="str">
            <v>금형사업부</v>
          </cell>
          <cell r="Y2108">
            <v>50</v>
          </cell>
          <cell r="AD2108">
            <v>0.85</v>
          </cell>
          <cell r="AF2108">
            <v>12</v>
          </cell>
        </row>
        <row r="2109">
          <cell r="A2109" t="str">
            <v>75SB/SONAGI</v>
          </cell>
          <cell r="B2109" t="str">
            <v>SET</v>
          </cell>
          <cell r="C2109">
            <v>1</v>
          </cell>
          <cell r="D2109">
            <v>200</v>
          </cell>
          <cell r="E2109">
            <v>2378</v>
          </cell>
          <cell r="F2109">
            <v>50</v>
          </cell>
          <cell r="G2109" t="str">
            <v>B240NS</v>
          </cell>
          <cell r="H2109">
            <v>1</v>
          </cell>
          <cell r="I2109">
            <v>8</v>
          </cell>
          <cell r="J2109" t="str">
            <v>뉴옵틱스</v>
          </cell>
          <cell r="P2109">
            <v>1600</v>
          </cell>
          <cell r="Q2109">
            <v>400</v>
          </cell>
          <cell r="U2109">
            <v>45425</v>
          </cell>
          <cell r="V2109" t="str">
            <v>금형사업부</v>
          </cell>
          <cell r="Y2109">
            <v>50</v>
          </cell>
        </row>
        <row r="2110">
          <cell r="A2110" t="str">
            <v>750DXU7S-SET</v>
          </cell>
          <cell r="B2110" t="str">
            <v>SET</v>
          </cell>
          <cell r="C2110">
            <v>1</v>
          </cell>
          <cell r="D2110">
            <v>100</v>
          </cell>
          <cell r="E2110">
            <v>3399</v>
          </cell>
          <cell r="F2110">
            <v>65</v>
          </cell>
          <cell r="G2110" t="str">
            <v>B240NS</v>
          </cell>
          <cell r="H2110" t="str">
            <v>TB:3 S-L/R:6</v>
          </cell>
          <cell r="I2110">
            <v>6</v>
          </cell>
          <cell r="J2110" t="str">
            <v>뉴옵틱스</v>
          </cell>
          <cell r="K2110">
            <v>323</v>
          </cell>
          <cell r="L2110">
            <v>327</v>
          </cell>
          <cell r="M2110">
            <v>328</v>
          </cell>
          <cell r="N2110">
            <v>332</v>
          </cell>
          <cell r="P2110">
            <v>1800</v>
          </cell>
          <cell r="Q2110">
            <v>450</v>
          </cell>
          <cell r="R2110" t="str">
            <v>보라</v>
          </cell>
          <cell r="S2110" t="str">
            <v>보라</v>
          </cell>
          <cell r="U2110">
            <v>44118</v>
          </cell>
          <cell r="V2110" t="str">
            <v>세일하이테크</v>
          </cell>
          <cell r="W2110" t="str">
            <v>18호기만 착형</v>
          </cell>
          <cell r="Y2110">
            <v>50</v>
          </cell>
          <cell r="Z2110">
            <v>169971</v>
          </cell>
          <cell r="AC2110" t="str">
            <v>석상준과장,후레임일체, 2020.10.26 수정, 2020.11.23 각인 추가, 2021.03.11사용배율변경(56-&gt;62), 2021.03.16 각인교체</v>
          </cell>
          <cell r="AD2110">
            <v>0.85</v>
          </cell>
          <cell r="AF2110">
            <v>4</v>
          </cell>
        </row>
        <row r="2111">
          <cell r="A2111" t="str">
            <v>75*700*15T</v>
          </cell>
          <cell r="B2111" t="str">
            <v>PAD</v>
          </cell>
          <cell r="E2111">
            <v>0</v>
          </cell>
          <cell r="J2111" t="str">
            <v>진도리빙텤</v>
          </cell>
          <cell r="O2111">
            <v>70</v>
          </cell>
        </row>
        <row r="2112">
          <cell r="A2112" t="str">
            <v>75*700*15T</v>
          </cell>
          <cell r="B2112" t="str">
            <v>PAD</v>
          </cell>
          <cell r="E2112">
            <v>0</v>
          </cell>
          <cell r="J2112" t="str">
            <v>진도리빙텤</v>
          </cell>
          <cell r="O2112">
            <v>70</v>
          </cell>
        </row>
        <row r="2113">
          <cell r="A2113" t="str">
            <v>745*287*55</v>
          </cell>
          <cell r="B2113" t="str">
            <v>PAD</v>
          </cell>
          <cell r="E2113">
            <v>168</v>
          </cell>
          <cell r="J2113" t="str">
            <v>뉴옵틱스</v>
          </cell>
        </row>
        <row r="2114">
          <cell r="A2114" t="str">
            <v>710*400*25T</v>
          </cell>
          <cell r="B2114" t="str">
            <v>PAD</v>
          </cell>
          <cell r="E2114">
            <v>118</v>
          </cell>
          <cell r="J2114" t="str">
            <v>삼성전자</v>
          </cell>
          <cell r="P2114" t="str">
            <v>710*400*25T</v>
          </cell>
        </row>
        <row r="2115">
          <cell r="A2115" t="str">
            <v>70A*10T(50배)</v>
          </cell>
          <cell r="B2115" t="str">
            <v>PAD</v>
          </cell>
          <cell r="E2115">
            <v>1</v>
          </cell>
          <cell r="J2115" t="str">
            <v>삼영유니텍</v>
          </cell>
          <cell r="O2115">
            <v>80</v>
          </cell>
          <cell r="P2115" t="str">
            <v>70파이*10T</v>
          </cell>
        </row>
        <row r="2116">
          <cell r="A2116" t="str">
            <v>70A*10T(50배)</v>
          </cell>
          <cell r="B2116" t="str">
            <v>PAD</v>
          </cell>
          <cell r="E2116">
            <v>1</v>
          </cell>
          <cell r="J2116" t="str">
            <v>삼영유니텍</v>
          </cell>
          <cell r="O2116">
            <v>80</v>
          </cell>
          <cell r="P2116" t="str">
            <v>70파이*10T</v>
          </cell>
        </row>
        <row r="2117">
          <cell r="A2117" t="str">
            <v>707R</v>
          </cell>
          <cell r="B2117" t="str">
            <v>저발</v>
          </cell>
          <cell r="C2117">
            <v>1</v>
          </cell>
          <cell r="D2117">
            <v>90</v>
          </cell>
          <cell r="E2117">
            <v>373</v>
          </cell>
          <cell r="F2117">
            <v>74</v>
          </cell>
          <cell r="G2117" t="str">
            <v>B240NS</v>
          </cell>
          <cell r="H2117">
            <v>3</v>
          </cell>
          <cell r="I2117">
            <v>3</v>
          </cell>
          <cell r="J2117" t="str">
            <v>IS동서/삼홍테크</v>
          </cell>
          <cell r="K2117">
            <v>178</v>
          </cell>
          <cell r="L2117">
            <v>182</v>
          </cell>
          <cell r="M2117">
            <v>74</v>
          </cell>
          <cell r="N2117">
            <v>76</v>
          </cell>
          <cell r="O2117">
            <v>1900</v>
          </cell>
          <cell r="P2117">
            <v>500</v>
          </cell>
          <cell r="S2117">
            <v>0</v>
          </cell>
          <cell r="T2117" t="str">
            <v>707R</v>
          </cell>
          <cell r="U2117">
            <v>42140</v>
          </cell>
          <cell r="V2117" t="str">
            <v>대영기계</v>
          </cell>
          <cell r="AC2117" t="str">
            <v>강윤호차장,2015.05.16 타사이관금형,2015.12.18기준중량변경(200-&gt;373)</v>
          </cell>
          <cell r="AD2117">
            <v>0.85</v>
          </cell>
          <cell r="AE2117">
            <v>75</v>
          </cell>
          <cell r="AF2117">
            <v>16</v>
          </cell>
        </row>
        <row r="2118">
          <cell r="A2118" t="str">
            <v>7000D-TANK</v>
          </cell>
          <cell r="B2118" t="str">
            <v>저발</v>
          </cell>
          <cell r="C2118">
            <v>1</v>
          </cell>
          <cell r="D2118" t="str">
            <v>128</v>
          </cell>
          <cell r="E2118">
            <v>66</v>
          </cell>
          <cell r="F2118">
            <v>36</v>
          </cell>
          <cell r="G2118" t="str">
            <v>B240NS</v>
          </cell>
          <cell r="H2118" t="str">
            <v>24</v>
          </cell>
          <cell r="I2118">
            <v>3</v>
          </cell>
          <cell r="J2118" t="str">
            <v>오비오</v>
          </cell>
          <cell r="P2118">
            <v>500</v>
          </cell>
          <cell r="Q2118" t="str">
            <v>0</v>
          </cell>
          <cell r="R2118" t="str">
            <v>파랑</v>
          </cell>
          <cell r="U2118">
            <v>44712</v>
          </cell>
          <cell r="V2118" t="str">
            <v>이피엠테크</v>
          </cell>
          <cell r="Y2118">
            <v>30</v>
          </cell>
          <cell r="AC2118" t="str">
            <v>김영석사원</v>
          </cell>
          <cell r="AD2118">
            <v>0.85</v>
          </cell>
        </row>
        <row r="2119">
          <cell r="A2119" t="str">
            <v>7000D-TANK</v>
          </cell>
          <cell r="B2119" t="str">
            <v>SET</v>
          </cell>
          <cell r="C2119">
            <v>1</v>
          </cell>
          <cell r="D2119" t="str">
            <v>128</v>
          </cell>
          <cell r="E2119">
            <v>66</v>
          </cell>
          <cell r="F2119">
            <v>36</v>
          </cell>
          <cell r="G2119" t="str">
            <v>B240NS</v>
          </cell>
          <cell r="H2119" t="str">
            <v>24</v>
          </cell>
          <cell r="I2119">
            <v>3</v>
          </cell>
          <cell r="J2119" t="str">
            <v>오비오</v>
          </cell>
          <cell r="P2119">
            <v>500</v>
          </cell>
          <cell r="R2119" t="str">
            <v>파랑</v>
          </cell>
          <cell r="U2119">
            <v>44712</v>
          </cell>
          <cell r="V2119" t="str">
            <v>이피엠테크</v>
          </cell>
          <cell r="Y2119">
            <v>30</v>
          </cell>
          <cell r="AC2119" t="str">
            <v>김영석사원</v>
          </cell>
          <cell r="AD2119">
            <v>0.85</v>
          </cell>
        </row>
        <row r="2120">
          <cell r="A2120" t="str">
            <v>7000D</v>
          </cell>
          <cell r="B2120" t="str">
            <v>저발</v>
          </cell>
          <cell r="C2120">
            <v>2</v>
          </cell>
          <cell r="D2120">
            <v>85</v>
          </cell>
          <cell r="E2120">
            <v>168</v>
          </cell>
          <cell r="F2120">
            <v>65</v>
          </cell>
          <cell r="G2120" t="str">
            <v>B240NS</v>
          </cell>
          <cell r="H2120">
            <v>10</v>
          </cell>
          <cell r="I2120">
            <v>1</v>
          </cell>
          <cell r="J2120" t="str">
            <v>오비오</v>
          </cell>
          <cell r="K2120">
            <v>153</v>
          </cell>
          <cell r="L2120">
            <v>157</v>
          </cell>
          <cell r="P2120">
            <v>700</v>
          </cell>
          <cell r="R2120" t="str">
            <v>노랑</v>
          </cell>
          <cell r="S2120" t="str">
            <v>노랑</v>
          </cell>
          <cell r="U2120">
            <v>44189</v>
          </cell>
          <cell r="V2120" t="str">
            <v>금형제조부</v>
          </cell>
          <cell r="Y2120">
            <v>50</v>
          </cell>
          <cell r="Z2120">
            <v>8401</v>
          </cell>
          <cell r="AC2120" t="str">
            <v>2021.03.15 사용배율변경(56-&gt;62)</v>
          </cell>
          <cell r="AD2120">
            <v>0.85</v>
          </cell>
          <cell r="AF2120">
            <v>6</v>
          </cell>
        </row>
        <row r="2121">
          <cell r="A2121" t="str">
            <v>700*500*10T</v>
          </cell>
          <cell r="B2121" t="str">
            <v>PAD</v>
          </cell>
          <cell r="E2121">
            <v>0</v>
          </cell>
          <cell r="J2121" t="str">
            <v>파버나인</v>
          </cell>
          <cell r="O2121">
            <v>320</v>
          </cell>
        </row>
        <row r="2122">
          <cell r="A2122" t="str">
            <v>700*500*10T</v>
          </cell>
          <cell r="B2122" t="str">
            <v>PAD</v>
          </cell>
          <cell r="E2122">
            <v>0</v>
          </cell>
          <cell r="J2122" t="str">
            <v>파버나인</v>
          </cell>
          <cell r="O2122">
            <v>320</v>
          </cell>
          <cell r="Q2122" t="str">
            <v>ZZZ-11090117</v>
          </cell>
        </row>
        <row r="2123">
          <cell r="A2123" t="str">
            <v>700*500*10T</v>
          </cell>
          <cell r="B2123" t="str">
            <v>PAD</v>
          </cell>
          <cell r="E2123">
            <v>0</v>
          </cell>
          <cell r="J2123" t="str">
            <v>파버나인</v>
          </cell>
          <cell r="O2123">
            <v>320</v>
          </cell>
        </row>
        <row r="2124">
          <cell r="A2124" t="str">
            <v>700*500*10T</v>
          </cell>
          <cell r="B2124" t="str">
            <v>PAD</v>
          </cell>
          <cell r="E2124">
            <v>0</v>
          </cell>
          <cell r="J2124" t="str">
            <v>파버나인</v>
          </cell>
          <cell r="O2124">
            <v>320</v>
          </cell>
          <cell r="Q2124" t="str">
            <v>ZZZ-11090117</v>
          </cell>
        </row>
        <row r="2125">
          <cell r="A2125" t="str">
            <v>6팩</v>
          </cell>
          <cell r="B2125" t="str">
            <v>SET</v>
          </cell>
          <cell r="C2125">
            <v>3</v>
          </cell>
          <cell r="D2125">
            <v>100</v>
          </cell>
          <cell r="E2125">
            <v>210</v>
          </cell>
          <cell r="F2125">
            <v>74</v>
          </cell>
          <cell r="G2125" t="str">
            <v>SE2500M</v>
          </cell>
          <cell r="H2125">
            <v>10</v>
          </cell>
          <cell r="I2125">
            <v>2</v>
          </cell>
          <cell r="J2125" t="str">
            <v>한국TPS</v>
          </cell>
          <cell r="O2125">
            <v>1050</v>
          </cell>
          <cell r="P2125">
            <v>1300</v>
          </cell>
          <cell r="Q2125">
            <v>300</v>
          </cell>
          <cell r="R2125" t="str">
            <v>파랑</v>
          </cell>
          <cell r="S2125" t="str">
            <v>파랑</v>
          </cell>
          <cell r="T2125" t="str">
            <v>6팩</v>
          </cell>
          <cell r="U2125">
            <v>41523</v>
          </cell>
          <cell r="V2125" t="str">
            <v>인천EPS이동입고</v>
          </cell>
          <cell r="X2125" t="str">
            <v>계양리 B-2</v>
          </cell>
          <cell r="AC2125" t="str">
            <v xml:space="preserve">김길영계장,2013.09.06이관,2013.09.30(코어측 코팅),2013.09.29 중량변경(210-&gt;200) </v>
          </cell>
          <cell r="AD2125">
            <v>0.85</v>
          </cell>
          <cell r="AE2125">
            <v>90</v>
          </cell>
          <cell r="AF2125">
            <v>10</v>
          </cell>
        </row>
        <row r="2126">
          <cell r="A2126" t="str">
            <v>6구박스</v>
          </cell>
          <cell r="B2126" t="str">
            <v>BOX</v>
          </cell>
          <cell r="C2126">
            <v>2</v>
          </cell>
          <cell r="D2126">
            <v>90</v>
          </cell>
          <cell r="E2126">
            <v>1000</v>
          </cell>
          <cell r="F2126">
            <v>53</v>
          </cell>
          <cell r="G2126" t="str">
            <v>B240NS</v>
          </cell>
          <cell r="H2126">
            <v>3</v>
          </cell>
          <cell r="I2126">
            <v>2</v>
          </cell>
          <cell r="J2126" t="str">
            <v>동진화성</v>
          </cell>
          <cell r="K2126">
            <v>160.5</v>
          </cell>
          <cell r="L2126">
            <v>162.5</v>
          </cell>
          <cell r="M2126">
            <v>170.5</v>
          </cell>
          <cell r="N2126">
            <v>172.5</v>
          </cell>
          <cell r="O2126">
            <v>8800</v>
          </cell>
          <cell r="P2126">
            <v>1360</v>
          </cell>
          <cell r="Q2126">
            <v>300</v>
          </cell>
          <cell r="R2126" t="str">
            <v>검정</v>
          </cell>
          <cell r="S2126" t="str">
            <v>검정</v>
          </cell>
          <cell r="T2126" t="str">
            <v>6구박스</v>
          </cell>
          <cell r="U2126">
            <v>41000</v>
          </cell>
          <cell r="V2126" t="str">
            <v>금형제조부</v>
          </cell>
          <cell r="X2126" t="str">
            <v>P-0501</v>
          </cell>
          <cell r="AD2126">
            <v>0.85</v>
          </cell>
          <cell r="AE2126">
            <v>250</v>
          </cell>
          <cell r="AF2126">
            <v>6</v>
          </cell>
        </row>
        <row r="2127">
          <cell r="A2127" t="str">
            <v>680*680*25T</v>
          </cell>
          <cell r="B2127" t="str">
            <v>PAD</v>
          </cell>
          <cell r="E2127">
            <v>289</v>
          </cell>
          <cell r="J2127" t="str">
            <v>SK매직</v>
          </cell>
          <cell r="T2127" t="str">
            <v>DWA90 패드</v>
          </cell>
          <cell r="U2127">
            <v>44134</v>
          </cell>
        </row>
        <row r="2128">
          <cell r="A2128" t="str">
            <v>65SB/SONAGI(40배)</v>
          </cell>
          <cell r="B2128" t="str">
            <v>SET</v>
          </cell>
          <cell r="E2128">
            <v>2549</v>
          </cell>
          <cell r="J2128" t="str">
            <v>뉴옵틱스</v>
          </cell>
          <cell r="P2128">
            <v>1600</v>
          </cell>
          <cell r="Q2128">
            <v>400</v>
          </cell>
          <cell r="U2128">
            <v>45425</v>
          </cell>
          <cell r="V2128" t="str">
            <v>금형사업부</v>
          </cell>
          <cell r="Y2128">
            <v>50</v>
          </cell>
        </row>
        <row r="2129">
          <cell r="A2129" t="str">
            <v>65SB/SONAGI</v>
          </cell>
          <cell r="B2129" t="str">
            <v>SET</v>
          </cell>
          <cell r="C2129">
            <v>1</v>
          </cell>
          <cell r="D2129">
            <v>200</v>
          </cell>
          <cell r="E2129">
            <v>2039</v>
          </cell>
          <cell r="F2129">
            <v>50</v>
          </cell>
          <cell r="G2129" t="str">
            <v>B240NS</v>
          </cell>
          <cell r="H2129">
            <v>3</v>
          </cell>
          <cell r="I2129">
            <v>6</v>
          </cell>
          <cell r="J2129" t="str">
            <v>뉴옵틱스</v>
          </cell>
          <cell r="K2129">
            <v>203</v>
          </cell>
          <cell r="L2129">
            <v>207</v>
          </cell>
          <cell r="M2129">
            <v>203</v>
          </cell>
          <cell r="N2129">
            <v>207</v>
          </cell>
          <cell r="P2129">
            <v>1360</v>
          </cell>
          <cell r="Q2129">
            <v>400</v>
          </cell>
          <cell r="R2129" t="str">
            <v>빨강</v>
          </cell>
          <cell r="U2129">
            <v>45415</v>
          </cell>
          <cell r="V2129" t="str">
            <v>금형사업부</v>
          </cell>
          <cell r="Y2129">
            <v>50</v>
          </cell>
          <cell r="AD2129">
            <v>0.85</v>
          </cell>
          <cell r="AF2129">
            <v>6</v>
          </cell>
        </row>
        <row r="2130">
          <cell r="A2130" t="str">
            <v>65SB/SONAGI</v>
          </cell>
          <cell r="B2130" t="str">
            <v>SET</v>
          </cell>
          <cell r="C2130">
            <v>1</v>
          </cell>
          <cell r="D2130">
            <v>200</v>
          </cell>
          <cell r="E2130">
            <v>2039</v>
          </cell>
          <cell r="F2130">
            <v>50</v>
          </cell>
          <cell r="G2130" t="str">
            <v>B240NS</v>
          </cell>
          <cell r="H2130">
            <v>1</v>
          </cell>
          <cell r="I2130">
            <v>6</v>
          </cell>
          <cell r="J2130" t="str">
            <v>뉴옵틱스</v>
          </cell>
          <cell r="P2130">
            <v>1360</v>
          </cell>
          <cell r="Q2130">
            <v>400</v>
          </cell>
          <cell r="U2130">
            <v>45415</v>
          </cell>
          <cell r="V2130" t="str">
            <v>금형사업부</v>
          </cell>
          <cell r="Y2130">
            <v>50</v>
          </cell>
          <cell r="AD2130">
            <v>0.85</v>
          </cell>
        </row>
        <row r="2131">
          <cell r="A2131" t="str">
            <v>65QSR</v>
          </cell>
          <cell r="B2131" t="str">
            <v>SET</v>
          </cell>
          <cell r="C2131">
            <v>2</v>
          </cell>
          <cell r="D2131">
            <v>300</v>
          </cell>
          <cell r="E2131">
            <v>2682</v>
          </cell>
          <cell r="F2131">
            <v>58</v>
          </cell>
          <cell r="G2131" t="str">
            <v>SG302</v>
          </cell>
          <cell r="H2131">
            <v>1</v>
          </cell>
          <cell r="I2131">
            <v>2</v>
          </cell>
          <cell r="J2131" t="str">
            <v>뉴옵틱스</v>
          </cell>
          <cell r="K2131">
            <v>423</v>
          </cell>
          <cell r="L2131">
            <v>427</v>
          </cell>
          <cell r="M2131">
            <v>423</v>
          </cell>
          <cell r="N2131">
            <v>427</v>
          </cell>
          <cell r="P2131">
            <v>1500</v>
          </cell>
          <cell r="Q2131">
            <v>550</v>
          </cell>
          <cell r="R2131" t="str">
            <v>파란</v>
          </cell>
          <cell r="U2131">
            <v>44475</v>
          </cell>
          <cell r="V2131" t="str">
            <v>이피엠테크</v>
          </cell>
          <cell r="Y2131">
            <v>50</v>
          </cell>
          <cell r="AC2131" t="str">
            <v>석상준과장, 2021.10.20 수정, 2021.11.11 수정,2022.06.27 수정</v>
          </cell>
          <cell r="AD2131">
            <v>0.85</v>
          </cell>
          <cell r="AF2131">
            <v>2</v>
          </cell>
        </row>
        <row r="2132">
          <cell r="A2132" t="str">
            <v>65C-UP/LOW</v>
          </cell>
          <cell r="B2132" t="str">
            <v>SET</v>
          </cell>
          <cell r="C2132">
            <v>2</v>
          </cell>
          <cell r="D2132">
            <v>140</v>
          </cell>
          <cell r="E2132">
            <v>557</v>
          </cell>
          <cell r="F2132">
            <v>74</v>
          </cell>
          <cell r="G2132" t="str">
            <v>B240NS</v>
          </cell>
          <cell r="H2132" t="str">
            <v>T10/B10</v>
          </cell>
          <cell r="I2132">
            <v>2</v>
          </cell>
          <cell r="J2132" t="str">
            <v>청호나이스</v>
          </cell>
          <cell r="K2132">
            <v>88</v>
          </cell>
          <cell r="L2132">
            <v>92</v>
          </cell>
          <cell r="M2132">
            <v>85</v>
          </cell>
          <cell r="N2132">
            <v>89</v>
          </cell>
          <cell r="P2132">
            <v>1360</v>
          </cell>
          <cell r="Q2132">
            <v>250</v>
          </cell>
          <cell r="R2132" t="str">
            <v>보라</v>
          </cell>
          <cell r="S2132" t="str">
            <v>보라</v>
          </cell>
          <cell r="T2132" t="str">
            <v>HC3_UPPER-LOWER61-1829/61-1828</v>
          </cell>
          <cell r="U2132">
            <v>43858</v>
          </cell>
          <cell r="V2132" t="str">
            <v>제일EPS</v>
          </cell>
          <cell r="W2132" t="str">
            <v>코드각인확인!!, 크라킹 4mm이하 BOT냉각불량확인!!, 종이패드부착</v>
          </cell>
          <cell r="Y2132">
            <v>50</v>
          </cell>
          <cell r="Z2132">
            <v>36457</v>
          </cell>
          <cell r="AC2132" t="str">
            <v>석상준과장</v>
          </cell>
          <cell r="AD2132">
            <v>0.85</v>
          </cell>
          <cell r="AF2132">
            <v>6</v>
          </cell>
        </row>
        <row r="2133">
          <cell r="A2133" t="str">
            <v>65C-L/R</v>
          </cell>
          <cell r="B2133" t="str">
            <v>저발</v>
          </cell>
          <cell r="C2133">
            <v>2</v>
          </cell>
          <cell r="D2133">
            <v>140</v>
          </cell>
          <cell r="E2133">
            <v>26</v>
          </cell>
          <cell r="F2133">
            <v>36</v>
          </cell>
          <cell r="G2133" t="str">
            <v>ZP2500</v>
          </cell>
          <cell r="H2133" t="str">
            <v>L:150/R:200</v>
          </cell>
          <cell r="I2133">
            <v>2</v>
          </cell>
          <cell r="J2133" t="str">
            <v>청호나이스</v>
          </cell>
          <cell r="K2133">
            <v>24.8</v>
          </cell>
          <cell r="L2133">
            <v>26.8</v>
          </cell>
          <cell r="M2133">
            <v>24</v>
          </cell>
          <cell r="N2133">
            <v>26</v>
          </cell>
          <cell r="P2133">
            <v>700</v>
          </cell>
          <cell r="Q2133">
            <v>200</v>
          </cell>
          <cell r="R2133" t="str">
            <v>박스</v>
          </cell>
          <cell r="S2133" t="str">
            <v>박스</v>
          </cell>
          <cell r="T2133" t="str">
            <v>HC3 LEVEL_SEN,61-1838/61-1837</v>
          </cell>
          <cell r="U2133">
            <v>43860</v>
          </cell>
          <cell r="V2133" t="str">
            <v>제일EPS</v>
          </cell>
          <cell r="W2133" t="str">
            <v>중량관리 철저, 초물:38~42</v>
          </cell>
          <cell r="Y2133">
            <v>30</v>
          </cell>
          <cell r="Z2133">
            <v>870</v>
          </cell>
          <cell r="AC2133" t="str">
            <v>석상준과장FRAME 삼일자산, 2020.04.17개조입고, 2020.09.02 사용배율변경(40-&gt;36), 2020.09.18코팅완료, 2010.10.19기준중량변경(29-&gt;36), 2020.10.21수정</v>
          </cell>
          <cell r="AD2133">
            <v>0.85</v>
          </cell>
          <cell r="AF2133">
            <v>4</v>
          </cell>
        </row>
        <row r="2134">
          <cell r="A2134" t="str">
            <v>65C-COV/UN</v>
          </cell>
          <cell r="B2134" t="str">
            <v>회색</v>
          </cell>
          <cell r="C2134">
            <v>3</v>
          </cell>
          <cell r="D2134">
            <v>140</v>
          </cell>
          <cell r="E2134">
            <v>293</v>
          </cell>
          <cell r="F2134">
            <v>36</v>
          </cell>
          <cell r="G2134" t="str">
            <v>ZP2500</v>
          </cell>
          <cell r="H2134" t="str">
            <v>COV54/UN6</v>
          </cell>
          <cell r="I2134">
            <v>2</v>
          </cell>
          <cell r="J2134" t="str">
            <v>청호나이스</v>
          </cell>
          <cell r="K2134">
            <v>24</v>
          </cell>
          <cell r="L2134">
            <v>26</v>
          </cell>
          <cell r="M2134">
            <v>301</v>
          </cell>
          <cell r="N2134">
            <v>303</v>
          </cell>
          <cell r="P2134">
            <v>1360</v>
          </cell>
          <cell r="Q2134">
            <v>400</v>
          </cell>
          <cell r="R2134" t="str">
            <v>박스</v>
          </cell>
          <cell r="T2134" t="str">
            <v>COVER TANK/UNIT_HC3,61-1836/61-1835</v>
          </cell>
          <cell r="U2134">
            <v>43860</v>
          </cell>
          <cell r="V2134" t="str">
            <v>세일하이테크</v>
          </cell>
          <cell r="W2134" t="str">
            <v>꺼꾸로조립_중량관리 철저, 초물:320~335</v>
          </cell>
          <cell r="Y2134">
            <v>30</v>
          </cell>
          <cell r="Z2134">
            <v>8922</v>
          </cell>
          <cell r="AC2134" t="str">
            <v>석상준과장, 2020.04.17개조입고,2020.07.24 코팅완료, 2020.09.02 사용배율변경(40-&gt;36), 2010.10.19기준중량변경(226-&gt;308)</v>
          </cell>
          <cell r="AD2134">
            <v>0.85</v>
          </cell>
          <cell r="AF2134">
            <v>6</v>
          </cell>
        </row>
        <row r="2135">
          <cell r="A2135" t="str">
            <v>65C-B/M</v>
          </cell>
          <cell r="B2135" t="str">
            <v>저발</v>
          </cell>
          <cell r="C2135">
            <v>3</v>
          </cell>
          <cell r="D2135">
            <v>100</v>
          </cell>
          <cell r="E2135">
            <v>15</v>
          </cell>
          <cell r="F2135">
            <v>36</v>
          </cell>
          <cell r="G2135" t="str">
            <v>ZP2500</v>
          </cell>
          <cell r="H2135">
            <v>200</v>
          </cell>
          <cell r="I2135">
            <v>2</v>
          </cell>
          <cell r="J2135" t="str">
            <v>청호나이스</v>
          </cell>
          <cell r="K2135">
            <v>44</v>
          </cell>
          <cell r="L2135">
            <v>47</v>
          </cell>
          <cell r="M2135">
            <v>29.7</v>
          </cell>
          <cell r="N2135">
            <v>31.7</v>
          </cell>
          <cell r="P2135">
            <v>700</v>
          </cell>
          <cell r="Q2135">
            <v>200</v>
          </cell>
          <cell r="R2135" t="str">
            <v>박스</v>
          </cell>
          <cell r="T2135" t="str">
            <v>MOTER BACK/MODULE HC3,61-1840/61-1839</v>
          </cell>
          <cell r="U2135">
            <v>43864</v>
          </cell>
          <cell r="V2135" t="str">
            <v>제일EPS</v>
          </cell>
          <cell r="W2135" t="str">
            <v>중량관리 철저, 초물:18~21</v>
          </cell>
          <cell r="Y2135">
            <v>30</v>
          </cell>
          <cell r="Z2135">
            <v>477</v>
          </cell>
          <cell r="AC2135" t="str">
            <v>석상준과장, 2020.03.11개조입고, 2020.09.02 사용배율변경(40-&gt;36), 2020.09.18코팅완료, 2010.10.19기준중량변경(16-&gt;21)</v>
          </cell>
          <cell r="AD2135">
            <v>0.85</v>
          </cell>
          <cell r="AF2135">
            <v>4</v>
          </cell>
        </row>
        <row r="2136">
          <cell r="A2136" t="str">
            <v>650DXU7V</v>
          </cell>
          <cell r="B2136" t="str">
            <v>SET</v>
          </cell>
          <cell r="C2136">
            <v>2</v>
          </cell>
          <cell r="D2136">
            <v>110</v>
          </cell>
          <cell r="E2136">
            <v>1411</v>
          </cell>
          <cell r="F2136">
            <v>65</v>
          </cell>
          <cell r="G2136" t="str">
            <v>B240NS</v>
          </cell>
          <cell r="H2136">
            <v>3</v>
          </cell>
          <cell r="I2136">
            <v>4</v>
          </cell>
          <cell r="J2136" t="str">
            <v>뉴옵틱스</v>
          </cell>
          <cell r="K2136">
            <v>298</v>
          </cell>
          <cell r="L2136">
            <v>302</v>
          </cell>
          <cell r="M2136">
            <v>303</v>
          </cell>
          <cell r="N2136">
            <v>307</v>
          </cell>
          <cell r="O2136">
            <v>9312</v>
          </cell>
          <cell r="P2136">
            <v>1700</v>
          </cell>
          <cell r="Q2136">
            <v>400</v>
          </cell>
          <cell r="R2136" t="str">
            <v>검정</v>
          </cell>
          <cell r="S2136" t="str">
            <v>검정</v>
          </cell>
          <cell r="T2136" t="str">
            <v>T:MAK03-0024A_P1,B:MAK03-0025A_P1</v>
          </cell>
          <cell r="U2136">
            <v>42802</v>
          </cell>
          <cell r="V2136" t="str">
            <v>금형제조부</v>
          </cell>
          <cell r="W2136" t="str">
            <v>TOP/BOT따로포장,거꾸로조립,냉각주의!</v>
          </cell>
          <cell r="Y2136">
            <v>50</v>
          </cell>
          <cell r="Z2136">
            <v>70522</v>
          </cell>
          <cell r="AC2136" t="str">
            <v>최재학계장</v>
          </cell>
          <cell r="AD2136">
            <v>0.85</v>
          </cell>
          <cell r="AE2136">
            <v>110</v>
          </cell>
          <cell r="AF2136">
            <v>1</v>
          </cell>
        </row>
        <row r="2137">
          <cell r="A2137" t="str">
            <v>650DXU7S-SET</v>
          </cell>
          <cell r="B2137" t="str">
            <v>SET</v>
          </cell>
          <cell r="C2137">
            <v>1</v>
          </cell>
          <cell r="D2137">
            <v>100</v>
          </cell>
          <cell r="E2137">
            <v>1962</v>
          </cell>
          <cell r="F2137">
            <v>65</v>
          </cell>
          <cell r="G2137" t="str">
            <v>B240NS</v>
          </cell>
          <cell r="H2137" t="str">
            <v>TB:3 S-L/R:6</v>
          </cell>
          <cell r="I2137">
            <v>6</v>
          </cell>
          <cell r="J2137" t="str">
            <v>뉴옵틱스</v>
          </cell>
          <cell r="K2137">
            <v>293</v>
          </cell>
          <cell r="L2137">
            <v>297</v>
          </cell>
          <cell r="M2137">
            <v>298</v>
          </cell>
          <cell r="N2137">
            <v>302</v>
          </cell>
          <cell r="P2137">
            <v>1500</v>
          </cell>
          <cell r="Q2137">
            <v>400</v>
          </cell>
          <cell r="R2137" t="str">
            <v>노랑</v>
          </cell>
          <cell r="S2137" t="str">
            <v>노랑</v>
          </cell>
          <cell r="U2137">
            <v>44120</v>
          </cell>
          <cell r="V2137" t="str">
            <v>제이엠</v>
          </cell>
          <cell r="Y2137">
            <v>50</v>
          </cell>
          <cell r="Z2137">
            <v>98119</v>
          </cell>
          <cell r="AC2137" t="str">
            <v>석상준과장, 2020.11.17 각인부착, 2020.12.03 휘다홀 수리, 2021.03.11사용배율변경(56-&gt;62)</v>
          </cell>
          <cell r="AD2137">
            <v>0.85</v>
          </cell>
          <cell r="AF2137">
            <v>4</v>
          </cell>
        </row>
        <row r="2138">
          <cell r="A2138" t="str">
            <v>650DXF1V-SET</v>
          </cell>
          <cell r="B2138" t="str">
            <v>SET</v>
          </cell>
          <cell r="C2138">
            <v>1</v>
          </cell>
          <cell r="D2138">
            <v>190</v>
          </cell>
          <cell r="E2138">
            <v>2473</v>
          </cell>
          <cell r="F2138">
            <v>58</v>
          </cell>
          <cell r="G2138" t="str">
            <v>B240NS</v>
          </cell>
          <cell r="H2138">
            <v>1</v>
          </cell>
          <cell r="I2138">
            <v>4</v>
          </cell>
          <cell r="J2138" t="str">
            <v>뉴옵틱스</v>
          </cell>
          <cell r="K2138">
            <v>258</v>
          </cell>
          <cell r="L2138">
            <v>262</v>
          </cell>
          <cell r="M2138">
            <v>358</v>
          </cell>
          <cell r="N2138">
            <v>362</v>
          </cell>
          <cell r="O2138">
            <v>17059</v>
          </cell>
          <cell r="P2138">
            <v>1360</v>
          </cell>
          <cell r="Q2138">
            <v>450</v>
          </cell>
          <cell r="R2138" t="str">
            <v>보라</v>
          </cell>
          <cell r="S2138" t="str">
            <v>보라</v>
          </cell>
          <cell r="T2138" t="str">
            <v>T:MAK03-0029/28A-P1,B:MAK03-0031/30A-P1</v>
          </cell>
          <cell r="U2138">
            <v>42863</v>
          </cell>
          <cell r="V2138" t="str">
            <v>세일하이테크</v>
          </cell>
          <cell r="Y2138">
            <v>50</v>
          </cell>
          <cell r="Z2138">
            <v>123614</v>
          </cell>
          <cell r="AC2138" t="str">
            <v>최재학계장,2017.10.24기준배율변경(62-&gt;53)</v>
          </cell>
          <cell r="AD2138">
            <v>0.85</v>
          </cell>
          <cell r="AE2138">
            <v>190</v>
          </cell>
          <cell r="AF2138">
            <v>2</v>
          </cell>
        </row>
        <row r="2139">
          <cell r="A2139" t="str">
            <v>650DXF1V-DOWN</v>
          </cell>
          <cell r="B2139" t="str">
            <v>SET</v>
          </cell>
          <cell r="C2139">
            <v>2</v>
          </cell>
          <cell r="D2139">
            <v>90</v>
          </cell>
          <cell r="E2139">
            <v>606</v>
          </cell>
          <cell r="F2139">
            <v>58</v>
          </cell>
          <cell r="G2139" t="str">
            <v>B240NS</v>
          </cell>
          <cell r="H2139">
            <v>10</v>
          </cell>
          <cell r="I2139">
            <v>2</v>
          </cell>
          <cell r="J2139" t="str">
            <v>뉴옵틱스</v>
          </cell>
          <cell r="K2139">
            <v>104</v>
          </cell>
          <cell r="L2139">
            <v>106</v>
          </cell>
          <cell r="M2139">
            <v>104</v>
          </cell>
          <cell r="N2139">
            <v>106</v>
          </cell>
          <cell r="O2139">
            <v>4180</v>
          </cell>
          <cell r="P2139">
            <v>1360</v>
          </cell>
          <cell r="Q2139">
            <v>200</v>
          </cell>
          <cell r="R2139" t="str">
            <v>빨강</v>
          </cell>
          <cell r="S2139" t="str">
            <v>빨강</v>
          </cell>
          <cell r="T2139" t="str">
            <v>L:MAK03-0032A-P1,R:MAK03-0033A-P1</v>
          </cell>
          <cell r="U2139">
            <v>42853</v>
          </cell>
          <cell r="V2139" t="str">
            <v>세일하이테크</v>
          </cell>
          <cell r="Y2139">
            <v>50</v>
          </cell>
          <cell r="Z2139">
            <v>30291</v>
          </cell>
          <cell r="AC2139" t="str">
            <v>최재학계장,2017.10.24기준배율변경(62-&gt;53)</v>
          </cell>
          <cell r="AD2139">
            <v>0.85</v>
          </cell>
          <cell r="AE2139">
            <v>90</v>
          </cell>
          <cell r="AF2139">
            <v>1</v>
          </cell>
        </row>
        <row r="2140">
          <cell r="A2140" t="str">
            <v>65*78*205(40배)</v>
          </cell>
          <cell r="B2140" t="str">
            <v>PAD</v>
          </cell>
          <cell r="J2140" t="str">
            <v>경동나비엔</v>
          </cell>
          <cell r="O2140">
            <v>140</v>
          </cell>
        </row>
        <row r="2141">
          <cell r="A2141" t="str">
            <v>65*39*205(40배)</v>
          </cell>
          <cell r="B2141" t="str">
            <v>PAD</v>
          </cell>
          <cell r="J2141" t="str">
            <v>경동나비엔</v>
          </cell>
          <cell r="O2141">
            <v>70</v>
          </cell>
        </row>
        <row r="2142">
          <cell r="A2142" t="str">
            <v>645*42*30*15*12</v>
          </cell>
          <cell r="B2142" t="str">
            <v>PAD</v>
          </cell>
          <cell r="E2142">
            <v>0</v>
          </cell>
          <cell r="J2142" t="str">
            <v>현보</v>
          </cell>
          <cell r="O2142">
            <v>420</v>
          </cell>
          <cell r="P2142" t="str">
            <v>645*42*30*15*12</v>
          </cell>
          <cell r="Q2142" t="str">
            <v>DOOR HANDLE</v>
          </cell>
        </row>
        <row r="2143">
          <cell r="A2143" t="str">
            <v>645*42*30*15*12</v>
          </cell>
          <cell r="B2143" t="str">
            <v>PAD</v>
          </cell>
          <cell r="E2143">
            <v>0</v>
          </cell>
          <cell r="J2143" t="str">
            <v>현보</v>
          </cell>
          <cell r="O2143">
            <v>420</v>
          </cell>
          <cell r="P2143" t="str">
            <v>645*42*30*15*12</v>
          </cell>
          <cell r="Q2143" t="str">
            <v>DOOR HANDLE</v>
          </cell>
        </row>
        <row r="2144">
          <cell r="A2144" t="str">
            <v>630*448*40T</v>
          </cell>
          <cell r="B2144" t="str">
            <v>PAD</v>
          </cell>
          <cell r="E2144">
            <v>0</v>
          </cell>
          <cell r="J2144" t="str">
            <v>삼성기흥</v>
          </cell>
          <cell r="O2144">
            <v>2000</v>
          </cell>
        </row>
        <row r="2145">
          <cell r="A2145" t="str">
            <v>630*300*30T</v>
          </cell>
          <cell r="B2145" t="str">
            <v>PSSY-290</v>
          </cell>
          <cell r="E2145">
            <v>63</v>
          </cell>
          <cell r="J2145" t="str">
            <v>케이웨더</v>
          </cell>
          <cell r="O2145">
            <v>700</v>
          </cell>
        </row>
        <row r="2146">
          <cell r="A2146" t="str">
            <v>600*600*30T</v>
          </cell>
          <cell r="B2146" t="str">
            <v>PAD</v>
          </cell>
          <cell r="E2146">
            <v>216</v>
          </cell>
          <cell r="J2146" t="str">
            <v>SK매직</v>
          </cell>
          <cell r="O2146">
            <v>1200</v>
          </cell>
          <cell r="T2146" t="str">
            <v>DWA90 패드</v>
          </cell>
          <cell r="U2146">
            <v>44134</v>
          </cell>
        </row>
        <row r="2147">
          <cell r="A2147" t="str">
            <v>600*600*30T</v>
          </cell>
          <cell r="B2147" t="str">
            <v>PAD</v>
          </cell>
          <cell r="J2147" t="str">
            <v>SK매직</v>
          </cell>
        </row>
        <row r="2148">
          <cell r="A2148" t="str">
            <v>600*600*15T</v>
          </cell>
          <cell r="B2148" t="str">
            <v>PAD</v>
          </cell>
          <cell r="E2148">
            <v>0</v>
          </cell>
          <cell r="J2148" t="str">
            <v>크라텍</v>
          </cell>
          <cell r="O2148">
            <v>360</v>
          </cell>
        </row>
        <row r="2149">
          <cell r="A2149" t="str">
            <v>600*600*15T</v>
          </cell>
          <cell r="B2149" t="str">
            <v>PAD</v>
          </cell>
          <cell r="E2149">
            <v>0</v>
          </cell>
          <cell r="J2149" t="str">
            <v>크라텍</v>
          </cell>
          <cell r="O2149">
            <v>360</v>
          </cell>
        </row>
        <row r="2150">
          <cell r="A2150" t="str">
            <v>600*300*300 60배</v>
          </cell>
          <cell r="B2150" t="str">
            <v>PAD</v>
          </cell>
          <cell r="E2150">
            <v>0</v>
          </cell>
          <cell r="J2150" t="str">
            <v>위니아만도</v>
          </cell>
          <cell r="O2150">
            <v>4000</v>
          </cell>
          <cell r="P2150" t="str">
            <v>600*300*300 60배</v>
          </cell>
        </row>
        <row r="2151">
          <cell r="A2151" t="str">
            <v>600*300*300 60배</v>
          </cell>
          <cell r="B2151" t="str">
            <v>PAD</v>
          </cell>
          <cell r="E2151">
            <v>0</v>
          </cell>
          <cell r="J2151" t="str">
            <v>위니아만도</v>
          </cell>
          <cell r="O2151">
            <v>4000</v>
          </cell>
          <cell r="P2151" t="str">
            <v>600*300*300 60배</v>
          </cell>
        </row>
        <row r="2152">
          <cell r="A2152" t="str">
            <v>600*300*300 50배</v>
          </cell>
          <cell r="B2152" t="str">
            <v>PAD</v>
          </cell>
          <cell r="E2152">
            <v>0</v>
          </cell>
          <cell r="J2152" t="str">
            <v>위니아만도</v>
          </cell>
          <cell r="O2152">
            <v>5500</v>
          </cell>
          <cell r="P2152" t="str">
            <v>600*300*300 50배</v>
          </cell>
        </row>
        <row r="2153">
          <cell r="A2153" t="str">
            <v>600*300*300 50배</v>
          </cell>
          <cell r="B2153" t="str">
            <v>PAD</v>
          </cell>
          <cell r="E2153">
            <v>0</v>
          </cell>
          <cell r="J2153" t="str">
            <v>위니아만도</v>
          </cell>
          <cell r="O2153">
            <v>5500</v>
          </cell>
          <cell r="P2153" t="str">
            <v>600*300*300 50배</v>
          </cell>
        </row>
        <row r="2154">
          <cell r="A2154" t="str">
            <v>600*300*300 40배</v>
          </cell>
          <cell r="B2154" t="str">
            <v>PAD</v>
          </cell>
          <cell r="E2154">
            <v>0</v>
          </cell>
          <cell r="J2154" t="str">
            <v>위니아만도</v>
          </cell>
          <cell r="O2154">
            <v>7000</v>
          </cell>
          <cell r="P2154" t="str">
            <v>600*300*300 40배</v>
          </cell>
        </row>
        <row r="2155">
          <cell r="A2155" t="str">
            <v>600*300*300 40배</v>
          </cell>
          <cell r="B2155" t="str">
            <v>PAD</v>
          </cell>
          <cell r="E2155">
            <v>0</v>
          </cell>
          <cell r="J2155" t="str">
            <v>위니아만도</v>
          </cell>
          <cell r="O2155">
            <v>7000</v>
          </cell>
          <cell r="P2155" t="str">
            <v>600*300*300 40배</v>
          </cell>
        </row>
        <row r="2156">
          <cell r="A2156" t="str">
            <v>600*240*15T</v>
          </cell>
          <cell r="B2156" t="str">
            <v>PAD</v>
          </cell>
          <cell r="E2156">
            <v>0</v>
          </cell>
          <cell r="J2156" t="str">
            <v>크라텍</v>
          </cell>
          <cell r="O2156">
            <v>120</v>
          </cell>
        </row>
        <row r="2157">
          <cell r="A2157" t="str">
            <v>600*240*15T</v>
          </cell>
          <cell r="B2157" t="str">
            <v>PAD</v>
          </cell>
          <cell r="E2157">
            <v>0</v>
          </cell>
          <cell r="J2157" t="str">
            <v>크라텍</v>
          </cell>
          <cell r="O2157">
            <v>120</v>
          </cell>
        </row>
        <row r="2158">
          <cell r="A2158" t="str">
            <v>6.5K</v>
          </cell>
          <cell r="B2158" t="str">
            <v>BOX</v>
          </cell>
          <cell r="C2158">
            <v>2</v>
          </cell>
          <cell r="D2158">
            <v>120</v>
          </cell>
          <cell r="E2158">
            <v>210</v>
          </cell>
          <cell r="F2158">
            <v>70</v>
          </cell>
          <cell r="G2158" t="str">
            <v>B240NS</v>
          </cell>
          <cell r="H2158">
            <v>10</v>
          </cell>
          <cell r="I2158">
            <v>2</v>
          </cell>
          <cell r="J2158" t="str">
            <v>삼일이노팩</v>
          </cell>
          <cell r="K2158">
            <v>38</v>
          </cell>
          <cell r="L2158">
            <v>42</v>
          </cell>
          <cell r="M2158">
            <v>107</v>
          </cell>
          <cell r="N2158">
            <v>109</v>
          </cell>
          <cell r="O2158">
            <v>1000</v>
          </cell>
          <cell r="P2158">
            <v>1300</v>
          </cell>
          <cell r="Q2158">
            <v>200</v>
          </cell>
          <cell r="S2158">
            <v>0</v>
          </cell>
          <cell r="T2158" t="str">
            <v>SI-6.5K</v>
          </cell>
          <cell r="W2158" t="str">
            <v>삼일팩에서 제품만받음.(금형은없음)</v>
          </cell>
          <cell r="AC2158" t="str">
            <v>삼일팩에서 제품만받음.(금형은없음)</v>
          </cell>
          <cell r="AD2158">
            <v>0.85</v>
          </cell>
          <cell r="AE2158">
            <v>90</v>
          </cell>
          <cell r="AF2158">
            <v>1</v>
          </cell>
        </row>
        <row r="2159">
          <cell r="A2159" t="str">
            <v>5구칸막이</v>
          </cell>
          <cell r="B2159" t="str">
            <v>BOX</v>
          </cell>
          <cell r="C2159">
            <v>3</v>
          </cell>
          <cell r="D2159">
            <v>80</v>
          </cell>
          <cell r="E2159">
            <v>55</v>
          </cell>
          <cell r="F2159">
            <v>60</v>
          </cell>
          <cell r="G2159" t="str">
            <v>B240NS</v>
          </cell>
          <cell r="H2159">
            <v>30</v>
          </cell>
          <cell r="I2159">
            <v>1</v>
          </cell>
          <cell r="J2159" t="str">
            <v>㈜탭스</v>
          </cell>
          <cell r="K2159">
            <v>60</v>
          </cell>
          <cell r="L2159">
            <v>64</v>
          </cell>
          <cell r="O2159">
            <v>856</v>
          </cell>
          <cell r="P2159">
            <v>1300</v>
          </cell>
          <cell r="Q2159">
            <v>200</v>
          </cell>
          <cell r="R2159" t="str">
            <v>녹색</v>
          </cell>
          <cell r="T2159" t="str">
            <v>3GU/5GU PAD</v>
          </cell>
          <cell r="U2159">
            <v>45267</v>
          </cell>
          <cell r="V2159" t="str">
            <v>대양이동입고</v>
          </cell>
          <cell r="W2159" t="str">
            <v>3구/5구 칸막이 동일 금형</v>
          </cell>
          <cell r="AD2159">
            <v>0.85</v>
          </cell>
          <cell r="AE2159">
            <v>100</v>
          </cell>
        </row>
        <row r="2160">
          <cell r="A2160" t="str">
            <v>5구칸막이</v>
          </cell>
          <cell r="B2160" t="str">
            <v>BOX</v>
          </cell>
          <cell r="C2160">
            <v>3</v>
          </cell>
          <cell r="D2160">
            <v>80</v>
          </cell>
          <cell r="E2160">
            <v>55</v>
          </cell>
          <cell r="F2160">
            <v>60</v>
          </cell>
          <cell r="G2160" t="str">
            <v>B240NS</v>
          </cell>
          <cell r="H2160">
            <v>24</v>
          </cell>
          <cell r="I2160">
            <v>1</v>
          </cell>
          <cell r="J2160" t="str">
            <v>㈜탭스</v>
          </cell>
          <cell r="K2160">
            <v>60</v>
          </cell>
          <cell r="L2160">
            <v>64</v>
          </cell>
          <cell r="O2160">
            <v>856</v>
          </cell>
          <cell r="P2160">
            <v>1300</v>
          </cell>
          <cell r="Q2160">
            <v>200</v>
          </cell>
          <cell r="R2160" t="str">
            <v>녹색</v>
          </cell>
          <cell r="T2160" t="str">
            <v>3GU/5GU PAD</v>
          </cell>
          <cell r="U2160">
            <v>45267</v>
          </cell>
          <cell r="V2160" t="str">
            <v>대양이동입고</v>
          </cell>
          <cell r="W2160" t="str">
            <v>3구/5구 칸막이 동일 금형</v>
          </cell>
          <cell r="AD2160">
            <v>0.85</v>
          </cell>
        </row>
        <row r="2161">
          <cell r="A2161" t="str">
            <v>5구칸막이</v>
          </cell>
          <cell r="B2161" t="str">
            <v>BOX</v>
          </cell>
          <cell r="C2161">
            <v>3</v>
          </cell>
          <cell r="D2161">
            <v>80</v>
          </cell>
          <cell r="E2161">
            <v>55</v>
          </cell>
          <cell r="F2161">
            <v>60</v>
          </cell>
          <cell r="G2161" t="str">
            <v>B240NS</v>
          </cell>
          <cell r="H2161">
            <v>24</v>
          </cell>
          <cell r="I2161">
            <v>1</v>
          </cell>
          <cell r="J2161" t="str">
            <v>㈜탭스</v>
          </cell>
          <cell r="K2161">
            <v>60</v>
          </cell>
          <cell r="L2161">
            <v>64</v>
          </cell>
          <cell r="O2161">
            <v>856</v>
          </cell>
          <cell r="P2161">
            <v>1300</v>
          </cell>
          <cell r="Q2161">
            <v>200</v>
          </cell>
          <cell r="R2161" t="str">
            <v>녹색</v>
          </cell>
          <cell r="T2161" t="str">
            <v>3GU/5GU PAD</v>
          </cell>
          <cell r="U2161">
            <v>45267</v>
          </cell>
          <cell r="V2161" t="str">
            <v>대양이동입고</v>
          </cell>
          <cell r="W2161" t="str">
            <v>3구/5구 칸막이 동일 금형</v>
          </cell>
          <cell r="AD2161">
            <v>0.85</v>
          </cell>
        </row>
        <row r="2162">
          <cell r="A2162" t="str">
            <v>5구선물셋트(회색)</v>
          </cell>
          <cell r="B2162" t="str">
            <v>회색</v>
          </cell>
          <cell r="C2162">
            <v>1</v>
          </cell>
          <cell r="D2162">
            <v>85</v>
          </cell>
          <cell r="E2162">
            <v>520</v>
          </cell>
          <cell r="F2162">
            <v>48</v>
          </cell>
          <cell r="G2162" t="str">
            <v>ZP2500</v>
          </cell>
          <cell r="H2162">
            <v>5</v>
          </cell>
          <cell r="I2162">
            <v>3</v>
          </cell>
          <cell r="J2162" t="str">
            <v>평창축협</v>
          </cell>
          <cell r="K2162">
            <v>28</v>
          </cell>
          <cell r="L2162">
            <v>32</v>
          </cell>
          <cell r="M2162">
            <v>136.5</v>
          </cell>
          <cell r="N2162">
            <v>140.5</v>
          </cell>
          <cell r="O2162">
            <v>4180</v>
          </cell>
          <cell r="P2162">
            <v>1360</v>
          </cell>
          <cell r="Q2162">
            <v>250</v>
          </cell>
          <cell r="R2162" t="str">
            <v>흰색</v>
          </cell>
          <cell r="S2162" t="str">
            <v>흰색</v>
          </cell>
          <cell r="T2162" t="str">
            <v>갈비박스5구</v>
          </cell>
          <cell r="U2162">
            <v>41841</v>
          </cell>
          <cell r="V2162" t="str">
            <v>금형제조부</v>
          </cell>
          <cell r="W2162" t="str">
            <v>갈비5구T/B/M</v>
          </cell>
          <cell r="X2162" t="str">
            <v>Q-0202</v>
          </cell>
          <cell r="Y2162">
            <v>40</v>
          </cell>
          <cell r="Z2162">
            <v>20931</v>
          </cell>
          <cell r="AC2162" t="str">
            <v>석상준대리, 금형없음, 신5구선물셋트 동일금형,2015.01.07 기준중량변경(523-&gt;520)</v>
          </cell>
          <cell r="AD2162">
            <v>0.85</v>
          </cell>
          <cell r="AE2162">
            <v>85</v>
          </cell>
          <cell r="AF2162">
            <v>10</v>
          </cell>
        </row>
        <row r="2163">
          <cell r="A2163" t="str">
            <v>5구선물셋트(64배)</v>
          </cell>
          <cell r="B2163" t="str">
            <v>BOX</v>
          </cell>
          <cell r="C2163">
            <v>1</v>
          </cell>
          <cell r="D2163">
            <v>80</v>
          </cell>
          <cell r="E2163">
            <v>309</v>
          </cell>
          <cell r="F2163">
            <v>74</v>
          </cell>
          <cell r="G2163" t="str">
            <v>SE2500M</v>
          </cell>
          <cell r="H2163">
            <v>5</v>
          </cell>
          <cell r="I2163">
            <v>3</v>
          </cell>
          <cell r="J2163" t="str">
            <v>평창축협</v>
          </cell>
          <cell r="K2163">
            <v>28</v>
          </cell>
          <cell r="L2163">
            <v>32</v>
          </cell>
          <cell r="M2163">
            <v>136.5</v>
          </cell>
          <cell r="N2163">
            <v>140.5</v>
          </cell>
          <cell r="O2163">
            <v>4180</v>
          </cell>
          <cell r="P2163">
            <v>1360</v>
          </cell>
          <cell r="Q2163">
            <v>250</v>
          </cell>
          <cell r="R2163" t="str">
            <v>보라</v>
          </cell>
          <cell r="T2163" t="str">
            <v>갈비박스5구</v>
          </cell>
          <cell r="U2163">
            <v>41841</v>
          </cell>
          <cell r="V2163" t="str">
            <v>금형제조부</v>
          </cell>
          <cell r="W2163" t="str">
            <v>갈비5구T/B/M</v>
          </cell>
          <cell r="X2163" t="str">
            <v>Q-0202</v>
          </cell>
          <cell r="Y2163">
            <v>64</v>
          </cell>
          <cell r="Z2163">
            <v>19786</v>
          </cell>
          <cell r="AC2163" t="str">
            <v>석상준 과장금형없음, 신5구선물셋트 동일금형</v>
          </cell>
          <cell r="AD2163">
            <v>0.85</v>
          </cell>
          <cell r="AE2163">
            <v>80</v>
          </cell>
          <cell r="AF2163">
            <v>2</v>
          </cell>
        </row>
        <row r="2164">
          <cell r="A2164" t="str">
            <v>5구선물셋트</v>
          </cell>
          <cell r="B2164" t="str">
            <v>BOX</v>
          </cell>
          <cell r="C2164">
            <v>1</v>
          </cell>
          <cell r="D2164">
            <v>80</v>
          </cell>
          <cell r="E2164">
            <v>520</v>
          </cell>
          <cell r="F2164">
            <v>50</v>
          </cell>
          <cell r="G2164" t="str">
            <v>B240NS</v>
          </cell>
          <cell r="H2164">
            <v>5</v>
          </cell>
          <cell r="I2164">
            <v>3</v>
          </cell>
          <cell r="J2164" t="str">
            <v>평창축협</v>
          </cell>
          <cell r="K2164">
            <v>28</v>
          </cell>
          <cell r="L2164">
            <v>32</v>
          </cell>
          <cell r="M2164">
            <v>136.5</v>
          </cell>
          <cell r="N2164">
            <v>140.5</v>
          </cell>
          <cell r="O2164">
            <v>4180</v>
          </cell>
          <cell r="P2164">
            <v>1360</v>
          </cell>
          <cell r="Q2164">
            <v>250</v>
          </cell>
          <cell r="R2164" t="str">
            <v>검정</v>
          </cell>
          <cell r="S2164" t="str">
            <v>검정</v>
          </cell>
          <cell r="T2164" t="str">
            <v>갈비박스5구,끈흰색~검정으로 변경</v>
          </cell>
          <cell r="U2164">
            <v>41841</v>
          </cell>
          <cell r="V2164" t="str">
            <v>금형제조부</v>
          </cell>
          <cell r="W2164" t="str">
            <v>갈비5구T/B/M</v>
          </cell>
          <cell r="X2164" t="str">
            <v>Q-0202</v>
          </cell>
          <cell r="Y2164">
            <v>40</v>
          </cell>
          <cell r="Z2164">
            <v>19786</v>
          </cell>
          <cell r="AC2164" t="str">
            <v>석상준대리, 금형없음, 신5구선물셋트 동일금형,2015.01.07 기준중량변경(523-&gt;520), 2020.07.15개조완료로인한 체적변경(20931-&gt;19785.9)</v>
          </cell>
          <cell r="AD2164">
            <v>0.85</v>
          </cell>
          <cell r="AE2164">
            <v>80</v>
          </cell>
          <cell r="AF2164">
            <v>2</v>
          </cell>
        </row>
        <row r="2165">
          <cell r="A2165" t="str">
            <v>5ML-EPS#2</v>
          </cell>
          <cell r="B2165" t="str">
            <v>SET</v>
          </cell>
          <cell r="C2165">
            <v>24</v>
          </cell>
          <cell r="D2165">
            <v>75</v>
          </cell>
          <cell r="E2165">
            <v>9</v>
          </cell>
          <cell r="F2165">
            <v>65</v>
          </cell>
          <cell r="G2165" t="str">
            <v>B240NS</v>
          </cell>
          <cell r="H2165">
            <v>480</v>
          </cell>
          <cell r="I2165">
            <v>1</v>
          </cell>
          <cell r="J2165" t="str">
            <v>케어젠</v>
          </cell>
          <cell r="K2165">
            <v>20</v>
          </cell>
          <cell r="L2165">
            <v>22</v>
          </cell>
          <cell r="O2165">
            <v>190</v>
          </cell>
          <cell r="P2165">
            <v>1360</v>
          </cell>
          <cell r="Q2165">
            <v>150</v>
          </cell>
          <cell r="R2165" t="str">
            <v>박스</v>
          </cell>
          <cell r="S2165" t="str">
            <v>박스</v>
          </cell>
          <cell r="T2165" t="str">
            <v>5ML-EPS#2</v>
          </cell>
          <cell r="U2165">
            <v>42180</v>
          </cell>
          <cell r="V2165" t="str">
            <v>금형제조부</v>
          </cell>
          <cell r="W2165" t="str">
            <v>캐비티전체생산확인</v>
          </cell>
          <cell r="X2165" t="str">
            <v>A-0606</v>
          </cell>
          <cell r="AC2165" t="str">
            <v>강윤호차장,미코팅입고,2015.07.02코팅입고</v>
          </cell>
          <cell r="AD2165">
            <v>0.9</v>
          </cell>
          <cell r="AE2165">
            <v>155</v>
          </cell>
          <cell r="AF2165">
            <v>4</v>
          </cell>
        </row>
        <row r="2166">
          <cell r="A2166" t="str">
            <v>598*268*20T(60배)</v>
          </cell>
          <cell r="B2166" t="str">
            <v>PAD</v>
          </cell>
          <cell r="E2166">
            <v>54</v>
          </cell>
          <cell r="J2166" t="str">
            <v>해외문화</v>
          </cell>
          <cell r="O2166">
            <v>340</v>
          </cell>
          <cell r="P2166" t="str">
            <v>598*268*20T(60배)</v>
          </cell>
          <cell r="S2166">
            <v>80</v>
          </cell>
        </row>
        <row r="2167">
          <cell r="A2167" t="str">
            <v>598*268*20T(60배)</v>
          </cell>
          <cell r="B2167" t="str">
            <v>PAD</v>
          </cell>
          <cell r="E2167">
            <v>54</v>
          </cell>
          <cell r="J2167" t="str">
            <v>해외문화</v>
          </cell>
          <cell r="O2167">
            <v>340</v>
          </cell>
          <cell r="P2167" t="str">
            <v>598*268*20T(60배)</v>
          </cell>
        </row>
        <row r="2168">
          <cell r="A2168" t="str">
            <v>580*360*27T(40배)</v>
          </cell>
          <cell r="B2168" t="str">
            <v>PAD</v>
          </cell>
          <cell r="E2168">
            <v>141</v>
          </cell>
          <cell r="J2168" t="str">
            <v>SK매직</v>
          </cell>
          <cell r="O2168">
            <v>980</v>
          </cell>
          <cell r="P2168" t="str">
            <v>580*360*27T(40배)</v>
          </cell>
        </row>
        <row r="2169">
          <cell r="A2169" t="str">
            <v>580*360*27T(40배)</v>
          </cell>
          <cell r="B2169" t="str">
            <v>PAD</v>
          </cell>
          <cell r="E2169">
            <v>141</v>
          </cell>
          <cell r="J2169" t="str">
            <v>SK매직</v>
          </cell>
          <cell r="O2169">
            <v>980</v>
          </cell>
          <cell r="P2169" t="str">
            <v>580*360*27T(40배)</v>
          </cell>
        </row>
        <row r="2170">
          <cell r="A2170" t="str">
            <v>569*42*30*15*12</v>
          </cell>
          <cell r="B2170" t="str">
            <v>PAD</v>
          </cell>
          <cell r="E2170">
            <v>0</v>
          </cell>
          <cell r="J2170" t="str">
            <v>현보</v>
          </cell>
          <cell r="O2170">
            <v>320</v>
          </cell>
          <cell r="P2170" t="str">
            <v>569*42*30*15*12</v>
          </cell>
          <cell r="Q2170" t="str">
            <v>DOOR TOP</v>
          </cell>
        </row>
        <row r="2171">
          <cell r="A2171" t="str">
            <v>569*42*30*15*12</v>
          </cell>
          <cell r="B2171" t="str">
            <v>PAD</v>
          </cell>
          <cell r="E2171">
            <v>0</v>
          </cell>
          <cell r="J2171" t="str">
            <v>현보</v>
          </cell>
          <cell r="O2171">
            <v>320</v>
          </cell>
          <cell r="P2171" t="str">
            <v>569*42*30*15*12</v>
          </cell>
          <cell r="Q2171" t="str">
            <v>DOOR TOP</v>
          </cell>
        </row>
        <row r="2172">
          <cell r="A2172" t="str">
            <v>55XS2C-M</v>
          </cell>
          <cell r="B2172" t="str">
            <v>SET</v>
          </cell>
          <cell r="C2172">
            <v>1</v>
          </cell>
          <cell r="D2172">
            <v>250</v>
          </cell>
          <cell r="E2172">
            <v>4398</v>
          </cell>
          <cell r="F2172">
            <v>50</v>
          </cell>
          <cell r="G2172" t="str">
            <v>B240NS</v>
          </cell>
          <cell r="H2172">
            <v>1</v>
          </cell>
          <cell r="I2172">
            <v>2</v>
          </cell>
          <cell r="J2172" t="str">
            <v>뉴옵틱스</v>
          </cell>
          <cell r="K2172">
            <v>310</v>
          </cell>
          <cell r="L2172">
            <v>314</v>
          </cell>
          <cell r="M2172">
            <v>481</v>
          </cell>
          <cell r="N2172">
            <v>485</v>
          </cell>
          <cell r="O2172">
            <v>25505</v>
          </cell>
          <cell r="P2172">
            <v>1500</v>
          </cell>
          <cell r="Q2172">
            <v>600</v>
          </cell>
          <cell r="S2172">
            <v>0</v>
          </cell>
          <cell r="T2172" t="str">
            <v>MFZ65232001</v>
          </cell>
          <cell r="U2172">
            <v>42405</v>
          </cell>
          <cell r="V2172" t="str">
            <v>제일EPS</v>
          </cell>
          <cell r="W2172" t="str">
            <v>GBL03-0697A-P1/GBL03-0698A-P1</v>
          </cell>
          <cell r="Y2172">
            <v>40</v>
          </cell>
          <cell r="Z2172">
            <v>175896</v>
          </cell>
          <cell r="AC2172" t="str">
            <v>김창준과장, 2020.09.21BURR수리</v>
          </cell>
          <cell r="AD2172">
            <v>0.85</v>
          </cell>
          <cell r="AE2172">
            <v>250</v>
          </cell>
          <cell r="AF2172">
            <v>1</v>
          </cell>
        </row>
        <row r="2173">
          <cell r="A2173" t="str">
            <v>55XS2B-M</v>
          </cell>
          <cell r="B2173" t="str">
            <v>SET</v>
          </cell>
          <cell r="C2173">
            <v>1</v>
          </cell>
          <cell r="D2173">
            <v>210</v>
          </cell>
          <cell r="E2173">
            <v>3898</v>
          </cell>
          <cell r="F2173">
            <v>50</v>
          </cell>
          <cell r="G2173" t="str">
            <v>B240NS</v>
          </cell>
          <cell r="H2173">
            <v>1</v>
          </cell>
          <cell r="I2173">
            <v>2</v>
          </cell>
          <cell r="J2173" t="str">
            <v>뉴옵틱스</v>
          </cell>
          <cell r="K2173">
            <v>260.2</v>
          </cell>
          <cell r="L2173">
            <v>264.2</v>
          </cell>
          <cell r="M2173">
            <v>530.4</v>
          </cell>
          <cell r="N2173">
            <v>534.4</v>
          </cell>
          <cell r="O2173">
            <v>24000</v>
          </cell>
          <cell r="P2173">
            <v>1500</v>
          </cell>
          <cell r="Q2173">
            <v>600</v>
          </cell>
          <cell r="S2173">
            <v>0</v>
          </cell>
          <cell r="T2173" t="str">
            <v>MFZ64911401</v>
          </cell>
          <cell r="U2173">
            <v>42049</v>
          </cell>
          <cell r="V2173" t="str">
            <v>금형제조부</v>
          </cell>
          <cell r="W2173" t="str">
            <v>GBL03-0562A-P1/GBL03-0563A-P1/MFZ64911401</v>
          </cell>
          <cell r="X2173" t="str">
            <v>E-0608</v>
          </cell>
          <cell r="Y2173">
            <v>40</v>
          </cell>
          <cell r="Z2173">
            <v>155932</v>
          </cell>
          <cell r="AC2173" t="str">
            <v>김일환걔장2015.03.03기준중량변경(3939-&gt;3898)체적변경</v>
          </cell>
          <cell r="AD2173">
            <v>0.85</v>
          </cell>
          <cell r="AE2173">
            <v>210</v>
          </cell>
          <cell r="AF2173">
            <v>1</v>
          </cell>
        </row>
        <row r="2174">
          <cell r="A2174" t="str">
            <v>55SB/SONAGI(40배)</v>
          </cell>
          <cell r="B2174" t="str">
            <v>SET</v>
          </cell>
          <cell r="E2174">
            <v>2074</v>
          </cell>
          <cell r="J2174" t="str">
            <v>뉴옵틱스</v>
          </cell>
          <cell r="P2174">
            <v>1500</v>
          </cell>
          <cell r="Q2174">
            <v>350</v>
          </cell>
          <cell r="U2174">
            <v>45426</v>
          </cell>
          <cell r="V2174" t="str">
            <v>금형사업부</v>
          </cell>
          <cell r="Y2174">
            <v>50</v>
          </cell>
        </row>
        <row r="2175">
          <cell r="A2175" t="str">
            <v>55SB/SONAGI</v>
          </cell>
          <cell r="B2175" t="str">
            <v>SET</v>
          </cell>
          <cell r="C2175">
            <v>1</v>
          </cell>
          <cell r="D2175">
            <v>200</v>
          </cell>
          <cell r="E2175">
            <v>1659</v>
          </cell>
          <cell r="F2175">
            <v>50</v>
          </cell>
          <cell r="G2175" t="str">
            <v>B240NS</v>
          </cell>
          <cell r="H2175">
            <v>3</v>
          </cell>
          <cell r="I2175">
            <v>4</v>
          </cell>
          <cell r="J2175" t="str">
            <v>뉴옵틱스</v>
          </cell>
          <cell r="K2175">
            <v>200.5</v>
          </cell>
          <cell r="L2175">
            <v>204.5</v>
          </cell>
          <cell r="M2175">
            <v>200.5</v>
          </cell>
          <cell r="N2175">
            <v>204.5</v>
          </cell>
          <cell r="P2175">
            <v>1500</v>
          </cell>
          <cell r="Q2175">
            <v>350</v>
          </cell>
          <cell r="R2175" t="str">
            <v>녹색</v>
          </cell>
          <cell r="U2175">
            <v>45415</v>
          </cell>
          <cell r="V2175" t="str">
            <v>금형사업부</v>
          </cell>
          <cell r="Y2175">
            <v>50</v>
          </cell>
          <cell r="AD2175">
            <v>0.85</v>
          </cell>
          <cell r="AF2175">
            <v>12</v>
          </cell>
        </row>
        <row r="2176">
          <cell r="A2176" t="str">
            <v>55SB/SONAGI</v>
          </cell>
          <cell r="B2176" t="str">
            <v>SET</v>
          </cell>
          <cell r="C2176">
            <v>1</v>
          </cell>
          <cell r="D2176">
            <v>200</v>
          </cell>
          <cell r="E2176">
            <v>1659</v>
          </cell>
          <cell r="F2176">
            <v>50</v>
          </cell>
          <cell r="G2176" t="str">
            <v>B240NS</v>
          </cell>
          <cell r="H2176">
            <v>1</v>
          </cell>
          <cell r="I2176">
            <v>4</v>
          </cell>
          <cell r="J2176" t="str">
            <v>뉴옵틱스</v>
          </cell>
          <cell r="P2176">
            <v>1500</v>
          </cell>
          <cell r="Q2176">
            <v>350</v>
          </cell>
          <cell r="U2176">
            <v>45415</v>
          </cell>
          <cell r="V2176" t="str">
            <v>금형사업부</v>
          </cell>
          <cell r="Y2176">
            <v>50</v>
          </cell>
        </row>
        <row r="2177">
          <cell r="A2177" t="str">
            <v>55LX77B-M</v>
          </cell>
          <cell r="B2177" t="str">
            <v>SET</v>
          </cell>
          <cell r="C2177">
            <v>1</v>
          </cell>
          <cell r="D2177">
            <v>210</v>
          </cell>
          <cell r="E2177">
            <v>3961</v>
          </cell>
          <cell r="F2177">
            <v>50</v>
          </cell>
          <cell r="G2177" t="str">
            <v>B240NS</v>
          </cell>
          <cell r="H2177">
            <v>1</v>
          </cell>
          <cell r="I2177">
            <v>2</v>
          </cell>
          <cell r="J2177" t="str">
            <v>뉴옵틱스</v>
          </cell>
          <cell r="O2177">
            <v>22282</v>
          </cell>
          <cell r="P2177">
            <v>1500</v>
          </cell>
          <cell r="Q2177">
            <v>550</v>
          </cell>
          <cell r="S2177">
            <v>0</v>
          </cell>
          <cell r="T2177" t="str">
            <v>T:GBL03000537A/B:38A</v>
          </cell>
          <cell r="U2177">
            <v>41964</v>
          </cell>
          <cell r="V2177" t="str">
            <v>코모텍</v>
          </cell>
          <cell r="W2177" t="str">
            <v>MFZ64713401</v>
          </cell>
          <cell r="X2177" t="str">
            <v>E-1408</v>
          </cell>
          <cell r="Y2177">
            <v>40</v>
          </cell>
          <cell r="Z2177">
            <v>158500</v>
          </cell>
          <cell r="AC2177" t="str">
            <v>김일환사원2014.12.09재입고(세척)2015.01.08기준중량변경(3963-&gt;3961)</v>
          </cell>
          <cell r="AD2177">
            <v>0.85</v>
          </cell>
          <cell r="AE2177">
            <v>210</v>
          </cell>
          <cell r="AF2177">
            <v>1</v>
          </cell>
        </row>
        <row r="2178">
          <cell r="A2178" t="str">
            <v>55INCH-M</v>
          </cell>
          <cell r="B2178" t="str">
            <v>SET</v>
          </cell>
          <cell r="C2178">
            <v>2</v>
          </cell>
          <cell r="D2178">
            <v>260</v>
          </cell>
          <cell r="E2178">
            <v>1478</v>
          </cell>
          <cell r="F2178">
            <v>58</v>
          </cell>
          <cell r="G2178" t="str">
            <v>B240NS</v>
          </cell>
          <cell r="H2178">
            <v>18</v>
          </cell>
          <cell r="I2178">
            <v>1</v>
          </cell>
          <cell r="J2178" t="str">
            <v>뉴옵틱스</v>
          </cell>
          <cell r="K2178">
            <v>408</v>
          </cell>
          <cell r="L2178">
            <v>412</v>
          </cell>
          <cell r="O2178">
            <v>7360</v>
          </cell>
          <cell r="P2178">
            <v>1500</v>
          </cell>
          <cell r="Q2178">
            <v>500</v>
          </cell>
          <cell r="R2178" t="str">
            <v>보라</v>
          </cell>
          <cell r="S2178" t="str">
            <v>보라</v>
          </cell>
          <cell r="T2178" t="str">
            <v>4000L-0034C</v>
          </cell>
          <cell r="U2178">
            <v>41422</v>
          </cell>
          <cell r="V2178" t="str">
            <v>제일EPS</v>
          </cell>
          <cell r="W2178" t="str">
            <v>GBL03000011A</v>
          </cell>
          <cell r="X2178" t="str">
            <v>D-0106</v>
          </cell>
          <cell r="Y2178">
            <v>42</v>
          </cell>
          <cell r="AC2178" t="str">
            <v>조우리사원, 2013.07.05기준중량변경(1379-&gt;1552),2013.07.09 포장단위변경(1-&gt;2),2013.07.12 묶음단위변경(2-&gt;6),2013.08.05 코팅,2013.08.06(기준중량변경 1552-&gt;1478),2013.08.09 기준배율변경(45-&gt;50),2014.03.13 수정입고,2014.03.14끈색변경(노랑-&gt;보라),2014.03.24코팅입고,2014.04.12수정입고,2014.05.14 수정입고</v>
          </cell>
          <cell r="AD2178">
            <v>0.85</v>
          </cell>
          <cell r="AE2178">
            <v>260</v>
          </cell>
          <cell r="AF2178">
            <v>1</v>
          </cell>
        </row>
        <row r="2179">
          <cell r="A2179" t="str">
            <v>555.4*598.5*40T(60배)</v>
          </cell>
          <cell r="E2179">
            <v>221</v>
          </cell>
          <cell r="J2179" t="str">
            <v>SK매직</v>
          </cell>
          <cell r="O2179">
            <v>1460</v>
          </cell>
        </row>
        <row r="2180">
          <cell r="A2180" t="str">
            <v>550-UP/LOW</v>
          </cell>
          <cell r="B2180" t="str">
            <v>SET</v>
          </cell>
          <cell r="C2180">
            <v>2</v>
          </cell>
          <cell r="D2180">
            <v>80</v>
          </cell>
          <cell r="E2180">
            <v>282</v>
          </cell>
          <cell r="F2180">
            <v>74</v>
          </cell>
          <cell r="G2180" t="str">
            <v>B240NS</v>
          </cell>
          <cell r="H2180" t="str">
            <v>T10/B10</v>
          </cell>
          <cell r="I2180">
            <v>2</v>
          </cell>
          <cell r="J2180" t="str">
            <v>청호나이스</v>
          </cell>
          <cell r="K2180">
            <v>97</v>
          </cell>
          <cell r="L2180">
            <v>101</v>
          </cell>
          <cell r="M2180">
            <v>56</v>
          </cell>
          <cell r="N2180">
            <v>60</v>
          </cell>
          <cell r="P2180">
            <v>1300</v>
          </cell>
          <cell r="Q2180">
            <v>200</v>
          </cell>
          <cell r="R2180" t="str">
            <v>흰색</v>
          </cell>
          <cell r="S2180" t="str">
            <v>흰색</v>
          </cell>
          <cell r="T2180" t="str">
            <v>61-1776-0,61-1777-1금형66433</v>
          </cell>
          <cell r="U2180">
            <v>43700</v>
          </cell>
          <cell r="V2180" t="str">
            <v>태성EPS이관</v>
          </cell>
          <cell r="W2180" t="str">
            <v>크라킹 4mm이하 BOT냉각불량확인!!, 종이패드부착, 61-1776-0,61-1777-0</v>
          </cell>
          <cell r="AC2180" t="str">
            <v>최재학계장, 191105 68배--&gt;74배 변경(중량초과)</v>
          </cell>
          <cell r="AD2180">
            <v>0.85</v>
          </cell>
          <cell r="AE2180">
            <v>80</v>
          </cell>
          <cell r="AF2180">
            <v>9</v>
          </cell>
        </row>
        <row r="2181">
          <cell r="A2181" t="str">
            <v>550DXU7V</v>
          </cell>
          <cell r="B2181" t="str">
            <v>SET</v>
          </cell>
          <cell r="C2181">
            <v>2</v>
          </cell>
          <cell r="D2181">
            <v>100</v>
          </cell>
          <cell r="E2181">
            <v>1128</v>
          </cell>
          <cell r="F2181">
            <v>65</v>
          </cell>
          <cell r="G2181" t="str">
            <v>B240NS</v>
          </cell>
          <cell r="H2181">
            <v>4</v>
          </cell>
          <cell r="I2181">
            <v>2</v>
          </cell>
          <cell r="J2181" t="str">
            <v>뉴옵틱스</v>
          </cell>
          <cell r="K2181">
            <v>248</v>
          </cell>
          <cell r="L2181">
            <v>252</v>
          </cell>
          <cell r="M2181">
            <v>250</v>
          </cell>
          <cell r="N2181">
            <v>256</v>
          </cell>
          <cell r="O2181">
            <v>7275</v>
          </cell>
          <cell r="P2181">
            <v>1500</v>
          </cell>
          <cell r="Q2181">
            <v>350</v>
          </cell>
          <cell r="R2181" t="str">
            <v>노랑</v>
          </cell>
          <cell r="S2181" t="str">
            <v>노랑</v>
          </cell>
          <cell r="T2181" t="str">
            <v>T:MAK03-0022A_P1,B:MAK03-0023A_P1</v>
          </cell>
          <cell r="U2181">
            <v>42802</v>
          </cell>
          <cell r="V2181" t="str">
            <v>금형제조부</v>
          </cell>
          <cell r="W2181" t="str">
            <v>금형거꾸로조립(고),냉각,외부고치수확인!</v>
          </cell>
          <cell r="Y2181">
            <v>50</v>
          </cell>
          <cell r="Z2181">
            <v>56372</v>
          </cell>
          <cell r="AC2181" t="str">
            <v>최재학계장,2017.11.17끈색변경(빨강-&gt;노랑)</v>
          </cell>
          <cell r="AD2181">
            <v>0.85</v>
          </cell>
          <cell r="AE2181">
            <v>100</v>
          </cell>
          <cell r="AF2181">
            <v>2</v>
          </cell>
        </row>
        <row r="2182">
          <cell r="A2182" t="str">
            <v>550DXU7S-SET</v>
          </cell>
          <cell r="B2182" t="str">
            <v>SET</v>
          </cell>
          <cell r="C2182">
            <v>1</v>
          </cell>
          <cell r="D2182">
            <v>100</v>
          </cell>
          <cell r="E2182">
            <v>1420</v>
          </cell>
          <cell r="F2182">
            <v>65</v>
          </cell>
          <cell r="G2182" t="str">
            <v>B240NS</v>
          </cell>
          <cell r="H2182" t="str">
            <v>TB:3 S-L/R:6</v>
          </cell>
          <cell r="I2182">
            <v>4</v>
          </cell>
          <cell r="J2182" t="str">
            <v>뉴옵틱스</v>
          </cell>
          <cell r="K2182">
            <v>243</v>
          </cell>
          <cell r="L2182">
            <v>247</v>
          </cell>
          <cell r="M2182">
            <v>248</v>
          </cell>
          <cell r="N2182">
            <v>252</v>
          </cell>
          <cell r="P2182">
            <v>1500</v>
          </cell>
          <cell r="Q2182">
            <v>450</v>
          </cell>
          <cell r="R2182" t="str">
            <v>노랑</v>
          </cell>
          <cell r="S2182" t="str">
            <v>노랑</v>
          </cell>
          <cell r="U2182">
            <v>44117</v>
          </cell>
          <cell r="V2182" t="str">
            <v>금형사업부</v>
          </cell>
          <cell r="Y2182">
            <v>50</v>
          </cell>
          <cell r="Z2182">
            <v>77264</v>
          </cell>
          <cell r="AC2182" t="str">
            <v>석상준과장,2020.11.12코팅완료, 2020.11.12기준중량변경(1545-&gt;1420), 2021.03.11사용배율변경(56-&gt;62)</v>
          </cell>
          <cell r="AD2182">
            <v>0.85</v>
          </cell>
          <cell r="AF2182">
            <v>4</v>
          </cell>
        </row>
        <row r="2183">
          <cell r="A2183" t="str">
            <v>549*309*40T</v>
          </cell>
          <cell r="B2183" t="str">
            <v>PAD</v>
          </cell>
          <cell r="E2183">
            <v>0</v>
          </cell>
          <cell r="J2183" t="str">
            <v>삼성기흥</v>
          </cell>
          <cell r="O2183">
            <v>1300</v>
          </cell>
        </row>
        <row r="2184">
          <cell r="A2184" t="str">
            <v>5370-LU</v>
          </cell>
          <cell r="B2184" t="str">
            <v>저발</v>
          </cell>
          <cell r="C2184">
            <v>4</v>
          </cell>
          <cell r="D2184">
            <v>100</v>
          </cell>
          <cell r="E2184">
            <v>49</v>
          </cell>
          <cell r="F2184">
            <v>24</v>
          </cell>
          <cell r="G2184" t="str">
            <v>B240NS</v>
          </cell>
          <cell r="H2184">
            <v>1</v>
          </cell>
          <cell r="I2184">
            <v>2</v>
          </cell>
          <cell r="J2184" t="str">
            <v>청호나이스</v>
          </cell>
          <cell r="O2184">
            <v>10</v>
          </cell>
          <cell r="P2184">
            <v>500</v>
          </cell>
          <cell r="R2184" t="str">
            <v>박스</v>
          </cell>
          <cell r="T2184" t="str">
            <v>CHP-5370S2_UNIT LOWER/UNIT UPPER,금형번호4101,61-1333-0/61-1332-0</v>
          </cell>
          <cell r="U2184">
            <v>43606</v>
          </cell>
          <cell r="V2184" t="str">
            <v>이관금형</v>
          </cell>
          <cell r="W2184" t="str">
            <v>제품별 따로포장61-1333-0/61-1332-0, 가락지 사용 필!(자동이형 않됨)</v>
          </cell>
          <cell r="Y2184">
            <v>20</v>
          </cell>
          <cell r="AC2184" t="str">
            <v>최재학계장</v>
          </cell>
          <cell r="AD2184">
            <v>0.85</v>
          </cell>
          <cell r="AE2184">
            <v>80</v>
          </cell>
          <cell r="AF2184">
            <v>6</v>
          </cell>
        </row>
        <row r="2185">
          <cell r="A2185" t="str">
            <v>5370-COVER</v>
          </cell>
          <cell r="B2185" t="str">
            <v>저발</v>
          </cell>
          <cell r="C2185">
            <v>2</v>
          </cell>
          <cell r="D2185">
            <v>100</v>
          </cell>
          <cell r="E2185">
            <v>77</v>
          </cell>
          <cell r="F2185">
            <v>24</v>
          </cell>
          <cell r="G2185" t="str">
            <v>B240NS</v>
          </cell>
          <cell r="H2185">
            <v>120</v>
          </cell>
          <cell r="I2185">
            <v>1</v>
          </cell>
          <cell r="J2185" t="str">
            <v>청호나이스</v>
          </cell>
          <cell r="K2185">
            <v>11</v>
          </cell>
          <cell r="L2185">
            <v>12.6</v>
          </cell>
          <cell r="O2185">
            <v>10</v>
          </cell>
          <cell r="P2185">
            <v>500</v>
          </cell>
          <cell r="R2185" t="str">
            <v>박스</v>
          </cell>
          <cell r="T2185" t="str">
            <v>CHP-5730S2_EPS UNIT COVER,금형번호4102,61-1334-0,</v>
          </cell>
          <cell r="U2185">
            <v>43608</v>
          </cell>
          <cell r="V2185" t="str">
            <v>이관금형</v>
          </cell>
          <cell r="W2185" t="str">
            <v>전체 고치수 필히 측정 할 것 , 이물 및 휘다부위 사상작업,22.08.23 수정</v>
          </cell>
          <cell r="Y2185">
            <v>20</v>
          </cell>
          <cell r="AD2185">
            <v>0.85</v>
          </cell>
          <cell r="AE2185">
            <v>85</v>
          </cell>
          <cell r="AF2185">
            <v>4</v>
          </cell>
        </row>
        <row r="2186">
          <cell r="A2186" t="str">
            <v>5370-CM</v>
          </cell>
          <cell r="B2186" t="str">
            <v>저발</v>
          </cell>
          <cell r="C2186">
            <v>5</v>
          </cell>
          <cell r="D2186">
            <v>100</v>
          </cell>
          <cell r="E2186">
            <v>31</v>
          </cell>
          <cell r="F2186">
            <v>24</v>
          </cell>
          <cell r="G2186" t="str">
            <v>B240NS</v>
          </cell>
          <cell r="H2186">
            <v>100</v>
          </cell>
          <cell r="I2186">
            <v>2</v>
          </cell>
          <cell r="J2186" t="str">
            <v>청호나이스</v>
          </cell>
          <cell r="O2186">
            <v>10</v>
          </cell>
          <cell r="P2186">
            <v>500</v>
          </cell>
          <cell r="R2186" t="str">
            <v>박스</v>
          </cell>
          <cell r="T2186" t="str">
            <v>CHP-5370S2_PUMP CIR/PANEL MOTOR,금형4103,61-1331-0/61-1330-0</v>
          </cell>
          <cell r="U2186">
            <v>43606</v>
          </cell>
          <cell r="V2186" t="str">
            <v>이관금형</v>
          </cell>
          <cell r="W2186" t="str">
            <v>제품별 따로 포장61-1331-0/61-1330-0</v>
          </cell>
          <cell r="Y2186">
            <v>20</v>
          </cell>
          <cell r="AC2186" t="str">
            <v>최재학계장, 2020.11.02 이동수리, 2021.07.14 재코팅</v>
          </cell>
          <cell r="AD2186">
            <v>0.85</v>
          </cell>
          <cell r="AE2186">
            <v>80</v>
          </cell>
          <cell r="AF2186">
            <v>1</v>
          </cell>
        </row>
        <row r="2187">
          <cell r="A2187" t="str">
            <v>5361-RLF(회색)</v>
          </cell>
          <cell r="B2187" t="str">
            <v>저발</v>
          </cell>
          <cell r="C2187">
            <v>3</v>
          </cell>
          <cell r="D2187">
            <v>100</v>
          </cell>
          <cell r="E2187">
            <v>27</v>
          </cell>
          <cell r="F2187">
            <v>30</v>
          </cell>
          <cell r="G2187" t="str">
            <v>ZP2500</v>
          </cell>
          <cell r="H2187">
            <v>1</v>
          </cell>
          <cell r="I2187">
            <v>3</v>
          </cell>
          <cell r="J2187" t="str">
            <v>청호나이스</v>
          </cell>
          <cell r="P2187">
            <v>500</v>
          </cell>
          <cell r="R2187" t="str">
            <v>박스</v>
          </cell>
          <cell r="T2187" t="str">
            <v>WI-55S9560M_EPS UNIT UPPER/LOWER/EVA BACK,금형4105,61-2364-0/61-2363-0/61-2362-0</v>
          </cell>
          <cell r="U2187">
            <v>43608</v>
          </cell>
          <cell r="V2187" t="str">
            <v>이관금형</v>
          </cell>
          <cell r="W2187" t="str">
            <v>제품별 따로 포장61-1122-0/61-1124-0/61-1123-1, 22.08.26 코팅완료</v>
          </cell>
          <cell r="Y2187">
            <v>20</v>
          </cell>
          <cell r="AF2187">
            <v>4</v>
          </cell>
        </row>
        <row r="2188">
          <cell r="A2188" t="str">
            <v>5361-RLF</v>
          </cell>
          <cell r="B2188" t="str">
            <v>저발</v>
          </cell>
          <cell r="C2188">
            <v>3</v>
          </cell>
          <cell r="D2188">
            <v>100</v>
          </cell>
          <cell r="E2188">
            <v>27</v>
          </cell>
          <cell r="F2188">
            <v>24</v>
          </cell>
          <cell r="G2188" t="str">
            <v>B240NS</v>
          </cell>
          <cell r="H2188">
            <v>1</v>
          </cell>
          <cell r="I2188">
            <v>3</v>
          </cell>
          <cell r="J2188" t="str">
            <v>청호나이스</v>
          </cell>
          <cell r="O2188">
            <v>10</v>
          </cell>
          <cell r="P2188">
            <v>500</v>
          </cell>
          <cell r="R2188" t="str">
            <v>박스</v>
          </cell>
          <cell r="T2188" t="str">
            <v>CHP-5361DL_SODA RIGHT/LEFT/FRONT,금형번호4100,61-1122-0/61-1122-0/61-1123-1/61-1124-0</v>
          </cell>
          <cell r="U2188">
            <v>43608</v>
          </cell>
          <cell r="V2188" t="str">
            <v>이관금형</v>
          </cell>
          <cell r="W2188" t="str">
            <v>제품별 따로 포장61-1122-0/61-1124-0/61-1123-1, 22.08.26 코팅완료</v>
          </cell>
          <cell r="Y2188">
            <v>20</v>
          </cell>
          <cell r="AC2188" t="str">
            <v>김영석계장</v>
          </cell>
          <cell r="AD2188">
            <v>0.85</v>
          </cell>
          <cell r="AE2188">
            <v>80</v>
          </cell>
          <cell r="AF2188">
            <v>6</v>
          </cell>
        </row>
        <row r="2189">
          <cell r="A2189" t="str">
            <v>535*204*10T(50배)</v>
          </cell>
          <cell r="B2189" t="str">
            <v>PAD</v>
          </cell>
          <cell r="J2189" t="str">
            <v>오비오</v>
          </cell>
        </row>
        <row r="2190">
          <cell r="A2190" t="str">
            <v>530*240*30T</v>
          </cell>
          <cell r="B2190" t="str">
            <v>PAD</v>
          </cell>
          <cell r="E2190">
            <v>0</v>
          </cell>
          <cell r="J2190" t="str">
            <v>파버나인</v>
          </cell>
          <cell r="O2190">
            <v>350</v>
          </cell>
        </row>
        <row r="2191">
          <cell r="A2191" t="str">
            <v>530*240*30T</v>
          </cell>
          <cell r="B2191" t="str">
            <v>PAD</v>
          </cell>
          <cell r="E2191">
            <v>0</v>
          </cell>
          <cell r="J2191" t="str">
            <v>파버나인</v>
          </cell>
          <cell r="O2191">
            <v>350</v>
          </cell>
          <cell r="Q2191" t="str">
            <v>ZZZ-11090116</v>
          </cell>
        </row>
        <row r="2192">
          <cell r="A2192" t="str">
            <v>530*240*30T</v>
          </cell>
          <cell r="B2192" t="str">
            <v>PAD</v>
          </cell>
          <cell r="E2192">
            <v>0</v>
          </cell>
          <cell r="J2192" t="str">
            <v>파버나인</v>
          </cell>
          <cell r="O2192">
            <v>350</v>
          </cell>
        </row>
        <row r="2193">
          <cell r="A2193" t="str">
            <v>530*240*30T</v>
          </cell>
          <cell r="B2193" t="str">
            <v>PAD</v>
          </cell>
          <cell r="E2193">
            <v>0</v>
          </cell>
          <cell r="J2193" t="str">
            <v>파버나인</v>
          </cell>
          <cell r="O2193">
            <v>350</v>
          </cell>
          <cell r="Q2193" t="str">
            <v>ZZZ-11090116</v>
          </cell>
        </row>
        <row r="2194">
          <cell r="A2194" t="str">
            <v>530*216*10T(50배)</v>
          </cell>
          <cell r="B2194" t="str">
            <v>PAD</v>
          </cell>
          <cell r="E2194">
            <v>22</v>
          </cell>
          <cell r="J2194" t="str">
            <v>오비오</v>
          </cell>
        </row>
        <row r="2195">
          <cell r="A2195" t="str">
            <v>520*450*40T</v>
          </cell>
          <cell r="B2195" t="str">
            <v>PAD</v>
          </cell>
          <cell r="E2195">
            <v>156</v>
          </cell>
          <cell r="J2195" t="str">
            <v>코웨이</v>
          </cell>
          <cell r="Q2195" t="str">
            <v>JB0B-A0039</v>
          </cell>
          <cell r="R2195" t="str">
            <v>400*382*50T06/6/14합의</v>
          </cell>
        </row>
        <row r="2196">
          <cell r="A2196" t="str">
            <v>518*211*10T(50배)</v>
          </cell>
          <cell r="B2196" t="str">
            <v>PAD</v>
          </cell>
          <cell r="E2196">
            <v>22</v>
          </cell>
          <cell r="J2196" t="str">
            <v>오비오</v>
          </cell>
        </row>
        <row r="2197">
          <cell r="A2197" t="str">
            <v>515*415*20T</v>
          </cell>
          <cell r="B2197" t="str">
            <v>PAD</v>
          </cell>
          <cell r="E2197">
            <v>85</v>
          </cell>
          <cell r="J2197" t="str">
            <v>코웨이</v>
          </cell>
          <cell r="O2197">
            <v>560</v>
          </cell>
        </row>
        <row r="2198">
          <cell r="A2198" t="str">
            <v>510*270*10T</v>
          </cell>
          <cell r="B2198" t="str">
            <v>PAD</v>
          </cell>
          <cell r="E2198">
            <v>28</v>
          </cell>
          <cell r="J2198" t="str">
            <v>아이두잇</v>
          </cell>
          <cell r="O2198">
            <v>240</v>
          </cell>
          <cell r="P2198" t="str">
            <v>510*270*10T(50배)</v>
          </cell>
        </row>
        <row r="2199">
          <cell r="A2199" t="str">
            <v>510*270*10T</v>
          </cell>
          <cell r="B2199" t="str">
            <v>PAD</v>
          </cell>
          <cell r="E2199">
            <v>28</v>
          </cell>
          <cell r="J2199" t="str">
            <v>아이두잇</v>
          </cell>
          <cell r="O2199">
            <v>240</v>
          </cell>
          <cell r="P2199" t="str">
            <v>510*270*10T(50배)</v>
          </cell>
        </row>
        <row r="2200">
          <cell r="A2200" t="str">
            <v>50A53FUA</v>
          </cell>
          <cell r="B2200" t="str">
            <v>SPL</v>
          </cell>
          <cell r="C2200">
            <v>2</v>
          </cell>
          <cell r="D2200">
            <v>150</v>
          </cell>
          <cell r="E2200">
            <v>419</v>
          </cell>
          <cell r="F2200">
            <v>60</v>
          </cell>
          <cell r="G2200" t="str">
            <v>B240NS</v>
          </cell>
          <cell r="H2200">
            <v>1</v>
          </cell>
          <cell r="I2200">
            <v>4</v>
          </cell>
          <cell r="J2200" t="str">
            <v>KB-FOAM</v>
          </cell>
          <cell r="P2200">
            <v>1600</v>
          </cell>
          <cell r="Q2200">
            <v>350</v>
          </cell>
          <cell r="U2200">
            <v>44301</v>
          </cell>
          <cell r="V2200" t="str">
            <v>금형사업부</v>
          </cell>
          <cell r="Y2200">
            <v>50</v>
          </cell>
          <cell r="AC2200" t="str">
            <v>석상준과장</v>
          </cell>
          <cell r="AD2200">
            <v>0.85</v>
          </cell>
          <cell r="AF2200">
            <v>6</v>
          </cell>
        </row>
        <row r="2201">
          <cell r="A2201" t="str">
            <v>500*500*10T</v>
          </cell>
          <cell r="B2201" t="str">
            <v>PAD</v>
          </cell>
          <cell r="E2201">
            <v>0</v>
          </cell>
          <cell r="J2201" t="str">
            <v>이디아이테크</v>
          </cell>
          <cell r="O2201">
            <v>238</v>
          </cell>
          <cell r="P2201" t="str">
            <v>500*500*10T</v>
          </cell>
        </row>
        <row r="2202">
          <cell r="A2202" t="str">
            <v>500*500*10T</v>
          </cell>
          <cell r="B2202" t="str">
            <v>PAD</v>
          </cell>
          <cell r="E2202">
            <v>0</v>
          </cell>
          <cell r="J2202" t="str">
            <v>이디아이테크</v>
          </cell>
          <cell r="O2202">
            <v>238</v>
          </cell>
          <cell r="P2202" t="str">
            <v>500*500*10T</v>
          </cell>
        </row>
        <row r="2203">
          <cell r="A2203" t="str">
            <v>500*50*11</v>
          </cell>
          <cell r="B2203" t="str">
            <v>PAD</v>
          </cell>
          <cell r="E2203">
            <v>0</v>
          </cell>
          <cell r="J2203" t="str">
            <v>위니아만도</v>
          </cell>
          <cell r="O2203">
            <v>45</v>
          </cell>
          <cell r="P2203" t="str">
            <v>500*50*11</v>
          </cell>
          <cell r="Q2203" t="str">
            <v>WD114772</v>
          </cell>
        </row>
        <row r="2204">
          <cell r="A2204" t="str">
            <v>500*50*11</v>
          </cell>
          <cell r="B2204" t="str">
            <v>PAD</v>
          </cell>
          <cell r="E2204">
            <v>0</v>
          </cell>
          <cell r="J2204" t="str">
            <v>위니아만도</v>
          </cell>
          <cell r="O2204">
            <v>45</v>
          </cell>
          <cell r="P2204" t="str">
            <v>500*50*11</v>
          </cell>
          <cell r="Q2204" t="str">
            <v>WD114772</v>
          </cell>
        </row>
        <row r="2205">
          <cell r="A2205" t="str">
            <v>500*337*218T</v>
          </cell>
          <cell r="B2205" t="str">
            <v>PAD</v>
          </cell>
          <cell r="J2205" t="str">
            <v>삼성전자</v>
          </cell>
        </row>
        <row r="2206">
          <cell r="A2206" t="str">
            <v>500*200*200T</v>
          </cell>
          <cell r="B2206" t="str">
            <v>PAD</v>
          </cell>
          <cell r="J2206" t="str">
            <v>인알파코리아</v>
          </cell>
          <cell r="O2206">
            <v>5200</v>
          </cell>
          <cell r="P2206" t="str">
            <v>500*200*200T</v>
          </cell>
        </row>
        <row r="2207">
          <cell r="A2207" t="str">
            <v>500*200*200T</v>
          </cell>
          <cell r="B2207" t="str">
            <v>PAD</v>
          </cell>
          <cell r="J2207" t="str">
            <v>인알파코리아</v>
          </cell>
          <cell r="O2207">
            <v>5200</v>
          </cell>
          <cell r="P2207" t="str">
            <v>500*200*200T</v>
          </cell>
        </row>
        <row r="2208">
          <cell r="A2208" t="str">
            <v>500*153*15T</v>
          </cell>
          <cell r="B2208" t="str">
            <v>PAD</v>
          </cell>
          <cell r="J2208" t="str">
            <v>범진</v>
          </cell>
          <cell r="O2208">
            <v>180</v>
          </cell>
          <cell r="P2208" t="str">
            <v>500*153*15T</v>
          </cell>
        </row>
        <row r="2209">
          <cell r="A2209" t="str">
            <v>50*40*50(20배)</v>
          </cell>
          <cell r="B2209" t="str">
            <v>PAD</v>
          </cell>
          <cell r="E2209">
            <v>5</v>
          </cell>
          <cell r="J2209" t="str">
            <v>경동나비엔</v>
          </cell>
          <cell r="O2209">
            <v>3167</v>
          </cell>
        </row>
        <row r="2210">
          <cell r="A2210" t="str">
            <v>4구칸막이</v>
          </cell>
          <cell r="B2210" t="str">
            <v>BOX</v>
          </cell>
          <cell r="C2210">
            <v>6</v>
          </cell>
          <cell r="D2210">
            <v>80</v>
          </cell>
          <cell r="E2210">
            <v>60</v>
          </cell>
          <cell r="F2210">
            <v>60</v>
          </cell>
          <cell r="G2210" t="str">
            <v>B240NS</v>
          </cell>
          <cell r="H2210">
            <v>30</v>
          </cell>
          <cell r="I2210">
            <v>1</v>
          </cell>
          <cell r="J2210" t="str">
            <v>㈜탭스</v>
          </cell>
          <cell r="K2210">
            <v>64</v>
          </cell>
          <cell r="L2210">
            <v>66</v>
          </cell>
          <cell r="O2210">
            <v>426</v>
          </cell>
          <cell r="P2210">
            <v>1600</v>
          </cell>
          <cell r="Q2210">
            <v>200</v>
          </cell>
          <cell r="R2210" t="str">
            <v>보라</v>
          </cell>
          <cell r="T2210" t="str">
            <v>갈비박스(4구칸막이)</v>
          </cell>
          <cell r="U2210">
            <v>45267</v>
          </cell>
          <cell r="V2210" t="str">
            <v>대양이동입고</v>
          </cell>
          <cell r="AD2210">
            <v>0.85</v>
          </cell>
        </row>
        <row r="2211">
          <cell r="A2211" t="str">
            <v>4구칸막이</v>
          </cell>
          <cell r="B2211" t="str">
            <v>BOX</v>
          </cell>
          <cell r="C2211">
            <v>6</v>
          </cell>
          <cell r="D2211">
            <v>80</v>
          </cell>
          <cell r="E2211">
            <v>60</v>
          </cell>
          <cell r="F2211">
            <v>60</v>
          </cell>
          <cell r="G2211" t="str">
            <v>B240NS</v>
          </cell>
          <cell r="H2211">
            <v>24</v>
          </cell>
          <cell r="I2211">
            <v>1</v>
          </cell>
          <cell r="J2211" t="str">
            <v>㈜탭스</v>
          </cell>
          <cell r="K2211">
            <v>64</v>
          </cell>
          <cell r="L2211">
            <v>66</v>
          </cell>
          <cell r="O2211">
            <v>426</v>
          </cell>
          <cell r="P2211">
            <v>1600</v>
          </cell>
          <cell r="Q2211">
            <v>200</v>
          </cell>
          <cell r="R2211" t="str">
            <v>보라</v>
          </cell>
          <cell r="T2211" t="str">
            <v>갈비박스(4구칸막이)</v>
          </cell>
          <cell r="U2211">
            <v>45267</v>
          </cell>
          <cell r="V2211" t="str">
            <v>대양이동입고</v>
          </cell>
          <cell r="AD2211">
            <v>0.85</v>
          </cell>
        </row>
        <row r="2212">
          <cell r="A2212" t="str">
            <v>4구칸막이</v>
          </cell>
          <cell r="B2212" t="str">
            <v>BOX</v>
          </cell>
          <cell r="C2212">
            <v>6</v>
          </cell>
          <cell r="D2212">
            <v>80</v>
          </cell>
          <cell r="E2212">
            <v>60</v>
          </cell>
          <cell r="F2212">
            <v>60</v>
          </cell>
          <cell r="G2212" t="str">
            <v>B240NS</v>
          </cell>
          <cell r="H2212">
            <v>24</v>
          </cell>
          <cell r="I2212">
            <v>1</v>
          </cell>
          <cell r="J2212" t="str">
            <v>㈜탭스</v>
          </cell>
          <cell r="K2212">
            <v>64</v>
          </cell>
          <cell r="L2212">
            <v>66</v>
          </cell>
          <cell r="O2212">
            <v>426</v>
          </cell>
          <cell r="P2212">
            <v>1600</v>
          </cell>
          <cell r="Q2212">
            <v>200</v>
          </cell>
          <cell r="R2212" t="str">
            <v>보라</v>
          </cell>
          <cell r="T2212" t="str">
            <v>갈비박스(4구칸막이)</v>
          </cell>
          <cell r="U2212">
            <v>45267</v>
          </cell>
          <cell r="V2212" t="str">
            <v>대양이동입고</v>
          </cell>
          <cell r="AD2212">
            <v>0.85</v>
          </cell>
        </row>
        <row r="2213">
          <cell r="A2213" t="str">
            <v>4구칸막이</v>
          </cell>
          <cell r="B2213" t="str">
            <v>BOX</v>
          </cell>
          <cell r="D2213">
            <v>100</v>
          </cell>
          <cell r="E2213">
            <v>75</v>
          </cell>
          <cell r="F2213">
            <v>60</v>
          </cell>
          <cell r="G2213" t="str">
            <v>B240NS</v>
          </cell>
          <cell r="J2213" t="str">
            <v>㈜탭스</v>
          </cell>
          <cell r="T2213" t="str">
            <v>갈비박스(4구칸막이)</v>
          </cell>
          <cell r="U2213">
            <v>45267</v>
          </cell>
          <cell r="V2213" t="str">
            <v>대양이동입고</v>
          </cell>
          <cell r="AD2213">
            <v>0.85</v>
          </cell>
        </row>
        <row r="2214">
          <cell r="A2214" t="str">
            <v>4구선물셋트(회색)</v>
          </cell>
          <cell r="B2214" t="str">
            <v>회색</v>
          </cell>
          <cell r="C2214">
            <v>2</v>
          </cell>
          <cell r="D2214">
            <v>95</v>
          </cell>
          <cell r="E2214">
            <v>459</v>
          </cell>
          <cell r="F2214">
            <v>48</v>
          </cell>
          <cell r="G2214" t="str">
            <v>ZP2500</v>
          </cell>
          <cell r="H2214">
            <v>5</v>
          </cell>
          <cell r="I2214">
            <v>3</v>
          </cell>
          <cell r="J2214" t="str">
            <v>평창축협</v>
          </cell>
          <cell r="K2214">
            <v>32</v>
          </cell>
          <cell r="L2214">
            <v>36</v>
          </cell>
          <cell r="M2214">
            <v>161</v>
          </cell>
          <cell r="N2214">
            <v>165</v>
          </cell>
          <cell r="O2214">
            <v>2900</v>
          </cell>
          <cell r="P2214">
            <v>1360</v>
          </cell>
          <cell r="Q2214">
            <v>250</v>
          </cell>
          <cell r="R2214" t="str">
            <v>파랑</v>
          </cell>
          <cell r="S2214" t="str">
            <v>파랑</v>
          </cell>
          <cell r="T2214" t="str">
            <v>4구선물셋트</v>
          </cell>
          <cell r="U2214">
            <v>40863</v>
          </cell>
          <cell r="V2214" t="str">
            <v>금형제조부</v>
          </cell>
          <cell r="W2214" t="str">
            <v>모델확인 철저</v>
          </cell>
          <cell r="Y2214">
            <v>40</v>
          </cell>
          <cell r="Z2214">
            <v>18366</v>
          </cell>
          <cell r="AC2214" t="str">
            <v>금형없음, 4구선물셋트 동일금형</v>
          </cell>
          <cell r="AD2214">
            <v>0.85</v>
          </cell>
          <cell r="AE2214">
            <v>85</v>
          </cell>
          <cell r="AF2214">
            <v>6</v>
          </cell>
        </row>
        <row r="2215">
          <cell r="A2215" t="str">
            <v>4구선물셋트</v>
          </cell>
          <cell r="B2215" t="str">
            <v>BOX</v>
          </cell>
          <cell r="C2215">
            <v>2</v>
          </cell>
          <cell r="D2215">
            <v>90</v>
          </cell>
          <cell r="E2215">
            <v>470</v>
          </cell>
          <cell r="F2215">
            <v>42</v>
          </cell>
          <cell r="G2215" t="str">
            <v>B240NS</v>
          </cell>
          <cell r="H2215">
            <v>5</v>
          </cell>
          <cell r="I2215">
            <v>3</v>
          </cell>
          <cell r="J2215" t="str">
            <v>평창축협</v>
          </cell>
          <cell r="K2215">
            <v>32</v>
          </cell>
          <cell r="L2215">
            <v>36</v>
          </cell>
          <cell r="M2215">
            <v>161</v>
          </cell>
          <cell r="N2215">
            <v>165</v>
          </cell>
          <cell r="O2215">
            <v>3500</v>
          </cell>
          <cell r="P2215">
            <v>1360</v>
          </cell>
          <cell r="Q2215">
            <v>250</v>
          </cell>
          <cell r="R2215" t="str">
            <v>파랑</v>
          </cell>
          <cell r="S2215" t="str">
            <v>파랑</v>
          </cell>
          <cell r="T2215" t="str">
            <v>4구선물셋트</v>
          </cell>
          <cell r="U2215">
            <v>40863</v>
          </cell>
          <cell r="V2215" t="str">
            <v>금형제조부</v>
          </cell>
          <cell r="X2215" t="str">
            <v>P-0106</v>
          </cell>
          <cell r="AC2215" t="str">
            <v>장혁민사원, 2011.12.01수정, 2011.12.19김장식상무님한테 구조상으로 승인완료, 2012.10.08 기준배율변경(42-&gt;45),2015.01.07 기준중량변경(610-&gt;470)</v>
          </cell>
          <cell r="AD2215">
            <v>0.85</v>
          </cell>
          <cell r="AE2215">
            <v>95</v>
          </cell>
          <cell r="AF2215">
            <v>4</v>
          </cell>
        </row>
        <row r="2216">
          <cell r="A2216" t="str">
            <v>4구PADT/B/M(무각인)</v>
          </cell>
          <cell r="B2216" t="str">
            <v>SET</v>
          </cell>
          <cell r="C2216">
            <v>3</v>
          </cell>
          <cell r="D2216">
            <v>80</v>
          </cell>
          <cell r="E2216">
            <v>230</v>
          </cell>
          <cell r="F2216">
            <v>74</v>
          </cell>
          <cell r="G2216" t="str">
            <v>B240NS</v>
          </cell>
          <cell r="H2216">
            <v>14</v>
          </cell>
          <cell r="I2216">
            <v>3</v>
          </cell>
          <cell r="J2216" t="str">
            <v>삼일 용인</v>
          </cell>
          <cell r="P2216">
            <v>1360</v>
          </cell>
          <cell r="R2216" t="str">
            <v>흰색</v>
          </cell>
          <cell r="U2216">
            <v>45915</v>
          </cell>
          <cell r="V2216" t="str">
            <v>삼일 용인(이관)</v>
          </cell>
          <cell r="AD2216">
            <v>0.85</v>
          </cell>
          <cell r="AE2216">
            <v>90</v>
          </cell>
        </row>
        <row r="2217">
          <cell r="A2217" t="str">
            <v>4구PADT/B/M(무각인)</v>
          </cell>
          <cell r="B2217" t="str">
            <v>SET</v>
          </cell>
          <cell r="C2217">
            <v>3</v>
          </cell>
          <cell r="D2217">
            <v>80</v>
          </cell>
          <cell r="E2217">
            <v>230</v>
          </cell>
          <cell r="F2217">
            <v>74</v>
          </cell>
          <cell r="G2217" t="str">
            <v>B240NS</v>
          </cell>
          <cell r="H2217">
            <v>14</v>
          </cell>
          <cell r="I2217">
            <v>3</v>
          </cell>
          <cell r="J2217" t="str">
            <v>삼일 용인</v>
          </cell>
          <cell r="P2217">
            <v>1360</v>
          </cell>
          <cell r="R2217" t="str">
            <v>흰색</v>
          </cell>
          <cell r="U2217">
            <v>45915</v>
          </cell>
          <cell r="V2217" t="str">
            <v>삼일 용인(이관)</v>
          </cell>
          <cell r="AD2217">
            <v>0.85</v>
          </cell>
          <cell r="AE2217">
            <v>90</v>
          </cell>
        </row>
        <row r="2218">
          <cell r="A2218" t="str">
            <v>4WAY에어가이드</v>
          </cell>
          <cell r="B2218" t="str">
            <v>저발</v>
          </cell>
          <cell r="C2218">
            <v>4</v>
          </cell>
          <cell r="D2218">
            <v>100</v>
          </cell>
          <cell r="E2218">
            <v>22</v>
          </cell>
          <cell r="F2218">
            <v>50</v>
          </cell>
          <cell r="G2218" t="str">
            <v>B240NS</v>
          </cell>
          <cell r="H2218">
            <v>1</v>
          </cell>
          <cell r="I2218">
            <v>1</v>
          </cell>
          <cell r="J2218" t="str">
            <v>새빛공조</v>
          </cell>
          <cell r="P2218">
            <v>500</v>
          </cell>
          <cell r="Q2218">
            <v>0</v>
          </cell>
          <cell r="U2218" t="str">
            <v>2022.11.29</v>
          </cell>
          <cell r="V2218" t="str">
            <v>이관금형</v>
          </cell>
          <cell r="AC2218" t="str">
            <v>김영석사원</v>
          </cell>
          <cell r="AD2218">
            <v>0.85</v>
          </cell>
        </row>
        <row r="2219">
          <cell r="A2219" t="str">
            <v>4WAY에어가이드</v>
          </cell>
          <cell r="B2219" t="str">
            <v>SET</v>
          </cell>
          <cell r="C2219">
            <v>4</v>
          </cell>
          <cell r="D2219">
            <v>100</v>
          </cell>
          <cell r="E2219">
            <v>22</v>
          </cell>
          <cell r="F2219">
            <v>50</v>
          </cell>
          <cell r="G2219" t="str">
            <v>B240NS</v>
          </cell>
          <cell r="H2219">
            <v>1</v>
          </cell>
          <cell r="I2219">
            <v>1</v>
          </cell>
          <cell r="J2219" t="str">
            <v>새빛공조</v>
          </cell>
          <cell r="P2219">
            <v>500</v>
          </cell>
          <cell r="Q2219">
            <v>0</v>
          </cell>
          <cell r="U2219" t="str">
            <v>2022.11.29</v>
          </cell>
          <cell r="V2219" t="str">
            <v>이관금형</v>
          </cell>
          <cell r="AC2219" t="str">
            <v>김영석사원</v>
          </cell>
          <cell r="AD2219">
            <v>0.85</v>
          </cell>
        </row>
        <row r="2220">
          <cell r="A2220" t="str">
            <v>4WAY에어가이드</v>
          </cell>
          <cell r="B2220" t="str">
            <v>SET</v>
          </cell>
          <cell r="C2220">
            <v>4</v>
          </cell>
          <cell r="D2220">
            <v>100</v>
          </cell>
          <cell r="E2220">
            <v>22</v>
          </cell>
          <cell r="F2220">
            <v>50</v>
          </cell>
          <cell r="G2220" t="str">
            <v>B240NS</v>
          </cell>
          <cell r="H2220">
            <v>1</v>
          </cell>
          <cell r="I2220">
            <v>1</v>
          </cell>
          <cell r="J2220" t="str">
            <v>새빛공조</v>
          </cell>
          <cell r="P2220">
            <v>500</v>
          </cell>
          <cell r="U2220" t="str">
            <v>2022.11.29</v>
          </cell>
          <cell r="V2220" t="str">
            <v>이관금형</v>
          </cell>
          <cell r="AC2220" t="str">
            <v>김영석사원</v>
          </cell>
          <cell r="AD2220">
            <v>0.85</v>
          </cell>
        </row>
        <row r="2221">
          <cell r="A2221" t="str">
            <v>4WAY에어가이드</v>
          </cell>
          <cell r="B2221" t="str">
            <v>SET</v>
          </cell>
          <cell r="C2221">
            <v>4</v>
          </cell>
          <cell r="D2221">
            <v>100</v>
          </cell>
          <cell r="E2221">
            <v>22</v>
          </cell>
          <cell r="F2221">
            <v>50</v>
          </cell>
          <cell r="G2221" t="str">
            <v>B240NS</v>
          </cell>
          <cell r="H2221">
            <v>1</v>
          </cell>
          <cell r="I2221">
            <v>1</v>
          </cell>
          <cell r="J2221" t="str">
            <v>새빛공조</v>
          </cell>
          <cell r="P2221">
            <v>500</v>
          </cell>
          <cell r="U2221" t="str">
            <v>2022.11.29</v>
          </cell>
          <cell r="V2221" t="str">
            <v>이관금형</v>
          </cell>
          <cell r="AC2221" t="str">
            <v>김영석사원</v>
          </cell>
          <cell r="AD2221">
            <v>0.85</v>
          </cell>
        </row>
        <row r="2222">
          <cell r="A2222" t="str">
            <v>4WAY에어가이드</v>
          </cell>
          <cell r="B2222" t="str">
            <v>SET</v>
          </cell>
          <cell r="C2222">
            <v>4</v>
          </cell>
          <cell r="D2222">
            <v>100</v>
          </cell>
          <cell r="E2222">
            <v>22</v>
          </cell>
          <cell r="F2222">
            <v>50</v>
          </cell>
          <cell r="G2222" t="str">
            <v>B240NS</v>
          </cell>
          <cell r="H2222">
            <v>1</v>
          </cell>
          <cell r="I2222">
            <v>1</v>
          </cell>
          <cell r="J2222" t="str">
            <v>새빛공조</v>
          </cell>
          <cell r="P2222">
            <v>500</v>
          </cell>
          <cell r="U2222" t="str">
            <v>2022.11.29</v>
          </cell>
          <cell r="V2222" t="str">
            <v>이관금형</v>
          </cell>
          <cell r="AC2222" t="str">
            <v>김영석사원</v>
          </cell>
        </row>
        <row r="2223">
          <cell r="A2223" t="str">
            <v>4WAY-UP</v>
          </cell>
          <cell r="B2223" t="str">
            <v>SET</v>
          </cell>
          <cell r="C2223">
            <v>1</v>
          </cell>
          <cell r="D2223">
            <v>100</v>
          </cell>
          <cell r="E2223">
            <v>556</v>
          </cell>
          <cell r="F2223">
            <v>36</v>
          </cell>
          <cell r="G2223" t="str">
            <v>B240NS</v>
          </cell>
          <cell r="H2223">
            <v>1</v>
          </cell>
          <cell r="I2223">
            <v>1</v>
          </cell>
          <cell r="J2223" t="str">
            <v>신우전자</v>
          </cell>
          <cell r="O2223">
            <v>10</v>
          </cell>
          <cell r="P2223">
            <v>1360</v>
          </cell>
          <cell r="Q2223">
            <v>300</v>
          </cell>
          <cell r="S2223">
            <v>0</v>
          </cell>
          <cell r="U2223">
            <v>42690</v>
          </cell>
          <cell r="V2223" t="str">
            <v>금형제조부</v>
          </cell>
          <cell r="AC2223" t="str">
            <v>최재학사원</v>
          </cell>
          <cell r="AD2223">
            <v>0.9</v>
          </cell>
          <cell r="AE2223">
            <v>100</v>
          </cell>
          <cell r="AF2223">
            <v>1</v>
          </cell>
        </row>
        <row r="2224">
          <cell r="A2224" t="str">
            <v>4WAY-LOW</v>
          </cell>
          <cell r="B2224" t="str">
            <v>SET</v>
          </cell>
          <cell r="C2224">
            <v>1</v>
          </cell>
          <cell r="D2224">
            <v>100</v>
          </cell>
          <cell r="E2224">
            <v>462</v>
          </cell>
          <cell r="F2224">
            <v>36</v>
          </cell>
          <cell r="G2224" t="str">
            <v>B240NS</v>
          </cell>
          <cell r="H2224">
            <v>1</v>
          </cell>
          <cell r="I2224">
            <v>1</v>
          </cell>
          <cell r="J2224" t="str">
            <v>신우전자</v>
          </cell>
          <cell r="O2224">
            <v>10</v>
          </cell>
          <cell r="P2224">
            <v>1360</v>
          </cell>
          <cell r="Q2224">
            <v>200</v>
          </cell>
          <cell r="S2224">
            <v>0</v>
          </cell>
          <cell r="U2224">
            <v>42690</v>
          </cell>
          <cell r="V2224" t="str">
            <v>금형제조부</v>
          </cell>
          <cell r="AC2224" t="str">
            <v>최재학사원</v>
          </cell>
          <cell r="AD2224">
            <v>0.95</v>
          </cell>
          <cell r="AE2224">
            <v>365</v>
          </cell>
          <cell r="AF2224">
            <v>1</v>
          </cell>
        </row>
        <row r="2225">
          <cell r="A2225" t="str">
            <v>4PISBOX(64배)</v>
          </cell>
          <cell r="B2225" t="str">
            <v>SET</v>
          </cell>
          <cell r="C2225">
            <v>2</v>
          </cell>
          <cell r="D2225">
            <v>115</v>
          </cell>
          <cell r="E2225">
            <v>760</v>
          </cell>
          <cell r="F2225">
            <v>74</v>
          </cell>
          <cell r="G2225" t="str">
            <v>B240NS</v>
          </cell>
          <cell r="H2225">
            <v>2</v>
          </cell>
          <cell r="I2225">
            <v>2</v>
          </cell>
          <cell r="J2225" t="str">
            <v>삼성HME</v>
          </cell>
          <cell r="K2225">
            <v>48</v>
          </cell>
          <cell r="L2225">
            <v>52</v>
          </cell>
          <cell r="M2225">
            <v>280</v>
          </cell>
          <cell r="N2225">
            <v>284</v>
          </cell>
          <cell r="O2225">
            <v>10</v>
          </cell>
          <cell r="P2225">
            <v>1360</v>
          </cell>
          <cell r="Q2225">
            <v>400</v>
          </cell>
          <cell r="R2225" t="str">
            <v>비닐</v>
          </cell>
          <cell r="S2225" t="str">
            <v>비닐</v>
          </cell>
          <cell r="T2225" t="str">
            <v>4PISBOX</v>
          </cell>
          <cell r="U2225">
            <v>40905</v>
          </cell>
          <cell r="V2225" t="str">
            <v>금형제조부</v>
          </cell>
          <cell r="W2225" t="str">
            <v>HM69-01071A, HM69-01072A</v>
          </cell>
          <cell r="X2225" t="str">
            <v>C-0401</v>
          </cell>
          <cell r="Y2225">
            <v>64</v>
          </cell>
          <cell r="AC2225" t="str">
            <v>2016.07.07 수정</v>
          </cell>
          <cell r="AD2225">
            <v>0.85</v>
          </cell>
          <cell r="AE2225">
            <v>115</v>
          </cell>
          <cell r="AF2225">
            <v>0</v>
          </cell>
        </row>
        <row r="2226">
          <cell r="A2226" t="str">
            <v>4PISBOX</v>
          </cell>
          <cell r="B2226" t="str">
            <v>SET</v>
          </cell>
          <cell r="C2226">
            <v>2</v>
          </cell>
          <cell r="D2226">
            <v>120</v>
          </cell>
          <cell r="E2226">
            <v>1725</v>
          </cell>
          <cell r="F2226">
            <v>36</v>
          </cell>
          <cell r="G2226" t="str">
            <v>B240NS</v>
          </cell>
          <cell r="H2226">
            <v>2</v>
          </cell>
          <cell r="I2226">
            <v>2</v>
          </cell>
          <cell r="J2226" t="str">
            <v>삼성HME</v>
          </cell>
          <cell r="K2226">
            <v>48</v>
          </cell>
          <cell r="L2226">
            <v>52</v>
          </cell>
          <cell r="M2226">
            <v>280</v>
          </cell>
          <cell r="N2226">
            <v>284</v>
          </cell>
          <cell r="O2226">
            <v>9500</v>
          </cell>
          <cell r="P2226">
            <v>1360</v>
          </cell>
          <cell r="Q2226">
            <v>400</v>
          </cell>
          <cell r="R2226" t="str">
            <v>비닐</v>
          </cell>
          <cell r="S2226" t="str">
            <v>비닐</v>
          </cell>
          <cell r="T2226" t="str">
            <v>4PISBOX</v>
          </cell>
          <cell r="U2226">
            <v>40905</v>
          </cell>
          <cell r="V2226" t="str">
            <v>금형제조부</v>
          </cell>
          <cell r="W2226" t="str">
            <v>HM69-01071A, HM69-01072A</v>
          </cell>
          <cell r="X2226" t="str">
            <v>C-0401</v>
          </cell>
          <cell r="AC2226" t="str">
            <v>2016.07.07 수정</v>
          </cell>
          <cell r="AD2226">
            <v>0.9</v>
          </cell>
          <cell r="AE2226">
            <v>120</v>
          </cell>
          <cell r="AF2226">
            <v>1</v>
          </cell>
        </row>
        <row r="2227">
          <cell r="A2227" t="str">
            <v>49XF2B-M</v>
          </cell>
          <cell r="B2227" t="str">
            <v>SET</v>
          </cell>
          <cell r="C2227">
            <v>1</v>
          </cell>
          <cell r="D2227">
            <v>210</v>
          </cell>
          <cell r="E2227">
            <v>2976</v>
          </cell>
          <cell r="F2227">
            <v>58</v>
          </cell>
          <cell r="G2227" t="str">
            <v>B240NS</v>
          </cell>
          <cell r="H2227">
            <v>1</v>
          </cell>
          <cell r="I2227">
            <v>2</v>
          </cell>
          <cell r="J2227" t="str">
            <v>뉴옵틱스</v>
          </cell>
          <cell r="K2227">
            <v>201</v>
          </cell>
          <cell r="L2227">
            <v>207</v>
          </cell>
          <cell r="M2227">
            <v>488</v>
          </cell>
          <cell r="N2227">
            <v>494</v>
          </cell>
          <cell r="O2227">
            <v>17738</v>
          </cell>
          <cell r="P2227">
            <v>1500</v>
          </cell>
          <cell r="Q2227">
            <v>550</v>
          </cell>
          <cell r="S2227">
            <v>0</v>
          </cell>
          <cell r="T2227" t="str">
            <v>MFZ65011601</v>
          </cell>
          <cell r="U2227">
            <v>42114</v>
          </cell>
          <cell r="V2227" t="str">
            <v>금형제조부</v>
          </cell>
          <cell r="W2227" t="str">
            <v>MFZ65011601,GBL03-0572A/3A-P1</v>
          </cell>
          <cell r="X2227" t="str">
            <v>A-0206</v>
          </cell>
          <cell r="Y2227">
            <v>50</v>
          </cell>
          <cell r="Z2227">
            <v>121640</v>
          </cell>
          <cell r="AC2227" t="str">
            <v>김창준과장</v>
          </cell>
          <cell r="AD2227">
            <v>0.85</v>
          </cell>
          <cell r="AE2227">
            <v>210</v>
          </cell>
          <cell r="AF2227">
            <v>1</v>
          </cell>
        </row>
        <row r="2228">
          <cell r="A2228" t="str">
            <v>49SB/SONAGI(40배)</v>
          </cell>
          <cell r="B2228" t="str">
            <v>SET</v>
          </cell>
          <cell r="E2228">
            <v>2025</v>
          </cell>
          <cell r="J2228" t="str">
            <v>뉴옵틱스</v>
          </cell>
          <cell r="K2228">
            <v>58</v>
          </cell>
          <cell r="L2228">
            <v>62</v>
          </cell>
          <cell r="M2228">
            <v>96</v>
          </cell>
          <cell r="N2228">
            <v>100</v>
          </cell>
          <cell r="P2228">
            <v>1700</v>
          </cell>
          <cell r="Q2228">
            <v>250</v>
          </cell>
          <cell r="R2228" t="str">
            <v>파랑</v>
          </cell>
          <cell r="U2228">
            <v>45425</v>
          </cell>
          <cell r="V2228" t="str">
            <v>금형사업부</v>
          </cell>
          <cell r="Y2228">
            <v>60</v>
          </cell>
          <cell r="Z2228">
            <v>5272</v>
          </cell>
          <cell r="AC2228" t="str">
            <v>2024-05-21코팅입고</v>
          </cell>
          <cell r="AD2228">
            <v>0.85</v>
          </cell>
          <cell r="AE2228">
            <v>70</v>
          </cell>
        </row>
        <row r="2229">
          <cell r="A2229" t="str">
            <v>49SB/SONAGI</v>
          </cell>
          <cell r="B2229" t="str">
            <v>SET</v>
          </cell>
          <cell r="C2229">
            <v>1</v>
          </cell>
          <cell r="D2229">
            <v>200</v>
          </cell>
          <cell r="E2229">
            <v>1620</v>
          </cell>
          <cell r="F2229">
            <v>50</v>
          </cell>
          <cell r="G2229" t="str">
            <v>B240NS</v>
          </cell>
          <cell r="H2229">
            <v>1</v>
          </cell>
          <cell r="I2229">
            <v>4</v>
          </cell>
          <cell r="J2229" t="str">
            <v>뉴옵틱스</v>
          </cell>
          <cell r="P2229">
            <v>1500</v>
          </cell>
          <cell r="Q2229">
            <v>350</v>
          </cell>
          <cell r="U2229">
            <v>45426</v>
          </cell>
          <cell r="V2229" t="str">
            <v>금형사업부</v>
          </cell>
          <cell r="Y2229">
            <v>50</v>
          </cell>
          <cell r="AD2229">
            <v>0.85</v>
          </cell>
        </row>
        <row r="2230">
          <cell r="A2230" t="str">
            <v>49SB/SONAGI</v>
          </cell>
          <cell r="B2230" t="str">
            <v>SET</v>
          </cell>
          <cell r="C2230">
            <v>1</v>
          </cell>
          <cell r="D2230">
            <v>200</v>
          </cell>
          <cell r="E2230">
            <v>1620</v>
          </cell>
          <cell r="F2230">
            <v>50</v>
          </cell>
          <cell r="G2230" t="str">
            <v>B240NS</v>
          </cell>
          <cell r="H2230">
            <v>1</v>
          </cell>
          <cell r="I2230">
            <v>4</v>
          </cell>
          <cell r="J2230" t="str">
            <v>뉴옵틱스</v>
          </cell>
          <cell r="P2230">
            <v>1500</v>
          </cell>
          <cell r="Q2230">
            <v>350</v>
          </cell>
          <cell r="U2230">
            <v>45426</v>
          </cell>
          <cell r="V2230" t="str">
            <v>금형사업부</v>
          </cell>
          <cell r="Y2230">
            <v>50</v>
          </cell>
        </row>
        <row r="2231">
          <cell r="A2231" t="str">
            <v>496*199*10T(50배)</v>
          </cell>
          <cell r="B2231" t="str">
            <v>PAD</v>
          </cell>
          <cell r="E2231">
            <v>20</v>
          </cell>
          <cell r="J2231" t="str">
            <v>오비오</v>
          </cell>
        </row>
        <row r="2232">
          <cell r="A2232" t="str">
            <v>490DXU7V</v>
          </cell>
          <cell r="B2232" t="str">
            <v>SET</v>
          </cell>
          <cell r="C2232">
            <v>2</v>
          </cell>
          <cell r="D2232">
            <v>110</v>
          </cell>
          <cell r="E2232">
            <v>937</v>
          </cell>
          <cell r="F2232">
            <v>65</v>
          </cell>
          <cell r="G2232" t="str">
            <v>B240NS</v>
          </cell>
          <cell r="H2232">
            <v>4</v>
          </cell>
          <cell r="I2232">
            <v>2</v>
          </cell>
          <cell r="J2232" t="str">
            <v>뉴옵틱스</v>
          </cell>
          <cell r="K2232">
            <v>248</v>
          </cell>
          <cell r="L2232">
            <v>252</v>
          </cell>
          <cell r="M2232">
            <v>252</v>
          </cell>
          <cell r="N2232">
            <v>256</v>
          </cell>
          <cell r="O2232">
            <v>6305</v>
          </cell>
          <cell r="P2232">
            <v>1500</v>
          </cell>
          <cell r="Q2232">
            <v>350</v>
          </cell>
          <cell r="R2232" t="str">
            <v>파랑</v>
          </cell>
          <cell r="S2232" t="str">
            <v>파랑</v>
          </cell>
          <cell r="T2232" t="str">
            <v>T:MAK03-0026A_P1,B:MAK03-0027A_P1</v>
          </cell>
          <cell r="U2232">
            <v>42802</v>
          </cell>
          <cell r="V2232" t="str">
            <v>금형제조부</v>
          </cell>
          <cell r="W2232" t="str">
            <v>냉각불량 주의!!</v>
          </cell>
          <cell r="Y2232">
            <v>50</v>
          </cell>
          <cell r="Z2232">
            <v>46811</v>
          </cell>
          <cell r="AC2232" t="str">
            <v>최재학계장</v>
          </cell>
          <cell r="AD2232">
            <v>0.85</v>
          </cell>
          <cell r="AE2232">
            <v>110</v>
          </cell>
          <cell r="AF2232">
            <v>1</v>
          </cell>
        </row>
        <row r="2233">
          <cell r="A2233" t="str">
            <v>490BXF7W-SIDE</v>
          </cell>
          <cell r="B2233" t="str">
            <v>SET</v>
          </cell>
          <cell r="C2233">
            <v>16</v>
          </cell>
          <cell r="D2233">
            <v>100</v>
          </cell>
          <cell r="E2233">
            <v>80</v>
          </cell>
          <cell r="F2233">
            <v>58</v>
          </cell>
          <cell r="G2233" t="str">
            <v>B240NS</v>
          </cell>
          <cell r="H2233">
            <v>32</v>
          </cell>
          <cell r="I2233">
            <v>1</v>
          </cell>
          <cell r="J2233" t="str">
            <v>뉴옵틱스</v>
          </cell>
          <cell r="K2233">
            <v>149</v>
          </cell>
          <cell r="L2233">
            <v>151</v>
          </cell>
          <cell r="M2233">
            <v>149</v>
          </cell>
          <cell r="N2233">
            <v>151</v>
          </cell>
          <cell r="O2233">
            <v>437</v>
          </cell>
          <cell r="P2233">
            <v>1360</v>
          </cell>
          <cell r="Q2233">
            <v>250</v>
          </cell>
          <cell r="S2233">
            <v>0</v>
          </cell>
          <cell r="U2233">
            <v>42685</v>
          </cell>
          <cell r="V2233" t="str">
            <v>금형제조부</v>
          </cell>
          <cell r="W2233" t="str">
            <v>490BXF7W-KC-SIDE,6~9호기착형금지</v>
          </cell>
          <cell r="Y2233">
            <v>45</v>
          </cell>
          <cell r="Z2233">
            <v>6973</v>
          </cell>
          <cell r="AC2233" t="str">
            <v>최재학사원,2016.12.23기준배율변경(55-&gt;45),중량변경(122-&gt;160)</v>
          </cell>
          <cell r="AD2233">
            <v>0.85</v>
          </cell>
          <cell r="AE2233">
            <v>100</v>
          </cell>
          <cell r="AF2233">
            <v>1</v>
          </cell>
        </row>
        <row r="2234">
          <cell r="A2234" t="str">
            <v>490BXF7W</v>
          </cell>
          <cell r="B2234" t="str">
            <v>SET</v>
          </cell>
          <cell r="C2234">
            <v>3</v>
          </cell>
          <cell r="D2234">
            <v>110</v>
          </cell>
          <cell r="E2234">
            <v>694</v>
          </cell>
          <cell r="F2234">
            <v>58</v>
          </cell>
          <cell r="G2234" t="str">
            <v>B240NS</v>
          </cell>
          <cell r="H2234">
            <v>5</v>
          </cell>
          <cell r="I2234">
            <v>2</v>
          </cell>
          <cell r="J2234" t="str">
            <v>뉴옵틱스</v>
          </cell>
          <cell r="K2234">
            <v>198</v>
          </cell>
          <cell r="L2234">
            <v>202</v>
          </cell>
          <cell r="M2234">
            <v>198</v>
          </cell>
          <cell r="N2234">
            <v>202</v>
          </cell>
          <cell r="O2234">
            <v>3813</v>
          </cell>
          <cell r="P2234">
            <v>1500</v>
          </cell>
          <cell r="Q2234">
            <v>300</v>
          </cell>
          <cell r="R2234" t="str">
            <v>녹색</v>
          </cell>
          <cell r="S2234" t="str">
            <v>녹색</v>
          </cell>
          <cell r="T2234" t="str">
            <v>T:MAK03-0012A-P1/B:MAK03-0013A-P1</v>
          </cell>
          <cell r="U2234">
            <v>42619</v>
          </cell>
          <cell r="V2234" t="str">
            <v>금형제조부</v>
          </cell>
          <cell r="W2234" t="str">
            <v>490BXF7W-KC</v>
          </cell>
          <cell r="Y2234">
            <v>45</v>
          </cell>
          <cell r="Z2234">
            <v>31269</v>
          </cell>
          <cell r="AC2234" t="str">
            <v>최재학사원,2016.09.29 모델명 변경(49인치-SET-&gt;490BXF7W-KC),2016.12.23기준배율변경(55-&gt;45),중량변경(520-&gt;694), 2021.10.22 수정, 2021.11.01수리, 2021.11.02수리</v>
          </cell>
          <cell r="AD2234">
            <v>0.85</v>
          </cell>
          <cell r="AE2234">
            <v>110</v>
          </cell>
        </row>
        <row r="2235">
          <cell r="A2235" t="str">
            <v>485*153*13T</v>
          </cell>
          <cell r="B2235" t="str">
            <v>PAD</v>
          </cell>
          <cell r="J2235" t="str">
            <v>범진</v>
          </cell>
          <cell r="O2235">
            <v>160</v>
          </cell>
          <cell r="P2235" t="str">
            <v>485*153*13T</v>
          </cell>
        </row>
        <row r="2236">
          <cell r="A2236" t="str">
            <v>47INCH-M-TOP</v>
          </cell>
          <cell r="B2236" t="str">
            <v>SET</v>
          </cell>
          <cell r="C2236">
            <v>1</v>
          </cell>
          <cell r="D2236">
            <v>170</v>
          </cell>
          <cell r="E2236">
            <v>3860</v>
          </cell>
          <cell r="F2236">
            <v>53</v>
          </cell>
          <cell r="G2236" t="str">
            <v>B240NS</v>
          </cell>
          <cell r="H2236">
            <v>1</v>
          </cell>
          <cell r="I2236">
            <v>1</v>
          </cell>
          <cell r="J2236" t="str">
            <v>뉴옵틱스</v>
          </cell>
          <cell r="K2236">
            <v>314</v>
          </cell>
          <cell r="L2236">
            <v>318</v>
          </cell>
          <cell r="O2236">
            <v>18530</v>
          </cell>
          <cell r="P2236">
            <v>1500</v>
          </cell>
          <cell r="Q2236">
            <v>450</v>
          </cell>
          <cell r="S2236">
            <v>0</v>
          </cell>
          <cell r="T2236" t="str">
            <v>47INCH-M-TOP</v>
          </cell>
          <cell r="U2236">
            <v>41493</v>
          </cell>
          <cell r="V2236" t="str">
            <v>코모텍</v>
          </cell>
          <cell r="X2236" t="str">
            <v>계양리 Q-1</v>
          </cell>
          <cell r="AC2236" t="str">
            <v xml:space="preserve">최재학사원,2013.10.24 코팅 </v>
          </cell>
          <cell r="AD2236">
            <v>0.85</v>
          </cell>
          <cell r="AE2236">
            <v>170</v>
          </cell>
          <cell r="AF2236">
            <v>1</v>
          </cell>
        </row>
        <row r="2237">
          <cell r="A2237" t="str">
            <v>47INCH-M-BOT</v>
          </cell>
          <cell r="B2237" t="str">
            <v>SET</v>
          </cell>
          <cell r="C2237">
            <v>1</v>
          </cell>
          <cell r="D2237">
            <v>100</v>
          </cell>
          <cell r="E2237">
            <v>3950</v>
          </cell>
          <cell r="F2237">
            <v>53</v>
          </cell>
          <cell r="G2237" t="str">
            <v>B240NS</v>
          </cell>
          <cell r="H2237">
            <v>1</v>
          </cell>
          <cell r="I2237">
            <v>1</v>
          </cell>
          <cell r="J2237" t="str">
            <v>뉴옵틱스</v>
          </cell>
          <cell r="K2237">
            <v>402</v>
          </cell>
          <cell r="L2237">
            <v>406</v>
          </cell>
          <cell r="O2237">
            <v>18960</v>
          </cell>
          <cell r="P2237">
            <v>1500</v>
          </cell>
          <cell r="Q2237">
            <v>550</v>
          </cell>
          <cell r="S2237">
            <v>0</v>
          </cell>
          <cell r="T2237" t="str">
            <v>47INCH-M-BOT</v>
          </cell>
          <cell r="U2237">
            <v>41493</v>
          </cell>
          <cell r="V2237" t="str">
            <v>코모텍</v>
          </cell>
          <cell r="X2237" t="str">
            <v>계양리 Q-1</v>
          </cell>
          <cell r="AC2237" t="str">
            <v xml:space="preserve">최재학사원,2013.10.24 코팅 </v>
          </cell>
          <cell r="AD2237">
            <v>0.85</v>
          </cell>
          <cell r="AE2237">
            <v>100</v>
          </cell>
          <cell r="AF2237">
            <v>1</v>
          </cell>
        </row>
        <row r="2238">
          <cell r="A2238" t="str">
            <v>475*375*20T</v>
          </cell>
          <cell r="B2238" t="str">
            <v>PAD</v>
          </cell>
          <cell r="E2238">
            <v>71</v>
          </cell>
          <cell r="J2238" t="str">
            <v>코웨이</v>
          </cell>
          <cell r="O2238">
            <v>500</v>
          </cell>
        </row>
        <row r="2239">
          <cell r="A2239" t="str">
            <v>475*375*10T</v>
          </cell>
          <cell r="B2239" t="str">
            <v>PAD</v>
          </cell>
          <cell r="E2239">
            <v>36</v>
          </cell>
          <cell r="J2239" t="str">
            <v>코웨이</v>
          </cell>
          <cell r="O2239">
            <v>270</v>
          </cell>
        </row>
        <row r="2240">
          <cell r="A2240" t="str">
            <v>475*275*20T</v>
          </cell>
          <cell r="B2240" t="str">
            <v>PAD</v>
          </cell>
          <cell r="E2240">
            <v>52</v>
          </cell>
          <cell r="J2240" t="str">
            <v>코웨이</v>
          </cell>
          <cell r="O2240">
            <v>370</v>
          </cell>
        </row>
        <row r="2241">
          <cell r="A2241" t="str">
            <v>472S</v>
          </cell>
          <cell r="B2241" t="str">
            <v>SET</v>
          </cell>
          <cell r="C2241">
            <v>2</v>
          </cell>
          <cell r="D2241">
            <v>70</v>
          </cell>
          <cell r="E2241">
            <v>228</v>
          </cell>
          <cell r="F2241">
            <v>70</v>
          </cell>
          <cell r="G2241" t="str">
            <v>B240NS</v>
          </cell>
          <cell r="H2241">
            <v>5</v>
          </cell>
          <cell r="I2241">
            <v>2</v>
          </cell>
          <cell r="J2241" t="str">
            <v>엑소더스</v>
          </cell>
          <cell r="K2241">
            <v>84</v>
          </cell>
          <cell r="L2241">
            <v>86</v>
          </cell>
          <cell r="M2241">
            <v>69</v>
          </cell>
          <cell r="N2241">
            <v>71</v>
          </cell>
          <cell r="O2241">
            <v>1700</v>
          </cell>
          <cell r="P2241">
            <v>1360</v>
          </cell>
          <cell r="Q2241">
            <v>200</v>
          </cell>
          <cell r="R2241" t="str">
            <v>보라</v>
          </cell>
          <cell r="S2241" t="str">
            <v>보라</v>
          </cell>
          <cell r="T2241" t="str">
            <v>472S</v>
          </cell>
          <cell r="U2241">
            <v>41684</v>
          </cell>
          <cell r="V2241" t="str">
            <v>금형제조부</v>
          </cell>
          <cell r="AC2241" t="str">
            <v>김길영계장,2014.03.19 개조 및 CAVITY추가(2*1-&gt;2*2),2014.04.02 묶음단위변경(1-&gt;10),2014.04.30묶음단위변경(10-&gt;5),2017.05.24업체명변경(한림SJT-&gt;엑소더스)18.10.11 62배--&gt;74배 중량확인</v>
          </cell>
          <cell r="AD2241">
            <v>0.85</v>
          </cell>
          <cell r="AE2241">
            <v>80</v>
          </cell>
          <cell r="AF2241">
            <v>6</v>
          </cell>
        </row>
        <row r="2242">
          <cell r="A2242" t="str">
            <v>470*370*10T</v>
          </cell>
          <cell r="B2242" t="str">
            <v>PTCH-001</v>
          </cell>
          <cell r="J2242" t="str">
            <v>터치윈</v>
          </cell>
          <cell r="O2242">
            <v>150</v>
          </cell>
        </row>
        <row r="2243">
          <cell r="A2243" t="str">
            <v xml:space="preserve">468*260*190 </v>
          </cell>
          <cell r="B2243" t="str">
            <v>PAD</v>
          </cell>
          <cell r="E2243">
            <v>300</v>
          </cell>
          <cell r="J2243" t="str">
            <v>은성프린터스</v>
          </cell>
          <cell r="U2243" t="str">
            <v>2022.08.31</v>
          </cell>
          <cell r="AD2243">
            <v>0.85</v>
          </cell>
        </row>
        <row r="2244">
          <cell r="A2244" t="str">
            <v>450*450*40T</v>
          </cell>
          <cell r="B2244" t="str">
            <v>PAD</v>
          </cell>
          <cell r="J2244" t="str">
            <v>코웨이/인천공장</v>
          </cell>
        </row>
        <row r="2245">
          <cell r="A2245" t="str">
            <v>450*450*40T</v>
          </cell>
          <cell r="B2245" t="str">
            <v>PAD</v>
          </cell>
          <cell r="J2245" t="str">
            <v>코웨이/인천공장</v>
          </cell>
        </row>
        <row r="2246">
          <cell r="A2246" t="str">
            <v>450*290*60T</v>
          </cell>
          <cell r="B2246" t="str">
            <v>PAD</v>
          </cell>
          <cell r="J2246" t="str">
            <v>고려포장</v>
          </cell>
          <cell r="O2246">
            <v>750</v>
          </cell>
        </row>
        <row r="2247">
          <cell r="A2247" t="str">
            <v>450*210*40T</v>
          </cell>
          <cell r="B2247" t="str">
            <v>PAD</v>
          </cell>
          <cell r="E2247">
            <v>54</v>
          </cell>
          <cell r="J2247" t="str">
            <v>코웨이</v>
          </cell>
          <cell r="Q2247" t="str">
            <v>JB0B-A0039</v>
          </cell>
          <cell r="R2247" t="str">
            <v>400*382*50T06/6/14합의</v>
          </cell>
        </row>
        <row r="2248">
          <cell r="A2248" t="str">
            <v>450*210*40T</v>
          </cell>
          <cell r="B2248" t="str">
            <v>PAD</v>
          </cell>
          <cell r="J2248" t="str">
            <v>코웨이/인천공장</v>
          </cell>
        </row>
        <row r="2249">
          <cell r="A2249" t="str">
            <v>450*180*16.5T</v>
          </cell>
          <cell r="B2249" t="str">
            <v>PAD</v>
          </cell>
          <cell r="E2249">
            <v>22</v>
          </cell>
          <cell r="J2249" t="str">
            <v>삼성전자</v>
          </cell>
          <cell r="O2249">
            <v>0</v>
          </cell>
        </row>
        <row r="2250">
          <cell r="A2250" t="str">
            <v>450*180*14T</v>
          </cell>
          <cell r="B2250" t="str">
            <v>PAD</v>
          </cell>
          <cell r="E2250">
            <v>18</v>
          </cell>
          <cell r="J2250" t="str">
            <v>삼성전자</v>
          </cell>
          <cell r="O2250">
            <v>0</v>
          </cell>
        </row>
        <row r="2251">
          <cell r="A2251" t="str">
            <v>448*309*40T</v>
          </cell>
          <cell r="B2251" t="str">
            <v>PAD</v>
          </cell>
          <cell r="E2251">
            <v>0</v>
          </cell>
          <cell r="J2251" t="str">
            <v>삼성기흥</v>
          </cell>
          <cell r="O2251">
            <v>1100</v>
          </cell>
        </row>
        <row r="2252">
          <cell r="A2252" t="str">
            <v>443*65*65</v>
          </cell>
          <cell r="B2252" t="str">
            <v>PAD</v>
          </cell>
          <cell r="E2252">
            <v>23</v>
          </cell>
          <cell r="J2252" t="str">
            <v>이파람</v>
          </cell>
          <cell r="AD2252">
            <v>0.85</v>
          </cell>
        </row>
        <row r="2253">
          <cell r="A2253" t="str">
            <v>440*375*20T</v>
          </cell>
          <cell r="B2253" t="str">
            <v>PAD</v>
          </cell>
          <cell r="E2253">
            <v>55</v>
          </cell>
          <cell r="J2253" t="str">
            <v>디앤피파크</v>
          </cell>
          <cell r="O2253">
            <v>350</v>
          </cell>
        </row>
        <row r="2254">
          <cell r="A2254" t="str">
            <v>440*360*20T(40배)</v>
          </cell>
          <cell r="B2254" t="str">
            <v>PAD</v>
          </cell>
          <cell r="E2254">
            <v>79</v>
          </cell>
          <cell r="J2254" t="str">
            <v>SK매직</v>
          </cell>
          <cell r="O2254">
            <v>710</v>
          </cell>
          <cell r="P2254" t="str">
            <v>440*360*20T(40배)</v>
          </cell>
        </row>
        <row r="2255">
          <cell r="A2255" t="str">
            <v>440*360*20T(40배)</v>
          </cell>
          <cell r="B2255" t="str">
            <v>PAD</v>
          </cell>
          <cell r="E2255">
            <v>79</v>
          </cell>
          <cell r="J2255" t="str">
            <v>SK매직</v>
          </cell>
          <cell r="O2255">
            <v>710</v>
          </cell>
          <cell r="P2255" t="str">
            <v>440*360*20T(40배)</v>
          </cell>
        </row>
        <row r="2256">
          <cell r="A2256" t="str">
            <v>435*275*25T</v>
          </cell>
          <cell r="B2256" t="str">
            <v>PAD</v>
          </cell>
          <cell r="E2256">
            <v>0</v>
          </cell>
          <cell r="J2256" t="str">
            <v>아워홈</v>
          </cell>
          <cell r="O2256">
            <v>380</v>
          </cell>
        </row>
        <row r="2257">
          <cell r="A2257" t="str">
            <v>435*275*25T</v>
          </cell>
          <cell r="B2257" t="str">
            <v>PAD</v>
          </cell>
          <cell r="E2257">
            <v>0</v>
          </cell>
          <cell r="J2257" t="str">
            <v>아워홈</v>
          </cell>
          <cell r="O2257">
            <v>380</v>
          </cell>
        </row>
        <row r="2258">
          <cell r="A2258" t="str">
            <v>430*330*17T</v>
          </cell>
          <cell r="B2258" t="str">
            <v>PAD</v>
          </cell>
          <cell r="E2258">
            <v>0</v>
          </cell>
          <cell r="J2258" t="str">
            <v>에코조인</v>
          </cell>
          <cell r="O2258">
            <v>100</v>
          </cell>
        </row>
        <row r="2259">
          <cell r="A2259" t="str">
            <v>430*330*17T</v>
          </cell>
          <cell r="B2259" t="str">
            <v>PAD</v>
          </cell>
          <cell r="E2259">
            <v>0</v>
          </cell>
          <cell r="J2259" t="str">
            <v>에코조인</v>
          </cell>
          <cell r="O2259">
            <v>100</v>
          </cell>
        </row>
        <row r="2260">
          <cell r="A2260" t="str">
            <v>430*210*20T</v>
          </cell>
          <cell r="B2260" t="str">
            <v>PAD</v>
          </cell>
          <cell r="E2260">
            <v>30</v>
          </cell>
          <cell r="J2260" t="str">
            <v>로지텍</v>
          </cell>
          <cell r="O2260">
            <v>220</v>
          </cell>
        </row>
        <row r="2261">
          <cell r="A2261" t="str">
            <v>425*325*50T</v>
          </cell>
          <cell r="B2261" t="str">
            <v>PAD</v>
          </cell>
          <cell r="E2261">
            <v>0</v>
          </cell>
          <cell r="J2261" t="str">
            <v>쥴릭</v>
          </cell>
          <cell r="O2261">
            <v>1600</v>
          </cell>
        </row>
        <row r="2262">
          <cell r="A2262" t="str">
            <v>425*325*50T</v>
          </cell>
          <cell r="B2262" t="str">
            <v>PAD</v>
          </cell>
          <cell r="E2262">
            <v>0</v>
          </cell>
          <cell r="J2262" t="str">
            <v>쥴릭</v>
          </cell>
          <cell r="O2262">
            <v>1600</v>
          </cell>
        </row>
        <row r="2263">
          <cell r="A2263" t="str">
            <v>420*260*15T</v>
          </cell>
          <cell r="E2263">
            <v>27</v>
          </cell>
          <cell r="J2263" t="str">
            <v>와산업</v>
          </cell>
        </row>
        <row r="2264">
          <cell r="A2264" t="str">
            <v>420*240*15T</v>
          </cell>
          <cell r="E2264">
            <v>25</v>
          </cell>
          <cell r="J2264" t="str">
            <v>와산업</v>
          </cell>
        </row>
        <row r="2265">
          <cell r="A2265" t="str">
            <v>415*275*20T</v>
          </cell>
          <cell r="B2265" t="str">
            <v>PAD</v>
          </cell>
          <cell r="E2265">
            <v>46</v>
          </cell>
          <cell r="J2265" t="str">
            <v>코웨이</v>
          </cell>
          <cell r="O2265">
            <v>320</v>
          </cell>
        </row>
        <row r="2266">
          <cell r="A2266" t="str">
            <v>410*60*10T</v>
          </cell>
          <cell r="B2266" t="str">
            <v>PAD</v>
          </cell>
          <cell r="D2266">
            <v>4</v>
          </cell>
          <cell r="E2266">
            <v>2.74</v>
          </cell>
          <cell r="J2266" t="str">
            <v>찬구화학</v>
          </cell>
          <cell r="O2266">
            <v>80</v>
          </cell>
        </row>
        <row r="2267">
          <cell r="A2267" t="str">
            <v>410*40*10T</v>
          </cell>
          <cell r="B2267" t="str">
            <v>PAD</v>
          </cell>
          <cell r="D2267">
            <v>3</v>
          </cell>
          <cell r="E2267">
            <v>2.74</v>
          </cell>
          <cell r="J2267" t="str">
            <v>찬구화학</v>
          </cell>
          <cell r="O2267">
            <v>80</v>
          </cell>
        </row>
        <row r="2268">
          <cell r="A2268" t="str">
            <v>40B1UP#4(60배)</v>
          </cell>
          <cell r="B2268" t="str">
            <v>SET</v>
          </cell>
          <cell r="C2268">
            <v>1</v>
          </cell>
          <cell r="D2268">
            <v>90</v>
          </cell>
          <cell r="E2268">
            <v>378</v>
          </cell>
          <cell r="F2268">
            <v>70</v>
          </cell>
          <cell r="G2268" t="str">
            <v>B240NS</v>
          </cell>
          <cell r="H2268">
            <v>10</v>
          </cell>
          <cell r="I2268">
            <v>1</v>
          </cell>
          <cell r="J2268" t="str">
            <v>경동</v>
          </cell>
          <cell r="K2268">
            <v>103</v>
          </cell>
          <cell r="L2268">
            <v>107</v>
          </cell>
          <cell r="P2268">
            <v>1360</v>
          </cell>
          <cell r="Q2268">
            <v>200</v>
          </cell>
          <cell r="R2268" t="str">
            <v>파란밴딩</v>
          </cell>
          <cell r="S2268" t="str">
            <v>보라</v>
          </cell>
          <cell r="T2268" t="str">
            <v>40B1 UPPER(4차)</v>
          </cell>
          <cell r="U2268">
            <v>42592</v>
          </cell>
          <cell r="V2268" t="str">
            <v>금형제조부</v>
          </cell>
          <cell r="AC2268" t="str">
            <v>김영석계장</v>
          </cell>
          <cell r="AD2268">
            <v>0.85</v>
          </cell>
          <cell r="AE2268">
            <v>80</v>
          </cell>
          <cell r="AF2268">
            <v>1</v>
          </cell>
        </row>
        <row r="2269">
          <cell r="A2269" t="str">
            <v>40B1UP#4</v>
          </cell>
          <cell r="B2269" t="str">
            <v>SET</v>
          </cell>
          <cell r="C2269">
            <v>1</v>
          </cell>
          <cell r="D2269">
            <v>90</v>
          </cell>
          <cell r="E2269">
            <v>424</v>
          </cell>
          <cell r="F2269">
            <v>65</v>
          </cell>
          <cell r="G2269" t="str">
            <v>B240NS</v>
          </cell>
          <cell r="H2269">
            <v>10</v>
          </cell>
          <cell r="I2269">
            <v>1</v>
          </cell>
          <cell r="J2269" t="str">
            <v>경동</v>
          </cell>
          <cell r="K2269">
            <v>103</v>
          </cell>
          <cell r="L2269">
            <v>107</v>
          </cell>
          <cell r="O2269">
            <v>2282</v>
          </cell>
          <cell r="P2269">
            <v>1360</v>
          </cell>
          <cell r="Q2269">
            <v>200</v>
          </cell>
          <cell r="R2269" t="str">
            <v>파랑밴딩</v>
          </cell>
          <cell r="S2269" t="str">
            <v>보라</v>
          </cell>
          <cell r="T2269" t="str">
            <v>40B1 UPPER(4차)</v>
          </cell>
          <cell r="U2269">
            <v>42592</v>
          </cell>
          <cell r="V2269" t="str">
            <v>금형제조부</v>
          </cell>
          <cell r="W2269" t="str">
            <v>파랑색밴딩작업, 중량확인</v>
          </cell>
          <cell r="AC2269" t="str">
            <v>최재학사원,2017.08.31배율변경(62배-&gt;57배), 2020.04.28 BURR수리</v>
          </cell>
          <cell r="AD2269">
            <v>0.85</v>
          </cell>
          <cell r="AE2269">
            <v>80</v>
          </cell>
          <cell r="AF2269">
            <v>1</v>
          </cell>
        </row>
        <row r="2270">
          <cell r="A2270" t="str">
            <v>40B1UP#3</v>
          </cell>
          <cell r="B2270" t="str">
            <v>SET</v>
          </cell>
          <cell r="C2270">
            <v>1</v>
          </cell>
          <cell r="D2270">
            <v>75</v>
          </cell>
          <cell r="E2270">
            <v>454</v>
          </cell>
          <cell r="F2270">
            <v>70</v>
          </cell>
          <cell r="G2270" t="str">
            <v>B240NS</v>
          </cell>
          <cell r="H2270">
            <v>10</v>
          </cell>
          <cell r="I2270">
            <v>1</v>
          </cell>
          <cell r="J2270" t="str">
            <v>경동</v>
          </cell>
          <cell r="K2270">
            <v>103</v>
          </cell>
          <cell r="L2270">
            <v>107</v>
          </cell>
          <cell r="O2270">
            <v>2282</v>
          </cell>
          <cell r="P2270">
            <v>1300</v>
          </cell>
          <cell r="Q2270">
            <v>200</v>
          </cell>
          <cell r="R2270" t="str">
            <v>밴딩</v>
          </cell>
          <cell r="S2270" t="str">
            <v>밴딩</v>
          </cell>
          <cell r="T2270" t="str">
            <v>40B1 UPPER(3차)</v>
          </cell>
          <cell r="U2270">
            <v>40233</v>
          </cell>
          <cell r="V2270" t="str">
            <v>삼일금형</v>
          </cell>
          <cell r="X2270" t="str">
            <v>E-0104</v>
          </cell>
          <cell r="AC2270" t="str">
            <v>10.02.24 코아만3차재작함(캐비트는2차금형그대로사용).2010.03.30승인완료, 2012.01.15기준중량변경(455-&gt;454), 2012.10.19기준배율변경(57-&gt;62), 2012.11.09개조,2012.12.17수정,2013.02.19끈색변경(검정-&gt;보라),2013.04.11수정</v>
          </cell>
          <cell r="AD2270">
            <v>0.85</v>
          </cell>
          <cell r="AE2270">
            <v>75</v>
          </cell>
          <cell r="AF2270">
            <v>1</v>
          </cell>
        </row>
        <row r="2271">
          <cell r="A2271" t="str">
            <v>40B16-UP</v>
          </cell>
          <cell r="B2271" t="str">
            <v>SET</v>
          </cell>
          <cell r="C2271">
            <v>2</v>
          </cell>
          <cell r="D2271">
            <v>75</v>
          </cell>
          <cell r="E2271">
            <v>360</v>
          </cell>
          <cell r="F2271">
            <v>65</v>
          </cell>
          <cell r="G2271" t="str">
            <v>B240NS</v>
          </cell>
          <cell r="H2271">
            <v>7</v>
          </cell>
          <cell r="I2271">
            <v>1</v>
          </cell>
          <cell r="J2271" t="str">
            <v>SK매직</v>
          </cell>
          <cell r="K2271">
            <v>104</v>
          </cell>
          <cell r="L2271">
            <v>106</v>
          </cell>
          <cell r="O2271">
            <v>1879</v>
          </cell>
          <cell r="P2271">
            <v>1500</v>
          </cell>
          <cell r="Q2271">
            <v>200</v>
          </cell>
          <cell r="R2271" t="str">
            <v>밴딩</v>
          </cell>
          <cell r="S2271" t="str">
            <v>밴딩</v>
          </cell>
          <cell r="T2271" t="str">
            <v>40B16UP</v>
          </cell>
          <cell r="U2271">
            <v>41050</v>
          </cell>
          <cell r="V2271" t="str">
            <v>금형제조부</v>
          </cell>
          <cell r="X2271" t="str">
            <v>D-0304</v>
          </cell>
          <cell r="AC2271" t="str">
            <v>장혁민사원, 2012.06.15 수정, 2012.06.22 개조,2013.04.11개조,2013.09.27 끈색변경(보라-&gt;주황), , 2013.09.26개조</v>
          </cell>
          <cell r="AD2271">
            <v>0.85</v>
          </cell>
          <cell r="AE2271">
            <v>75</v>
          </cell>
          <cell r="AF2271">
            <v>1</v>
          </cell>
        </row>
        <row r="2272">
          <cell r="A2272" t="str">
            <v>40B12TOP</v>
          </cell>
          <cell r="B2272" t="str">
            <v>SET</v>
          </cell>
          <cell r="C2272">
            <v>2</v>
          </cell>
          <cell r="D2272">
            <v>75</v>
          </cell>
          <cell r="E2272">
            <v>137</v>
          </cell>
          <cell r="F2272">
            <v>65</v>
          </cell>
          <cell r="G2272" t="str">
            <v>B240NS</v>
          </cell>
          <cell r="H2272">
            <v>10</v>
          </cell>
          <cell r="I2272">
            <v>1</v>
          </cell>
          <cell r="J2272" t="str">
            <v>SK매직</v>
          </cell>
          <cell r="K2272">
            <v>73</v>
          </cell>
          <cell r="L2272">
            <v>75</v>
          </cell>
          <cell r="O2272">
            <v>712</v>
          </cell>
          <cell r="P2272">
            <v>1300</v>
          </cell>
          <cell r="Q2272">
            <v>150</v>
          </cell>
          <cell r="R2272" t="str">
            <v>녹색</v>
          </cell>
          <cell r="S2272" t="str">
            <v>녹색</v>
          </cell>
          <cell r="T2272" t="str">
            <v>40B12TOP</v>
          </cell>
          <cell r="U2272">
            <v>39646</v>
          </cell>
          <cell r="V2272" t="str">
            <v>삼일금형</v>
          </cell>
          <cell r="W2272" t="str">
            <v>50544-75000</v>
          </cell>
          <cell r="X2272" t="str">
            <v>P-0201</v>
          </cell>
          <cell r="AC2272" t="str">
            <v>2012.01.15기준중량변경(144-&gt;137)</v>
          </cell>
          <cell r="AD2272">
            <v>0.85</v>
          </cell>
          <cell r="AE2272">
            <v>75</v>
          </cell>
          <cell r="AF2272">
            <v>2</v>
          </cell>
        </row>
        <row r="2273">
          <cell r="A2273" t="str">
            <v>4021BUP#2(60배)</v>
          </cell>
          <cell r="B2273" t="str">
            <v>SET</v>
          </cell>
          <cell r="C2273">
            <v>1</v>
          </cell>
          <cell r="D2273">
            <v>77</v>
          </cell>
          <cell r="E2273">
            <v>500</v>
          </cell>
          <cell r="F2273">
            <v>70</v>
          </cell>
          <cell r="G2273" t="str">
            <v>B240NS</v>
          </cell>
          <cell r="H2273">
            <v>5</v>
          </cell>
          <cell r="I2273">
            <v>1</v>
          </cell>
          <cell r="J2273" t="str">
            <v>경동</v>
          </cell>
          <cell r="K2273">
            <v>129</v>
          </cell>
          <cell r="L2273">
            <v>131</v>
          </cell>
          <cell r="P2273">
            <v>1300</v>
          </cell>
          <cell r="Q2273">
            <v>200</v>
          </cell>
          <cell r="R2273" t="str">
            <v>파랑밴딩</v>
          </cell>
          <cell r="S2273" t="str">
            <v>검정</v>
          </cell>
          <cell r="T2273" t="str">
            <v>4021BUP#2</v>
          </cell>
          <cell r="U2273">
            <v>39715</v>
          </cell>
          <cell r="V2273" t="str">
            <v>삼일금형</v>
          </cell>
          <cell r="AD2273">
            <v>0.85</v>
          </cell>
          <cell r="AE2273">
            <v>80</v>
          </cell>
          <cell r="AF2273">
            <v>6</v>
          </cell>
        </row>
        <row r="2274">
          <cell r="A2274" t="str">
            <v>4021BUP#2</v>
          </cell>
          <cell r="B2274" t="str">
            <v>SET</v>
          </cell>
          <cell r="C2274">
            <v>1</v>
          </cell>
          <cell r="D2274">
            <v>77</v>
          </cell>
          <cell r="E2274">
            <v>600</v>
          </cell>
          <cell r="F2274">
            <v>65</v>
          </cell>
          <cell r="G2274" t="str">
            <v>B240NS</v>
          </cell>
          <cell r="H2274">
            <v>5</v>
          </cell>
          <cell r="I2274">
            <v>1</v>
          </cell>
          <cell r="J2274" t="str">
            <v>경동</v>
          </cell>
          <cell r="K2274">
            <v>129</v>
          </cell>
          <cell r="L2274">
            <v>131</v>
          </cell>
          <cell r="O2274">
            <v>3016</v>
          </cell>
          <cell r="P2274">
            <v>1300</v>
          </cell>
          <cell r="Q2274">
            <v>200</v>
          </cell>
          <cell r="R2274" t="str">
            <v>파랑밴딩</v>
          </cell>
          <cell r="S2274" t="str">
            <v>검정</v>
          </cell>
          <cell r="T2274" t="str">
            <v>4021BUP#2</v>
          </cell>
          <cell r="U2274">
            <v>39715</v>
          </cell>
          <cell r="V2274" t="str">
            <v>삼일금형</v>
          </cell>
          <cell r="W2274" t="str">
            <v>파랑밴딩작업, BURR 필히 작업, 50536-67001, 중량확인</v>
          </cell>
          <cell r="X2274" t="str">
            <v>E-0907</v>
          </cell>
          <cell r="AC2274" t="str">
            <v>40G1UP-CO + 4021BUP-CA,2011.05.27기준중량변경650g~600g, 2011.09.23개조, 2011.09.27수정,2013.02.06개조,2013.10.07 개조,2016.10.28배율변경62배-&gt;57배, 2020.04.08 CRACK 파손 수리, 2020.04.23BURR 및 크랙수리</v>
          </cell>
          <cell r="AD2274">
            <v>0.85</v>
          </cell>
          <cell r="AE2274">
            <v>80</v>
          </cell>
          <cell r="AF2274">
            <v>6</v>
          </cell>
        </row>
        <row r="2275">
          <cell r="A2275" t="str">
            <v>4021BLOW(60배)</v>
          </cell>
          <cell r="B2275" t="str">
            <v>SET</v>
          </cell>
          <cell r="C2275">
            <v>1</v>
          </cell>
          <cell r="D2275">
            <v>60</v>
          </cell>
          <cell r="E2275">
            <v>213</v>
          </cell>
          <cell r="F2275">
            <v>70</v>
          </cell>
          <cell r="G2275" t="str">
            <v>B240NS</v>
          </cell>
          <cell r="H2275">
            <v>10</v>
          </cell>
          <cell r="I2275">
            <v>1</v>
          </cell>
          <cell r="J2275" t="str">
            <v>경동</v>
          </cell>
          <cell r="K2275">
            <v>54</v>
          </cell>
          <cell r="L2275">
            <v>56</v>
          </cell>
          <cell r="P2275">
            <v>1300</v>
          </cell>
          <cell r="Q2275">
            <v>150</v>
          </cell>
          <cell r="R2275" t="str">
            <v>빨강</v>
          </cell>
          <cell r="S2275" t="str">
            <v>빨강</v>
          </cell>
          <cell r="T2275" t="str">
            <v>4021BLOW</v>
          </cell>
          <cell r="U2275">
            <v>39437</v>
          </cell>
          <cell r="V2275" t="str">
            <v>삼일금형</v>
          </cell>
          <cell r="AC2275" t="str">
            <v>김영석계장</v>
          </cell>
          <cell r="AF2275">
            <v>2</v>
          </cell>
        </row>
        <row r="2276">
          <cell r="A2276" t="str">
            <v>4021BLOW</v>
          </cell>
          <cell r="B2276" t="str">
            <v>SET</v>
          </cell>
          <cell r="C2276">
            <v>1</v>
          </cell>
          <cell r="D2276">
            <v>60</v>
          </cell>
          <cell r="E2276">
            <v>254</v>
          </cell>
          <cell r="F2276">
            <v>65</v>
          </cell>
          <cell r="G2276" t="str">
            <v>B240NS</v>
          </cell>
          <cell r="H2276">
            <v>10</v>
          </cell>
          <cell r="I2276">
            <v>1</v>
          </cell>
          <cell r="J2276" t="str">
            <v>경동</v>
          </cell>
          <cell r="K2276">
            <v>54</v>
          </cell>
          <cell r="L2276">
            <v>56</v>
          </cell>
          <cell r="O2276">
            <v>1277</v>
          </cell>
          <cell r="P2276">
            <v>1300</v>
          </cell>
          <cell r="Q2276">
            <v>150</v>
          </cell>
          <cell r="R2276" t="str">
            <v>빨강</v>
          </cell>
          <cell r="S2276" t="str">
            <v>빨강</v>
          </cell>
          <cell r="T2276" t="str">
            <v>4021BLOW</v>
          </cell>
          <cell r="U2276">
            <v>39437</v>
          </cell>
          <cell r="V2276" t="str">
            <v>삼일금형</v>
          </cell>
          <cell r="W2276" t="str">
            <v>50536-68000</v>
          </cell>
          <cell r="X2276" t="str">
            <v>E-0106</v>
          </cell>
          <cell r="AC2276" t="str">
            <v>2012.01.15기준중량변경(255-&gt;254),2013.02.06개조,2013.02.21 끈색변경(노랑+흰색-&gt;보라),2013.02.22수정,2013.10.14개조</v>
          </cell>
          <cell r="AD2276">
            <v>0.85</v>
          </cell>
          <cell r="AE2276">
            <v>65</v>
          </cell>
          <cell r="AF2276">
            <v>1</v>
          </cell>
        </row>
        <row r="2277">
          <cell r="A2277" t="str">
            <v>4011BUPNEW</v>
          </cell>
          <cell r="B2277" t="str">
            <v>SET</v>
          </cell>
          <cell r="C2277">
            <v>1</v>
          </cell>
          <cell r="D2277">
            <v>75</v>
          </cell>
          <cell r="E2277">
            <v>650</v>
          </cell>
          <cell r="F2277">
            <v>65</v>
          </cell>
          <cell r="G2277" t="str">
            <v>B240NS</v>
          </cell>
          <cell r="H2277">
            <v>5</v>
          </cell>
          <cell r="I2277">
            <v>1</v>
          </cell>
          <cell r="J2277" t="str">
            <v>SK매직</v>
          </cell>
          <cell r="K2277">
            <v>127</v>
          </cell>
          <cell r="L2277">
            <v>133</v>
          </cell>
          <cell r="O2277">
            <v>3380</v>
          </cell>
          <cell r="P2277">
            <v>1300</v>
          </cell>
          <cell r="Q2277">
            <v>150</v>
          </cell>
          <cell r="R2277" t="str">
            <v>밴딩</v>
          </cell>
          <cell r="S2277" t="str">
            <v>밴딩</v>
          </cell>
          <cell r="U2277">
            <v>41311</v>
          </cell>
          <cell r="V2277" t="str">
            <v>금형제조부</v>
          </cell>
          <cell r="X2277" t="str">
            <v>E-0903</v>
          </cell>
          <cell r="AC2277" t="str">
            <v>김길영계장,CORE만 입고(4011BUPCAVITY공용),2013.10.08 개조</v>
          </cell>
          <cell r="AD2277">
            <v>0.85</v>
          </cell>
          <cell r="AE2277">
            <v>75</v>
          </cell>
        </row>
        <row r="2278">
          <cell r="A2278" t="str">
            <v>400*400*40T</v>
          </cell>
          <cell r="B2278" t="str">
            <v>MALO-008</v>
          </cell>
          <cell r="J2278" t="str">
            <v>에이텍</v>
          </cell>
          <cell r="O2278">
            <v>800</v>
          </cell>
          <cell r="T2278" t="str">
            <v>400*400*40T</v>
          </cell>
          <cell r="U2278">
            <v>38964</v>
          </cell>
        </row>
        <row r="2279">
          <cell r="A2279" t="str">
            <v>400*280*25T(60배)</v>
          </cell>
          <cell r="B2279" t="str">
            <v>PSSY-286</v>
          </cell>
          <cell r="J2279" t="str">
            <v>삼성전자</v>
          </cell>
          <cell r="O2279">
            <v>0</v>
          </cell>
          <cell r="T2279" t="str">
            <v>400*280*25T(60배)</v>
          </cell>
        </row>
        <row r="2280">
          <cell r="A2280" t="str">
            <v>400*160*32T(50배)</v>
          </cell>
          <cell r="B2280" t="str">
            <v>PAD</v>
          </cell>
          <cell r="E2280">
            <v>41</v>
          </cell>
          <cell r="J2280" t="str">
            <v>브이씨엘</v>
          </cell>
          <cell r="O2280">
            <v>350</v>
          </cell>
          <cell r="P2280" t="str">
            <v>400*160*32T(50배)</v>
          </cell>
        </row>
        <row r="2281">
          <cell r="A2281" t="str">
            <v>400*160*32T(50배)</v>
          </cell>
          <cell r="B2281" t="str">
            <v>PAD</v>
          </cell>
          <cell r="E2281">
            <v>41</v>
          </cell>
          <cell r="J2281" t="str">
            <v>브이씨엘</v>
          </cell>
          <cell r="O2281">
            <v>350</v>
          </cell>
          <cell r="P2281" t="str">
            <v>400*160*32T(50배)</v>
          </cell>
        </row>
        <row r="2282">
          <cell r="A2282" t="str">
            <v>3구칸막이</v>
          </cell>
          <cell r="B2282" t="str">
            <v>BOX</v>
          </cell>
          <cell r="C2282">
            <v>3</v>
          </cell>
          <cell r="D2282">
            <v>80</v>
          </cell>
          <cell r="E2282">
            <v>65</v>
          </cell>
          <cell r="F2282">
            <v>60</v>
          </cell>
          <cell r="G2282" t="str">
            <v>B240NS</v>
          </cell>
          <cell r="H2282">
            <v>24</v>
          </cell>
          <cell r="I2282">
            <v>1</v>
          </cell>
          <cell r="J2282" t="str">
            <v>㈜탭스</v>
          </cell>
          <cell r="K2282">
            <v>60</v>
          </cell>
          <cell r="L2282">
            <v>64</v>
          </cell>
          <cell r="O2282">
            <v>856</v>
          </cell>
          <cell r="P2282">
            <v>1300</v>
          </cell>
          <cell r="Q2282">
            <v>200</v>
          </cell>
          <cell r="R2282" t="str">
            <v>녹색</v>
          </cell>
          <cell r="T2282" t="str">
            <v>3GU/5GU PAD</v>
          </cell>
          <cell r="U2282">
            <v>45267</v>
          </cell>
          <cell r="V2282" t="str">
            <v>대양이동입고</v>
          </cell>
          <cell r="W2282" t="str">
            <v>3구/5구 칸막이 동일 금형</v>
          </cell>
          <cell r="AD2282">
            <v>0.85</v>
          </cell>
        </row>
        <row r="2283">
          <cell r="A2283" t="str">
            <v>3구칸막이</v>
          </cell>
          <cell r="B2283" t="str">
            <v>BOX</v>
          </cell>
          <cell r="C2283">
            <v>3</v>
          </cell>
          <cell r="D2283">
            <v>80</v>
          </cell>
          <cell r="E2283">
            <v>0</v>
          </cell>
          <cell r="F2283">
            <v>60</v>
          </cell>
          <cell r="G2283" t="str">
            <v>B240NS</v>
          </cell>
          <cell r="H2283">
            <v>24</v>
          </cell>
          <cell r="I2283">
            <v>1</v>
          </cell>
          <cell r="J2283" t="str">
            <v>㈜탭스</v>
          </cell>
          <cell r="K2283">
            <v>60</v>
          </cell>
          <cell r="L2283">
            <v>64</v>
          </cell>
          <cell r="O2283">
            <v>856</v>
          </cell>
          <cell r="P2283">
            <v>1300</v>
          </cell>
          <cell r="Q2283">
            <v>200</v>
          </cell>
          <cell r="R2283" t="str">
            <v>녹색</v>
          </cell>
          <cell r="T2283" t="str">
            <v>3GU/5GU PAD</v>
          </cell>
          <cell r="U2283">
            <v>45267</v>
          </cell>
          <cell r="V2283" t="str">
            <v>대양이동입고</v>
          </cell>
          <cell r="W2283" t="str">
            <v>3구/5구 칸막이 동일 금형</v>
          </cell>
          <cell r="AD2283">
            <v>0.85</v>
          </cell>
        </row>
        <row r="2284">
          <cell r="A2284" t="str">
            <v>3구선물셋트(회색)</v>
          </cell>
          <cell r="B2284" t="str">
            <v>회색</v>
          </cell>
          <cell r="C2284">
            <v>2</v>
          </cell>
          <cell r="D2284">
            <v>85</v>
          </cell>
          <cell r="E2284">
            <v>385</v>
          </cell>
          <cell r="F2284">
            <v>48</v>
          </cell>
          <cell r="G2284" t="str">
            <v>ZP2500</v>
          </cell>
          <cell r="H2284">
            <v>5</v>
          </cell>
          <cell r="I2284">
            <v>3</v>
          </cell>
          <cell r="J2284" t="str">
            <v>평창축협</v>
          </cell>
          <cell r="K2284">
            <v>32</v>
          </cell>
          <cell r="L2284">
            <v>36</v>
          </cell>
          <cell r="M2284">
            <v>161</v>
          </cell>
          <cell r="N2284">
            <v>165</v>
          </cell>
          <cell r="O2284">
            <v>2700</v>
          </cell>
          <cell r="P2284">
            <v>1360</v>
          </cell>
          <cell r="Q2284">
            <v>250</v>
          </cell>
          <cell r="R2284" t="str">
            <v>노랑</v>
          </cell>
          <cell r="S2284" t="str">
            <v>노랑</v>
          </cell>
          <cell r="T2284" t="str">
            <v>3구선물셋트</v>
          </cell>
          <cell r="U2284">
            <v>40863</v>
          </cell>
          <cell r="V2284" t="str">
            <v>금형제조부</v>
          </cell>
          <cell r="W2284" t="str">
            <v>모델확인 철저</v>
          </cell>
          <cell r="Y2284">
            <v>40</v>
          </cell>
          <cell r="Z2284">
            <v>16674</v>
          </cell>
          <cell r="AC2284" t="str">
            <v>금형없음, 3구선물셋트 동일금형</v>
          </cell>
          <cell r="AD2284">
            <v>0.85</v>
          </cell>
          <cell r="AE2284">
            <v>85</v>
          </cell>
          <cell r="AF2284">
            <v>0</v>
          </cell>
        </row>
        <row r="2285">
          <cell r="A2285" t="str">
            <v>3구선물셋트</v>
          </cell>
          <cell r="B2285" t="str">
            <v>BOX</v>
          </cell>
          <cell r="C2285">
            <v>2</v>
          </cell>
          <cell r="D2285">
            <v>85</v>
          </cell>
          <cell r="E2285">
            <v>415</v>
          </cell>
          <cell r="F2285">
            <v>42</v>
          </cell>
          <cell r="G2285" t="str">
            <v>B240NS</v>
          </cell>
          <cell r="H2285">
            <v>5</v>
          </cell>
          <cell r="I2285">
            <v>3</v>
          </cell>
          <cell r="J2285" t="str">
            <v>평창축협</v>
          </cell>
          <cell r="K2285">
            <v>32</v>
          </cell>
          <cell r="L2285">
            <v>36</v>
          </cell>
          <cell r="M2285">
            <v>161</v>
          </cell>
          <cell r="N2285">
            <v>165</v>
          </cell>
          <cell r="O2285">
            <v>3000</v>
          </cell>
          <cell r="P2285">
            <v>1360</v>
          </cell>
          <cell r="Q2285">
            <v>250</v>
          </cell>
          <cell r="R2285" t="str">
            <v>노랑</v>
          </cell>
          <cell r="S2285" t="str">
            <v>노랑</v>
          </cell>
          <cell r="T2285" t="str">
            <v>3구선물셋트</v>
          </cell>
          <cell r="U2285">
            <v>40863</v>
          </cell>
          <cell r="V2285" t="str">
            <v>금형제조부</v>
          </cell>
          <cell r="X2285" t="str">
            <v>Q-0502</v>
          </cell>
          <cell r="AC2285" t="str">
            <v>장혁민사원, 2011.12.01수정, 2011.12.19김장식상무님한테 구조상으로 승인완료, 2012.10.08 기준배율변경(42-&gt;45),2015.01.07 기준중량변경(540-&gt;415)</v>
          </cell>
          <cell r="AD2285">
            <v>0.85</v>
          </cell>
          <cell r="AE2285">
            <v>85</v>
          </cell>
          <cell r="AF2285">
            <v>0</v>
          </cell>
        </row>
        <row r="2286">
          <cell r="A2286" t="str">
            <v>3구1,2단(몸통)</v>
          </cell>
          <cell r="B2286" t="str">
            <v>SET</v>
          </cell>
          <cell r="C2286">
            <v>4</v>
          </cell>
          <cell r="D2286">
            <v>95</v>
          </cell>
          <cell r="E2286">
            <v>170</v>
          </cell>
          <cell r="F2286">
            <v>65</v>
          </cell>
          <cell r="G2286" t="str">
            <v>B240NS</v>
          </cell>
          <cell r="H2286">
            <v>10</v>
          </cell>
          <cell r="I2286">
            <v>1</v>
          </cell>
          <cell r="J2286" t="str">
            <v>한국TPS</v>
          </cell>
          <cell r="K2286">
            <v>96</v>
          </cell>
          <cell r="L2286">
            <v>100</v>
          </cell>
          <cell r="O2286">
            <v>850</v>
          </cell>
          <cell r="P2286">
            <v>1300</v>
          </cell>
          <cell r="Q2286">
            <v>250</v>
          </cell>
          <cell r="R2286" t="str">
            <v>주황</v>
          </cell>
          <cell r="S2286" t="str">
            <v>주황</v>
          </cell>
          <cell r="T2286" t="str">
            <v>3구1,2단-BOT</v>
          </cell>
          <cell r="U2286">
            <v>41523</v>
          </cell>
          <cell r="V2286" t="str">
            <v>인천EPS이동입고</v>
          </cell>
          <cell r="X2286" t="str">
            <v>B-1401</v>
          </cell>
          <cell r="AC2286" t="str">
            <v>김길영계장,2013.09.06이관</v>
          </cell>
          <cell r="AD2286">
            <v>0.85</v>
          </cell>
          <cell r="AE2286">
            <v>80</v>
          </cell>
          <cell r="AF2286">
            <v>8</v>
          </cell>
        </row>
        <row r="2287">
          <cell r="A2287" t="str">
            <v>3구1,2단(뚜껑)</v>
          </cell>
          <cell r="B2287" t="str">
            <v>SET</v>
          </cell>
          <cell r="C2287">
            <v>4</v>
          </cell>
          <cell r="D2287">
            <v>80</v>
          </cell>
          <cell r="E2287">
            <v>130</v>
          </cell>
          <cell r="F2287">
            <v>65</v>
          </cell>
          <cell r="G2287" t="str">
            <v>B240NS</v>
          </cell>
          <cell r="H2287">
            <v>20</v>
          </cell>
          <cell r="I2287">
            <v>1</v>
          </cell>
          <cell r="J2287" t="str">
            <v>한국TPS</v>
          </cell>
          <cell r="K2287">
            <v>58</v>
          </cell>
          <cell r="L2287">
            <v>62</v>
          </cell>
          <cell r="O2287">
            <v>650</v>
          </cell>
          <cell r="P2287">
            <v>1300</v>
          </cell>
          <cell r="Q2287">
            <v>150</v>
          </cell>
          <cell r="R2287" t="str">
            <v>주황</v>
          </cell>
          <cell r="S2287" t="str">
            <v>주황</v>
          </cell>
          <cell r="T2287" t="str">
            <v>3구1,2단-TOP</v>
          </cell>
          <cell r="U2287">
            <v>41523</v>
          </cell>
          <cell r="V2287" t="str">
            <v>인천EPS이동입고</v>
          </cell>
          <cell r="X2287" t="str">
            <v>Q-0301</v>
          </cell>
          <cell r="AC2287" t="str">
            <v>김길영계장,2013.09.06이관</v>
          </cell>
          <cell r="AD2287">
            <v>0.9</v>
          </cell>
          <cell r="AE2287">
            <v>80</v>
          </cell>
          <cell r="AF2287">
            <v>10</v>
          </cell>
        </row>
        <row r="2288">
          <cell r="A2288" t="str">
            <v>3구/5구 칸막이</v>
          </cell>
          <cell r="B2288" t="str">
            <v>BOX</v>
          </cell>
          <cell r="C2288">
            <v>3</v>
          </cell>
          <cell r="D2288">
            <v>80</v>
          </cell>
          <cell r="E2288">
            <v>170</v>
          </cell>
          <cell r="F2288">
            <v>60</v>
          </cell>
          <cell r="G2288" t="str">
            <v>B240NS</v>
          </cell>
          <cell r="H2288">
            <v>1</v>
          </cell>
          <cell r="I2288">
            <v>2</v>
          </cell>
          <cell r="J2288" t="str">
            <v>㈜탭스</v>
          </cell>
          <cell r="O2288">
            <v>856</v>
          </cell>
          <cell r="P2288">
            <v>1300</v>
          </cell>
          <cell r="Q2288">
            <v>200</v>
          </cell>
          <cell r="T2288" t="str">
            <v>3GU/5GU PAD</v>
          </cell>
          <cell r="U2288">
            <v>45267</v>
          </cell>
          <cell r="V2288" t="str">
            <v>대양이동입고</v>
          </cell>
          <cell r="W2288" t="str">
            <v>3구/5구 칸막이</v>
          </cell>
          <cell r="AD2288">
            <v>0.85</v>
          </cell>
        </row>
        <row r="2289">
          <cell r="A2289" t="str">
            <v>3구/5구 칸막이</v>
          </cell>
          <cell r="B2289" t="str">
            <v>BOX</v>
          </cell>
          <cell r="C2289">
            <v>3</v>
          </cell>
          <cell r="D2289">
            <v>80</v>
          </cell>
          <cell r="E2289">
            <v>170</v>
          </cell>
          <cell r="F2289">
            <v>60</v>
          </cell>
          <cell r="G2289" t="str">
            <v>B240NS</v>
          </cell>
          <cell r="H2289">
            <v>1</v>
          </cell>
          <cell r="I2289">
            <v>2</v>
          </cell>
          <cell r="J2289" t="str">
            <v>㈜탭스</v>
          </cell>
          <cell r="O2289">
            <v>856</v>
          </cell>
          <cell r="P2289">
            <v>1300</v>
          </cell>
          <cell r="Q2289">
            <v>200</v>
          </cell>
          <cell r="T2289" t="str">
            <v>3GU/5GU PAD</v>
          </cell>
          <cell r="U2289">
            <v>45267</v>
          </cell>
          <cell r="V2289" t="str">
            <v>대양이동입고</v>
          </cell>
          <cell r="W2289" t="str">
            <v>3구/5구 칸막이</v>
          </cell>
          <cell r="AD2289">
            <v>0.85</v>
          </cell>
        </row>
        <row r="2290">
          <cell r="A2290" t="str">
            <v>3구/5구 칸막이</v>
          </cell>
          <cell r="B2290" t="str">
            <v>BOX</v>
          </cell>
          <cell r="C2290">
            <v>3</v>
          </cell>
          <cell r="D2290">
            <v>80</v>
          </cell>
          <cell r="E2290">
            <v>170</v>
          </cell>
          <cell r="F2290">
            <v>60</v>
          </cell>
          <cell r="G2290" t="str">
            <v>B240NS</v>
          </cell>
          <cell r="H2290">
            <v>1</v>
          </cell>
          <cell r="I2290">
            <v>2</v>
          </cell>
          <cell r="J2290" t="str">
            <v>㈜탭스</v>
          </cell>
          <cell r="O2290">
            <v>856</v>
          </cell>
          <cell r="P2290">
            <v>1300</v>
          </cell>
          <cell r="Q2290">
            <v>200</v>
          </cell>
          <cell r="T2290" t="str">
            <v>3GU/5GU PAD</v>
          </cell>
          <cell r="U2290">
            <v>45267</v>
          </cell>
          <cell r="V2290" t="str">
            <v>대양이동입고</v>
          </cell>
          <cell r="W2290" t="str">
            <v>3구/5구 칸막이</v>
          </cell>
          <cell r="AD2290">
            <v>0.85</v>
          </cell>
        </row>
        <row r="2291">
          <cell r="A2291" t="str">
            <v>3구 칸막이</v>
          </cell>
          <cell r="B2291" t="str">
            <v>BOX</v>
          </cell>
          <cell r="C2291">
            <v>3</v>
          </cell>
          <cell r="D2291">
            <v>80</v>
          </cell>
          <cell r="E2291">
            <v>65</v>
          </cell>
          <cell r="F2291">
            <v>60</v>
          </cell>
          <cell r="G2291" t="str">
            <v>B240NS</v>
          </cell>
          <cell r="H2291">
            <v>30</v>
          </cell>
          <cell r="I2291">
            <v>1</v>
          </cell>
          <cell r="J2291" t="str">
            <v>㈜탭스</v>
          </cell>
          <cell r="K2291">
            <v>60</v>
          </cell>
          <cell r="L2291">
            <v>64</v>
          </cell>
          <cell r="O2291">
            <v>856</v>
          </cell>
          <cell r="P2291">
            <v>1300</v>
          </cell>
          <cell r="Q2291">
            <v>200</v>
          </cell>
          <cell r="R2291" t="str">
            <v>녹색</v>
          </cell>
          <cell r="T2291" t="str">
            <v>3GU/5GU PAD</v>
          </cell>
          <cell r="U2291">
            <v>45267</v>
          </cell>
          <cell r="V2291" t="str">
            <v>대양이동입고</v>
          </cell>
          <cell r="W2291" t="str">
            <v>3구/5구 칸막이 동일 금형</v>
          </cell>
          <cell r="AD2291">
            <v>0.85</v>
          </cell>
        </row>
        <row r="2292">
          <cell r="A2292" t="str">
            <v>3P</v>
          </cell>
          <cell r="B2292" t="str">
            <v>SET</v>
          </cell>
          <cell r="C2292">
            <v>4</v>
          </cell>
          <cell r="D2292">
            <v>90</v>
          </cell>
          <cell r="E2292">
            <v>80</v>
          </cell>
          <cell r="F2292">
            <v>58</v>
          </cell>
          <cell r="G2292" t="str">
            <v>B240NS</v>
          </cell>
          <cell r="H2292">
            <v>40</v>
          </cell>
          <cell r="I2292">
            <v>2</v>
          </cell>
          <cell r="J2292" t="str">
            <v>슈프리콤</v>
          </cell>
          <cell r="K2292">
            <v>49</v>
          </cell>
          <cell r="L2292">
            <v>51</v>
          </cell>
          <cell r="M2292">
            <v>49</v>
          </cell>
          <cell r="N2292">
            <v>51</v>
          </cell>
          <cell r="O2292">
            <v>1150</v>
          </cell>
          <cell r="P2292">
            <v>1360</v>
          </cell>
          <cell r="Q2292">
            <v>150</v>
          </cell>
          <cell r="R2292" t="str">
            <v>파랑</v>
          </cell>
          <cell r="S2292" t="str">
            <v>녹색</v>
          </cell>
          <cell r="U2292">
            <v>41773</v>
          </cell>
          <cell r="V2292" t="str">
            <v>슈프리콤</v>
          </cell>
          <cell r="W2292" t="str">
            <v>수냉 1초 이하, 건조철저 확인!, 포장시 물기 확인! 2바퀴</v>
          </cell>
          <cell r="X2292" t="str">
            <v>D-0802</v>
          </cell>
          <cell r="AC2292" t="str">
            <v>조우리사원,2014.06.13수정,2014.07.28수정, 2014.07.31수정2014.08.28수정,2016.07.14 포장단위 변경(30-&gt;15), 2020.04.05 포장단위변경(15-&gt;80개)</v>
          </cell>
          <cell r="AD2292">
            <v>0.85</v>
          </cell>
          <cell r="AE2292">
            <v>80</v>
          </cell>
          <cell r="AF2292">
            <v>1</v>
          </cell>
        </row>
        <row r="2293">
          <cell r="A2293" t="str">
            <v>396*336*55T(40배)</v>
          </cell>
          <cell r="B2293" t="str">
            <v>PSSY-287</v>
          </cell>
          <cell r="J2293" t="str">
            <v>삼성전자</v>
          </cell>
          <cell r="O2293">
            <v>0</v>
          </cell>
          <cell r="T2293" t="str">
            <v>396*336*55T(40배)</v>
          </cell>
        </row>
        <row r="2294">
          <cell r="A2294" t="str">
            <v>3920L-6688A</v>
          </cell>
          <cell r="B2294" t="str">
            <v>LCD</v>
          </cell>
          <cell r="C2294">
            <v>1</v>
          </cell>
          <cell r="D2294">
            <v>200</v>
          </cell>
          <cell r="E2294">
            <v>2438</v>
          </cell>
          <cell r="F2294">
            <v>36</v>
          </cell>
          <cell r="G2294" t="str">
            <v>B240NS</v>
          </cell>
          <cell r="H2294">
            <v>1</v>
          </cell>
          <cell r="I2294">
            <v>1</v>
          </cell>
          <cell r="J2294" t="str">
            <v>LG디스플레이</v>
          </cell>
          <cell r="K2294">
            <v>124</v>
          </cell>
          <cell r="L2294">
            <v>126</v>
          </cell>
          <cell r="P2294">
            <v>1700</v>
          </cell>
          <cell r="Q2294">
            <v>250</v>
          </cell>
          <cell r="S2294">
            <v>0</v>
          </cell>
          <cell r="U2294">
            <v>43208</v>
          </cell>
          <cell r="V2294" t="str">
            <v>코모텍</v>
          </cell>
          <cell r="W2294" t="str">
            <v>55"</v>
          </cell>
          <cell r="Y2294">
            <v>30</v>
          </cell>
          <cell r="AC2294" t="str">
            <v>최재학계장</v>
          </cell>
          <cell r="AD2294">
            <v>0.9</v>
          </cell>
          <cell r="AE2294">
            <v>379</v>
          </cell>
          <cell r="AF2294">
            <v>6</v>
          </cell>
        </row>
        <row r="2295">
          <cell r="A2295" t="str">
            <v>390*345*45T</v>
          </cell>
          <cell r="B2295" t="str">
            <v>PAD</v>
          </cell>
          <cell r="E2295">
            <v>67</v>
          </cell>
          <cell r="J2295" t="str">
            <v>알파어셈블리솔루션즈코리아/시흥</v>
          </cell>
          <cell r="O2295">
            <v>620</v>
          </cell>
        </row>
        <row r="2296">
          <cell r="A2296" t="str">
            <v>370*290*10T</v>
          </cell>
          <cell r="B2296" t="str">
            <v>PAD</v>
          </cell>
          <cell r="E2296">
            <v>18</v>
          </cell>
          <cell r="J2296" t="str">
            <v>포담코퍼레이션</v>
          </cell>
          <cell r="O2296">
            <v>150</v>
          </cell>
          <cell r="P2296" t="str">
            <v>370*290*10T(60배)</v>
          </cell>
        </row>
        <row r="2297">
          <cell r="A2297" t="str">
            <v>370*290*10T</v>
          </cell>
          <cell r="B2297" t="str">
            <v>PAD</v>
          </cell>
          <cell r="E2297">
            <v>18</v>
          </cell>
          <cell r="J2297" t="str">
            <v>포담코퍼레이션</v>
          </cell>
          <cell r="O2297">
            <v>150</v>
          </cell>
          <cell r="P2297" t="str">
            <v>370*290*10T(60배)</v>
          </cell>
        </row>
        <row r="2298">
          <cell r="A2298" t="str">
            <v>360*160*32T(50배)</v>
          </cell>
          <cell r="B2298" t="str">
            <v>PAD</v>
          </cell>
          <cell r="E2298">
            <v>37</v>
          </cell>
          <cell r="J2298" t="str">
            <v>브이씨엘</v>
          </cell>
          <cell r="O2298">
            <v>330</v>
          </cell>
          <cell r="P2298" t="str">
            <v>360*160*32T(50배)</v>
          </cell>
        </row>
        <row r="2299">
          <cell r="A2299" t="str">
            <v>360*160*32T(50배)</v>
          </cell>
          <cell r="B2299" t="str">
            <v>PAD</v>
          </cell>
          <cell r="E2299">
            <v>37</v>
          </cell>
          <cell r="J2299" t="str">
            <v>브이씨엘</v>
          </cell>
          <cell r="O2299">
            <v>330</v>
          </cell>
          <cell r="P2299" t="str">
            <v>360*160*32T(50배)</v>
          </cell>
        </row>
        <row r="2300">
          <cell r="A2300" t="str">
            <v>360*160*30T(50배)</v>
          </cell>
          <cell r="B2300" t="str">
            <v>PAD</v>
          </cell>
          <cell r="E2300">
            <v>35</v>
          </cell>
          <cell r="J2300" t="str">
            <v>브이씨엘</v>
          </cell>
          <cell r="O2300">
            <v>330</v>
          </cell>
          <cell r="P2300" t="str">
            <v>360*160*32T(50배)</v>
          </cell>
        </row>
        <row r="2301">
          <cell r="A2301" t="str">
            <v>360*160*30T(50배)</v>
          </cell>
          <cell r="B2301" t="str">
            <v>PAD</v>
          </cell>
          <cell r="E2301">
            <v>35</v>
          </cell>
          <cell r="J2301" t="str">
            <v>브이씨엘</v>
          </cell>
          <cell r="O2301">
            <v>330</v>
          </cell>
          <cell r="P2301" t="str">
            <v>360*160*32T(50배)</v>
          </cell>
        </row>
        <row r="2302">
          <cell r="A2302" t="str">
            <v>358*43*160T</v>
          </cell>
          <cell r="B2302" t="str">
            <v>PAD</v>
          </cell>
          <cell r="E2302">
            <v>24</v>
          </cell>
          <cell r="J2302" t="str">
            <v>힘펠</v>
          </cell>
          <cell r="O2302">
            <v>300</v>
          </cell>
        </row>
        <row r="2303">
          <cell r="A2303" t="str">
            <v>358*43*160T</v>
          </cell>
          <cell r="B2303" t="str">
            <v>PAD</v>
          </cell>
          <cell r="E2303">
            <v>0</v>
          </cell>
          <cell r="J2303" t="str">
            <v>힘펠</v>
          </cell>
          <cell r="O2303">
            <v>300</v>
          </cell>
        </row>
        <row r="2304">
          <cell r="A2304" t="str">
            <v>340*270*20T</v>
          </cell>
          <cell r="B2304" t="str">
            <v>PAD</v>
          </cell>
          <cell r="E2304">
            <v>30.6</v>
          </cell>
          <cell r="J2304" t="str">
            <v>엘티소재</v>
          </cell>
          <cell r="O2304">
            <v>245</v>
          </cell>
          <cell r="P2304" t="str">
            <v>340*270*20T</v>
          </cell>
        </row>
        <row r="2305">
          <cell r="A2305" t="str">
            <v>340*270*20T</v>
          </cell>
          <cell r="B2305" t="str">
            <v>PAD</v>
          </cell>
          <cell r="E2305">
            <v>30.6</v>
          </cell>
          <cell r="J2305" t="str">
            <v>엘티소재</v>
          </cell>
          <cell r="O2305">
            <v>245</v>
          </cell>
          <cell r="P2305" t="str">
            <v>340*270*20T</v>
          </cell>
        </row>
        <row r="2306">
          <cell r="A2306" t="str">
            <v>330*510*10</v>
          </cell>
          <cell r="B2306" t="str">
            <v>MHG0-000</v>
          </cell>
          <cell r="J2306" t="str">
            <v>우영정보</v>
          </cell>
          <cell r="O2306">
            <v>440</v>
          </cell>
          <cell r="T2306" t="str">
            <v>330*510*10</v>
          </cell>
          <cell r="U2306">
            <v>39461</v>
          </cell>
        </row>
        <row r="2307">
          <cell r="A2307" t="str">
            <v>330*330*20T</v>
          </cell>
          <cell r="B2307" t="str">
            <v>MHG0-000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J2307" t="str">
            <v>우영정보</v>
          </cell>
          <cell r="O2307">
            <v>200</v>
          </cell>
          <cell r="T2307" t="str">
            <v>330*330*20T</v>
          </cell>
          <cell r="U2307">
            <v>39079</v>
          </cell>
        </row>
        <row r="2308">
          <cell r="A2308" t="str">
            <v>330*250*10T</v>
          </cell>
          <cell r="B2308" t="str">
            <v>PAD</v>
          </cell>
          <cell r="E2308">
            <v>0</v>
          </cell>
          <cell r="J2308" t="str">
            <v>채인버섯</v>
          </cell>
        </row>
        <row r="2309">
          <cell r="A2309" t="str">
            <v>330*250*10T</v>
          </cell>
          <cell r="B2309" t="str">
            <v>PAD</v>
          </cell>
          <cell r="E2309">
            <v>0</v>
          </cell>
          <cell r="J2309" t="str">
            <v>채인버섯</v>
          </cell>
        </row>
        <row r="2310">
          <cell r="A2310" t="str">
            <v>32QSR</v>
          </cell>
          <cell r="B2310" t="str">
            <v>SET</v>
          </cell>
          <cell r="C2310">
            <v>4</v>
          </cell>
          <cell r="D2310">
            <v>150</v>
          </cell>
          <cell r="E2310">
            <v>373</v>
          </cell>
          <cell r="F2310">
            <v>58</v>
          </cell>
          <cell r="G2310" t="str">
            <v>SG302</v>
          </cell>
          <cell r="H2310" t="str">
            <v>4</v>
          </cell>
          <cell r="I2310">
            <v>1</v>
          </cell>
          <cell r="J2310" t="str">
            <v>뉴옵틱스</v>
          </cell>
          <cell r="K2310">
            <v>228</v>
          </cell>
          <cell r="L2310">
            <v>232</v>
          </cell>
          <cell r="P2310">
            <v>1360</v>
          </cell>
          <cell r="Q2310">
            <v>350</v>
          </cell>
          <cell r="R2310" t="str">
            <v>주황</v>
          </cell>
          <cell r="U2310">
            <v>44482</v>
          </cell>
          <cell r="V2310" t="str">
            <v>이피엠테크</v>
          </cell>
          <cell r="Y2310">
            <v>50</v>
          </cell>
          <cell r="AC2310" t="str">
            <v>석상준과장</v>
          </cell>
          <cell r="AD2310">
            <v>0.85</v>
          </cell>
          <cell r="AF2310">
            <v>6</v>
          </cell>
        </row>
        <row r="2311">
          <cell r="A2311" t="str">
            <v>325*236*15</v>
          </cell>
          <cell r="B2311" t="str">
            <v>PAD</v>
          </cell>
        </row>
        <row r="2312">
          <cell r="A2312" t="str">
            <v>325*236*15</v>
          </cell>
          <cell r="B2312" t="str">
            <v>PAD</v>
          </cell>
          <cell r="J2312" t="str">
            <v>새롬수지</v>
          </cell>
        </row>
        <row r="2313">
          <cell r="A2313" t="str">
            <v>320VXF4V</v>
          </cell>
          <cell r="B2313" t="str">
            <v>SET</v>
          </cell>
          <cell r="C2313">
            <v>2</v>
          </cell>
          <cell r="D2313">
            <v>100</v>
          </cell>
          <cell r="E2313">
            <v>660</v>
          </cell>
          <cell r="F2313">
            <v>58</v>
          </cell>
          <cell r="G2313" t="str">
            <v>B240NS</v>
          </cell>
          <cell r="H2313">
            <v>5</v>
          </cell>
          <cell r="I2313">
            <v>2</v>
          </cell>
          <cell r="J2313" t="str">
            <v>뉴옵틱스</v>
          </cell>
          <cell r="K2313">
            <v>208</v>
          </cell>
          <cell r="L2313">
            <v>212</v>
          </cell>
          <cell r="M2313">
            <v>203</v>
          </cell>
          <cell r="N2313">
            <v>207</v>
          </cell>
          <cell r="P2313">
            <v>1360</v>
          </cell>
          <cell r="Q2313">
            <v>300</v>
          </cell>
          <cell r="R2313" t="str">
            <v>검정</v>
          </cell>
          <cell r="S2313" t="str">
            <v>검정</v>
          </cell>
          <cell r="U2313">
            <v>43165</v>
          </cell>
          <cell r="V2313" t="str">
            <v>금형제조부</v>
          </cell>
          <cell r="Y2313">
            <v>50</v>
          </cell>
          <cell r="Z2313">
            <v>33042</v>
          </cell>
          <cell r="AC2313" t="str">
            <v>최재학계장</v>
          </cell>
          <cell r="AD2313">
            <v>0.85</v>
          </cell>
          <cell r="AE2313">
            <v>100</v>
          </cell>
          <cell r="AF2313">
            <v>1</v>
          </cell>
        </row>
        <row r="2314">
          <cell r="A2314" t="str">
            <v>320-TRAY개발용</v>
          </cell>
          <cell r="B2314" t="str">
            <v>SET</v>
          </cell>
          <cell r="C2314">
            <v>1</v>
          </cell>
          <cell r="D2314">
            <v>100</v>
          </cell>
          <cell r="E2314">
            <v>745</v>
          </cell>
          <cell r="F2314">
            <v>36</v>
          </cell>
          <cell r="G2314" t="str">
            <v>B240NS</v>
          </cell>
          <cell r="H2314">
            <v>1</v>
          </cell>
          <cell r="I2314">
            <v>1</v>
          </cell>
          <cell r="J2314" t="str">
            <v>삼성LCD</v>
          </cell>
          <cell r="O2314">
            <v>10</v>
          </cell>
          <cell r="P2314">
            <v>1360</v>
          </cell>
          <cell r="Q2314">
            <v>200</v>
          </cell>
          <cell r="S2314">
            <v>0</v>
          </cell>
          <cell r="U2314">
            <v>41744</v>
          </cell>
          <cell r="V2314" t="str">
            <v>금형제조부</v>
          </cell>
          <cell r="X2314" t="str">
            <v>P-1003</v>
          </cell>
          <cell r="AC2314" t="str">
            <v>조우리사원</v>
          </cell>
          <cell r="AD2314">
            <v>0.9</v>
          </cell>
          <cell r="AE2314">
            <v>100</v>
          </cell>
        </row>
        <row r="2315">
          <cell r="A2315" t="str">
            <v>320*250*35T</v>
          </cell>
          <cell r="B2315" t="str">
            <v>PAD</v>
          </cell>
          <cell r="E2315">
            <v>0</v>
          </cell>
          <cell r="J2315" t="str">
            <v>진안볼트</v>
          </cell>
          <cell r="O2315">
            <v>400</v>
          </cell>
        </row>
        <row r="2316">
          <cell r="A2316" t="str">
            <v>320*250*35T</v>
          </cell>
          <cell r="B2316" t="str">
            <v>PAD</v>
          </cell>
          <cell r="E2316">
            <v>0</v>
          </cell>
          <cell r="J2316" t="str">
            <v>진안볼트</v>
          </cell>
          <cell r="O2316">
            <v>400</v>
          </cell>
        </row>
        <row r="2317">
          <cell r="A2317" t="str">
            <v>32*25*1000</v>
          </cell>
          <cell r="B2317" t="str">
            <v>PAD</v>
          </cell>
          <cell r="C2317">
            <v>2</v>
          </cell>
          <cell r="D2317">
            <v>100</v>
          </cell>
          <cell r="E2317">
            <v>16</v>
          </cell>
          <cell r="F2317">
            <v>40</v>
          </cell>
          <cell r="G2317" t="str">
            <v>B240NS</v>
          </cell>
          <cell r="H2317">
            <v>10</v>
          </cell>
          <cell r="I2317">
            <v>1</v>
          </cell>
          <cell r="J2317" t="str">
            <v>가화텍</v>
          </cell>
          <cell r="P2317">
            <v>1500</v>
          </cell>
          <cell r="Q2317">
            <v>150</v>
          </cell>
          <cell r="S2317" t="str">
            <v>패드</v>
          </cell>
          <cell r="U2317">
            <v>45217</v>
          </cell>
          <cell r="V2317" t="str">
            <v>금형사업부</v>
          </cell>
          <cell r="AD2317">
            <v>0.85</v>
          </cell>
        </row>
        <row r="2318">
          <cell r="A2318" t="str">
            <v>317*255*22(50배)</v>
          </cell>
          <cell r="J2318" t="str">
            <v>새롬수지</v>
          </cell>
        </row>
        <row r="2319">
          <cell r="A2319" t="str">
            <v>315*750*55T(60배)</v>
          </cell>
          <cell r="B2319" t="str">
            <v>PAD</v>
          </cell>
          <cell r="J2319" t="str">
            <v>에이텍에이피</v>
          </cell>
          <cell r="O2319">
            <v>1500</v>
          </cell>
        </row>
        <row r="2320">
          <cell r="A2320" t="str">
            <v>315*750*55T(60배)</v>
          </cell>
          <cell r="B2320" t="str">
            <v>PAD</v>
          </cell>
          <cell r="J2320" t="str">
            <v>에이텍에이피</v>
          </cell>
          <cell r="O2320">
            <v>1500</v>
          </cell>
        </row>
        <row r="2321">
          <cell r="A2321" t="str">
            <v>315*750*55</v>
          </cell>
          <cell r="B2321" t="str">
            <v>PAD</v>
          </cell>
          <cell r="E2321">
            <v>13</v>
          </cell>
          <cell r="J2321" t="str">
            <v>에이텍에이피</v>
          </cell>
        </row>
        <row r="2322">
          <cell r="A2322" t="str">
            <v>315*750*55</v>
          </cell>
          <cell r="B2322" t="str">
            <v>PAD</v>
          </cell>
        </row>
        <row r="2323">
          <cell r="A2323" t="str">
            <v>3120R-TOP</v>
          </cell>
          <cell r="B2323" t="str">
            <v>SET</v>
          </cell>
          <cell r="C2323">
            <v>4</v>
          </cell>
          <cell r="D2323">
            <v>75</v>
          </cell>
          <cell r="E2323">
            <v>164</v>
          </cell>
          <cell r="F2323">
            <v>65</v>
          </cell>
          <cell r="G2323" t="str">
            <v>B240NS</v>
          </cell>
          <cell r="H2323">
            <v>10</v>
          </cell>
          <cell r="I2323">
            <v>1</v>
          </cell>
          <cell r="J2323" t="str">
            <v>경동</v>
          </cell>
          <cell r="K2323">
            <v>73.5</v>
          </cell>
          <cell r="L2323">
            <v>77.5</v>
          </cell>
          <cell r="O2323">
            <v>845</v>
          </cell>
          <cell r="P2323">
            <v>1360</v>
          </cell>
          <cell r="Q2323">
            <v>150</v>
          </cell>
          <cell r="R2323" t="str">
            <v>보라</v>
          </cell>
          <cell r="S2323" t="str">
            <v>보라</v>
          </cell>
          <cell r="T2323" t="str">
            <v>3120R-TOP</v>
          </cell>
          <cell r="U2323">
            <v>41171</v>
          </cell>
          <cell r="V2323" t="str">
            <v>금형제조부</v>
          </cell>
          <cell r="W2323" t="str">
            <v>50557-51, 6~9 착형자제</v>
          </cell>
          <cell r="X2323" t="str">
            <v>E-0404</v>
          </cell>
          <cell r="AC2323" t="str">
            <v>최재학사원,2012.10.23 수정,2013.04.24 기준배율변경(50-&gt;57),2013.08.06코팅,2013.11.13개조</v>
          </cell>
          <cell r="AD2323">
            <v>0.85</v>
          </cell>
          <cell r="AE2323">
            <v>75</v>
          </cell>
          <cell r="AF2323">
            <v>1</v>
          </cell>
        </row>
        <row r="2324">
          <cell r="A2324" t="str">
            <v>310*290*30T</v>
          </cell>
          <cell r="B2324" t="str">
            <v>PSSY-290</v>
          </cell>
          <cell r="J2324" t="str">
            <v>삼성전자</v>
          </cell>
          <cell r="O2324">
            <v>100</v>
          </cell>
          <cell r="T2324" t="str">
            <v>310*290*30T</v>
          </cell>
          <cell r="U2324">
            <v>40379</v>
          </cell>
        </row>
        <row r="2325">
          <cell r="A2325" t="str">
            <v>310*210*37T</v>
          </cell>
          <cell r="B2325" t="str">
            <v>PAD</v>
          </cell>
          <cell r="J2325" t="str">
            <v>삼성전자</v>
          </cell>
          <cell r="O2325">
            <v>300</v>
          </cell>
          <cell r="P2325" t="str">
            <v>310*210*37T</v>
          </cell>
        </row>
        <row r="2326">
          <cell r="A2326" t="str">
            <v>310*210*20T</v>
          </cell>
          <cell r="B2326" t="str">
            <v>PAD</v>
          </cell>
          <cell r="E2326">
            <v>22</v>
          </cell>
          <cell r="J2326" t="str">
            <v>아워홈</v>
          </cell>
          <cell r="O2326">
            <v>300</v>
          </cell>
          <cell r="P2326" t="str">
            <v>SI-15K용간지</v>
          </cell>
        </row>
        <row r="2327">
          <cell r="A2327" t="str">
            <v>310*210*20T</v>
          </cell>
          <cell r="B2327" t="str">
            <v>PAD</v>
          </cell>
          <cell r="E2327">
            <v>22</v>
          </cell>
          <cell r="J2327" t="str">
            <v>아워홈</v>
          </cell>
          <cell r="O2327">
            <v>300</v>
          </cell>
          <cell r="P2327" t="str">
            <v>SI-15K용간지</v>
          </cell>
        </row>
        <row r="2328">
          <cell r="A2328" t="str">
            <v>310*200*20T</v>
          </cell>
          <cell r="B2328" t="str">
            <v>PAD</v>
          </cell>
          <cell r="E2328">
            <v>20</v>
          </cell>
          <cell r="J2328" t="str">
            <v>아워홈</v>
          </cell>
          <cell r="O2328">
            <v>300</v>
          </cell>
          <cell r="P2328" t="str">
            <v>SI-15K용간지</v>
          </cell>
        </row>
        <row r="2329">
          <cell r="A2329" t="str">
            <v>310*200*20T</v>
          </cell>
          <cell r="B2329" t="str">
            <v>PAD</v>
          </cell>
          <cell r="E2329">
            <v>20</v>
          </cell>
          <cell r="J2329" t="str">
            <v>아워홈</v>
          </cell>
          <cell r="O2329">
            <v>300</v>
          </cell>
          <cell r="P2329" t="str">
            <v>SI-15K용간지</v>
          </cell>
        </row>
        <row r="2330">
          <cell r="A2330" t="str">
            <v>30GS-UP</v>
          </cell>
          <cell r="B2330" t="str">
            <v>SET</v>
          </cell>
          <cell r="C2330">
            <v>1</v>
          </cell>
          <cell r="D2330">
            <v>100</v>
          </cell>
          <cell r="E2330">
            <v>487</v>
          </cell>
          <cell r="F2330">
            <v>65</v>
          </cell>
          <cell r="G2330" t="str">
            <v>B240NS</v>
          </cell>
          <cell r="H2330">
            <v>5</v>
          </cell>
          <cell r="I2330">
            <v>1</v>
          </cell>
          <cell r="J2330" t="str">
            <v>SK매직</v>
          </cell>
          <cell r="K2330">
            <v>122</v>
          </cell>
          <cell r="L2330">
            <v>126</v>
          </cell>
          <cell r="O2330">
            <v>2532</v>
          </cell>
          <cell r="P2330">
            <v>1300</v>
          </cell>
          <cell r="Q2330">
            <v>200</v>
          </cell>
          <cell r="R2330" t="str">
            <v>밴딩</v>
          </cell>
          <cell r="S2330" t="str">
            <v>밴딩</v>
          </cell>
          <cell r="T2330" t="str">
            <v>GRA-30GSUPPER</v>
          </cell>
          <cell r="U2330">
            <v>38227</v>
          </cell>
          <cell r="V2330" t="str">
            <v>삼일금형</v>
          </cell>
          <cell r="W2330" t="str">
            <v>50533-73000</v>
          </cell>
          <cell r="X2330" t="str">
            <v>계양리 B-1</v>
          </cell>
          <cell r="AD2330">
            <v>0.85</v>
          </cell>
          <cell r="AE2330">
            <v>120</v>
          </cell>
          <cell r="AF2330">
            <v>4</v>
          </cell>
        </row>
        <row r="2331">
          <cell r="A2331" t="str">
            <v>30GS-LOW</v>
          </cell>
          <cell r="B2331" t="str">
            <v>SET</v>
          </cell>
          <cell r="C2331">
            <v>1</v>
          </cell>
          <cell r="D2331">
            <v>60</v>
          </cell>
          <cell r="E2331">
            <v>279</v>
          </cell>
          <cell r="F2331">
            <v>65</v>
          </cell>
          <cell r="G2331" t="str">
            <v>B240NS</v>
          </cell>
          <cell r="H2331">
            <v>10</v>
          </cell>
          <cell r="I2331">
            <v>1</v>
          </cell>
          <cell r="J2331" t="str">
            <v>SK매직</v>
          </cell>
          <cell r="K2331">
            <v>54</v>
          </cell>
          <cell r="L2331">
            <v>58</v>
          </cell>
          <cell r="O2331">
            <v>1403</v>
          </cell>
          <cell r="P2331">
            <v>1300</v>
          </cell>
          <cell r="Q2331">
            <v>150</v>
          </cell>
          <cell r="R2331" t="str">
            <v>파랑</v>
          </cell>
          <cell r="S2331" t="str">
            <v>파랑</v>
          </cell>
          <cell r="T2331" t="str">
            <v>GRA-30GSLOWER</v>
          </cell>
          <cell r="U2331">
            <v>38227</v>
          </cell>
          <cell r="V2331" t="str">
            <v>삼일금형</v>
          </cell>
          <cell r="W2331" t="str">
            <v>50530-74000</v>
          </cell>
          <cell r="X2331" t="str">
            <v>E-0806</v>
          </cell>
          <cell r="AC2331" t="str">
            <v>2012.01.15기준중량변경(287-&gt;279)</v>
          </cell>
          <cell r="AD2331">
            <v>0.85</v>
          </cell>
          <cell r="AE2331">
            <v>65</v>
          </cell>
          <cell r="AF2331">
            <v>4</v>
          </cell>
        </row>
        <row r="2332">
          <cell r="A2332" t="str">
            <v>30GN-UP</v>
          </cell>
          <cell r="B2332" t="str">
            <v>SET</v>
          </cell>
          <cell r="C2332">
            <v>1</v>
          </cell>
          <cell r="D2332">
            <v>110</v>
          </cell>
          <cell r="E2332">
            <v>505</v>
          </cell>
          <cell r="F2332">
            <v>65</v>
          </cell>
          <cell r="G2332" t="str">
            <v>B240NS</v>
          </cell>
          <cell r="H2332">
            <v>5</v>
          </cell>
          <cell r="I2332">
            <v>1</v>
          </cell>
          <cell r="J2332" t="str">
            <v>SK매직</v>
          </cell>
          <cell r="K2332">
            <v>122</v>
          </cell>
          <cell r="L2332">
            <v>126</v>
          </cell>
          <cell r="O2332">
            <v>2626</v>
          </cell>
          <cell r="P2332">
            <v>1300</v>
          </cell>
          <cell r="Q2332">
            <v>200</v>
          </cell>
          <cell r="R2332" t="str">
            <v>밴딩</v>
          </cell>
          <cell r="S2332" t="str">
            <v>밴딩</v>
          </cell>
          <cell r="T2332" t="str">
            <v>GRA-30GNUP</v>
          </cell>
          <cell r="U2332">
            <v>39405</v>
          </cell>
          <cell r="V2332" t="str">
            <v>삼일금형</v>
          </cell>
          <cell r="W2332" t="str">
            <v>50533-73000</v>
          </cell>
          <cell r="X2332" t="str">
            <v>계양리 H-3</v>
          </cell>
          <cell r="AC2332" t="str">
            <v>2012.01.15기준중량변경(506-&gt;505)</v>
          </cell>
          <cell r="AD2332">
            <v>0.85</v>
          </cell>
          <cell r="AE2332">
            <v>115</v>
          </cell>
          <cell r="AF2332">
            <v>1</v>
          </cell>
        </row>
        <row r="2333">
          <cell r="A2333" t="str">
            <v>30ES-UP</v>
          </cell>
          <cell r="B2333" t="str">
            <v>SET</v>
          </cell>
          <cell r="C2333">
            <v>1</v>
          </cell>
          <cell r="D2333">
            <v>80</v>
          </cell>
          <cell r="E2333">
            <v>480</v>
          </cell>
          <cell r="F2333">
            <v>65</v>
          </cell>
          <cell r="G2333" t="str">
            <v>B240NS</v>
          </cell>
          <cell r="H2333">
            <v>5</v>
          </cell>
          <cell r="I2333">
            <v>1</v>
          </cell>
          <cell r="J2333" t="str">
            <v>SK매직</v>
          </cell>
          <cell r="K2333">
            <v>123</v>
          </cell>
          <cell r="L2333">
            <v>125</v>
          </cell>
          <cell r="O2333">
            <v>2147</v>
          </cell>
          <cell r="P2333">
            <v>1360</v>
          </cell>
          <cell r="Q2333">
            <v>200</v>
          </cell>
          <cell r="R2333" t="str">
            <v>밴딩</v>
          </cell>
          <cell r="S2333" t="str">
            <v>밴딩</v>
          </cell>
          <cell r="T2333" t="str">
            <v>GRA-30ES</v>
          </cell>
          <cell r="U2333">
            <v>40779</v>
          </cell>
          <cell r="V2333" t="str">
            <v>금형제조부</v>
          </cell>
          <cell r="W2333" t="str">
            <v>50554-89</v>
          </cell>
          <cell r="X2333" t="str">
            <v>E-0405</v>
          </cell>
          <cell r="AC2333" t="str">
            <v>석상준계장,2012.11.22개조,2013.10.07 개조</v>
          </cell>
          <cell r="AD2333">
            <v>0.85</v>
          </cell>
          <cell r="AE2333">
            <v>80</v>
          </cell>
          <cell r="AF2333">
            <v>4</v>
          </cell>
        </row>
        <row r="2334">
          <cell r="A2334" t="str">
            <v>30B30</v>
          </cell>
          <cell r="B2334" t="str">
            <v>SET</v>
          </cell>
          <cell r="C2334">
            <v>3</v>
          </cell>
          <cell r="D2334">
            <v>95</v>
          </cell>
          <cell r="E2334">
            <v>312</v>
          </cell>
          <cell r="F2334">
            <v>70</v>
          </cell>
          <cell r="G2334" t="str">
            <v>B240NS</v>
          </cell>
          <cell r="H2334">
            <v>10</v>
          </cell>
          <cell r="I2334">
            <v>3</v>
          </cell>
          <cell r="J2334" t="str">
            <v>SK매직</v>
          </cell>
          <cell r="K2334">
            <v>74</v>
          </cell>
          <cell r="L2334">
            <v>76</v>
          </cell>
          <cell r="M2334">
            <v>100.5</v>
          </cell>
          <cell r="N2334">
            <v>102.5</v>
          </cell>
          <cell r="O2334">
            <v>1620</v>
          </cell>
          <cell r="P2334">
            <v>1500</v>
          </cell>
          <cell r="Q2334">
            <v>200</v>
          </cell>
          <cell r="R2334" t="str">
            <v>녹색</v>
          </cell>
          <cell r="S2334" t="str">
            <v>녹색</v>
          </cell>
          <cell r="T2334" t="str">
            <v>30B30</v>
          </cell>
          <cell r="U2334">
            <v>41023</v>
          </cell>
          <cell r="V2334" t="str">
            <v>금형제조부</v>
          </cell>
          <cell r="X2334" t="str">
            <v>계양기 L-1</v>
          </cell>
          <cell r="AC2334" t="str">
            <v>장혁민사원, 2012.05.07개조, 2012.05.17승인완료 승인중량변경(311-&gt;187), 2012.05.21승인중량변경(187-&gt;312), 2012.05.22 각인추가, 2012.06.27 코팅입고완료, 2012.11.09</v>
          </cell>
          <cell r="AD2334">
            <v>0.85</v>
          </cell>
          <cell r="AE2334">
            <v>95</v>
          </cell>
          <cell r="AF2334">
            <v>1</v>
          </cell>
        </row>
        <row r="2335">
          <cell r="A2335" t="str">
            <v>306*230*20(50배)</v>
          </cell>
          <cell r="J2335" t="str">
            <v>새롬수지</v>
          </cell>
        </row>
        <row r="2336">
          <cell r="A2336" t="str">
            <v>305*170*20T(60배)</v>
          </cell>
          <cell r="B2336" t="str">
            <v>PAD</v>
          </cell>
          <cell r="E2336">
            <v>17</v>
          </cell>
          <cell r="J2336" t="str">
            <v>가치채움</v>
          </cell>
          <cell r="O2336">
            <v>120</v>
          </cell>
          <cell r="P2336" t="str">
            <v>305*170*20T(60배)</v>
          </cell>
        </row>
        <row r="2337">
          <cell r="A2337" t="str">
            <v>305*170*20T(60배)</v>
          </cell>
          <cell r="B2337" t="str">
            <v>PAD</v>
          </cell>
          <cell r="E2337">
            <v>17</v>
          </cell>
          <cell r="J2337" t="str">
            <v>가치채움</v>
          </cell>
          <cell r="O2337">
            <v>120</v>
          </cell>
          <cell r="P2337" t="str">
            <v>305*170*20T(60배)</v>
          </cell>
        </row>
        <row r="2338">
          <cell r="A2338" t="str">
            <v>3020E-TOP</v>
          </cell>
          <cell r="B2338" t="str">
            <v>SET</v>
          </cell>
          <cell r="C2338">
            <v>4</v>
          </cell>
          <cell r="D2338">
            <v>86</v>
          </cell>
          <cell r="E2338">
            <v>350</v>
          </cell>
          <cell r="F2338">
            <v>53</v>
          </cell>
          <cell r="G2338" t="str">
            <v>B240NS</v>
          </cell>
          <cell r="H2338">
            <v>10</v>
          </cell>
          <cell r="I2338">
            <v>1</v>
          </cell>
          <cell r="J2338" t="str">
            <v>SK매직</v>
          </cell>
          <cell r="K2338">
            <v>105.5</v>
          </cell>
          <cell r="L2338">
            <v>107.5</v>
          </cell>
          <cell r="O2338">
            <v>1760</v>
          </cell>
          <cell r="P2338">
            <v>1360</v>
          </cell>
          <cell r="Q2338">
            <v>200</v>
          </cell>
          <cell r="R2338" t="str">
            <v>빨강</v>
          </cell>
          <cell r="S2338" t="str">
            <v>빨강</v>
          </cell>
          <cell r="T2338" t="str">
            <v>COLOR ENAMEL TOP</v>
          </cell>
          <cell r="U2338">
            <v>40779</v>
          </cell>
          <cell r="V2338" t="str">
            <v>금형제조부</v>
          </cell>
          <cell r="W2338" t="str">
            <v>50555-61</v>
          </cell>
          <cell r="X2338" t="str">
            <v>E-0705</v>
          </cell>
          <cell r="AC2338" t="str">
            <v>석상준계장,2012.10.08 개조,2013.11.13개조</v>
          </cell>
          <cell r="AD2338">
            <v>0.85</v>
          </cell>
          <cell r="AE2338">
            <v>86</v>
          </cell>
          <cell r="AF2338">
            <v>3</v>
          </cell>
        </row>
        <row r="2339">
          <cell r="A2339" t="str">
            <v>300EP-TOP</v>
          </cell>
          <cell r="B2339" t="str">
            <v>SET</v>
          </cell>
          <cell r="C2339">
            <v>4</v>
          </cell>
          <cell r="D2339">
            <v>79</v>
          </cell>
          <cell r="E2339">
            <v>245</v>
          </cell>
          <cell r="F2339">
            <v>65</v>
          </cell>
          <cell r="G2339" t="str">
            <v>B240NS</v>
          </cell>
          <cell r="H2339">
            <v>10</v>
          </cell>
          <cell r="I2339">
            <v>1</v>
          </cell>
          <cell r="J2339" t="str">
            <v>SK매직</v>
          </cell>
          <cell r="K2339">
            <v>94.5</v>
          </cell>
          <cell r="L2339">
            <v>96.5</v>
          </cell>
          <cell r="O2339">
            <v>1279</v>
          </cell>
          <cell r="P2339">
            <v>1360</v>
          </cell>
          <cell r="Q2339">
            <v>150</v>
          </cell>
          <cell r="R2339" t="str">
            <v>파랑</v>
          </cell>
          <cell r="S2339" t="str">
            <v>파랑</v>
          </cell>
          <cell r="T2339" t="str">
            <v>GRA300EP-TOP</v>
          </cell>
          <cell r="U2339">
            <v>40918</v>
          </cell>
          <cell r="V2339" t="str">
            <v>금형제조부</v>
          </cell>
          <cell r="W2339" t="str">
            <v>50556-40</v>
          </cell>
          <cell r="X2339" t="str">
            <v>E-1204</v>
          </cell>
          <cell r="AC2339" t="str">
            <v>석상준계장, 2012.01.19수정, 2012.02.08각인수정,2012.02.20기준중량변경(213-&gt;257), 2012.09.26개조, 2013.07.09개조, 2013.07.17 수정, 2013.08.21기준중량변경(257-&gt;245)</v>
          </cell>
          <cell r="AD2339">
            <v>0.85</v>
          </cell>
          <cell r="AE2339">
            <v>79</v>
          </cell>
          <cell r="AF2339">
            <v>3</v>
          </cell>
        </row>
        <row r="2340">
          <cell r="A2340" t="str">
            <v>300*400*4T</v>
          </cell>
          <cell r="B2340" t="str">
            <v>PAD</v>
          </cell>
          <cell r="J2340" t="str">
            <v>비앤비</v>
          </cell>
          <cell r="O2340">
            <v>400</v>
          </cell>
          <cell r="P2340" t="str">
            <v>300*400*4T</v>
          </cell>
        </row>
        <row r="2341">
          <cell r="A2341" t="str">
            <v>300*245*35T</v>
          </cell>
          <cell r="B2341" t="str">
            <v>PAD</v>
          </cell>
          <cell r="E2341">
            <v>0</v>
          </cell>
          <cell r="J2341" t="str">
            <v>강진된장</v>
          </cell>
          <cell r="O2341">
            <v>380</v>
          </cell>
          <cell r="P2341" t="str">
            <v>300*245*35T</v>
          </cell>
        </row>
        <row r="2342">
          <cell r="A2342" t="str">
            <v>300*245*35T</v>
          </cell>
          <cell r="B2342" t="str">
            <v>PAD</v>
          </cell>
          <cell r="E2342">
            <v>0</v>
          </cell>
          <cell r="J2342" t="str">
            <v>강진된장</v>
          </cell>
          <cell r="O2342">
            <v>380</v>
          </cell>
          <cell r="P2342" t="str">
            <v>300*245*35T</v>
          </cell>
        </row>
        <row r="2343">
          <cell r="A2343" t="str">
            <v>300*240*15T(60배)</v>
          </cell>
          <cell r="J2343" t="str">
            <v>GS네트웍스</v>
          </cell>
        </row>
        <row r="2344">
          <cell r="A2344" t="str">
            <v>300*240*15T(60배)</v>
          </cell>
          <cell r="B2344" t="str">
            <v>PAD</v>
          </cell>
          <cell r="J2344" t="str">
            <v>GS네트웍스</v>
          </cell>
        </row>
        <row r="2345">
          <cell r="A2345" t="str">
            <v>300*240*15T(60배)</v>
          </cell>
          <cell r="B2345" t="str">
            <v>PAD</v>
          </cell>
          <cell r="J2345" t="str">
            <v>GS네트웍스</v>
          </cell>
        </row>
        <row r="2346">
          <cell r="A2346" t="str">
            <v>300*200*40T</v>
          </cell>
          <cell r="B2346" t="str">
            <v>PAD</v>
          </cell>
          <cell r="E2346">
            <v>0</v>
          </cell>
          <cell r="J2346" t="str">
            <v>의과학연구소</v>
          </cell>
          <cell r="O2346">
            <v>700</v>
          </cell>
        </row>
        <row r="2347">
          <cell r="A2347" t="str">
            <v>300*200*40T</v>
          </cell>
          <cell r="B2347" t="str">
            <v>PAD</v>
          </cell>
          <cell r="E2347">
            <v>0</v>
          </cell>
          <cell r="J2347" t="str">
            <v>의과학연구소</v>
          </cell>
          <cell r="O2347">
            <v>700</v>
          </cell>
        </row>
        <row r="2348">
          <cell r="A2348" t="str">
            <v>2P</v>
          </cell>
          <cell r="B2348" t="str">
            <v>SET</v>
          </cell>
          <cell r="C2348">
            <v>4</v>
          </cell>
          <cell r="D2348">
            <v>80</v>
          </cell>
          <cell r="E2348">
            <v>90</v>
          </cell>
          <cell r="F2348">
            <v>58</v>
          </cell>
          <cell r="G2348" t="str">
            <v>B240NS</v>
          </cell>
          <cell r="H2348">
            <v>40</v>
          </cell>
          <cell r="I2348">
            <v>2</v>
          </cell>
          <cell r="J2348" t="str">
            <v>슈프리콤</v>
          </cell>
          <cell r="K2348">
            <v>49</v>
          </cell>
          <cell r="L2348">
            <v>51</v>
          </cell>
          <cell r="M2348">
            <v>49</v>
          </cell>
          <cell r="N2348">
            <v>51</v>
          </cell>
          <cell r="O2348">
            <v>1250</v>
          </cell>
          <cell r="P2348">
            <v>1360</v>
          </cell>
          <cell r="Q2348">
            <v>150</v>
          </cell>
          <cell r="R2348" t="str">
            <v>빨강</v>
          </cell>
          <cell r="S2348" t="str">
            <v>주황</v>
          </cell>
          <cell r="T2348" t="str">
            <v>800ME</v>
          </cell>
          <cell r="U2348">
            <v>41773</v>
          </cell>
          <cell r="V2348" t="str">
            <v>슈프리콤</v>
          </cell>
          <cell r="W2348" t="str">
            <v>수냉 1초 이하, 건조철저 확인!, 포장시 물기 확인! 2바퀴</v>
          </cell>
          <cell r="X2348" t="str">
            <v>D-0404</v>
          </cell>
          <cell r="AC2348" t="str">
            <v>조우리사원,2014.06.13수정,2014.07.28수정2014.08.28수정,2016.07.14 포장단위 변경(30-&gt;15), 2020.04.05 포장단위변경(15-&gt;80개)</v>
          </cell>
          <cell r="AD2348">
            <v>0.85</v>
          </cell>
          <cell r="AE2348">
            <v>90</v>
          </cell>
          <cell r="AF2348">
            <v>2</v>
          </cell>
        </row>
        <row r="2349">
          <cell r="A2349" t="str">
            <v>2K(50배)</v>
          </cell>
          <cell r="B2349" t="str">
            <v>BOX</v>
          </cell>
          <cell r="C2349">
            <v>4</v>
          </cell>
          <cell r="D2349">
            <v>60</v>
          </cell>
          <cell r="E2349">
            <v>91</v>
          </cell>
          <cell r="F2349">
            <v>65</v>
          </cell>
          <cell r="G2349" t="str">
            <v>B240NS</v>
          </cell>
          <cell r="H2349">
            <v>40</v>
          </cell>
          <cell r="I2349">
            <v>2</v>
          </cell>
          <cell r="J2349" t="str">
            <v>삼일이노팩</v>
          </cell>
          <cell r="K2349">
            <v>18</v>
          </cell>
          <cell r="L2349">
            <v>22</v>
          </cell>
          <cell r="M2349">
            <v>98</v>
          </cell>
          <cell r="N2349">
            <v>102</v>
          </cell>
          <cell r="O2349">
            <v>690</v>
          </cell>
          <cell r="P2349">
            <v>1300</v>
          </cell>
          <cell r="Q2349">
            <v>200</v>
          </cell>
          <cell r="R2349" t="str">
            <v>주황</v>
          </cell>
          <cell r="S2349" t="str">
            <v>주황</v>
          </cell>
          <cell r="T2349" t="str">
            <v>SI-2K</v>
          </cell>
          <cell r="U2349">
            <v>38964</v>
          </cell>
          <cell r="V2349" t="str">
            <v>삼일금형</v>
          </cell>
          <cell r="W2349" t="str">
            <v>융착,수축, 중량확인, SI-2K 동일모델</v>
          </cell>
          <cell r="X2349" t="str">
            <v>A-0904</v>
          </cell>
          <cell r="Y2349">
            <v>50</v>
          </cell>
          <cell r="Z2349">
            <v>4515</v>
          </cell>
          <cell r="AC2349" t="str">
            <v>191008 50배 기준중량 91g</v>
          </cell>
          <cell r="AD2349">
            <v>0.85</v>
          </cell>
          <cell r="AE2349">
            <v>75</v>
          </cell>
          <cell r="AF2349">
            <v>2</v>
          </cell>
        </row>
        <row r="2350">
          <cell r="A2350" t="str">
            <v>2K</v>
          </cell>
          <cell r="B2350" t="str">
            <v>BOX</v>
          </cell>
          <cell r="C2350">
            <v>4</v>
          </cell>
          <cell r="D2350">
            <v>60</v>
          </cell>
          <cell r="E2350">
            <v>82</v>
          </cell>
          <cell r="F2350">
            <v>70</v>
          </cell>
          <cell r="G2350" t="str">
            <v>B240NS</v>
          </cell>
          <cell r="H2350">
            <v>40</v>
          </cell>
          <cell r="I2350">
            <v>2</v>
          </cell>
          <cell r="J2350" t="str">
            <v>삼일이노팩</v>
          </cell>
          <cell r="K2350">
            <v>18</v>
          </cell>
          <cell r="L2350">
            <v>22</v>
          </cell>
          <cell r="M2350">
            <v>98</v>
          </cell>
          <cell r="N2350">
            <v>102</v>
          </cell>
          <cell r="O2350">
            <v>520</v>
          </cell>
          <cell r="P2350">
            <v>1300</v>
          </cell>
          <cell r="Q2350">
            <v>200</v>
          </cell>
          <cell r="R2350" t="str">
            <v>녹색</v>
          </cell>
          <cell r="S2350" t="str">
            <v>녹색</v>
          </cell>
          <cell r="T2350" t="str">
            <v>SI-2K</v>
          </cell>
          <cell r="U2350">
            <v>38964</v>
          </cell>
          <cell r="V2350" t="str">
            <v>삼일금형</v>
          </cell>
          <cell r="W2350" t="str">
            <v>융착,수축, 중량확인, SI-2K 동일모델</v>
          </cell>
          <cell r="X2350" t="str">
            <v>A-0904</v>
          </cell>
          <cell r="Y2350">
            <v>62</v>
          </cell>
          <cell r="Z2350">
            <v>4515</v>
          </cell>
          <cell r="AC2350" t="str">
            <v>10.07.14아산EPS이동2014.09.27포장단위변경(20-&gt;40), 2014.10.29코팅완2014.12.01기준중량,기준배율변경(105-65,60-62)2015.0106인중량변경(105g-65g),2015.0115승인중량,기준배율변경(65g-82g)(62-&gt;50배),2016.11.09배율변경70배-&gt;65배</v>
          </cell>
          <cell r="AD2350">
            <v>0.85</v>
          </cell>
          <cell r="AE2350">
            <v>70</v>
          </cell>
          <cell r="AF2350">
            <v>2</v>
          </cell>
        </row>
        <row r="2351">
          <cell r="A2351" t="str">
            <v>295*110*22T</v>
          </cell>
          <cell r="B2351" t="str">
            <v>PAD</v>
          </cell>
          <cell r="J2351" t="str">
            <v>삼성전자</v>
          </cell>
          <cell r="P2351" t="str">
            <v>295*110*22T</v>
          </cell>
        </row>
        <row r="2352">
          <cell r="A2352" t="str">
            <v>293*97*10T</v>
          </cell>
          <cell r="B2352" t="str">
            <v>PAD</v>
          </cell>
          <cell r="E2352">
            <v>4</v>
          </cell>
          <cell r="J2352" t="str">
            <v>파슬코리아</v>
          </cell>
          <cell r="O2352">
            <v>50</v>
          </cell>
          <cell r="P2352" t="str">
            <v>PAD(소)</v>
          </cell>
        </row>
        <row r="2353">
          <cell r="A2353" t="str">
            <v>293*97*10T</v>
          </cell>
          <cell r="B2353" t="str">
            <v>PAD</v>
          </cell>
          <cell r="E2353">
            <v>4</v>
          </cell>
          <cell r="J2353" t="str">
            <v>파슬코리아</v>
          </cell>
          <cell r="O2353">
            <v>50</v>
          </cell>
          <cell r="P2353" t="str">
            <v>PAD(소)</v>
          </cell>
        </row>
        <row r="2354">
          <cell r="A2354" t="str">
            <v>287*135*20T</v>
          </cell>
          <cell r="B2354" t="str">
            <v>PAD</v>
          </cell>
          <cell r="E2354">
            <v>0</v>
          </cell>
          <cell r="J2354" t="str">
            <v>아워홈</v>
          </cell>
          <cell r="O2354">
            <v>250</v>
          </cell>
          <cell r="P2354" t="str">
            <v>HD2용간지</v>
          </cell>
        </row>
        <row r="2355">
          <cell r="A2355" t="str">
            <v>287*135*20T</v>
          </cell>
          <cell r="B2355" t="str">
            <v>PAD</v>
          </cell>
          <cell r="E2355">
            <v>0</v>
          </cell>
          <cell r="J2355" t="str">
            <v>아워홈</v>
          </cell>
          <cell r="O2355">
            <v>250</v>
          </cell>
          <cell r="P2355" t="str">
            <v>HD2용간지</v>
          </cell>
        </row>
        <row r="2356">
          <cell r="A2356" t="str">
            <v>280*140*20T</v>
          </cell>
          <cell r="B2356" t="str">
            <v>PAD</v>
          </cell>
          <cell r="J2356" t="str">
            <v>삼성전자</v>
          </cell>
          <cell r="P2356" t="str">
            <v>280*140*20T</v>
          </cell>
        </row>
        <row r="2357">
          <cell r="A2357" t="str">
            <v>278*197*15T</v>
          </cell>
          <cell r="B2357" t="str">
            <v>PAD</v>
          </cell>
          <cell r="E2357">
            <v>15</v>
          </cell>
          <cell r="J2357" t="str">
            <v>GS네트웍스</v>
          </cell>
        </row>
        <row r="2358">
          <cell r="A2358" t="str">
            <v>2702-LOW</v>
          </cell>
          <cell r="B2358" t="str">
            <v>SET</v>
          </cell>
          <cell r="C2358">
            <v>2</v>
          </cell>
          <cell r="D2358">
            <v>88</v>
          </cell>
          <cell r="E2358">
            <v>440</v>
          </cell>
          <cell r="F2358">
            <v>65</v>
          </cell>
          <cell r="G2358" t="str">
            <v>B240NS</v>
          </cell>
          <cell r="H2358">
            <v>10</v>
          </cell>
          <cell r="I2358">
            <v>1</v>
          </cell>
          <cell r="J2358" t="str">
            <v>SK매직</v>
          </cell>
          <cell r="K2358">
            <v>108</v>
          </cell>
          <cell r="L2358">
            <v>110</v>
          </cell>
          <cell r="O2358">
            <v>2214</v>
          </cell>
          <cell r="P2358">
            <v>1500</v>
          </cell>
          <cell r="Q2358">
            <v>250</v>
          </cell>
          <cell r="R2358" t="str">
            <v>보라</v>
          </cell>
          <cell r="S2358" t="str">
            <v>보라</v>
          </cell>
          <cell r="U2358">
            <v>41582</v>
          </cell>
          <cell r="V2358" t="str">
            <v>금형제조부</v>
          </cell>
          <cell r="AC2358" t="str">
            <v>조우리사원,13.11.11배율변경(50-&gt;57)</v>
          </cell>
          <cell r="AD2358">
            <v>0.85</v>
          </cell>
          <cell r="AE2358">
            <v>88</v>
          </cell>
        </row>
        <row r="2359">
          <cell r="A2359" t="str">
            <v>265*219*15T</v>
          </cell>
          <cell r="B2359" t="str">
            <v>PAD</v>
          </cell>
          <cell r="E2359">
            <v>15</v>
          </cell>
          <cell r="J2359" t="str">
            <v>하림</v>
          </cell>
          <cell r="N2359" t="str">
            <v/>
          </cell>
          <cell r="O2359">
            <v>5688</v>
          </cell>
          <cell r="P2359" t="str">
            <v>1220*860*45T</v>
          </cell>
          <cell r="Q2359" t="str">
            <v>1220*860*45T</v>
          </cell>
        </row>
        <row r="2360">
          <cell r="A2360" t="str">
            <v>265*219*15</v>
          </cell>
          <cell r="B2360" t="str">
            <v>PAD</v>
          </cell>
        </row>
        <row r="2361">
          <cell r="A2361" t="str">
            <v>265*219*15</v>
          </cell>
          <cell r="B2361" t="str">
            <v>PAD</v>
          </cell>
          <cell r="J2361" t="str">
            <v>새롬수지</v>
          </cell>
        </row>
        <row r="2362">
          <cell r="A2362" t="str">
            <v>265*170*15T(60배)</v>
          </cell>
          <cell r="J2362" t="str">
            <v>GS네트웍스</v>
          </cell>
        </row>
        <row r="2363">
          <cell r="A2363" t="str">
            <v>265*170*15T(60배)</v>
          </cell>
          <cell r="B2363" t="str">
            <v>PAD</v>
          </cell>
          <cell r="J2363" t="str">
            <v>GS네트웍스</v>
          </cell>
        </row>
        <row r="2364">
          <cell r="A2364" t="str">
            <v>265*170*15T(60배)</v>
          </cell>
          <cell r="B2364" t="str">
            <v>PAD</v>
          </cell>
          <cell r="J2364" t="str">
            <v>GS네트웍스</v>
          </cell>
        </row>
        <row r="2365">
          <cell r="A2365" t="str">
            <v>265*152*15T(60배)</v>
          </cell>
          <cell r="B2365" t="str">
            <v>PAD</v>
          </cell>
          <cell r="E2365">
            <v>10</v>
          </cell>
          <cell r="J2365" t="str">
            <v>GS네트웍스</v>
          </cell>
          <cell r="O2365">
            <v>100</v>
          </cell>
          <cell r="P2365" t="str">
            <v>265*152*15T(60배)</v>
          </cell>
        </row>
        <row r="2366">
          <cell r="A2366" t="str">
            <v>259*361*6T</v>
          </cell>
          <cell r="B2366" t="str">
            <v>PAD</v>
          </cell>
          <cell r="E2366">
            <v>9</v>
          </cell>
          <cell r="J2366" t="str">
            <v>파슬코리아</v>
          </cell>
          <cell r="O2366">
            <v>130</v>
          </cell>
          <cell r="P2366" t="str">
            <v>PAD(대)</v>
          </cell>
        </row>
        <row r="2367">
          <cell r="A2367" t="str">
            <v>259*361*6T</v>
          </cell>
          <cell r="B2367" t="str">
            <v>PAD</v>
          </cell>
          <cell r="E2367">
            <v>9</v>
          </cell>
          <cell r="J2367" t="str">
            <v>파슬코리아</v>
          </cell>
          <cell r="O2367">
            <v>130</v>
          </cell>
          <cell r="P2367" t="str">
            <v>PAD(대)</v>
          </cell>
        </row>
        <row r="2368">
          <cell r="A2368" t="str">
            <v>25*100*4T</v>
          </cell>
          <cell r="B2368" t="str">
            <v>PAD</v>
          </cell>
          <cell r="E2368">
            <v>0.16</v>
          </cell>
          <cell r="J2368" t="str">
            <v>삼성전자</v>
          </cell>
          <cell r="O2368">
            <v>100</v>
          </cell>
        </row>
        <row r="2369">
          <cell r="A2369" t="str">
            <v>25*100*4T</v>
          </cell>
          <cell r="B2369" t="str">
            <v>PAD</v>
          </cell>
          <cell r="E2369">
            <v>0.16</v>
          </cell>
          <cell r="J2369" t="str">
            <v>삼성전자</v>
          </cell>
          <cell r="O2369">
            <v>100</v>
          </cell>
        </row>
        <row r="2370">
          <cell r="A2370" t="str">
            <v>248*118*15T</v>
          </cell>
          <cell r="B2370" t="str">
            <v>PAD</v>
          </cell>
          <cell r="E2370">
            <v>7</v>
          </cell>
          <cell r="J2370" t="str">
            <v>GS네트웍스</v>
          </cell>
        </row>
        <row r="2371">
          <cell r="A2371" t="str">
            <v>245*125*15T</v>
          </cell>
          <cell r="B2371" t="str">
            <v>PAD</v>
          </cell>
          <cell r="E2371">
            <v>0</v>
          </cell>
          <cell r="J2371" t="str">
            <v>성원리더</v>
          </cell>
          <cell r="O2371">
            <v>60</v>
          </cell>
        </row>
        <row r="2372">
          <cell r="A2372" t="str">
            <v>245*125*15T</v>
          </cell>
          <cell r="B2372" t="str">
            <v>PAD</v>
          </cell>
          <cell r="E2372">
            <v>0</v>
          </cell>
          <cell r="J2372" t="str">
            <v>성원리더</v>
          </cell>
          <cell r="O2372">
            <v>60</v>
          </cell>
        </row>
        <row r="2373">
          <cell r="A2373" t="str">
            <v>243*275*15T(60배)</v>
          </cell>
          <cell r="B2373" t="str">
            <v>PAD</v>
          </cell>
          <cell r="E2373">
            <v>17</v>
          </cell>
          <cell r="J2373" t="str">
            <v>GS네트웍스</v>
          </cell>
          <cell r="O2373">
            <v>150</v>
          </cell>
          <cell r="P2373" t="str">
            <v>243*275*15T(60배)</v>
          </cell>
        </row>
        <row r="2374">
          <cell r="A2374" t="str">
            <v>240PXF4V</v>
          </cell>
          <cell r="B2374" t="str">
            <v>SET</v>
          </cell>
          <cell r="C2374">
            <v>3</v>
          </cell>
          <cell r="D2374">
            <v>90</v>
          </cell>
          <cell r="E2374">
            <v>304</v>
          </cell>
          <cell r="F2374">
            <v>65</v>
          </cell>
          <cell r="G2374" t="str">
            <v>B240NS</v>
          </cell>
          <cell r="H2374">
            <v>1</v>
          </cell>
          <cell r="I2374">
            <v>2</v>
          </cell>
          <cell r="J2374" t="str">
            <v>뉴옵틱스</v>
          </cell>
          <cell r="K2374">
            <v>168</v>
          </cell>
          <cell r="L2374">
            <v>172</v>
          </cell>
          <cell r="M2374">
            <v>168</v>
          </cell>
          <cell r="N2374">
            <v>172</v>
          </cell>
          <cell r="O2374">
            <v>1800</v>
          </cell>
          <cell r="P2374">
            <v>1360</v>
          </cell>
          <cell r="Q2374">
            <v>300</v>
          </cell>
          <cell r="S2374">
            <v>0</v>
          </cell>
          <cell r="U2374">
            <v>42825</v>
          </cell>
          <cell r="V2374" t="str">
            <v>금형제조부</v>
          </cell>
          <cell r="Y2374">
            <v>50</v>
          </cell>
          <cell r="Z2374">
            <v>15171</v>
          </cell>
          <cell r="AC2374" t="str">
            <v>최재학계장</v>
          </cell>
          <cell r="AD2374">
            <v>0.85</v>
          </cell>
          <cell r="AE2374">
            <v>90</v>
          </cell>
          <cell r="AF2374">
            <v>2</v>
          </cell>
        </row>
        <row r="2375">
          <cell r="A2375" t="str">
            <v>2400PAD</v>
          </cell>
          <cell r="B2375" t="str">
            <v>PAD</v>
          </cell>
          <cell r="E2375">
            <v>0</v>
          </cell>
          <cell r="J2375" t="str">
            <v>오리온정보</v>
          </cell>
          <cell r="O2375">
            <v>603</v>
          </cell>
          <cell r="P2375" t="str">
            <v>오리온정보통신OR-2400PAD</v>
          </cell>
          <cell r="Q2375" t="str">
            <v>JB0B-A0039</v>
          </cell>
          <cell r="R2375" t="str">
            <v>400*382*50T06/6/14합의</v>
          </cell>
        </row>
        <row r="2376">
          <cell r="A2376" t="str">
            <v>2400PAD</v>
          </cell>
          <cell r="B2376" t="str">
            <v>PAD</v>
          </cell>
          <cell r="E2376">
            <v>0</v>
          </cell>
          <cell r="J2376" t="str">
            <v>오리온정보</v>
          </cell>
          <cell r="O2376">
            <v>603</v>
          </cell>
          <cell r="P2376" t="str">
            <v>오리온정보통신OR-2400PAD</v>
          </cell>
          <cell r="Q2376" t="str">
            <v>JB0B-A0039</v>
          </cell>
          <cell r="R2376" t="str">
            <v>400*382*50T06/6/14합의</v>
          </cell>
        </row>
        <row r="2377">
          <cell r="A2377" t="str">
            <v>240*210*30T</v>
          </cell>
          <cell r="B2377" t="str">
            <v>PAD</v>
          </cell>
          <cell r="E2377">
            <v>0</v>
          </cell>
          <cell r="J2377" t="str">
            <v>블루케어</v>
          </cell>
          <cell r="O2377">
            <v>140</v>
          </cell>
        </row>
        <row r="2378">
          <cell r="A2378" t="str">
            <v>236INCH</v>
          </cell>
          <cell r="B2378" t="str">
            <v>SET</v>
          </cell>
          <cell r="C2378">
            <v>1</v>
          </cell>
          <cell r="D2378">
            <v>120</v>
          </cell>
          <cell r="E2378">
            <v>884</v>
          </cell>
          <cell r="F2378">
            <v>36</v>
          </cell>
          <cell r="G2378" t="str">
            <v>B240NS</v>
          </cell>
          <cell r="H2378">
            <v>1</v>
          </cell>
          <cell r="I2378">
            <v>1</v>
          </cell>
          <cell r="J2378" t="str">
            <v>삼성LCD</v>
          </cell>
          <cell r="K2378">
            <v>101</v>
          </cell>
          <cell r="L2378">
            <v>103</v>
          </cell>
          <cell r="O2378">
            <v>10</v>
          </cell>
          <cell r="P2378" t="str">
            <v>900VS</v>
          </cell>
          <cell r="S2378">
            <v>0</v>
          </cell>
          <cell r="U2378">
            <v>41592</v>
          </cell>
          <cell r="V2378" t="str">
            <v>금형제조부</v>
          </cell>
          <cell r="X2378" t="str">
            <v>Q-1001</v>
          </cell>
          <cell r="AC2378" t="str">
            <v>조우리사원</v>
          </cell>
          <cell r="AD2378">
            <v>0.9</v>
          </cell>
          <cell r="AE2378">
            <v>120</v>
          </cell>
          <cell r="AF2378">
            <v>2</v>
          </cell>
        </row>
        <row r="2379">
          <cell r="A2379" t="str">
            <v>235*57*40T</v>
          </cell>
          <cell r="B2379" t="str">
            <v>PAD</v>
          </cell>
          <cell r="E2379">
            <v>11</v>
          </cell>
          <cell r="J2379" t="str">
            <v>이뱅킹테크</v>
          </cell>
          <cell r="O2379">
            <v>180</v>
          </cell>
          <cell r="P2379" t="str">
            <v>235*57*40T(50배)</v>
          </cell>
        </row>
        <row r="2380">
          <cell r="A2380" t="str">
            <v>235*57*40T</v>
          </cell>
          <cell r="B2380" t="str">
            <v>PAD</v>
          </cell>
          <cell r="E2380">
            <v>11</v>
          </cell>
          <cell r="J2380" t="str">
            <v>이뱅킹테크</v>
          </cell>
          <cell r="O2380">
            <v>180</v>
          </cell>
          <cell r="P2380" t="str">
            <v>235*57*40T(50배)</v>
          </cell>
        </row>
        <row r="2381">
          <cell r="A2381" t="str">
            <v>230*165*45T</v>
          </cell>
          <cell r="B2381" t="str">
            <v>PAD</v>
          </cell>
          <cell r="E2381">
            <v>11</v>
          </cell>
          <cell r="J2381" t="str">
            <v>고향식품</v>
          </cell>
        </row>
        <row r="2382">
          <cell r="A2382" t="str">
            <v>2200필터</v>
          </cell>
          <cell r="B2382" t="str">
            <v>저발</v>
          </cell>
          <cell r="C2382">
            <v>8</v>
          </cell>
          <cell r="D2382">
            <v>90</v>
          </cell>
          <cell r="E2382">
            <v>13</v>
          </cell>
          <cell r="F2382">
            <v>58</v>
          </cell>
          <cell r="G2382" t="str">
            <v>B240NS</v>
          </cell>
          <cell r="H2382">
            <v>20</v>
          </cell>
          <cell r="I2382">
            <v>1</v>
          </cell>
          <cell r="J2382" t="str">
            <v>SK매직</v>
          </cell>
          <cell r="K2382">
            <v>43.5</v>
          </cell>
          <cell r="O2382">
            <v>193</v>
          </cell>
          <cell r="P2382">
            <v>500</v>
          </cell>
          <cell r="R2382" t="str">
            <v>파랑</v>
          </cell>
          <cell r="U2382">
            <v>44630</v>
          </cell>
          <cell r="V2382" t="str">
            <v>이관금형</v>
          </cell>
          <cell r="Y2382">
            <v>60</v>
          </cell>
          <cell r="AC2382" t="str">
            <v>김영석사원</v>
          </cell>
          <cell r="AD2382">
            <v>0.85</v>
          </cell>
        </row>
        <row r="2383">
          <cell r="A2383" t="str">
            <v>2200필터</v>
          </cell>
          <cell r="B2383" t="str">
            <v>SET</v>
          </cell>
          <cell r="C2383">
            <v>8</v>
          </cell>
          <cell r="D2383">
            <v>100</v>
          </cell>
          <cell r="E2383">
            <v>13</v>
          </cell>
          <cell r="F2383">
            <v>58</v>
          </cell>
          <cell r="G2383" t="str">
            <v>B240NS</v>
          </cell>
          <cell r="H2383">
            <v>20</v>
          </cell>
          <cell r="I2383">
            <v>1</v>
          </cell>
          <cell r="J2383" t="str">
            <v>SK매직</v>
          </cell>
          <cell r="K2383">
            <v>43.5</v>
          </cell>
          <cell r="O2383">
            <v>193</v>
          </cell>
          <cell r="P2383">
            <v>500</v>
          </cell>
          <cell r="R2383" t="str">
            <v>파랑</v>
          </cell>
          <cell r="U2383">
            <v>44630</v>
          </cell>
          <cell r="V2383" t="str">
            <v>이관금형</v>
          </cell>
          <cell r="Y2383">
            <v>60</v>
          </cell>
          <cell r="AC2383" t="str">
            <v>김영석사원</v>
          </cell>
          <cell r="AD2383">
            <v>0.85</v>
          </cell>
        </row>
        <row r="2384">
          <cell r="A2384" t="str">
            <v>2200-L/R</v>
          </cell>
          <cell r="B2384" t="str">
            <v>SET</v>
          </cell>
          <cell r="C2384">
            <v>2</v>
          </cell>
          <cell r="D2384">
            <v>90</v>
          </cell>
          <cell r="E2384">
            <v>240</v>
          </cell>
          <cell r="F2384">
            <v>65</v>
          </cell>
          <cell r="G2384" t="str">
            <v>B240NS</v>
          </cell>
          <cell r="H2384" t="str">
            <v>L:15/R:15</v>
          </cell>
          <cell r="I2384">
            <v>2</v>
          </cell>
          <cell r="J2384" t="str">
            <v>SK매직</v>
          </cell>
          <cell r="K2384">
            <v>68.5</v>
          </cell>
          <cell r="L2384">
            <v>71</v>
          </cell>
          <cell r="M2384">
            <v>68.5</v>
          </cell>
          <cell r="N2384">
            <v>71</v>
          </cell>
          <cell r="O2384">
            <v>1128</v>
          </cell>
          <cell r="P2384">
            <v>1300</v>
          </cell>
          <cell r="R2384" t="str">
            <v xml:space="preserve">노랑 </v>
          </cell>
          <cell r="S2384" t="str">
            <v>파랑</v>
          </cell>
          <cell r="U2384">
            <v>44630</v>
          </cell>
          <cell r="V2384" t="str">
            <v>이관금형</v>
          </cell>
          <cell r="Y2384">
            <v>60</v>
          </cell>
          <cell r="AC2384" t="str">
            <v>김영석사원</v>
          </cell>
          <cell r="AD2384">
            <v>0.85</v>
          </cell>
        </row>
        <row r="2385">
          <cell r="A2385" t="str">
            <v>2200-L/R</v>
          </cell>
          <cell r="B2385" t="str">
            <v>SET</v>
          </cell>
          <cell r="C2385">
            <v>2</v>
          </cell>
          <cell r="D2385">
            <v>100</v>
          </cell>
          <cell r="E2385">
            <v>240</v>
          </cell>
          <cell r="F2385">
            <v>65</v>
          </cell>
          <cell r="G2385" t="str">
            <v>B240NS</v>
          </cell>
          <cell r="H2385" t="str">
            <v>L:15/R:15</v>
          </cell>
          <cell r="I2385">
            <v>2</v>
          </cell>
          <cell r="J2385" t="str">
            <v>SK매직</v>
          </cell>
          <cell r="O2385">
            <v>1128</v>
          </cell>
          <cell r="P2385">
            <v>1300</v>
          </cell>
          <cell r="R2385" t="str">
            <v xml:space="preserve">노랑 </v>
          </cell>
          <cell r="S2385" t="str">
            <v>파랑</v>
          </cell>
          <cell r="U2385">
            <v>44630</v>
          </cell>
          <cell r="V2385" t="str">
            <v>이관금형</v>
          </cell>
          <cell r="Y2385">
            <v>60</v>
          </cell>
          <cell r="AC2385" t="str">
            <v>김영석사원</v>
          </cell>
          <cell r="AD2385">
            <v>0.85</v>
          </cell>
        </row>
        <row r="2386">
          <cell r="A2386" t="str">
            <v>210*175*50T</v>
          </cell>
          <cell r="B2386" t="str">
            <v>PHSL-001</v>
          </cell>
          <cell r="J2386" t="str">
            <v>H-솔루션</v>
          </cell>
          <cell r="O2386">
            <v>200</v>
          </cell>
          <cell r="T2386" t="str">
            <v>PAD</v>
          </cell>
          <cell r="U2386">
            <v>39244</v>
          </cell>
        </row>
        <row r="2387">
          <cell r="A2387" t="str">
            <v xml:space="preserve">20PISBOX(64배) </v>
          </cell>
        </row>
        <row r="2388">
          <cell r="A2388" t="str">
            <v>20PISBOX(64배)</v>
          </cell>
          <cell r="B2388" t="str">
            <v>SET</v>
          </cell>
          <cell r="C2388">
            <v>1</v>
          </cell>
          <cell r="D2388">
            <v>150</v>
          </cell>
          <cell r="E2388">
            <v>1761</v>
          </cell>
          <cell r="F2388">
            <v>65</v>
          </cell>
          <cell r="G2388" t="str">
            <v>B240NS</v>
          </cell>
          <cell r="H2388">
            <v>2</v>
          </cell>
          <cell r="I2388">
            <v>2</v>
          </cell>
          <cell r="J2388" t="str">
            <v>삼성HME</v>
          </cell>
          <cell r="K2388">
            <v>48</v>
          </cell>
          <cell r="L2388">
            <v>52</v>
          </cell>
          <cell r="M2388">
            <v>434</v>
          </cell>
          <cell r="N2388">
            <v>438</v>
          </cell>
          <cell r="O2388">
            <v>10520</v>
          </cell>
          <cell r="P2388">
            <v>1500</v>
          </cell>
          <cell r="Q2388">
            <v>550</v>
          </cell>
          <cell r="R2388" t="str">
            <v>비닐</v>
          </cell>
          <cell r="S2388" t="str">
            <v>비닐</v>
          </cell>
          <cell r="T2388" t="str">
            <v>20PISBOX</v>
          </cell>
          <cell r="U2388">
            <v>40906</v>
          </cell>
          <cell r="V2388" t="str">
            <v>금형제조부</v>
          </cell>
          <cell r="W2388" t="str">
            <v>HM69-01073A, HM69-01074A</v>
          </cell>
          <cell r="AC2388" t="str">
            <v>석상준계장, 고정후레임, 2012.01.02수정, 2012.02.10기준중량변경(3764-&gt;3763)</v>
          </cell>
          <cell r="AD2388">
            <v>0.9</v>
          </cell>
          <cell r="AE2388">
            <v>150</v>
          </cell>
          <cell r="AF2388">
            <v>1</v>
          </cell>
        </row>
        <row r="2389">
          <cell r="A2389" t="str">
            <v>20PISBOX(60배)</v>
          </cell>
          <cell r="B2389" t="str">
            <v>SET</v>
          </cell>
          <cell r="C2389">
            <v>1</v>
          </cell>
          <cell r="D2389">
            <v>150</v>
          </cell>
          <cell r="E2389">
            <v>1870</v>
          </cell>
          <cell r="F2389">
            <v>60</v>
          </cell>
          <cell r="G2389" t="str">
            <v>B240NS</v>
          </cell>
          <cell r="H2389">
            <v>2</v>
          </cell>
          <cell r="I2389">
            <v>2</v>
          </cell>
          <cell r="J2389" t="str">
            <v>삼성HME</v>
          </cell>
          <cell r="K2389">
            <v>48</v>
          </cell>
          <cell r="L2389">
            <v>52</v>
          </cell>
          <cell r="M2389">
            <v>434</v>
          </cell>
          <cell r="N2389">
            <v>438</v>
          </cell>
          <cell r="O2389">
            <v>10520</v>
          </cell>
          <cell r="P2389">
            <v>1500</v>
          </cell>
          <cell r="Q2389">
            <v>550</v>
          </cell>
          <cell r="R2389" t="str">
            <v>비닐</v>
          </cell>
          <cell r="S2389" t="str">
            <v>비닐</v>
          </cell>
          <cell r="T2389" t="str">
            <v>20PISBOX</v>
          </cell>
          <cell r="U2389">
            <v>40906</v>
          </cell>
          <cell r="V2389" t="str">
            <v>금형제조부</v>
          </cell>
          <cell r="W2389" t="str">
            <v>HM69-01073A, HM69-01074A</v>
          </cell>
          <cell r="AC2389" t="str">
            <v>석상준계장, 고정후레임, 2012.01.02수정, 2012.02.10기준중량변경(3764-&gt;3763)</v>
          </cell>
          <cell r="AD2389">
            <v>0.9</v>
          </cell>
          <cell r="AE2389">
            <v>150</v>
          </cell>
          <cell r="AF2389">
            <v>12</v>
          </cell>
        </row>
        <row r="2390">
          <cell r="A2390" t="str">
            <v>20PISBOX</v>
          </cell>
          <cell r="B2390" t="str">
            <v>SET</v>
          </cell>
          <cell r="C2390">
            <v>1</v>
          </cell>
          <cell r="D2390">
            <v>150</v>
          </cell>
          <cell r="E2390">
            <v>3763</v>
          </cell>
          <cell r="F2390">
            <v>36</v>
          </cell>
          <cell r="G2390" t="str">
            <v>B240NS</v>
          </cell>
          <cell r="H2390">
            <v>2</v>
          </cell>
          <cell r="I2390">
            <v>2</v>
          </cell>
          <cell r="J2390" t="str">
            <v>삼성HME</v>
          </cell>
          <cell r="K2390">
            <v>48</v>
          </cell>
          <cell r="L2390">
            <v>52</v>
          </cell>
          <cell r="M2390">
            <v>434</v>
          </cell>
          <cell r="N2390">
            <v>438</v>
          </cell>
          <cell r="O2390">
            <v>20520</v>
          </cell>
          <cell r="P2390">
            <v>1500</v>
          </cell>
          <cell r="Q2390">
            <v>550</v>
          </cell>
          <cell r="R2390" t="str">
            <v>비닐</v>
          </cell>
          <cell r="S2390" t="str">
            <v>비닐</v>
          </cell>
          <cell r="T2390" t="str">
            <v>20PISBOX</v>
          </cell>
          <cell r="U2390">
            <v>40906</v>
          </cell>
          <cell r="V2390" t="str">
            <v>금형제조부</v>
          </cell>
          <cell r="W2390" t="str">
            <v>HM69-01073A, HM69-01074A</v>
          </cell>
          <cell r="AC2390" t="str">
            <v>석상준계장, 고정후레임, 2012.01.02수정, 2012.02.10기준중량변경(3764-&gt;3763)</v>
          </cell>
          <cell r="AD2390">
            <v>0.9</v>
          </cell>
          <cell r="AE2390">
            <v>150</v>
          </cell>
          <cell r="AF2390">
            <v>0</v>
          </cell>
        </row>
        <row r="2391">
          <cell r="A2391" t="str">
            <v>20MTPAD</v>
          </cell>
          <cell r="J2391" t="str">
            <v>동양매직</v>
          </cell>
          <cell r="T2391" t="str">
            <v>220*455*8T</v>
          </cell>
          <cell r="U2391">
            <v>40716</v>
          </cell>
        </row>
        <row r="2392">
          <cell r="A2392" t="str">
            <v>20-26LCD</v>
          </cell>
          <cell r="B2392" t="str">
            <v>SET</v>
          </cell>
          <cell r="C2392">
            <v>9</v>
          </cell>
          <cell r="D2392">
            <v>85</v>
          </cell>
          <cell r="E2392">
            <v>50</v>
          </cell>
          <cell r="F2392">
            <v>50</v>
          </cell>
          <cell r="G2392" t="str">
            <v>B240NS</v>
          </cell>
          <cell r="H2392">
            <v>60</v>
          </cell>
          <cell r="I2392">
            <v>1</v>
          </cell>
          <cell r="J2392" t="str">
            <v>로지텍</v>
          </cell>
          <cell r="K2392">
            <v>59</v>
          </cell>
          <cell r="L2392">
            <v>61</v>
          </cell>
          <cell r="O2392">
            <v>440</v>
          </cell>
          <cell r="P2392">
            <v>1360</v>
          </cell>
          <cell r="Q2392">
            <v>150</v>
          </cell>
          <cell r="R2392" t="str">
            <v>파랑</v>
          </cell>
          <cell r="S2392" t="str">
            <v>파랑</v>
          </cell>
          <cell r="T2392" t="str">
            <v>20-26LCD</v>
          </cell>
          <cell r="U2392">
            <v>41394</v>
          </cell>
          <cell r="V2392" t="str">
            <v>금형제조부</v>
          </cell>
          <cell r="Y2392">
            <v>40</v>
          </cell>
          <cell r="Z2392">
            <v>1920</v>
          </cell>
          <cell r="AC2392" t="str">
            <v>최재학사원, 2021.04.09 사용배율 변경(53-&gt;48)</v>
          </cell>
          <cell r="AD2392">
            <v>0.85</v>
          </cell>
          <cell r="AE2392">
            <v>85</v>
          </cell>
          <cell r="AF2392">
            <v>6</v>
          </cell>
        </row>
        <row r="2393">
          <cell r="A2393" t="str">
            <v>2019-TOWER</v>
          </cell>
          <cell r="B2393" t="str">
            <v>SET</v>
          </cell>
          <cell r="C2393">
            <v>4</v>
          </cell>
          <cell r="D2393">
            <v>80</v>
          </cell>
          <cell r="E2393">
            <v>214</v>
          </cell>
          <cell r="F2393">
            <v>70</v>
          </cell>
          <cell r="G2393" t="str">
            <v>B240NS</v>
          </cell>
          <cell r="H2393">
            <v>7</v>
          </cell>
          <cell r="I2393">
            <v>1</v>
          </cell>
          <cell r="J2393" t="str">
            <v>에이텍</v>
          </cell>
          <cell r="P2393">
            <v>1360</v>
          </cell>
          <cell r="Q2393">
            <v>250</v>
          </cell>
          <cell r="R2393" t="str">
            <v>노랑</v>
          </cell>
          <cell r="S2393" t="str">
            <v>노랑</v>
          </cell>
          <cell r="U2393">
            <v>43444</v>
          </cell>
          <cell r="V2393" t="str">
            <v>세일하이테크</v>
          </cell>
          <cell r="Y2393">
            <v>60</v>
          </cell>
          <cell r="AD2393">
            <v>0.85</v>
          </cell>
          <cell r="AE2393">
            <v>75</v>
          </cell>
          <cell r="AF2393">
            <v>8</v>
          </cell>
        </row>
        <row r="2394">
          <cell r="A2394" t="str">
            <v>2019-SLIM</v>
          </cell>
          <cell r="B2394" t="str">
            <v>SET</v>
          </cell>
          <cell r="C2394">
            <v>4</v>
          </cell>
          <cell r="D2394">
            <v>80</v>
          </cell>
          <cell r="E2394">
            <v>153</v>
          </cell>
          <cell r="F2394">
            <v>70</v>
          </cell>
          <cell r="G2394" t="str">
            <v>B240NS</v>
          </cell>
          <cell r="H2394">
            <v>10</v>
          </cell>
          <cell r="I2394">
            <v>1</v>
          </cell>
          <cell r="J2394" t="str">
            <v>에이텍</v>
          </cell>
          <cell r="K2394">
            <v>119</v>
          </cell>
          <cell r="L2394">
            <v>121</v>
          </cell>
          <cell r="P2394">
            <v>1360</v>
          </cell>
          <cell r="Q2394">
            <v>250</v>
          </cell>
          <cell r="R2394" t="str">
            <v>파랑</v>
          </cell>
          <cell r="S2394" t="str">
            <v>파랑</v>
          </cell>
          <cell r="U2394">
            <v>43444</v>
          </cell>
          <cell r="V2394" t="str">
            <v>금형제조부</v>
          </cell>
          <cell r="Y2394">
            <v>60</v>
          </cell>
          <cell r="AD2394">
            <v>0.85</v>
          </cell>
          <cell r="AE2394">
            <v>110</v>
          </cell>
        </row>
        <row r="2395">
          <cell r="A2395" t="str">
            <v>2018A</v>
          </cell>
          <cell r="B2395" t="str">
            <v>SET</v>
          </cell>
          <cell r="C2395">
            <v>1</v>
          </cell>
          <cell r="D2395">
            <v>100</v>
          </cell>
          <cell r="E2395">
            <v>408</v>
          </cell>
          <cell r="F2395">
            <v>65</v>
          </cell>
          <cell r="G2395" t="str">
            <v>B240NS</v>
          </cell>
          <cell r="I2395">
            <v>2</v>
          </cell>
          <cell r="J2395" t="str">
            <v>알토엔대우</v>
          </cell>
          <cell r="P2395">
            <v>1360</v>
          </cell>
          <cell r="Q2395">
            <v>200</v>
          </cell>
          <cell r="U2395">
            <v>43634</v>
          </cell>
          <cell r="V2395" t="str">
            <v>금형제조부</v>
          </cell>
          <cell r="Y2395">
            <v>50</v>
          </cell>
          <cell r="AC2395" t="str">
            <v>190618 2*1 간이금형,190716 full cavity, 코팅 반출</v>
          </cell>
          <cell r="AD2395">
            <v>0.85</v>
          </cell>
          <cell r="AE2395">
            <v>80</v>
          </cell>
          <cell r="AF2395">
            <v>1</v>
          </cell>
        </row>
        <row r="2396">
          <cell r="A2396" t="str">
            <v>2016-TOWER</v>
          </cell>
          <cell r="B2396" t="str">
            <v>SET</v>
          </cell>
          <cell r="C2396">
            <v>3</v>
          </cell>
          <cell r="D2396">
            <v>75</v>
          </cell>
          <cell r="E2396">
            <v>252</v>
          </cell>
          <cell r="F2396">
            <v>65</v>
          </cell>
          <cell r="G2396" t="str">
            <v>B240NS</v>
          </cell>
          <cell r="H2396">
            <v>10</v>
          </cell>
          <cell r="I2396">
            <v>2</v>
          </cell>
          <cell r="J2396" t="str">
            <v>에이텍</v>
          </cell>
          <cell r="K2396">
            <v>84</v>
          </cell>
          <cell r="L2396">
            <v>88</v>
          </cell>
          <cell r="M2396">
            <v>84</v>
          </cell>
          <cell r="N2396">
            <v>88</v>
          </cell>
          <cell r="O2396">
            <v>1430</v>
          </cell>
          <cell r="P2396">
            <v>1360</v>
          </cell>
          <cell r="Q2396">
            <v>200</v>
          </cell>
          <cell r="R2396" t="str">
            <v>빨강</v>
          </cell>
          <cell r="S2396" t="str">
            <v>빨강</v>
          </cell>
          <cell r="U2396">
            <v>42487</v>
          </cell>
          <cell r="V2396" t="str">
            <v>금형제조부</v>
          </cell>
          <cell r="W2396" t="str">
            <v>PPACRETC0086(7)A,짝불량 주위</v>
          </cell>
          <cell r="Z2396">
            <v>12603</v>
          </cell>
          <cell r="AC2396" t="str">
            <v>최재학사원</v>
          </cell>
          <cell r="AD2396">
            <v>0.85</v>
          </cell>
          <cell r="AE2396">
            <v>75</v>
          </cell>
          <cell r="AF2396">
            <v>8</v>
          </cell>
        </row>
        <row r="2397">
          <cell r="A2397" t="str">
            <v>2015-SLIM</v>
          </cell>
          <cell r="B2397" t="str">
            <v>SET</v>
          </cell>
          <cell r="C2397">
            <v>8</v>
          </cell>
          <cell r="D2397">
            <v>80</v>
          </cell>
          <cell r="E2397">
            <v>110</v>
          </cell>
          <cell r="F2397">
            <v>65</v>
          </cell>
          <cell r="G2397" t="str">
            <v>B240NS</v>
          </cell>
          <cell r="H2397">
            <v>16</v>
          </cell>
          <cell r="I2397">
            <v>1</v>
          </cell>
          <cell r="J2397" t="str">
            <v>에이텍</v>
          </cell>
          <cell r="K2397">
            <v>109</v>
          </cell>
          <cell r="L2397">
            <v>111</v>
          </cell>
          <cell r="M2397">
            <v>109</v>
          </cell>
          <cell r="N2397">
            <v>111</v>
          </cell>
          <cell r="O2397">
            <v>630</v>
          </cell>
          <cell r="P2397">
            <v>1360</v>
          </cell>
          <cell r="Q2397">
            <v>200</v>
          </cell>
          <cell r="R2397" t="str">
            <v>검정</v>
          </cell>
          <cell r="S2397" t="str">
            <v>검정</v>
          </cell>
          <cell r="T2397" t="str">
            <v>2015-SLIM</v>
          </cell>
          <cell r="U2397">
            <v>42032</v>
          </cell>
          <cell r="V2397" t="str">
            <v>금형제조부</v>
          </cell>
          <cell r="W2397" t="str">
            <v>PPACRCUS0264A</v>
          </cell>
          <cell r="X2397" t="str">
            <v>A-0104</v>
          </cell>
          <cell r="Y2397">
            <v>50</v>
          </cell>
          <cell r="AC2397" t="str">
            <v>김일환계장2015.03.09수정(CAVITY추가2-&gt;8)</v>
          </cell>
          <cell r="AD2397">
            <v>0.85</v>
          </cell>
          <cell r="AE2397">
            <v>90</v>
          </cell>
          <cell r="AF2397">
            <v>12</v>
          </cell>
        </row>
        <row r="2398">
          <cell r="A2398" t="str">
            <v>200*65*35T</v>
          </cell>
          <cell r="B2398" t="str">
            <v>PAD</v>
          </cell>
          <cell r="E2398">
            <v>0</v>
          </cell>
          <cell r="J2398" t="str">
            <v>평창축협</v>
          </cell>
        </row>
        <row r="2399">
          <cell r="A2399" t="str">
            <v>200*65*35T</v>
          </cell>
          <cell r="B2399" t="str">
            <v>PAD</v>
          </cell>
          <cell r="E2399">
            <v>0</v>
          </cell>
          <cell r="J2399" t="str">
            <v>평창축협</v>
          </cell>
        </row>
        <row r="2400">
          <cell r="A2400" t="str">
            <v>200*200*35T</v>
          </cell>
          <cell r="B2400" t="str">
            <v>MNTS0-003</v>
          </cell>
          <cell r="J2400" t="str">
            <v>넥터스</v>
          </cell>
          <cell r="O2400">
            <v>144</v>
          </cell>
          <cell r="T2400" t="str">
            <v>200*200*35T</v>
          </cell>
        </row>
        <row r="2401">
          <cell r="A2401" t="str">
            <v>20*200*4T</v>
          </cell>
          <cell r="B2401" t="str">
            <v>PAD</v>
          </cell>
          <cell r="E2401">
            <v>0.26</v>
          </cell>
          <cell r="J2401" t="str">
            <v>삼성전자</v>
          </cell>
          <cell r="O2401">
            <v>100</v>
          </cell>
        </row>
        <row r="2402">
          <cell r="A2402" t="str">
            <v>20*160*4T</v>
          </cell>
          <cell r="B2402" t="str">
            <v>PAD</v>
          </cell>
          <cell r="E2402">
            <v>0.21</v>
          </cell>
          <cell r="J2402" t="str">
            <v>삼성전자</v>
          </cell>
          <cell r="O2402">
            <v>100</v>
          </cell>
        </row>
        <row r="2403">
          <cell r="A2403" t="str">
            <v>187*97*160T</v>
          </cell>
          <cell r="B2403" t="str">
            <v>PAD</v>
          </cell>
          <cell r="E2403">
            <v>28</v>
          </cell>
          <cell r="J2403" t="str">
            <v>힘펠</v>
          </cell>
          <cell r="O2403">
            <v>300</v>
          </cell>
        </row>
        <row r="2404">
          <cell r="A2404" t="str">
            <v>187*97*160T</v>
          </cell>
          <cell r="B2404" t="str">
            <v>PAD</v>
          </cell>
          <cell r="E2404">
            <v>0</v>
          </cell>
          <cell r="J2404" t="str">
            <v>힘펠</v>
          </cell>
          <cell r="O2404">
            <v>300</v>
          </cell>
        </row>
        <row r="2405">
          <cell r="A2405" t="str">
            <v>187*68*160T</v>
          </cell>
          <cell r="B2405" t="str">
            <v>PAD</v>
          </cell>
          <cell r="E2405">
            <v>18</v>
          </cell>
          <cell r="J2405" t="str">
            <v>힘펠</v>
          </cell>
          <cell r="O2405">
            <v>300</v>
          </cell>
        </row>
        <row r="2406">
          <cell r="A2406" t="str">
            <v>187*68*160T</v>
          </cell>
          <cell r="B2406" t="str">
            <v>PAD</v>
          </cell>
          <cell r="E2406">
            <v>0</v>
          </cell>
          <cell r="J2406" t="str">
            <v>힘펠</v>
          </cell>
          <cell r="O2406">
            <v>300</v>
          </cell>
        </row>
        <row r="2407">
          <cell r="A2407" t="str">
            <v>1825CD</v>
          </cell>
          <cell r="B2407" t="str">
            <v>PAD</v>
          </cell>
          <cell r="E2407">
            <v>0</v>
          </cell>
          <cell r="J2407" t="str">
            <v>위니아만도</v>
          </cell>
          <cell r="O2407">
            <v>100</v>
          </cell>
          <cell r="R2407" t="str">
            <v xml:space="preserve">    </v>
          </cell>
        </row>
        <row r="2408">
          <cell r="A2408" t="str">
            <v>1825CD</v>
          </cell>
          <cell r="B2408" t="str">
            <v>PAD</v>
          </cell>
          <cell r="E2408">
            <v>0</v>
          </cell>
          <cell r="J2408" t="str">
            <v>위니아만도</v>
          </cell>
          <cell r="O2408">
            <v>100</v>
          </cell>
          <cell r="R2408" t="str">
            <v xml:space="preserve">    </v>
          </cell>
        </row>
        <row r="2409">
          <cell r="A2409" t="str">
            <v>1820*325*20T</v>
          </cell>
          <cell r="B2409" t="str">
            <v>PAD</v>
          </cell>
          <cell r="E2409">
            <v>198</v>
          </cell>
          <cell r="J2409" t="str">
            <v>중앙강재</v>
          </cell>
          <cell r="O2409">
            <v>1690</v>
          </cell>
          <cell r="P2409" t="str">
            <v>1820*325*20T(60배)</v>
          </cell>
        </row>
        <row r="2410">
          <cell r="A2410" t="str">
            <v>1820*325*20T</v>
          </cell>
          <cell r="B2410" t="str">
            <v>PAD</v>
          </cell>
          <cell r="E2410">
            <v>198</v>
          </cell>
          <cell r="J2410" t="str">
            <v>중앙강재</v>
          </cell>
          <cell r="O2410">
            <v>1690</v>
          </cell>
          <cell r="P2410" t="str">
            <v>1820*325*20T(60배)</v>
          </cell>
        </row>
        <row r="2411">
          <cell r="A2411" t="str">
            <v>182.7*150*115(50배)</v>
          </cell>
          <cell r="B2411" t="str">
            <v>PAD</v>
          </cell>
          <cell r="E2411">
            <v>60</v>
          </cell>
          <cell r="J2411" t="str">
            <v>SK매직</v>
          </cell>
          <cell r="K2411" t="str">
            <v>제일에스엔씨</v>
          </cell>
          <cell r="N2411" t="str">
            <v/>
          </cell>
          <cell r="P2411" t="str">
            <v>대진</v>
          </cell>
          <cell r="Q2411" t="str">
            <v>284*125*34</v>
          </cell>
        </row>
        <row r="2412">
          <cell r="A2412" t="str">
            <v>182.7*150*115</v>
          </cell>
          <cell r="E2412">
            <v>34</v>
          </cell>
          <cell r="J2412" t="str">
            <v>SK매직</v>
          </cell>
        </row>
        <row r="2413">
          <cell r="A2413" t="str">
            <v>182.7*150*115</v>
          </cell>
          <cell r="B2413" t="str">
            <v>PAD</v>
          </cell>
          <cell r="E2413">
            <v>34</v>
          </cell>
          <cell r="J2413" t="str">
            <v>SK매직</v>
          </cell>
        </row>
        <row r="2414">
          <cell r="A2414" t="str">
            <v>1800R</v>
          </cell>
          <cell r="B2414" t="str">
            <v>저발</v>
          </cell>
          <cell r="C2414">
            <v>2</v>
          </cell>
          <cell r="D2414">
            <v>100</v>
          </cell>
          <cell r="E2414">
            <v>135</v>
          </cell>
          <cell r="F2414">
            <v>70</v>
          </cell>
          <cell r="G2414" t="str">
            <v>B240NS</v>
          </cell>
          <cell r="H2414">
            <v>1</v>
          </cell>
          <cell r="I2414">
            <v>2</v>
          </cell>
          <cell r="J2414" t="str">
            <v>한일전기</v>
          </cell>
          <cell r="P2414">
            <v>500</v>
          </cell>
          <cell r="Q2414">
            <v>0</v>
          </cell>
          <cell r="R2414" t="str">
            <v>녹색</v>
          </cell>
          <cell r="U2414" t="str">
            <v>2022.12.06</v>
          </cell>
          <cell r="V2414" t="str">
            <v>이관금형</v>
          </cell>
          <cell r="AC2414" t="str">
            <v>김영석사원</v>
          </cell>
          <cell r="AD2414">
            <v>0.85</v>
          </cell>
        </row>
        <row r="2415">
          <cell r="A2415" t="str">
            <v>1800R</v>
          </cell>
          <cell r="B2415" t="str">
            <v>SET</v>
          </cell>
          <cell r="C2415">
            <v>2</v>
          </cell>
          <cell r="D2415">
            <v>100</v>
          </cell>
          <cell r="E2415">
            <v>135</v>
          </cell>
          <cell r="F2415">
            <v>70</v>
          </cell>
          <cell r="G2415" t="str">
            <v>B240NS</v>
          </cell>
          <cell r="H2415">
            <v>1</v>
          </cell>
          <cell r="I2415">
            <v>2</v>
          </cell>
          <cell r="J2415" t="str">
            <v>한일전기</v>
          </cell>
          <cell r="P2415">
            <v>500</v>
          </cell>
          <cell r="Q2415">
            <v>0</v>
          </cell>
          <cell r="R2415" t="str">
            <v>녹색</v>
          </cell>
          <cell r="U2415" t="str">
            <v>2022.12.06</v>
          </cell>
          <cell r="V2415" t="str">
            <v>이관금형</v>
          </cell>
          <cell r="AC2415" t="str">
            <v>김영석사원</v>
          </cell>
          <cell r="AD2415">
            <v>0.85</v>
          </cell>
        </row>
        <row r="2416">
          <cell r="A2416" t="str">
            <v>1800R</v>
          </cell>
          <cell r="B2416" t="str">
            <v>SET</v>
          </cell>
          <cell r="C2416">
            <v>2</v>
          </cell>
          <cell r="D2416">
            <v>100</v>
          </cell>
          <cell r="E2416">
            <v>135</v>
          </cell>
          <cell r="F2416">
            <v>70</v>
          </cell>
          <cell r="G2416" t="str">
            <v>B240NS</v>
          </cell>
          <cell r="H2416">
            <v>1</v>
          </cell>
          <cell r="I2416">
            <v>2</v>
          </cell>
          <cell r="J2416" t="str">
            <v>한일전기</v>
          </cell>
          <cell r="P2416">
            <v>500</v>
          </cell>
          <cell r="R2416" t="str">
            <v>녹색</v>
          </cell>
          <cell r="U2416" t="str">
            <v>2022.12.06</v>
          </cell>
          <cell r="V2416" t="str">
            <v>이관금형</v>
          </cell>
          <cell r="AC2416" t="str">
            <v>김영석사원</v>
          </cell>
          <cell r="AD2416">
            <v>0.85</v>
          </cell>
        </row>
        <row r="2417">
          <cell r="A2417" t="str">
            <v>1800R</v>
          </cell>
          <cell r="B2417" t="str">
            <v>SET</v>
          </cell>
          <cell r="C2417">
            <v>2</v>
          </cell>
          <cell r="D2417">
            <v>100</v>
          </cell>
          <cell r="E2417">
            <v>135</v>
          </cell>
          <cell r="F2417">
            <v>70</v>
          </cell>
          <cell r="G2417" t="str">
            <v>B240NS</v>
          </cell>
          <cell r="H2417">
            <v>1</v>
          </cell>
          <cell r="I2417">
            <v>2</v>
          </cell>
          <cell r="J2417" t="str">
            <v>한일전기</v>
          </cell>
          <cell r="P2417">
            <v>500</v>
          </cell>
          <cell r="R2417" t="str">
            <v>녹색</v>
          </cell>
          <cell r="U2417" t="str">
            <v>2022.12.06</v>
          </cell>
          <cell r="V2417" t="str">
            <v>이관금형</v>
          </cell>
          <cell r="AC2417" t="str">
            <v>김영석사원</v>
          </cell>
          <cell r="AD2417">
            <v>0.85</v>
          </cell>
        </row>
        <row r="2418">
          <cell r="A2418" t="str">
            <v>1800*900*10T(40배)</v>
          </cell>
          <cell r="B2418" t="str">
            <v>PAD</v>
          </cell>
          <cell r="E2418">
            <v>153</v>
          </cell>
          <cell r="T2418" t="str">
            <v>850*300*26T</v>
          </cell>
          <cell r="U2418">
            <v>41374</v>
          </cell>
        </row>
        <row r="2419">
          <cell r="A2419" t="str">
            <v>1800*900*10T</v>
          </cell>
          <cell r="B2419" t="str">
            <v>PAD</v>
          </cell>
          <cell r="E2419">
            <v>102</v>
          </cell>
          <cell r="J2419" t="str">
            <v>신정산업</v>
          </cell>
          <cell r="T2419" t="str">
            <v>1000*420*26T</v>
          </cell>
          <cell r="U2419">
            <v>41374</v>
          </cell>
        </row>
        <row r="2420">
          <cell r="A2420" t="str">
            <v>1800*900*100T</v>
          </cell>
          <cell r="B2420" t="str">
            <v>PSSY-285</v>
          </cell>
          <cell r="J2420" t="str">
            <v>삼성전자</v>
          </cell>
          <cell r="O2420">
            <v>9310</v>
          </cell>
          <cell r="T2420" t="str">
            <v>1800*900*100T</v>
          </cell>
        </row>
        <row r="2421">
          <cell r="A2421" t="str">
            <v>1800*400*200T</v>
          </cell>
          <cell r="B2421" t="str">
            <v>PAD</v>
          </cell>
          <cell r="E2421">
            <v>2057</v>
          </cell>
          <cell r="J2421" t="str">
            <v>삼성전자</v>
          </cell>
          <cell r="O2421">
            <v>2910</v>
          </cell>
          <cell r="P2421" t="str">
            <v>1000*470*26T</v>
          </cell>
        </row>
        <row r="2422">
          <cell r="A2422" t="str">
            <v>180*70*85T(60배)</v>
          </cell>
          <cell r="B2422" t="str">
            <v>PAD</v>
          </cell>
          <cell r="E2422">
            <v>18</v>
          </cell>
          <cell r="J2422" t="str">
            <v>경동</v>
          </cell>
          <cell r="O2422">
            <v>120</v>
          </cell>
          <cell r="P2422" t="str">
            <v>180*70*85T(60배)</v>
          </cell>
        </row>
        <row r="2423">
          <cell r="A2423" t="str">
            <v>180*70*85T(60배)</v>
          </cell>
          <cell r="B2423" t="str">
            <v>PAD</v>
          </cell>
          <cell r="E2423">
            <v>18</v>
          </cell>
          <cell r="J2423" t="str">
            <v>경동</v>
          </cell>
          <cell r="O2423">
            <v>120</v>
          </cell>
          <cell r="P2423" t="str">
            <v>180*70*85T(60배)</v>
          </cell>
        </row>
        <row r="2424">
          <cell r="A2424" t="str">
            <v>180*70*85T(40배)</v>
          </cell>
          <cell r="B2424" t="str">
            <v>PAD</v>
          </cell>
          <cell r="E2424">
            <v>25</v>
          </cell>
          <cell r="J2424" t="str">
            <v>경동</v>
          </cell>
          <cell r="O2424">
            <v>160</v>
          </cell>
          <cell r="P2424" t="str">
            <v>180*70*85T(40배)</v>
          </cell>
        </row>
        <row r="2425">
          <cell r="A2425" t="str">
            <v>180*70*85T(40배)</v>
          </cell>
          <cell r="B2425" t="str">
            <v>PAD</v>
          </cell>
          <cell r="E2425">
            <v>25</v>
          </cell>
          <cell r="J2425" t="str">
            <v>경동</v>
          </cell>
          <cell r="O2425">
            <v>160</v>
          </cell>
          <cell r="P2425" t="str">
            <v>180*70*85T(40배)</v>
          </cell>
        </row>
        <row r="2426">
          <cell r="A2426" t="str">
            <v>1700*900*200</v>
          </cell>
          <cell r="B2426" t="str">
            <v>PAD</v>
          </cell>
          <cell r="E2426">
            <v>5100</v>
          </cell>
          <cell r="J2426" t="str">
            <v>삼성전자</v>
          </cell>
          <cell r="O2426">
            <v>36400</v>
          </cell>
        </row>
        <row r="2427">
          <cell r="A2427" t="str">
            <v>153*153*15T</v>
          </cell>
          <cell r="B2427" t="str">
            <v>PAD</v>
          </cell>
          <cell r="J2427" t="str">
            <v>범진</v>
          </cell>
        </row>
        <row r="2428">
          <cell r="A2428" t="str">
            <v>1500*280*44T</v>
          </cell>
          <cell r="B2428" t="str">
            <v>PAD</v>
          </cell>
          <cell r="J2428" t="str">
            <v>삼성전자</v>
          </cell>
        </row>
        <row r="2429">
          <cell r="A2429" t="str">
            <v>150*100*35T</v>
          </cell>
          <cell r="B2429" t="str">
            <v>PAD</v>
          </cell>
          <cell r="E2429">
            <v>9</v>
          </cell>
          <cell r="J2429" t="str">
            <v>삼성전자</v>
          </cell>
          <cell r="P2429" t="str">
            <v>150*100*35T</v>
          </cell>
        </row>
        <row r="2430">
          <cell r="A2430" t="str">
            <v>15*100*4T</v>
          </cell>
          <cell r="B2430" t="str">
            <v>PAD</v>
          </cell>
          <cell r="E2430">
            <v>169</v>
          </cell>
          <cell r="J2430" t="str">
            <v>삼성전자</v>
          </cell>
          <cell r="O2430">
            <v>100</v>
          </cell>
        </row>
        <row r="2431">
          <cell r="A2431" t="str">
            <v>14인치필터</v>
          </cell>
          <cell r="B2431" t="str">
            <v>저발</v>
          </cell>
          <cell r="C2431">
            <v>10</v>
          </cell>
          <cell r="D2431">
            <v>100</v>
          </cell>
          <cell r="E2431">
            <v>15</v>
          </cell>
          <cell r="F2431">
            <v>60</v>
          </cell>
          <cell r="G2431" t="str">
            <v>SG302</v>
          </cell>
          <cell r="H2431">
            <v>200</v>
          </cell>
          <cell r="I2431">
            <v>1</v>
          </cell>
          <cell r="J2431" t="str">
            <v>코웨이</v>
          </cell>
          <cell r="K2431">
            <v>68</v>
          </cell>
          <cell r="L2431">
            <v>72</v>
          </cell>
          <cell r="M2431">
            <v>68</v>
          </cell>
          <cell r="N2431">
            <v>72</v>
          </cell>
          <cell r="P2431">
            <v>700</v>
          </cell>
          <cell r="R2431" t="str">
            <v>노란비닐</v>
          </cell>
          <cell r="U2431">
            <v>44529</v>
          </cell>
          <cell r="V2431" t="str">
            <v>금형사업부</v>
          </cell>
          <cell r="W2431" t="str">
            <v>CHP-5710R</v>
          </cell>
          <cell r="Y2431">
            <v>50</v>
          </cell>
          <cell r="Z2431">
            <v>305</v>
          </cell>
          <cell r="AC2431" t="str">
            <v>석상준과장</v>
          </cell>
          <cell r="AD2431">
            <v>0.85</v>
          </cell>
          <cell r="AF2431">
            <v>8</v>
          </cell>
        </row>
        <row r="2432">
          <cell r="A2432" t="str">
            <v>1400620EPS</v>
          </cell>
          <cell r="B2432" t="str">
            <v>PLT</v>
          </cell>
          <cell r="C2432">
            <v>2</v>
          </cell>
          <cell r="D2432">
            <v>100</v>
          </cell>
          <cell r="E2432">
            <v>888</v>
          </cell>
          <cell r="F2432">
            <v>65</v>
          </cell>
          <cell r="G2432" t="str">
            <v>B240NS</v>
          </cell>
          <cell r="H2432">
            <v>1</v>
          </cell>
          <cell r="I2432">
            <v>1</v>
          </cell>
          <cell r="J2432" t="str">
            <v>LG전자</v>
          </cell>
          <cell r="K2432">
            <v>129</v>
          </cell>
          <cell r="L2432">
            <v>131</v>
          </cell>
          <cell r="O2432">
            <v>10</v>
          </cell>
          <cell r="P2432">
            <v>1500</v>
          </cell>
          <cell r="Q2432">
            <v>200</v>
          </cell>
          <cell r="S2432">
            <v>0</v>
          </cell>
          <cell r="T2432" t="str">
            <v>55EPS-PLT</v>
          </cell>
          <cell r="U2432">
            <v>41456</v>
          </cell>
          <cell r="V2432" t="str">
            <v>금형제조부</v>
          </cell>
          <cell r="W2432" t="str">
            <v>55EPS-PLT</v>
          </cell>
          <cell r="AC2432" t="str">
            <v>조우리사원 55EPS-PLT,2013.08.19개조</v>
          </cell>
          <cell r="AD2432">
            <v>0.85</v>
          </cell>
          <cell r="AE2432">
            <v>100</v>
          </cell>
          <cell r="AF2432">
            <v>2</v>
          </cell>
        </row>
        <row r="2433">
          <cell r="A2433" t="str">
            <v>140*430*100T</v>
          </cell>
          <cell r="B2433" t="str">
            <v>PAD</v>
          </cell>
          <cell r="J2433" t="str">
            <v>삼성전자</v>
          </cell>
        </row>
        <row r="2434">
          <cell r="A2434" t="str">
            <v>140*140*70</v>
          </cell>
          <cell r="B2434" t="str">
            <v>PAD</v>
          </cell>
          <cell r="E2434">
            <v>46</v>
          </cell>
          <cell r="J2434" t="str">
            <v>인알파코리아</v>
          </cell>
          <cell r="O2434">
            <v>950</v>
          </cell>
          <cell r="P2434" t="str">
            <v>140*140*70T(30배)</v>
          </cell>
        </row>
        <row r="2435">
          <cell r="A2435" t="str">
            <v>140*140*70</v>
          </cell>
          <cell r="B2435" t="str">
            <v>PAD</v>
          </cell>
          <cell r="E2435">
            <v>46</v>
          </cell>
          <cell r="J2435" t="str">
            <v>인알파코리아</v>
          </cell>
          <cell r="O2435">
            <v>950</v>
          </cell>
          <cell r="P2435" t="str">
            <v>140*140*70T(30배)</v>
          </cell>
        </row>
        <row r="2436">
          <cell r="A2436" t="str">
            <v>130*70*50T(50배)</v>
          </cell>
          <cell r="B2436" t="str">
            <v>PAD</v>
          </cell>
          <cell r="E2436">
            <v>0</v>
          </cell>
          <cell r="J2436" t="str">
            <v>모트렉스</v>
          </cell>
          <cell r="O2436">
            <v>50</v>
          </cell>
          <cell r="P2436" t="str">
            <v>IBF/L</v>
          </cell>
          <cell r="Q2436" t="str">
            <v>SC777037A</v>
          </cell>
        </row>
        <row r="2437">
          <cell r="A2437" t="str">
            <v>130*70*50T(50배)</v>
          </cell>
          <cell r="B2437" t="str">
            <v>PAD</v>
          </cell>
          <cell r="E2437">
            <v>0</v>
          </cell>
          <cell r="J2437" t="str">
            <v>모트렉스</v>
          </cell>
          <cell r="O2437">
            <v>50</v>
          </cell>
          <cell r="P2437" t="str">
            <v>IBF/L</v>
          </cell>
          <cell r="Q2437" t="str">
            <v>SC777037A</v>
          </cell>
        </row>
        <row r="2438">
          <cell r="A2438" t="str">
            <v>1220*865*300T</v>
          </cell>
          <cell r="B2438" t="str">
            <v>PSSY-284</v>
          </cell>
          <cell r="J2438" t="str">
            <v>삼성전자</v>
          </cell>
          <cell r="O2438">
            <v>37875</v>
          </cell>
          <cell r="T2438" t="str">
            <v>1220*865*300T</v>
          </cell>
        </row>
        <row r="2439">
          <cell r="A2439" t="str">
            <v>1220*860*45T</v>
          </cell>
          <cell r="B2439" t="str">
            <v>PSSY-288</v>
          </cell>
          <cell r="J2439" t="str">
            <v>삼성전자</v>
          </cell>
          <cell r="O2439">
            <v>5688</v>
          </cell>
          <cell r="T2439" t="str">
            <v>1220*860*45T</v>
          </cell>
        </row>
        <row r="2440">
          <cell r="A2440" t="str">
            <v>1208PAD#4</v>
          </cell>
          <cell r="B2440" t="str">
            <v>저발</v>
          </cell>
          <cell r="C2440">
            <v>9</v>
          </cell>
          <cell r="D2440">
            <v>170</v>
          </cell>
          <cell r="E2440">
            <v>6</v>
          </cell>
          <cell r="F2440">
            <v>22</v>
          </cell>
          <cell r="G2440" t="str">
            <v>B240NS</v>
          </cell>
          <cell r="H2440">
            <v>200</v>
          </cell>
          <cell r="I2440">
            <v>1</v>
          </cell>
          <cell r="J2440" t="str">
            <v>SK매직</v>
          </cell>
          <cell r="K2440">
            <v>14.2</v>
          </cell>
          <cell r="L2440">
            <v>15.2</v>
          </cell>
          <cell r="O2440">
            <v>219</v>
          </cell>
          <cell r="P2440">
            <v>500</v>
          </cell>
          <cell r="R2440" t="str">
            <v>비닐</v>
          </cell>
          <cell r="S2440" t="str">
            <v>비닐</v>
          </cell>
          <cell r="T2440" t="str">
            <v>1208 S/W PAD</v>
          </cell>
          <cell r="U2440">
            <v>40386</v>
          </cell>
          <cell r="V2440" t="str">
            <v>금형제조부</v>
          </cell>
          <cell r="W2440" t="str">
            <v>51211-18000</v>
          </cell>
          <cell r="X2440" t="str">
            <v>F-0112</v>
          </cell>
          <cell r="AC2440" t="str">
            <v>#3차CORE사용 CAVITY만 신작, 2010.08.30승인완료, 2012.02.09수정2014.12.22수정,2016.08.26배율변경(20-&gt;21.5배).</v>
          </cell>
          <cell r="AD2440">
            <v>0.9</v>
          </cell>
          <cell r="AE2440">
            <v>100</v>
          </cell>
          <cell r="AF2440">
            <v>3</v>
          </cell>
        </row>
        <row r="2441">
          <cell r="A2441" t="str">
            <v>1200*900*5</v>
          </cell>
          <cell r="B2441" t="str">
            <v>PAD</v>
          </cell>
          <cell r="E2441">
            <v>90</v>
          </cell>
          <cell r="J2441" t="str">
            <v>삼성전자</v>
          </cell>
          <cell r="O2441">
            <v>2600</v>
          </cell>
        </row>
        <row r="2442">
          <cell r="A2442" t="str">
            <v>1200*900*10</v>
          </cell>
          <cell r="B2442" t="str">
            <v>PAD</v>
          </cell>
          <cell r="E2442">
            <v>180</v>
          </cell>
          <cell r="J2442" t="str">
            <v>삼성전자</v>
          </cell>
          <cell r="O2442">
            <v>3900</v>
          </cell>
        </row>
        <row r="2443">
          <cell r="A2443" t="str">
            <v>1200*800*100T</v>
          </cell>
          <cell r="B2443" t="str">
            <v>PAD</v>
          </cell>
          <cell r="J2443" t="str">
            <v>삼성전자</v>
          </cell>
        </row>
        <row r="2444">
          <cell r="A2444" t="str">
            <v>1200*200*50</v>
          </cell>
          <cell r="B2444" t="str">
            <v>PAD</v>
          </cell>
          <cell r="E2444">
            <v>200</v>
          </cell>
          <cell r="J2444" t="str">
            <v>삼성전자</v>
          </cell>
          <cell r="O2444">
            <v>2000</v>
          </cell>
        </row>
        <row r="2445">
          <cell r="A2445" t="str">
            <v>1200*200*100</v>
          </cell>
          <cell r="B2445" t="str">
            <v>PAD</v>
          </cell>
          <cell r="E2445">
            <v>400</v>
          </cell>
          <cell r="J2445" t="str">
            <v>삼성전자</v>
          </cell>
          <cell r="O2445">
            <v>3900</v>
          </cell>
        </row>
        <row r="2446">
          <cell r="A2446" t="str">
            <v>1200*195*50</v>
          </cell>
          <cell r="B2446" t="str">
            <v>PAD</v>
          </cell>
          <cell r="E2446">
            <v>195</v>
          </cell>
          <cell r="J2446" t="str">
            <v>삼성전자</v>
          </cell>
          <cell r="O2446">
            <v>2000</v>
          </cell>
        </row>
        <row r="2447">
          <cell r="A2447" t="str">
            <v>1200*195*100</v>
          </cell>
          <cell r="B2447" t="str">
            <v>PAD</v>
          </cell>
          <cell r="E2447">
            <v>390</v>
          </cell>
          <cell r="J2447" t="str">
            <v>삼성전자</v>
          </cell>
          <cell r="O2447">
            <v>3900</v>
          </cell>
        </row>
        <row r="2448">
          <cell r="A2448" t="str">
            <v>1200*1000*50T</v>
          </cell>
          <cell r="B2448" t="str">
            <v>PAD</v>
          </cell>
          <cell r="E2448">
            <v>0</v>
          </cell>
          <cell r="J2448" t="str">
            <v>삼화페인트</v>
          </cell>
          <cell r="O2448">
            <v>4450</v>
          </cell>
          <cell r="P2448" t="str">
            <v>평판패드0.020</v>
          </cell>
        </row>
        <row r="2449">
          <cell r="A2449" t="str">
            <v>1200*1000*50T</v>
          </cell>
          <cell r="B2449" t="str">
            <v>PAD</v>
          </cell>
          <cell r="E2449">
            <v>0</v>
          </cell>
          <cell r="J2449" t="str">
            <v>삼화페인트</v>
          </cell>
          <cell r="O2449">
            <v>4450</v>
          </cell>
          <cell r="P2449" t="str">
            <v>평판패드0.020</v>
          </cell>
        </row>
        <row r="2450">
          <cell r="A2450" t="str">
            <v>1140*275*14T</v>
          </cell>
          <cell r="B2450" t="str">
            <v>PAD</v>
          </cell>
          <cell r="J2450" t="str">
            <v>삼성전자</v>
          </cell>
          <cell r="O2450">
            <v>0</v>
          </cell>
          <cell r="P2450" t="str">
            <v>1140*275*14T</v>
          </cell>
        </row>
        <row r="2451">
          <cell r="A2451" t="str">
            <v>110A*21T</v>
          </cell>
          <cell r="B2451" t="str">
            <v>PAD</v>
          </cell>
          <cell r="E2451">
            <v>8</v>
          </cell>
          <cell r="J2451" t="str">
            <v>아워홈</v>
          </cell>
          <cell r="O2451">
            <v>280</v>
          </cell>
          <cell r="P2451" t="str">
            <v>110A*21T(원형)</v>
          </cell>
        </row>
        <row r="2452">
          <cell r="A2452" t="str">
            <v>110A*21T</v>
          </cell>
          <cell r="B2452" t="str">
            <v>PAD</v>
          </cell>
          <cell r="E2452">
            <v>8</v>
          </cell>
          <cell r="J2452" t="str">
            <v>아워홈</v>
          </cell>
          <cell r="O2452">
            <v>280</v>
          </cell>
          <cell r="P2452" t="str">
            <v>110A*21T(원형)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6DF7-0F9C-4013-B974-EC6C1925E3E0}">
  <sheetPr codeName="Sheet36">
    <tabColor indexed="10"/>
  </sheetPr>
  <dimension ref="A1:S65438"/>
  <sheetViews>
    <sheetView tabSelected="1" topLeftCell="A16" zoomScale="85" zoomScaleNormal="85" workbookViewId="0">
      <selection activeCell="J35" sqref="J35"/>
    </sheetView>
  </sheetViews>
  <sheetFormatPr defaultRowHeight="16.5" x14ac:dyDescent="0.3"/>
  <cols>
    <col min="1" max="1" width="4.44140625" style="19" customWidth="1"/>
    <col min="2" max="2" width="7.33203125" style="20" customWidth="1"/>
    <col min="3" max="3" width="21.88671875" style="18" customWidth="1"/>
    <col min="4" max="4" width="28.21875" style="38" bestFit="1" customWidth="1"/>
    <col min="5" max="5" width="21.44140625" style="39" customWidth="1"/>
    <col min="6" max="6" width="6.6640625" style="40" customWidth="1"/>
    <col min="7" max="8" width="11.44140625" style="19" bestFit="1" customWidth="1"/>
    <col min="9" max="9" width="9.109375" style="18" bestFit="1" customWidth="1"/>
    <col min="10" max="10" width="8.77734375" style="19" customWidth="1"/>
    <col min="11" max="11" width="11.109375" style="17" customWidth="1"/>
    <col min="12" max="12" width="16.21875" style="41" customWidth="1"/>
    <col min="13" max="13" width="12.77734375" style="17" bestFit="1" customWidth="1"/>
    <col min="14" max="14" width="13.88671875" style="17" customWidth="1"/>
    <col min="15" max="15" width="11" style="17" bestFit="1" customWidth="1"/>
    <col min="16" max="16" width="14.21875" style="17" customWidth="1"/>
    <col min="17" max="17" width="16.21875" style="17" customWidth="1"/>
    <col min="18" max="18" width="11.6640625" style="18" bestFit="1" customWidth="1"/>
    <col min="19" max="16384" width="8.88671875" style="18"/>
  </cols>
  <sheetData>
    <row r="1" spans="1:19" s="1" customFormat="1" ht="38.2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</row>
    <row r="2" spans="1:19" x14ac:dyDescent="0.3">
      <c r="A2" s="5">
        <v>1</v>
      </c>
      <c r="B2" s="6">
        <v>46128</v>
      </c>
      <c r="C2" s="7" t="s">
        <v>19</v>
      </c>
      <c r="D2" s="8" t="s">
        <v>19</v>
      </c>
      <c r="E2" s="9" t="s">
        <v>20</v>
      </c>
      <c r="F2" s="10">
        <v>42</v>
      </c>
      <c r="G2" s="10"/>
      <c r="H2" s="11" t="s">
        <v>21</v>
      </c>
      <c r="I2" s="7">
        <f>IF(E2="","",VLOOKUP(E2,[1]DATA!$A$2:$AG$2452,5,FALSE))</f>
        <v>1620</v>
      </c>
      <c r="J2" s="12">
        <f t="shared" ref="J2:J65" si="0">IF(E2="","",(G2*I2/1000))</f>
        <v>0</v>
      </c>
      <c r="K2" s="13" t="e">
        <f>IF(E2="","",SUMIFS([2]단가!$E:$E,[2]단가!$A:$A,출하일보전송용260416!$C2,[2]단가!$B:$B,출하일보전송용260416!$E2))</f>
        <v>#VALUE!</v>
      </c>
      <c r="L2" s="14" t="e">
        <f t="shared" ref="L2:L65" si="1">IF(E2="","",(G2*K2))</f>
        <v>#VALUE!</v>
      </c>
      <c r="M2" s="15" t="b">
        <f>IF(H2="","",IF(H2&lt;50,VLOOKUP(C2,[1]운반비기준!$A$2:$D$3036,3,FALSE)))</f>
        <v>0</v>
      </c>
      <c r="N2" s="15">
        <v>180000</v>
      </c>
      <c r="O2" s="16">
        <f t="shared" ref="O2:O65" si="2">IF(H2="","",(M2+N2))</f>
        <v>180000</v>
      </c>
      <c r="Q2" s="16">
        <f t="shared" ref="Q2:Q65" si="3">IF(H2="","",(O2+P2))</f>
        <v>180000</v>
      </c>
      <c r="R2" s="7" t="str">
        <f>IF(E2="","",VLOOKUP(E2,[1]DATA!$A$2:$AG$2452,10,FALSE))</f>
        <v>뉴옵틱스</v>
      </c>
      <c r="S2" s="7" t="str">
        <f>IF(E2="","",VLOOKUP(E2,[1]DATA!$A$2:$AG$2452,2,FALSE))</f>
        <v>SET</v>
      </c>
    </row>
    <row r="3" spans="1:19" x14ac:dyDescent="0.3">
      <c r="A3" s="5">
        <f>IF(E3="","",(A2+1))</f>
        <v>2</v>
      </c>
      <c r="B3" s="6">
        <f t="shared" ref="B3:B66" si="4">IF(E3="","",(B2))</f>
        <v>46128</v>
      </c>
      <c r="C3" s="7" t="s">
        <v>19</v>
      </c>
      <c r="D3" s="8" t="s">
        <v>19</v>
      </c>
      <c r="E3" s="9" t="s">
        <v>22</v>
      </c>
      <c r="F3" s="10">
        <v>60</v>
      </c>
      <c r="G3" s="10"/>
      <c r="H3" s="11"/>
      <c r="I3" s="7">
        <f>IF(E3="","",VLOOKUP(E3,[1]DATA!$A$2:$AG$2452,5,FALSE))</f>
        <v>4398</v>
      </c>
      <c r="J3" s="12">
        <f t="shared" si="0"/>
        <v>0</v>
      </c>
      <c r="K3" s="13" t="e">
        <f>IF(E3="","",SUMIFS([2]단가!$E:$E,[2]단가!$A:$A,출하일보전송용260416!$C3,[2]단가!$B:$B,출하일보전송용260416!$E3))</f>
        <v>#VALUE!</v>
      </c>
      <c r="L3" s="14" t="e">
        <f t="shared" si="1"/>
        <v>#VALUE!</v>
      </c>
      <c r="M3" s="15" t="str">
        <f>IF(H3="","",IF(H3&lt;50,VLOOKUP(C3,[1]운반비기준!$A$2:$D$3036,3,FALSE)))</f>
        <v/>
      </c>
      <c r="N3" s="15" t="str">
        <f>IF(H3="","",IF(H3&gt;51,VLOOKUP(C3,[1]운반비기준!$A$2:$D$3036,4,FALSE)))</f>
        <v/>
      </c>
      <c r="O3" s="16" t="str">
        <f t="shared" si="2"/>
        <v/>
      </c>
      <c r="Q3" s="16" t="str">
        <f t="shared" si="3"/>
        <v/>
      </c>
      <c r="R3" s="7" t="str">
        <f>IF(E3="","",VLOOKUP(E3,[1]DATA!$A$2:$AG$2452,10,FALSE))</f>
        <v>뉴옵틱스</v>
      </c>
      <c r="S3" s="7" t="str">
        <f>IF(E3="","",VLOOKUP(E3,[1]DATA!$A$2:$AG$2452,2,FALSE))</f>
        <v>SET</v>
      </c>
    </row>
    <row r="4" spans="1:19" x14ac:dyDescent="0.3">
      <c r="A4" s="5">
        <f t="shared" ref="A4:A67" si="5">IF(E4="","",(A3+1))</f>
        <v>3</v>
      </c>
      <c r="B4" s="6">
        <f t="shared" si="4"/>
        <v>46128</v>
      </c>
      <c r="C4" s="7" t="s">
        <v>23</v>
      </c>
      <c r="D4" s="8" t="s">
        <v>24</v>
      </c>
      <c r="E4" s="9" t="s">
        <v>25</v>
      </c>
      <c r="F4" s="10">
        <v>200</v>
      </c>
      <c r="G4" s="10"/>
      <c r="H4" s="11" t="s">
        <v>26</v>
      </c>
      <c r="I4" s="7">
        <f>IF(E4="","",VLOOKUP(E4,[1]DATA!$A$2:$AG$2452,5,FALSE))</f>
        <v>350</v>
      </c>
      <c r="J4" s="12">
        <f t="shared" si="0"/>
        <v>0</v>
      </c>
      <c r="K4" s="13" t="e">
        <f>IF(E4="","",SUMIFS([2]단가!$E:$E,[2]단가!$A:$A,출하일보전송용260416!$C4,[2]단가!$B:$B,출하일보전송용260416!$E4))</f>
        <v>#VALUE!</v>
      </c>
      <c r="L4" s="14" t="e">
        <f t="shared" si="1"/>
        <v>#VALUE!</v>
      </c>
      <c r="M4" s="15" t="b">
        <f>IF(H4="","",IF(H4&lt;50,VLOOKUP(C4,[1]운반비기준!$A$2:$D$3036,3,FALSE)))</f>
        <v>0</v>
      </c>
      <c r="N4" s="15">
        <v>140000</v>
      </c>
      <c r="O4" s="16">
        <f t="shared" si="2"/>
        <v>140000</v>
      </c>
      <c r="Q4" s="16">
        <f t="shared" si="3"/>
        <v>140000</v>
      </c>
      <c r="R4" s="7" t="str">
        <f>IF(E4="","",VLOOKUP(E4,[1]DATA!$A$2:$AG$2452,10,FALSE))</f>
        <v>가화텍</v>
      </c>
      <c r="S4" s="7" t="str">
        <f>IF(E4="","",VLOOKUP(E4,[1]DATA!$A$2:$AG$2452,2,FALSE))</f>
        <v>SET</v>
      </c>
    </row>
    <row r="5" spans="1:19" x14ac:dyDescent="0.3">
      <c r="A5" s="5">
        <f t="shared" si="5"/>
        <v>4</v>
      </c>
      <c r="B5" s="6">
        <f t="shared" si="4"/>
        <v>46128</v>
      </c>
      <c r="C5" s="7" t="s">
        <v>23</v>
      </c>
      <c r="D5" s="8" t="s">
        <v>24</v>
      </c>
      <c r="E5" s="9" t="s">
        <v>27</v>
      </c>
      <c r="F5" s="10">
        <v>200</v>
      </c>
      <c r="G5" s="10"/>
      <c r="H5" s="11"/>
      <c r="I5" s="7">
        <f>IF(E5="","",VLOOKUP(E5,[1]DATA!$A$2:$AG$2452,5,FALSE))</f>
        <v>316</v>
      </c>
      <c r="J5" s="12">
        <f t="shared" si="0"/>
        <v>0</v>
      </c>
      <c r="K5" s="13" t="e">
        <f>IF(E5="","",SUMIFS([2]단가!$E:$E,[2]단가!$A:$A,출하일보전송용260416!$C5,[2]단가!$B:$B,출하일보전송용260416!$E5))</f>
        <v>#VALUE!</v>
      </c>
      <c r="L5" s="14" t="e">
        <f t="shared" si="1"/>
        <v>#VALUE!</v>
      </c>
      <c r="M5" s="15" t="str">
        <f>IF(H5="","",IF(H5&lt;50,VLOOKUP(C5,[1]운반비기준!$A$2:$D$3036,3,FALSE)))</f>
        <v/>
      </c>
      <c r="N5" s="15" t="str">
        <f>IF(H5="","",IF(H5&gt;51,VLOOKUP(C5,[1]운반비기준!$A$2:$D$3036,4,FALSE)))</f>
        <v/>
      </c>
      <c r="O5" s="16" t="str">
        <f t="shared" si="2"/>
        <v/>
      </c>
      <c r="Q5" s="16" t="str">
        <f t="shared" si="3"/>
        <v/>
      </c>
      <c r="R5" s="7" t="str">
        <f>IF(E5="","",VLOOKUP(E5,[1]DATA!$A$2:$AG$2452,10,FALSE))</f>
        <v>가화텍</v>
      </c>
      <c r="S5" s="7" t="str">
        <f>IF(E5="","",VLOOKUP(E5,[1]DATA!$A$2:$AG$2452,2,FALSE))</f>
        <v>SET</v>
      </c>
    </row>
    <row r="6" spans="1:19" x14ac:dyDescent="0.3">
      <c r="A6" s="5">
        <f t="shared" si="5"/>
        <v>5</v>
      </c>
      <c r="B6" s="6">
        <f t="shared" si="4"/>
        <v>46128</v>
      </c>
      <c r="C6" s="7" t="s">
        <v>23</v>
      </c>
      <c r="D6" s="8" t="s">
        <v>24</v>
      </c>
      <c r="E6" s="9" t="s">
        <v>28</v>
      </c>
      <c r="F6" s="10">
        <v>100</v>
      </c>
      <c r="G6" s="10"/>
      <c r="H6" s="11"/>
      <c r="I6" s="7">
        <f>IF(E6="","",VLOOKUP(E6,[1]DATA!$A$2:$AG$2452,5,FALSE))</f>
        <v>1055</v>
      </c>
      <c r="J6" s="12">
        <f t="shared" si="0"/>
        <v>0</v>
      </c>
      <c r="K6" s="13" t="e">
        <f>IF(E6="","",SUMIFS([2]단가!$E:$E,[2]단가!$A:$A,출하일보전송용260416!$C6,[2]단가!$B:$B,출하일보전송용260416!$E6))</f>
        <v>#VALUE!</v>
      </c>
      <c r="L6" s="14" t="e">
        <f t="shared" si="1"/>
        <v>#VALUE!</v>
      </c>
      <c r="M6" s="15" t="str">
        <f>IF(H6="","",IF(H6&lt;50,VLOOKUP(C6,[1]운반비기준!$A$2:$D$3036,3,FALSE)))</f>
        <v/>
      </c>
      <c r="N6" s="15" t="str">
        <f>IF(H6="","",IF(H6&gt;51,VLOOKUP(C6,[1]운반비기준!$A$2:$D$3036,4,FALSE)))</f>
        <v/>
      </c>
      <c r="O6" s="16" t="str">
        <f t="shared" si="2"/>
        <v/>
      </c>
      <c r="Q6" s="16" t="str">
        <f t="shared" si="3"/>
        <v/>
      </c>
      <c r="R6" s="7" t="str">
        <f>IF(E6="","",VLOOKUP(E6,[1]DATA!$A$2:$AG$2452,10,FALSE))</f>
        <v>가화텍</v>
      </c>
      <c r="S6" s="7" t="str">
        <f>IF(E6="","",VLOOKUP(E6,[1]DATA!$A$2:$AG$2452,2,FALSE))</f>
        <v>SET</v>
      </c>
    </row>
    <row r="7" spans="1:19" x14ac:dyDescent="0.3">
      <c r="A7" s="5">
        <f t="shared" si="5"/>
        <v>6</v>
      </c>
      <c r="B7" s="6">
        <f t="shared" si="4"/>
        <v>46128</v>
      </c>
      <c r="C7" s="7" t="s">
        <v>23</v>
      </c>
      <c r="D7" s="8" t="s">
        <v>24</v>
      </c>
      <c r="E7" s="9" t="s">
        <v>29</v>
      </c>
      <c r="F7" s="10">
        <v>100</v>
      </c>
      <c r="G7" s="10"/>
      <c r="H7" s="11"/>
      <c r="I7" s="7">
        <f>IF(E7="","",VLOOKUP(E7,[1]DATA!$A$2:$AG$2452,5,FALSE))</f>
        <v>1840</v>
      </c>
      <c r="J7" s="12">
        <f t="shared" si="0"/>
        <v>0</v>
      </c>
      <c r="K7" s="13" t="e">
        <f>IF(E7="","",SUMIFS([2]단가!$E:$E,[2]단가!$A:$A,출하일보전송용260416!$C7,[2]단가!$B:$B,출하일보전송용260416!$E7))</f>
        <v>#VALUE!</v>
      </c>
      <c r="L7" s="14" t="e">
        <f t="shared" si="1"/>
        <v>#VALUE!</v>
      </c>
      <c r="M7" s="15" t="str">
        <f>IF(H7="","",IF(H7&lt;50,VLOOKUP(C7,[1]운반비기준!$A$2:$D$3036,3,FALSE)))</f>
        <v/>
      </c>
      <c r="N7" s="15" t="str">
        <f>IF(H7="","",IF(H7&gt;51,VLOOKUP(C7,[1]운반비기준!$A$2:$D$3036,4,FALSE)))</f>
        <v/>
      </c>
      <c r="O7" s="16" t="str">
        <f t="shared" si="2"/>
        <v/>
      </c>
      <c r="Q7" s="16" t="str">
        <f t="shared" si="3"/>
        <v/>
      </c>
      <c r="R7" s="7" t="str">
        <f>IF(E7="","",VLOOKUP(E7,[1]DATA!$A$2:$AG$2452,10,FALSE))</f>
        <v>가화텍</v>
      </c>
      <c r="S7" s="7" t="str">
        <f>IF(E7="","",VLOOKUP(E7,[1]DATA!$A$2:$AG$2452,2,FALSE))</f>
        <v>SET</v>
      </c>
    </row>
    <row r="8" spans="1:19" x14ac:dyDescent="0.3">
      <c r="A8" s="5">
        <f t="shared" si="5"/>
        <v>7</v>
      </c>
      <c r="B8" s="6">
        <f t="shared" si="4"/>
        <v>46128</v>
      </c>
      <c r="C8" s="7" t="s">
        <v>23</v>
      </c>
      <c r="D8" s="8" t="s">
        <v>24</v>
      </c>
      <c r="E8" s="9" t="s">
        <v>30</v>
      </c>
      <c r="F8" s="10">
        <v>150</v>
      </c>
      <c r="G8" s="10"/>
      <c r="H8" s="11"/>
      <c r="I8" s="7">
        <f>IF(E8="","",VLOOKUP(E8,[1]DATA!$A$2:$AG$2452,5,FALSE))</f>
        <v>625</v>
      </c>
      <c r="J8" s="12">
        <f t="shared" si="0"/>
        <v>0</v>
      </c>
      <c r="K8" s="13" t="e">
        <f>IF(E8="","",SUMIFS([2]단가!$E:$E,[2]단가!$A:$A,출하일보전송용260416!$C8,[2]단가!$B:$B,출하일보전송용260416!$E8))</f>
        <v>#VALUE!</v>
      </c>
      <c r="L8" s="14" t="e">
        <f t="shared" si="1"/>
        <v>#VALUE!</v>
      </c>
      <c r="M8" s="15" t="str">
        <f>IF(H8="","",IF(H8&lt;50,VLOOKUP(C8,[1]운반비기준!$A$2:$D$3036,3,FALSE)))</f>
        <v/>
      </c>
      <c r="N8" s="15" t="str">
        <f>IF(H8="","",IF(H8&gt;51,VLOOKUP(C8,[1]운반비기준!$A$2:$D$3036,4,FALSE)))</f>
        <v/>
      </c>
      <c r="O8" s="16" t="str">
        <f t="shared" si="2"/>
        <v/>
      </c>
      <c r="Q8" s="16" t="str">
        <f t="shared" si="3"/>
        <v/>
      </c>
      <c r="R8" s="7" t="str">
        <f>IF(E8="","",VLOOKUP(E8,[1]DATA!$A$2:$AG$2452,10,FALSE))</f>
        <v>가화텍</v>
      </c>
      <c r="S8" s="7" t="str">
        <f>IF(E8="","",VLOOKUP(E8,[1]DATA!$A$2:$AG$2452,2,FALSE))</f>
        <v>SET</v>
      </c>
    </row>
    <row r="9" spans="1:19" x14ac:dyDescent="0.3">
      <c r="A9" s="5">
        <f t="shared" si="5"/>
        <v>8</v>
      </c>
      <c r="B9" s="6">
        <f t="shared" si="4"/>
        <v>46128</v>
      </c>
      <c r="C9" s="7" t="s">
        <v>31</v>
      </c>
      <c r="D9" s="8" t="s">
        <v>32</v>
      </c>
      <c r="E9" s="9" t="s">
        <v>33</v>
      </c>
      <c r="F9" s="10">
        <v>1200</v>
      </c>
      <c r="G9" s="10"/>
      <c r="H9" s="11" t="s">
        <v>26</v>
      </c>
      <c r="I9" s="7">
        <f>IF(E9="","",VLOOKUP(E9,[1]DATA!$A$2:$AG$2452,5,FALSE))</f>
        <v>210</v>
      </c>
      <c r="J9" s="12">
        <f t="shared" si="0"/>
        <v>0</v>
      </c>
      <c r="K9" s="13" t="e">
        <f>IF(E9="","",SUMIFS([2]단가!$E:$E,[2]단가!$A:$A,출하일보전송용260416!$C9,[2]단가!$B:$B,출하일보전송용260416!$E9))</f>
        <v>#VALUE!</v>
      </c>
      <c r="L9" s="14" t="e">
        <f t="shared" si="1"/>
        <v>#VALUE!</v>
      </c>
      <c r="M9" s="15" t="b">
        <f>IF(H9="","",IF(H9&lt;50,VLOOKUP(C9,[1]운반비기준!$A$2:$D$3036,3,FALSE)))</f>
        <v>0</v>
      </c>
      <c r="N9" s="15">
        <v>220000</v>
      </c>
      <c r="O9" s="16">
        <f t="shared" si="2"/>
        <v>220000</v>
      </c>
      <c r="Q9" s="16">
        <f t="shared" si="3"/>
        <v>220000</v>
      </c>
      <c r="R9" s="7" t="str">
        <f>IF(E9="","",VLOOKUP(E9,[1]DATA!$A$2:$AG$2452,10,FALSE))</f>
        <v>삼일이노팩</v>
      </c>
      <c r="S9" s="7" t="str">
        <f>IF(E9="","",VLOOKUP(E9,[1]DATA!$A$2:$AG$2452,2,FALSE))</f>
        <v>BOX</v>
      </c>
    </row>
    <row r="10" spans="1:19" x14ac:dyDescent="0.3">
      <c r="A10" s="5">
        <f t="shared" si="5"/>
        <v>9</v>
      </c>
      <c r="B10" s="6">
        <f t="shared" si="4"/>
        <v>46128</v>
      </c>
      <c r="C10" s="7" t="s">
        <v>34</v>
      </c>
      <c r="D10" s="8" t="s">
        <v>35</v>
      </c>
      <c r="E10" s="9" t="s">
        <v>36</v>
      </c>
      <c r="F10" s="10">
        <v>1350</v>
      </c>
      <c r="G10" s="10"/>
      <c r="H10" s="11">
        <v>501</v>
      </c>
      <c r="I10" s="7">
        <f>IF(E10="","",VLOOKUP(E10,[1]DATA!$A$2:$AG$2452,5,FALSE))</f>
        <v>89</v>
      </c>
      <c r="J10" s="12">
        <f t="shared" si="0"/>
        <v>0</v>
      </c>
      <c r="K10" s="13" t="e">
        <f>IF(E10="","",SUMIFS([2]단가!$E:$E,[2]단가!$A:$A,출하일보전송용260416!$C10,[2]단가!$B:$B,출하일보전송용260416!$E10))</f>
        <v>#VALUE!</v>
      </c>
      <c r="L10" s="14" t="e">
        <f t="shared" si="1"/>
        <v>#VALUE!</v>
      </c>
      <c r="M10" s="15" t="b">
        <f>IF(H10="","",IF(H10&lt;50,VLOOKUP(C10,[1]운반비기준!$A$2:$D$3036,3,FALSE)))</f>
        <v>0</v>
      </c>
      <c r="N10" s="15">
        <f>IF(H10="","",IF(H10&gt;51,VLOOKUP(C10,[1]운반비기준!$A$2:$D$3036,4,FALSE)))</f>
        <v>238000</v>
      </c>
      <c r="O10" s="16">
        <f t="shared" si="2"/>
        <v>238000</v>
      </c>
      <c r="Q10" s="16">
        <f t="shared" si="3"/>
        <v>238000</v>
      </c>
      <c r="R10" s="7" t="str">
        <f>IF(E10="","",VLOOKUP(E10,[1]DATA!$A$2:$AG$2452,10,FALSE))</f>
        <v>코웨이</v>
      </c>
      <c r="S10" s="7" t="str">
        <f>IF(E10="","",VLOOKUP(E10,[1]DATA!$A$2:$AG$2452,2,FALSE))</f>
        <v>SET</v>
      </c>
    </row>
    <row r="11" spans="1:19" x14ac:dyDescent="0.3">
      <c r="A11" s="5">
        <f t="shared" si="5"/>
        <v>10</v>
      </c>
      <c r="B11" s="6">
        <f t="shared" si="4"/>
        <v>46128</v>
      </c>
      <c r="C11" s="7" t="s">
        <v>37</v>
      </c>
      <c r="D11" s="8" t="s">
        <v>37</v>
      </c>
      <c r="E11" s="9" t="s">
        <v>38</v>
      </c>
      <c r="F11" s="10">
        <v>280</v>
      </c>
      <c r="G11" s="10"/>
      <c r="H11" s="11">
        <v>500</v>
      </c>
      <c r="I11" s="7">
        <f>IF(E11="","",VLOOKUP(E11,[1]DATA!$A$2:$AG$2452,5,FALSE))</f>
        <v>53</v>
      </c>
      <c r="J11" s="12">
        <f t="shared" si="0"/>
        <v>0</v>
      </c>
      <c r="K11" s="13" t="e">
        <f>IF(E11="","",SUMIFS([2]단가!$E:$E,[2]단가!$A:$A,출하일보전송용260416!$C11,[2]단가!$B:$B,출하일보전송용260416!$E11))</f>
        <v>#VALUE!</v>
      </c>
      <c r="L11" s="14" t="e">
        <f t="shared" si="1"/>
        <v>#VALUE!</v>
      </c>
      <c r="M11" s="15" t="b">
        <f>IF(H11="","",IF(H11&lt;50,VLOOKUP(C11,[1]운반비기준!$A$2:$D$3036,3,FALSE)))</f>
        <v>0</v>
      </c>
      <c r="N11" s="15">
        <f>IF(H11="","",IF(H11&gt;51,VLOOKUP(C11,[1]운반비기준!$A$2:$D$3036,4,FALSE)))</f>
        <v>249000</v>
      </c>
      <c r="O11" s="16">
        <f t="shared" si="2"/>
        <v>249000</v>
      </c>
      <c r="Q11" s="16">
        <f t="shared" si="3"/>
        <v>249000</v>
      </c>
      <c r="R11" s="7" t="str">
        <f>IF(E11="","",VLOOKUP(E11,[1]DATA!$A$2:$AG$2452,10,FALSE))</f>
        <v>삼일이노팩</v>
      </c>
      <c r="S11" s="7" t="str">
        <f>IF(E11="","",VLOOKUP(E11,[1]DATA!$A$2:$AG$2452,2,FALSE))</f>
        <v>BOX</v>
      </c>
    </row>
    <row r="12" spans="1:19" x14ac:dyDescent="0.3">
      <c r="A12" s="5">
        <f t="shared" si="5"/>
        <v>11</v>
      </c>
      <c r="B12" s="6">
        <f t="shared" si="4"/>
        <v>46128</v>
      </c>
      <c r="C12" s="7" t="s">
        <v>37</v>
      </c>
      <c r="D12" s="8" t="s">
        <v>37</v>
      </c>
      <c r="E12" s="9" t="s">
        <v>39</v>
      </c>
      <c r="F12" s="10">
        <v>2400</v>
      </c>
      <c r="G12" s="10"/>
      <c r="H12" s="11"/>
      <c r="I12" s="7">
        <f>IF(E12="","",VLOOKUP(E12,[1]DATA!$A$2:$AG$2452,5,FALSE))</f>
        <v>30</v>
      </c>
      <c r="J12" s="12">
        <f t="shared" si="0"/>
        <v>0</v>
      </c>
      <c r="K12" s="13" t="e">
        <f>IF(E12="","",SUMIFS([2]단가!$E:$E,[2]단가!$A:$A,출하일보전송용260416!$C12,[2]단가!$B:$B,출하일보전송용260416!$E12))</f>
        <v>#VALUE!</v>
      </c>
      <c r="L12" s="14" t="e">
        <f t="shared" si="1"/>
        <v>#VALUE!</v>
      </c>
      <c r="M12" s="15" t="str">
        <f>IF(H12="","",IF(H12&lt;50,VLOOKUP(C12,[1]운반비기준!$A$2:$D$3036,3,FALSE)))</f>
        <v/>
      </c>
      <c r="N12" s="15" t="str">
        <f>IF(H12="","",IF(H12&gt;51,VLOOKUP(C12,[1]운반비기준!$A$2:$D$3036,4,FALSE)))</f>
        <v/>
      </c>
      <c r="O12" s="16" t="str">
        <f t="shared" si="2"/>
        <v/>
      </c>
      <c r="Q12" s="16" t="str">
        <f t="shared" si="3"/>
        <v/>
      </c>
      <c r="R12" s="7" t="str">
        <f>IF(E12="","",VLOOKUP(E12,[1]DATA!$A$2:$AG$2452,10,FALSE))</f>
        <v>중부스치로폼</v>
      </c>
      <c r="S12" s="7" t="str">
        <f>IF(E12="","",VLOOKUP(E12,[1]DATA!$A$2:$AG$2452,2,FALSE))</f>
        <v>BOX</v>
      </c>
    </row>
    <row r="13" spans="1:19" x14ac:dyDescent="0.3">
      <c r="A13" s="5">
        <f t="shared" si="5"/>
        <v>12</v>
      </c>
      <c r="B13" s="6">
        <f t="shared" si="4"/>
        <v>46128</v>
      </c>
      <c r="C13" s="7" t="s">
        <v>37</v>
      </c>
      <c r="D13" s="8" t="s">
        <v>37</v>
      </c>
      <c r="E13" s="9" t="s">
        <v>40</v>
      </c>
      <c r="F13" s="10">
        <v>420</v>
      </c>
      <c r="G13" s="10"/>
      <c r="H13" s="11"/>
      <c r="I13" s="7">
        <f>IF(E13="","",VLOOKUP(E13,[1]DATA!$A$2:$AG$2452,5,FALSE))</f>
        <v>150</v>
      </c>
      <c r="J13" s="12">
        <f t="shared" si="0"/>
        <v>0</v>
      </c>
      <c r="K13" s="13" t="e">
        <f>IF(E13="","",SUMIFS([2]단가!$E:$E,[2]단가!$A:$A,출하일보전송용260416!$C13,[2]단가!$B:$B,출하일보전송용260416!$E13))</f>
        <v>#VALUE!</v>
      </c>
      <c r="L13" s="14" t="e">
        <f t="shared" si="1"/>
        <v>#VALUE!</v>
      </c>
      <c r="M13" s="15" t="str">
        <f>IF(H13="","",IF(H13&lt;50,VLOOKUP(C13,[1]운반비기준!$A$2:$D$3036,3,FALSE)))</f>
        <v/>
      </c>
      <c r="N13" s="15" t="str">
        <f>IF(H13="","",IF(H13&gt;51,VLOOKUP(C13,[1]운반비기준!$A$2:$D$3036,4,FALSE)))</f>
        <v/>
      </c>
      <c r="O13" s="16" t="str">
        <f t="shared" si="2"/>
        <v/>
      </c>
      <c r="Q13" s="16" t="str">
        <f t="shared" si="3"/>
        <v/>
      </c>
      <c r="R13" s="7" t="str">
        <f>IF(E13="","",VLOOKUP(E13,[1]DATA!$A$2:$AG$2452,10,FALSE))</f>
        <v>중부스치로폼</v>
      </c>
      <c r="S13" s="7" t="str">
        <f>IF(E13="","",VLOOKUP(E13,[1]DATA!$A$2:$AG$2452,2,FALSE))</f>
        <v>BOX</v>
      </c>
    </row>
    <row r="14" spans="1:19" x14ac:dyDescent="0.3">
      <c r="A14" s="5">
        <f t="shared" si="5"/>
        <v>13</v>
      </c>
      <c r="B14" s="6">
        <f t="shared" si="4"/>
        <v>46128</v>
      </c>
      <c r="C14" s="7" t="s">
        <v>37</v>
      </c>
      <c r="D14" s="8" t="s">
        <v>37</v>
      </c>
      <c r="E14" s="9" t="s">
        <v>41</v>
      </c>
      <c r="F14" s="10">
        <v>140</v>
      </c>
      <c r="G14" s="10"/>
      <c r="H14" s="11"/>
      <c r="I14" s="7">
        <f>IF(E14="","",VLOOKUP(E14,[1]DATA!$A$2:$AG$2452,5,FALSE))</f>
        <v>360</v>
      </c>
      <c r="J14" s="12">
        <f t="shared" si="0"/>
        <v>0</v>
      </c>
      <c r="K14" s="13" t="e">
        <f>IF(E14="","",SUMIFS([2]단가!$E:$E,[2]단가!$A:$A,출하일보전송용260416!$C14,[2]단가!$B:$B,출하일보전송용260416!$E14))</f>
        <v>#VALUE!</v>
      </c>
      <c r="L14" s="14" t="e">
        <f t="shared" si="1"/>
        <v>#VALUE!</v>
      </c>
      <c r="M14" s="15" t="str">
        <f>IF(H14="","",IF(H14&lt;50,VLOOKUP(C14,[1]운반비기준!$A$2:$D$3036,3,FALSE)))</f>
        <v/>
      </c>
      <c r="N14" s="15" t="str">
        <f>IF(H14="","",IF(H14&gt;51,VLOOKUP(C14,[1]운반비기준!$A$2:$D$3036,4,FALSE)))</f>
        <v/>
      </c>
      <c r="O14" s="16" t="str">
        <f t="shared" si="2"/>
        <v/>
      </c>
      <c r="Q14" s="16" t="str">
        <f t="shared" si="3"/>
        <v/>
      </c>
      <c r="R14" s="7" t="str">
        <f>IF(E14="","",VLOOKUP(E14,[1]DATA!$A$2:$AG$2452,10,FALSE))</f>
        <v>중부스치로폼</v>
      </c>
      <c r="S14" s="7" t="str">
        <f>IF(E14="","",VLOOKUP(E14,[1]DATA!$A$2:$AG$2452,2,FALSE))</f>
        <v>BOX</v>
      </c>
    </row>
    <row r="15" spans="1:19" x14ac:dyDescent="0.3">
      <c r="A15" s="5">
        <f t="shared" si="5"/>
        <v>14</v>
      </c>
      <c r="B15" s="6">
        <f t="shared" si="4"/>
        <v>46128</v>
      </c>
      <c r="C15" s="7" t="s">
        <v>42</v>
      </c>
      <c r="D15" s="8" t="s">
        <v>42</v>
      </c>
      <c r="E15" s="9" t="s">
        <v>43</v>
      </c>
      <c r="F15" s="10">
        <v>1200</v>
      </c>
      <c r="G15" s="10"/>
      <c r="H15" s="11">
        <v>528</v>
      </c>
      <c r="I15" s="7">
        <f>IF(E15="","",VLOOKUP(E15,[1]DATA!$A$2:$AG$2452,5,FALSE))</f>
        <v>190</v>
      </c>
      <c r="J15" s="12">
        <f t="shared" si="0"/>
        <v>0</v>
      </c>
      <c r="K15" s="13" t="e">
        <f>IF(E15="","",SUMIFS([2]단가!$E:$E,[2]단가!$A:$A,출하일보전송용260416!$C15,[2]단가!$B:$B,출하일보전송용260416!$E15))</f>
        <v>#VALUE!</v>
      </c>
      <c r="L15" s="14" t="e">
        <f t="shared" si="1"/>
        <v>#VALUE!</v>
      </c>
      <c r="M15" s="15" t="b">
        <f>IF(H15="","",IF(H15&lt;50,VLOOKUP(C15,[1]운반비기준!$A$2:$D$3036,3,FALSE)))</f>
        <v>0</v>
      </c>
      <c r="N15" s="15">
        <f>IF(H15="","",IF(H15&gt;51,VLOOKUP(C15,[1]운반비기준!$A$2:$D$3036,4,FALSE)))</f>
        <v>136000</v>
      </c>
      <c r="O15" s="16">
        <f t="shared" si="2"/>
        <v>136000</v>
      </c>
      <c r="Q15" s="16">
        <f t="shared" si="3"/>
        <v>136000</v>
      </c>
      <c r="R15" s="7" t="str">
        <f>IF(E15="","",VLOOKUP(E15,[1]DATA!$A$2:$AG$2452,10,FALSE))</f>
        <v>삼일이노팩</v>
      </c>
      <c r="S15" s="7" t="str">
        <f>IF(E15="","",VLOOKUP(E15,[1]DATA!$A$2:$AG$2452,2,FALSE))</f>
        <v>BOX</v>
      </c>
    </row>
    <row r="16" spans="1:19" x14ac:dyDescent="0.3">
      <c r="A16" s="5">
        <f t="shared" si="5"/>
        <v>15</v>
      </c>
      <c r="B16" s="6">
        <f t="shared" si="4"/>
        <v>46128</v>
      </c>
      <c r="C16" s="7" t="s">
        <v>44</v>
      </c>
      <c r="D16" s="8" t="s">
        <v>45</v>
      </c>
      <c r="E16" s="9" t="s">
        <v>46</v>
      </c>
      <c r="F16" s="10">
        <v>464</v>
      </c>
      <c r="G16" s="10"/>
      <c r="H16" s="11">
        <v>11</v>
      </c>
      <c r="I16" s="7">
        <f>IF(E16="","",VLOOKUP(E16,[1]DATA!$A$2:$AG$2452,5,FALSE))</f>
        <v>155</v>
      </c>
      <c r="J16" s="12">
        <f t="shared" si="0"/>
        <v>0</v>
      </c>
      <c r="K16" s="13" t="e">
        <f>IF(E16="","",SUMIFS([2]단가!$E:$E,[2]단가!$A:$A,출하일보전송용260416!$C16,[2]단가!$B:$B,출하일보전송용260416!$E16))</f>
        <v>#VALUE!</v>
      </c>
      <c r="L16" s="14" t="e">
        <f t="shared" si="1"/>
        <v>#VALUE!</v>
      </c>
      <c r="M16" s="15">
        <f>IF(H16="","",IF(H16&lt;50,VLOOKUP(C16,[1]운반비기준!$A$2:$D$3036,3,FALSE)))</f>
        <v>80000</v>
      </c>
      <c r="N16" s="15" t="b">
        <f>IF(H16="","",IF(H16&gt;51,VLOOKUP(C16,[1]운반비기준!$A$2:$D$3036,4,FALSE)))</f>
        <v>0</v>
      </c>
      <c r="O16" s="16">
        <f t="shared" si="2"/>
        <v>80000</v>
      </c>
      <c r="Q16" s="16">
        <f t="shared" si="3"/>
        <v>80000</v>
      </c>
      <c r="R16" s="7" t="str">
        <f>IF(E16="","",VLOOKUP(E16,[1]DATA!$A$2:$AG$2452,10,FALSE))</f>
        <v>캐논</v>
      </c>
      <c r="S16" s="7" t="str">
        <f>IF(E16="","",VLOOKUP(E16,[1]DATA!$A$2:$AG$2452,2,FALSE))</f>
        <v>SET</v>
      </c>
    </row>
    <row r="17" spans="1:19" x14ac:dyDescent="0.3">
      <c r="A17" s="5">
        <f t="shared" si="5"/>
        <v>16</v>
      </c>
      <c r="B17" s="6">
        <f t="shared" si="4"/>
        <v>46128</v>
      </c>
      <c r="C17" s="7" t="s">
        <v>47</v>
      </c>
      <c r="D17" s="8" t="s">
        <v>48</v>
      </c>
      <c r="E17" s="9" t="s">
        <v>49</v>
      </c>
      <c r="F17" s="10">
        <v>160</v>
      </c>
      <c r="G17" s="10"/>
      <c r="H17" s="11">
        <v>5</v>
      </c>
      <c r="I17" s="7">
        <f>IF(E17="","",VLOOKUP(E17,[1]DATA!$A$2:$AG$2452,5,FALSE))</f>
        <v>100</v>
      </c>
      <c r="J17" s="12">
        <f t="shared" si="0"/>
        <v>0</v>
      </c>
      <c r="K17" s="13" t="e">
        <f>IF(E17="","",SUMIFS([2]단가!$E:$E,[2]단가!$A:$A,출하일보전송용260416!$C17,[2]단가!$B:$B,출하일보전송용260416!$E17))</f>
        <v>#VALUE!</v>
      </c>
      <c r="L17" s="14" t="e">
        <f t="shared" si="1"/>
        <v>#VALUE!</v>
      </c>
      <c r="M17" s="15">
        <f>IF(H17="","",IF(H17&lt;50,VLOOKUP(C17,[1]운반비기준!$A$2:$D$3036,3,FALSE)))</f>
        <v>118000</v>
      </c>
      <c r="N17" s="15" t="b">
        <f>IF(H17="","",IF(H17&gt;51,VLOOKUP(C17,[1]운반비기준!$A$2:$D$3036,4,FALSE)))</f>
        <v>0</v>
      </c>
      <c r="O17" s="16">
        <f t="shared" si="2"/>
        <v>118000</v>
      </c>
      <c r="Q17" s="16">
        <f t="shared" si="3"/>
        <v>118000</v>
      </c>
      <c r="R17" s="7" t="str">
        <f>IF(E17="","",VLOOKUP(E17,[1]DATA!$A$2:$AG$2452,10,FALSE))</f>
        <v>삼일이노팩</v>
      </c>
      <c r="S17" s="7" t="str">
        <f>IF(E17="","",VLOOKUP(E17,[1]DATA!$A$2:$AG$2452,2,FALSE))</f>
        <v>BOX</v>
      </c>
    </row>
    <row r="18" spans="1:19" x14ac:dyDescent="0.3">
      <c r="A18" s="5">
        <f t="shared" si="5"/>
        <v>17</v>
      </c>
      <c r="B18" s="6">
        <f t="shared" si="4"/>
        <v>46128</v>
      </c>
      <c r="C18" s="7" t="s">
        <v>47</v>
      </c>
      <c r="D18" s="8" t="s">
        <v>48</v>
      </c>
      <c r="E18" s="9" t="s">
        <v>50</v>
      </c>
      <c r="F18" s="10">
        <v>240</v>
      </c>
      <c r="G18" s="10"/>
      <c r="H18" s="11"/>
      <c r="I18" s="7">
        <f>IF(E18="","",VLOOKUP(E18,[1]DATA!$A$2:$AG$2452,5,FALSE))</f>
        <v>87</v>
      </c>
      <c r="J18" s="12">
        <f t="shared" si="0"/>
        <v>0</v>
      </c>
      <c r="K18" s="13" t="e">
        <f>IF(E18="","",SUMIFS([2]단가!$E:$E,[2]단가!$A:$A,출하일보전송용260416!$C18,[2]단가!$B:$B,출하일보전송용260416!$E18))</f>
        <v>#VALUE!</v>
      </c>
      <c r="L18" s="14" t="e">
        <f t="shared" si="1"/>
        <v>#VALUE!</v>
      </c>
      <c r="M18" s="15" t="str">
        <f>IF(H18="","",IF(H18&lt;50,VLOOKUP(C18,[1]운반비기준!$A$2:$D$3036,3,FALSE)))</f>
        <v/>
      </c>
      <c r="N18" s="15" t="str">
        <f>IF(H18="","",IF(H18&gt;51,VLOOKUP(C18,[1]운반비기준!$A$2:$D$3036,4,FALSE)))</f>
        <v/>
      </c>
      <c r="O18" s="16" t="str">
        <f t="shared" si="2"/>
        <v/>
      </c>
      <c r="Q18" s="16" t="str">
        <f t="shared" si="3"/>
        <v/>
      </c>
      <c r="R18" s="7" t="str">
        <f>IF(E18="","",VLOOKUP(E18,[1]DATA!$A$2:$AG$2452,10,FALSE))</f>
        <v>삼일이노팩</v>
      </c>
      <c r="S18" s="7" t="str">
        <f>IF(E18="","",VLOOKUP(E18,[1]DATA!$A$2:$AG$2452,2,FALSE))</f>
        <v>BOX</v>
      </c>
    </row>
    <row r="19" spans="1:19" x14ac:dyDescent="0.3">
      <c r="A19" s="5">
        <f t="shared" si="5"/>
        <v>18</v>
      </c>
      <c r="B19" s="6">
        <f t="shared" si="4"/>
        <v>46128</v>
      </c>
      <c r="C19" s="7" t="s">
        <v>47</v>
      </c>
      <c r="D19" s="8" t="s">
        <v>48</v>
      </c>
      <c r="E19" s="9" t="s">
        <v>51</v>
      </c>
      <c r="F19" s="10">
        <v>40</v>
      </c>
      <c r="G19" s="10"/>
      <c r="H19" s="11"/>
      <c r="I19" s="7">
        <f>IF(E19="","",VLOOKUP(E19,[1]DATA!$A$2:$AG$2452,5,FALSE))</f>
        <v>140</v>
      </c>
      <c r="J19" s="12">
        <f t="shared" si="0"/>
        <v>0</v>
      </c>
      <c r="K19" s="13" t="e">
        <f>IF(E19="","",SUMIFS([2]단가!$E:$E,[2]단가!$A:$A,출하일보전송용260416!$C19,[2]단가!$B:$B,출하일보전송용260416!$E19))</f>
        <v>#VALUE!</v>
      </c>
      <c r="L19" s="14" t="e">
        <f t="shared" si="1"/>
        <v>#VALUE!</v>
      </c>
      <c r="M19" s="15" t="str">
        <f>IF(H19="","",IF(H19&lt;50,VLOOKUP(C19,[1]운반비기준!$A$2:$D$3036,3,FALSE)))</f>
        <v/>
      </c>
      <c r="N19" s="15" t="str">
        <f>IF(H19="","",IF(H19&gt;51,VLOOKUP(C19,[1]운반비기준!$A$2:$D$3036,4,FALSE)))</f>
        <v/>
      </c>
      <c r="O19" s="16" t="str">
        <f t="shared" si="2"/>
        <v/>
      </c>
      <c r="Q19" s="16" t="str">
        <f t="shared" si="3"/>
        <v/>
      </c>
      <c r="R19" s="7" t="str">
        <f>IF(E19="","",VLOOKUP(E19,[1]DATA!$A$2:$AG$2452,10,FALSE))</f>
        <v>삼일이노팩</v>
      </c>
      <c r="S19" s="7" t="str">
        <f>IF(E19="","",VLOOKUP(E19,[1]DATA!$A$2:$AG$2452,2,FALSE))</f>
        <v>BOX</v>
      </c>
    </row>
    <row r="20" spans="1:19" x14ac:dyDescent="0.3">
      <c r="A20" s="5">
        <f t="shared" si="5"/>
        <v>19</v>
      </c>
      <c r="B20" s="6">
        <f t="shared" si="4"/>
        <v>46128</v>
      </c>
      <c r="C20" s="7" t="s">
        <v>47</v>
      </c>
      <c r="D20" s="8" t="s">
        <v>48</v>
      </c>
      <c r="E20" s="9" t="s">
        <v>52</v>
      </c>
      <c r="F20" s="10">
        <v>30</v>
      </c>
      <c r="G20" s="10"/>
      <c r="H20" s="11"/>
      <c r="I20" s="7">
        <f>IF(E20="","",VLOOKUP(E20,[1]DATA!$A$2:$AG$2452,5,FALSE))</f>
        <v>130</v>
      </c>
      <c r="J20" s="12">
        <f t="shared" si="0"/>
        <v>0</v>
      </c>
      <c r="K20" s="13" t="e">
        <f>IF(E20="","",SUMIFS([2]단가!$E:$E,[2]단가!$A:$A,출하일보전송용260416!$C20,[2]단가!$B:$B,출하일보전송용260416!$E20))</f>
        <v>#VALUE!</v>
      </c>
      <c r="L20" s="14" t="e">
        <f t="shared" si="1"/>
        <v>#VALUE!</v>
      </c>
      <c r="M20" s="15" t="str">
        <f>IF(H20="","",IF(H20&lt;50,VLOOKUP(C20,[1]운반비기준!$A$2:$D$3036,3,FALSE)))</f>
        <v/>
      </c>
      <c r="N20" s="15" t="str">
        <f>IF(H20="","",IF(H20&gt;51,VLOOKUP(C20,[1]운반비기준!$A$2:$D$3036,4,FALSE)))</f>
        <v/>
      </c>
      <c r="O20" s="16" t="str">
        <f t="shared" si="2"/>
        <v/>
      </c>
      <c r="Q20" s="16" t="str">
        <f t="shared" si="3"/>
        <v/>
      </c>
      <c r="R20" s="7" t="str">
        <f>IF(E20="","",VLOOKUP(E20,[1]DATA!$A$2:$AG$2452,10,FALSE))</f>
        <v>중부스치로폼</v>
      </c>
      <c r="S20" s="7" t="str">
        <f>IF(E20="","",VLOOKUP(E20,[1]DATA!$A$2:$AG$2452,2,FALSE))</f>
        <v>BOX</v>
      </c>
    </row>
    <row r="21" spans="1:19" x14ac:dyDescent="0.3">
      <c r="A21" s="5">
        <f t="shared" si="5"/>
        <v>20</v>
      </c>
      <c r="B21" s="6">
        <f t="shared" si="4"/>
        <v>46128</v>
      </c>
      <c r="C21" s="7" t="s">
        <v>47</v>
      </c>
      <c r="D21" s="8" t="s">
        <v>48</v>
      </c>
      <c r="E21" s="9" t="s">
        <v>53</v>
      </c>
      <c r="F21" s="10">
        <v>20</v>
      </c>
      <c r="G21" s="10"/>
      <c r="H21" s="11"/>
      <c r="I21" s="7">
        <f>IF(E21="","",VLOOKUP(E21,[1]DATA!$A$2:$AG$2452,5,FALSE))</f>
        <v>280</v>
      </c>
      <c r="J21" s="12">
        <f t="shared" si="0"/>
        <v>0</v>
      </c>
      <c r="K21" s="13" t="e">
        <f>IF(E21="","",SUMIFS([2]단가!$E:$E,[2]단가!$A:$A,출하일보전송용260416!$C21,[2]단가!$B:$B,출하일보전송용260416!$E21))</f>
        <v>#VALUE!</v>
      </c>
      <c r="L21" s="14" t="e">
        <f t="shared" si="1"/>
        <v>#VALUE!</v>
      </c>
      <c r="M21" s="15" t="str">
        <f>IF(H21="","",IF(H21&lt;50,VLOOKUP(C21,[1]운반비기준!$A$2:$D$3036,3,FALSE)))</f>
        <v/>
      </c>
      <c r="N21" s="15" t="str">
        <f>IF(H21="","",IF(H21&gt;51,VLOOKUP(C21,[1]운반비기준!$A$2:$D$3036,4,FALSE)))</f>
        <v/>
      </c>
      <c r="O21" s="16" t="str">
        <f t="shared" si="2"/>
        <v/>
      </c>
      <c r="Q21" s="16" t="str">
        <f t="shared" si="3"/>
        <v/>
      </c>
      <c r="R21" s="7" t="str">
        <f>IF(E21="","",VLOOKUP(E21,[1]DATA!$A$2:$AG$2452,10,FALSE))</f>
        <v>삼일이노팩</v>
      </c>
      <c r="S21" s="7" t="str">
        <f>IF(E21="","",VLOOKUP(E21,[1]DATA!$A$2:$AG$2452,2,FALSE))</f>
        <v>BOX</v>
      </c>
    </row>
    <row r="22" spans="1:19" x14ac:dyDescent="0.3">
      <c r="A22" s="5">
        <f t="shared" si="5"/>
        <v>21</v>
      </c>
      <c r="B22" s="6">
        <f t="shared" si="4"/>
        <v>46128</v>
      </c>
      <c r="C22" s="7" t="s">
        <v>47</v>
      </c>
      <c r="D22" s="8" t="s">
        <v>48</v>
      </c>
      <c r="E22" s="9" t="s">
        <v>54</v>
      </c>
      <c r="F22" s="10">
        <v>128</v>
      </c>
      <c r="G22" s="10"/>
      <c r="H22" s="11"/>
      <c r="I22" s="7">
        <f>IF(E22="","",VLOOKUP(E22,[1]DATA!$A$2:$AG$2452,5,FALSE))</f>
        <v>156</v>
      </c>
      <c r="J22" s="12">
        <f t="shared" si="0"/>
        <v>0</v>
      </c>
      <c r="K22" s="13" t="e">
        <f>IF(E22="","",SUMIFS([2]단가!$E:$E,[2]단가!$A:$A,출하일보전송용260416!$C22,[2]단가!$B:$B,출하일보전송용260416!$E22))</f>
        <v>#VALUE!</v>
      </c>
      <c r="L22" s="14" t="e">
        <f t="shared" si="1"/>
        <v>#VALUE!</v>
      </c>
      <c r="M22" s="15" t="str">
        <f>IF(H22="","",IF(H22&lt;50,VLOOKUP(C22,[1]운반비기준!$A$2:$D$3036,3,FALSE)))</f>
        <v/>
      </c>
      <c r="N22" s="15" t="str">
        <f>IF(H22="","",IF(H22&gt;51,VLOOKUP(C22,[1]운반비기준!$A$2:$D$3036,4,FALSE)))</f>
        <v/>
      </c>
      <c r="O22" s="16" t="str">
        <f t="shared" si="2"/>
        <v/>
      </c>
      <c r="Q22" s="16" t="str">
        <f t="shared" si="3"/>
        <v/>
      </c>
      <c r="R22" s="7" t="str">
        <f>IF(E22="","",VLOOKUP(E22,[1]DATA!$A$2:$AG$2452,10,FALSE))</f>
        <v>중부스치로폼</v>
      </c>
      <c r="S22" s="7" t="str">
        <f>IF(E22="","",VLOOKUP(E22,[1]DATA!$A$2:$AG$2452,2,FALSE))</f>
        <v>BOX</v>
      </c>
    </row>
    <row r="23" spans="1:19" x14ac:dyDescent="0.3">
      <c r="A23" s="5">
        <f t="shared" si="5"/>
        <v>22</v>
      </c>
      <c r="B23" s="6">
        <f t="shared" si="4"/>
        <v>46128</v>
      </c>
      <c r="C23" s="7" t="s">
        <v>47</v>
      </c>
      <c r="D23" s="8" t="s">
        <v>48</v>
      </c>
      <c r="E23" s="9" t="s">
        <v>41</v>
      </c>
      <c r="F23" s="10">
        <v>12</v>
      </c>
      <c r="G23" s="10"/>
      <c r="H23" s="11"/>
      <c r="I23" s="7">
        <f>IF(E23="","",VLOOKUP(E23,[1]DATA!$A$2:$AG$2452,5,FALSE))</f>
        <v>360</v>
      </c>
      <c r="J23" s="12">
        <f t="shared" si="0"/>
        <v>0</v>
      </c>
      <c r="K23" s="13" t="e">
        <f>IF(E23="","",SUMIFS([2]단가!$E:$E,[2]단가!$A:$A,출하일보전송용260416!$C23,[2]단가!$B:$B,출하일보전송용260416!$E23))</f>
        <v>#VALUE!</v>
      </c>
      <c r="L23" s="14" t="e">
        <f t="shared" si="1"/>
        <v>#VALUE!</v>
      </c>
      <c r="M23" s="15" t="str">
        <f>IF(H23="","",IF(H23&lt;50,VLOOKUP(C23,[1]운반비기준!$A$2:$D$3036,3,FALSE)))</f>
        <v/>
      </c>
      <c r="N23" s="15" t="str">
        <f>IF(H23="","",IF(H23&gt;51,VLOOKUP(C23,[1]운반비기준!$A$2:$D$3036,4,FALSE)))</f>
        <v/>
      </c>
      <c r="O23" s="16" t="str">
        <f t="shared" si="2"/>
        <v/>
      </c>
      <c r="Q23" s="16" t="str">
        <f t="shared" si="3"/>
        <v/>
      </c>
      <c r="R23" s="7" t="str">
        <f>IF(E23="","",VLOOKUP(E23,[1]DATA!$A$2:$AG$2452,10,FALSE))</f>
        <v>중부스치로폼</v>
      </c>
      <c r="S23" s="7" t="str">
        <f>IF(E23="","",VLOOKUP(E23,[1]DATA!$A$2:$AG$2452,2,FALSE))</f>
        <v>BOX</v>
      </c>
    </row>
    <row r="24" spans="1:19" x14ac:dyDescent="0.3">
      <c r="A24" s="5">
        <f t="shared" si="5"/>
        <v>23</v>
      </c>
      <c r="B24" s="6">
        <f t="shared" si="4"/>
        <v>46128</v>
      </c>
      <c r="C24" s="7" t="s">
        <v>47</v>
      </c>
      <c r="D24" s="8" t="s">
        <v>48</v>
      </c>
      <c r="E24" s="9" t="s">
        <v>55</v>
      </c>
      <c r="F24" s="10">
        <v>50</v>
      </c>
      <c r="G24" s="10"/>
      <c r="H24" s="11"/>
      <c r="I24" s="7">
        <f>IF(E24="","",VLOOKUP(E24,[1]DATA!$A$2:$AG$2452,5,FALSE))</f>
        <v>122</v>
      </c>
      <c r="J24" s="12">
        <f t="shared" si="0"/>
        <v>0</v>
      </c>
      <c r="K24" s="13" t="e">
        <f>IF(E24="","",SUMIFS([2]단가!$E:$E,[2]단가!$A:$A,출하일보전송용260416!$C24,[2]단가!$B:$B,출하일보전송용260416!$E24))</f>
        <v>#VALUE!</v>
      </c>
      <c r="L24" s="14" t="e">
        <f t="shared" si="1"/>
        <v>#VALUE!</v>
      </c>
      <c r="M24" s="15" t="str">
        <f>IF(H24="","",IF(H24&lt;50,VLOOKUP(C24,[1]운반비기준!$A$2:$D$3036,3,FALSE)))</f>
        <v/>
      </c>
      <c r="N24" s="15" t="str">
        <f>IF(H24="","",IF(H24&gt;51,VLOOKUP(C24,[1]운반비기준!$A$2:$D$3036,4,FALSE)))</f>
        <v/>
      </c>
      <c r="O24" s="16" t="str">
        <f t="shared" si="2"/>
        <v/>
      </c>
      <c r="Q24" s="16" t="str">
        <f t="shared" si="3"/>
        <v/>
      </c>
      <c r="R24" s="7" t="str">
        <f>IF(E24="","",VLOOKUP(E24,[1]DATA!$A$2:$AG$2452,10,FALSE))</f>
        <v>삼일이노팩</v>
      </c>
      <c r="S24" s="7" t="str">
        <f>IF(E24="","",VLOOKUP(E24,[1]DATA!$A$2:$AG$2452,2,FALSE))</f>
        <v>BOX</v>
      </c>
    </row>
    <row r="25" spans="1:19" x14ac:dyDescent="0.3">
      <c r="A25" s="5">
        <f t="shared" si="5"/>
        <v>24</v>
      </c>
      <c r="B25" s="6">
        <f t="shared" si="4"/>
        <v>46128</v>
      </c>
      <c r="C25" s="7" t="s">
        <v>47</v>
      </c>
      <c r="D25" s="8" t="s">
        <v>48</v>
      </c>
      <c r="E25" s="9" t="s">
        <v>56</v>
      </c>
      <c r="F25" s="10">
        <v>32</v>
      </c>
      <c r="G25" s="10"/>
      <c r="H25" s="11"/>
      <c r="I25" s="7">
        <f>IF(E25="","",VLOOKUP(E25,[1]DATA!$A$2:$AG$2452,5,FALSE))</f>
        <v>196</v>
      </c>
      <c r="J25" s="12">
        <f t="shared" si="0"/>
        <v>0</v>
      </c>
      <c r="K25" s="13" t="e">
        <f>IF(E25="","",SUMIFS([2]단가!$E:$E,[2]단가!$A:$A,출하일보전송용260416!$C25,[2]단가!$B:$B,출하일보전송용260416!$E25))</f>
        <v>#VALUE!</v>
      </c>
      <c r="L25" s="14" t="e">
        <f t="shared" si="1"/>
        <v>#VALUE!</v>
      </c>
      <c r="M25" s="15" t="str">
        <f>IF(H25="","",IF(H25&lt;50,VLOOKUP(C25,[1]운반비기준!$A$2:$D$3036,3,FALSE)))</f>
        <v/>
      </c>
      <c r="N25" s="15" t="str">
        <f>IF(H25="","",IF(H25&gt;51,VLOOKUP(C25,[1]운반비기준!$A$2:$D$3036,4,FALSE)))</f>
        <v/>
      </c>
      <c r="O25" s="16" t="str">
        <f t="shared" si="2"/>
        <v/>
      </c>
      <c r="Q25" s="16" t="str">
        <f t="shared" si="3"/>
        <v/>
      </c>
      <c r="R25" s="7" t="str">
        <f>IF(E25="","",VLOOKUP(E25,[1]DATA!$A$2:$AG$2452,10,FALSE))</f>
        <v>삼일이노팩</v>
      </c>
      <c r="S25" s="7" t="str">
        <f>IF(E25="","",VLOOKUP(E25,[1]DATA!$A$2:$AG$2452,2,FALSE))</f>
        <v>BOX</v>
      </c>
    </row>
    <row r="26" spans="1:19" x14ac:dyDescent="0.3">
      <c r="A26" s="5">
        <f t="shared" si="5"/>
        <v>25</v>
      </c>
      <c r="B26" s="6">
        <f t="shared" si="4"/>
        <v>46128</v>
      </c>
      <c r="C26" s="7" t="s">
        <v>47</v>
      </c>
      <c r="D26" s="8" t="s">
        <v>48</v>
      </c>
      <c r="E26" s="9" t="s">
        <v>57</v>
      </c>
      <c r="F26" s="10">
        <v>260</v>
      </c>
      <c r="G26" s="10"/>
      <c r="H26" s="11"/>
      <c r="I26" s="7">
        <f>IF(E26="","",VLOOKUP(E26,[1]DATA!$A$2:$AG$2452,5,FALSE))</f>
        <v>79</v>
      </c>
      <c r="J26" s="12">
        <f t="shared" si="0"/>
        <v>0</v>
      </c>
      <c r="K26" s="13" t="e">
        <f>IF(E26="","",SUMIFS([2]단가!$E:$E,[2]단가!$A:$A,출하일보전송용260416!$C26,[2]단가!$B:$B,출하일보전송용260416!$E26))</f>
        <v>#VALUE!</v>
      </c>
      <c r="L26" s="14" t="e">
        <f t="shared" si="1"/>
        <v>#VALUE!</v>
      </c>
      <c r="M26" s="15" t="str">
        <f>IF(H26="","",IF(H26&lt;50,VLOOKUP(C26,[1]운반비기준!$A$2:$D$3036,3,FALSE)))</f>
        <v/>
      </c>
      <c r="N26" s="15" t="str">
        <f>IF(H26="","",IF(H26&gt;51,VLOOKUP(C26,[1]운반비기준!$A$2:$D$3036,4,FALSE)))</f>
        <v/>
      </c>
      <c r="O26" s="16" t="str">
        <f t="shared" si="2"/>
        <v/>
      </c>
      <c r="Q26" s="16" t="str">
        <f t="shared" si="3"/>
        <v/>
      </c>
      <c r="R26" s="7" t="str">
        <f>IF(E26="","",VLOOKUP(E26,[1]DATA!$A$2:$AG$2452,10,FALSE))</f>
        <v>삼일이노팩</v>
      </c>
      <c r="S26" s="7" t="str">
        <f>IF(E26="","",VLOOKUP(E26,[1]DATA!$A$2:$AG$2452,2,FALSE))</f>
        <v>BOX</v>
      </c>
    </row>
    <row r="27" spans="1:19" x14ac:dyDescent="0.3">
      <c r="A27" s="5">
        <f t="shared" si="5"/>
        <v>26</v>
      </c>
      <c r="B27" s="6">
        <f t="shared" si="4"/>
        <v>46128</v>
      </c>
      <c r="C27" s="7" t="s">
        <v>58</v>
      </c>
      <c r="D27" s="8" t="s">
        <v>59</v>
      </c>
      <c r="E27" s="9" t="s">
        <v>38</v>
      </c>
      <c r="F27" s="10">
        <v>2632</v>
      </c>
      <c r="G27" s="10"/>
      <c r="H27" s="11" t="s">
        <v>60</v>
      </c>
      <c r="I27" s="7">
        <f>IF(E27="","",VLOOKUP(E27,[1]DATA!$A$2:$AG$2452,5,FALSE))</f>
        <v>53</v>
      </c>
      <c r="J27" s="12">
        <f t="shared" si="0"/>
        <v>0</v>
      </c>
      <c r="K27" s="13" t="e">
        <f>IF(E27="","",SUMIFS([2]단가!$E:$E,[2]단가!$A:$A,출하일보전송용260416!$C27,[2]단가!$B:$B,출하일보전송용260416!$E27))</f>
        <v>#VALUE!</v>
      </c>
      <c r="L27" s="14" t="e">
        <f t="shared" si="1"/>
        <v>#VALUE!</v>
      </c>
      <c r="M27" s="15" t="b">
        <f>IF(H27="","",IF(H27&lt;50,VLOOKUP(C27,[1]운반비기준!$A$2:$D$3036,3,FALSE)))</f>
        <v>0</v>
      </c>
      <c r="N27" s="15">
        <v>120000</v>
      </c>
      <c r="O27" s="16">
        <f t="shared" si="2"/>
        <v>120000</v>
      </c>
      <c r="Q27" s="16">
        <f t="shared" si="3"/>
        <v>120000</v>
      </c>
      <c r="R27" s="7" t="str">
        <f>IF(E27="","",VLOOKUP(E27,[1]DATA!$A$2:$AG$2452,10,FALSE))</f>
        <v>삼일이노팩</v>
      </c>
      <c r="S27" s="7" t="str">
        <f>IF(E27="","",VLOOKUP(E27,[1]DATA!$A$2:$AG$2452,2,FALSE))</f>
        <v>BOX</v>
      </c>
    </row>
    <row r="28" spans="1:19" x14ac:dyDescent="0.3">
      <c r="A28" s="5">
        <f t="shared" si="5"/>
        <v>27</v>
      </c>
      <c r="B28" s="6">
        <f t="shared" si="4"/>
        <v>46128</v>
      </c>
      <c r="C28" s="7" t="s">
        <v>61</v>
      </c>
      <c r="D28" s="8" t="s">
        <v>62</v>
      </c>
      <c r="E28" s="9" t="s">
        <v>63</v>
      </c>
      <c r="F28" s="10">
        <v>800</v>
      </c>
      <c r="G28" s="10"/>
      <c r="H28" s="11">
        <v>500</v>
      </c>
      <c r="I28" s="7">
        <f>IF(E28="","",VLOOKUP(E28,[1]DATA!$A$2:$AG$2452,5,FALSE))</f>
        <v>160</v>
      </c>
      <c r="J28" s="12">
        <f t="shared" si="0"/>
        <v>0</v>
      </c>
      <c r="K28" s="13" t="e">
        <f>IF(E28="","",SUMIFS([2]단가!$E:$E,[2]단가!$A:$A,출하일보전송용260416!$C28,[2]단가!$B:$B,출하일보전송용260416!$E28))</f>
        <v>#VALUE!</v>
      </c>
      <c r="L28" s="14" t="e">
        <f t="shared" si="1"/>
        <v>#VALUE!</v>
      </c>
      <c r="M28" s="15" t="b">
        <f>IF(H28="","",IF(H28&lt;50,VLOOKUP(C28,[1]운반비기준!$A$2:$D$3036,3,FALSE)))</f>
        <v>0</v>
      </c>
      <c r="N28" s="15">
        <f>IF(H28="","",IF(H28&gt;51,VLOOKUP(C28,[1]운반비기준!$A$2:$D$3036,4,FALSE)))</f>
        <v>100000</v>
      </c>
      <c r="O28" s="16">
        <f t="shared" si="2"/>
        <v>100000</v>
      </c>
      <c r="Q28" s="16">
        <f t="shared" si="3"/>
        <v>100000</v>
      </c>
      <c r="R28" s="7" t="str">
        <f>IF(E28="","",VLOOKUP(E28,[1]DATA!$A$2:$AG$2452,10,FALSE))</f>
        <v>위닉스</v>
      </c>
      <c r="S28" s="7" t="str">
        <f>IF(E28="","",VLOOKUP(E28,[1]DATA!$A$2:$AG$2452,2,FALSE))</f>
        <v>SET</v>
      </c>
    </row>
    <row r="29" spans="1:19" x14ac:dyDescent="0.3">
      <c r="A29" s="5">
        <f t="shared" si="5"/>
        <v>28</v>
      </c>
      <c r="B29" s="6">
        <f t="shared" si="4"/>
        <v>46128</v>
      </c>
      <c r="C29" s="7" t="s">
        <v>61</v>
      </c>
      <c r="D29" s="8" t="s">
        <v>62</v>
      </c>
      <c r="E29" s="9" t="s">
        <v>63</v>
      </c>
      <c r="F29" s="10">
        <v>20</v>
      </c>
      <c r="G29" s="10"/>
      <c r="H29" s="11" t="s">
        <v>64</v>
      </c>
      <c r="I29" s="7">
        <f>IF(E29="","",VLOOKUP(E29,[1]DATA!$A$2:$AG$2452,5,FALSE))</f>
        <v>160</v>
      </c>
      <c r="J29" s="12">
        <f t="shared" si="0"/>
        <v>0</v>
      </c>
      <c r="K29" s="13"/>
      <c r="L29" s="14">
        <f t="shared" si="1"/>
        <v>0</v>
      </c>
      <c r="M29" s="15" t="b">
        <f>IF(H29="","",IF(H29&lt;50,VLOOKUP(C29,[1]운반비기준!$A$2:$D$3036,3,FALSE)))</f>
        <v>0</v>
      </c>
      <c r="N29" s="15">
        <f>IF(H29="","",IF(H29&gt;51,VLOOKUP(C29,[1]운반비기준!$A$2:$D$3036,4,FALSE)))</f>
        <v>100000</v>
      </c>
      <c r="O29" s="16"/>
      <c r="Q29" s="16">
        <f t="shared" si="3"/>
        <v>0</v>
      </c>
      <c r="R29" s="7" t="str">
        <f>IF(E29="","",VLOOKUP(E29,[1]DATA!$A$2:$AG$2452,10,FALSE))</f>
        <v>위닉스</v>
      </c>
      <c r="S29" s="7" t="str">
        <f>IF(E29="","",VLOOKUP(E29,[1]DATA!$A$2:$AG$2452,2,FALSE))</f>
        <v>SET</v>
      </c>
    </row>
    <row r="30" spans="1:19" x14ac:dyDescent="0.3">
      <c r="A30" s="5">
        <f t="shared" si="5"/>
        <v>29</v>
      </c>
      <c r="B30" s="6">
        <f t="shared" si="4"/>
        <v>46128</v>
      </c>
      <c r="C30" s="7" t="s">
        <v>61</v>
      </c>
      <c r="D30" s="8" t="s">
        <v>62</v>
      </c>
      <c r="E30" s="9" t="s">
        <v>65</v>
      </c>
      <c r="F30" s="10">
        <v>800</v>
      </c>
      <c r="G30" s="10"/>
      <c r="H30" s="11"/>
      <c r="I30" s="7">
        <f>IF(E30="","",VLOOKUP(E30,[1]DATA!$A$2:$AG$2452,5,FALSE))</f>
        <v>240</v>
      </c>
      <c r="J30" s="12">
        <f t="shared" si="0"/>
        <v>0</v>
      </c>
      <c r="K30" s="13" t="e">
        <f>IF(E30="","",SUMIFS([2]단가!$E:$E,[2]단가!$A:$A,출하일보전송용260416!$C30,[2]단가!$B:$B,출하일보전송용260416!$E30))</f>
        <v>#VALUE!</v>
      </c>
      <c r="L30" s="14" t="e">
        <f t="shared" si="1"/>
        <v>#VALUE!</v>
      </c>
      <c r="M30" s="15" t="str">
        <f>IF(H30="","",IF(H30&lt;50,VLOOKUP(C30,[1]운반비기준!$A$2:$D$3036,3,FALSE)))</f>
        <v/>
      </c>
      <c r="N30" s="15" t="str">
        <f>IF(H30="","",IF(H30&gt;51,VLOOKUP(C30,[1]운반비기준!$A$2:$D$3036,4,FALSE)))</f>
        <v/>
      </c>
      <c r="O30" s="16" t="str">
        <f t="shared" si="2"/>
        <v/>
      </c>
      <c r="Q30" s="16" t="str">
        <f t="shared" si="3"/>
        <v/>
      </c>
      <c r="R30" s="7" t="str">
        <f>IF(E30="","",VLOOKUP(E30,[1]DATA!$A$2:$AG$2452,10,FALSE))</f>
        <v>위닉스</v>
      </c>
      <c r="S30" s="7" t="str">
        <f>IF(E30="","",VLOOKUP(E30,[1]DATA!$A$2:$AG$2452,2,FALSE))</f>
        <v>SET</v>
      </c>
    </row>
    <row r="31" spans="1:19" x14ac:dyDescent="0.3">
      <c r="A31" s="5">
        <f t="shared" si="5"/>
        <v>30</v>
      </c>
      <c r="B31" s="6">
        <f t="shared" si="4"/>
        <v>46128</v>
      </c>
      <c r="C31" s="7" t="s">
        <v>61</v>
      </c>
      <c r="D31" s="8" t="s">
        <v>62</v>
      </c>
      <c r="E31" s="9" t="s">
        <v>65</v>
      </c>
      <c r="F31" s="10">
        <v>20</v>
      </c>
      <c r="G31" s="10"/>
      <c r="H31" s="11" t="s">
        <v>64</v>
      </c>
      <c r="I31" s="7">
        <f>IF(E31="","",VLOOKUP(E31,[1]DATA!$A$2:$AG$2452,5,FALSE))</f>
        <v>240</v>
      </c>
      <c r="J31" s="12">
        <f t="shared" si="0"/>
        <v>0</v>
      </c>
      <c r="K31" s="13"/>
      <c r="L31" s="14">
        <f t="shared" si="1"/>
        <v>0</v>
      </c>
      <c r="M31" s="15" t="b">
        <f>IF(H31="","",IF(H31&lt;50,VLOOKUP(C31,[1]운반비기준!$A$2:$D$3036,3,FALSE)))</f>
        <v>0</v>
      </c>
      <c r="N31" s="15">
        <f>IF(H31="","",IF(H31&gt;51,VLOOKUP(C31,[1]운반비기준!$A$2:$D$3036,4,FALSE)))</f>
        <v>100000</v>
      </c>
      <c r="O31" s="16"/>
      <c r="Q31" s="16">
        <f t="shared" si="3"/>
        <v>0</v>
      </c>
      <c r="R31" s="7" t="str">
        <f>IF(E31="","",VLOOKUP(E31,[1]DATA!$A$2:$AG$2452,10,FALSE))</f>
        <v>위닉스</v>
      </c>
      <c r="S31" s="7" t="str">
        <f>IF(E31="","",VLOOKUP(E31,[1]DATA!$A$2:$AG$2452,2,FALSE))</f>
        <v>SET</v>
      </c>
    </row>
    <row r="32" spans="1:19" x14ac:dyDescent="0.3">
      <c r="A32" s="5">
        <f t="shared" si="5"/>
        <v>31</v>
      </c>
      <c r="B32" s="6">
        <f t="shared" si="4"/>
        <v>46128</v>
      </c>
      <c r="C32" s="7" t="s">
        <v>66</v>
      </c>
      <c r="D32" s="8" t="s">
        <v>66</v>
      </c>
      <c r="E32" s="9" t="s">
        <v>67</v>
      </c>
      <c r="F32" s="10">
        <v>200</v>
      </c>
      <c r="G32" s="10"/>
      <c r="H32" s="11">
        <v>11</v>
      </c>
      <c r="I32" s="7">
        <f>IF(E32="","",VLOOKUP(E32,[1]DATA!$A$2:$AG$2452,5,FALSE))</f>
        <v>770</v>
      </c>
      <c r="J32" s="12">
        <f t="shared" si="0"/>
        <v>0</v>
      </c>
      <c r="K32" s="13" t="e">
        <f>IF(E32="","",SUMIFS([2]단가!$E:$E,[2]단가!$A:$A,출하일보전송용260416!$C32,[2]단가!$B:$B,출하일보전송용260416!$E32))</f>
        <v>#VALUE!</v>
      </c>
      <c r="L32" s="14" t="e">
        <f t="shared" si="1"/>
        <v>#VALUE!</v>
      </c>
      <c r="M32" s="15">
        <f>IF(H32="","",IF(H32&lt;50,VLOOKUP(C32,[1]운반비기준!$A$2:$D$3036,3,FALSE)))</f>
        <v>61000</v>
      </c>
      <c r="N32" s="15" t="b">
        <f>IF(H32="","",IF(H32&gt;51,VLOOKUP(C32,[1]운반비기준!$A$2:$D$3036,4,FALSE)))</f>
        <v>0</v>
      </c>
      <c r="O32" s="16">
        <f t="shared" si="2"/>
        <v>61000</v>
      </c>
      <c r="Q32" s="16">
        <f t="shared" si="3"/>
        <v>61000</v>
      </c>
      <c r="R32" s="7" t="str">
        <f>IF(E32="","",VLOOKUP(E32,[1]DATA!$A$2:$AG$2452,10,FALSE))</f>
        <v>에이텍</v>
      </c>
      <c r="S32" s="7" t="str">
        <f>IF(E32="","",VLOOKUP(E32,[1]DATA!$A$2:$AG$2452,2,FALSE))</f>
        <v>SET</v>
      </c>
    </row>
    <row r="33" spans="1:19" x14ac:dyDescent="0.3">
      <c r="A33" s="5">
        <f t="shared" si="5"/>
        <v>32</v>
      </c>
      <c r="B33" s="6">
        <f t="shared" si="4"/>
        <v>46128</v>
      </c>
      <c r="C33" s="7" t="s">
        <v>68</v>
      </c>
      <c r="D33" s="8" t="s">
        <v>68</v>
      </c>
      <c r="E33" s="9" t="s">
        <v>69</v>
      </c>
      <c r="F33" s="10">
        <v>70</v>
      </c>
      <c r="G33" s="10"/>
      <c r="H33" s="11">
        <v>5</v>
      </c>
      <c r="I33" s="7">
        <f>IF(E33="","",VLOOKUP(E33,[1]DATA!$A$2:$AG$2452,5,FALSE))</f>
        <v>95</v>
      </c>
      <c r="J33" s="12">
        <f t="shared" si="0"/>
        <v>0</v>
      </c>
      <c r="K33" s="13" t="e">
        <f>IF(E33="","",SUMIFS([2]단가!$E:$E,[2]단가!$A:$A,출하일보전송용260416!$C33,[2]단가!$B:$B,출하일보전송용260416!$E33))</f>
        <v>#VALUE!</v>
      </c>
      <c r="L33" s="14" t="e">
        <f t="shared" si="1"/>
        <v>#VALUE!</v>
      </c>
      <c r="M33" s="15">
        <f>IF(H33="","",IF(H33&lt;50,VLOOKUP(C33,[1]운반비기준!$A$2:$D$3036,3,FALSE)))</f>
        <v>46000</v>
      </c>
      <c r="N33" s="15" t="b">
        <f>IF(H33="","",IF(H33&gt;51,VLOOKUP(C33,[1]운반비기준!$A$2:$D$3036,4,FALSE)))</f>
        <v>0</v>
      </c>
      <c r="O33" s="16">
        <f t="shared" si="2"/>
        <v>46000</v>
      </c>
      <c r="Q33" s="16">
        <f t="shared" si="3"/>
        <v>46000</v>
      </c>
      <c r="R33" s="7" t="str">
        <f>IF(E33="","",VLOOKUP(E33,[1]DATA!$A$2:$AG$2452,10,FALSE))</f>
        <v>한화테크윈</v>
      </c>
      <c r="S33" s="7" t="str">
        <f>IF(E33="","",VLOOKUP(E33,[1]DATA!$A$2:$AG$2452,2,FALSE))</f>
        <v>SET</v>
      </c>
    </row>
    <row r="34" spans="1:19" x14ac:dyDescent="0.3">
      <c r="A34" s="5">
        <f t="shared" si="5"/>
        <v>33</v>
      </c>
      <c r="B34" s="6">
        <f t="shared" si="4"/>
        <v>46128</v>
      </c>
      <c r="C34" s="7" t="s">
        <v>68</v>
      </c>
      <c r="D34" s="8" t="s">
        <v>68</v>
      </c>
      <c r="E34" s="9" t="s">
        <v>70</v>
      </c>
      <c r="F34" s="10">
        <v>100</v>
      </c>
      <c r="G34" s="10"/>
      <c r="H34" s="11"/>
      <c r="I34" s="7">
        <f>IF(E34="","",VLOOKUP(E34,[1]DATA!$A$2:$AG$2452,5,FALSE))</f>
        <v>27</v>
      </c>
      <c r="J34" s="12">
        <f t="shared" si="0"/>
        <v>0</v>
      </c>
      <c r="K34" s="13" t="e">
        <f>IF(E34="","",SUMIFS([2]단가!$E:$E,[2]단가!$A:$A,출하일보전송용260416!$C34,[2]단가!$B:$B,출하일보전송용260416!$E34))</f>
        <v>#VALUE!</v>
      </c>
      <c r="L34" s="14" t="e">
        <f t="shared" si="1"/>
        <v>#VALUE!</v>
      </c>
      <c r="M34" s="15" t="str">
        <f>IF(H34="","",IF(H34&lt;50,VLOOKUP(C34,[1]운반비기준!$A$2:$D$3036,3,FALSE)))</f>
        <v/>
      </c>
      <c r="N34" s="15" t="str">
        <f>IF(H34="","",IF(H34&gt;51,VLOOKUP(C34,[1]운반비기준!$A$2:$D$3036,4,FALSE)))</f>
        <v/>
      </c>
      <c r="O34" s="16" t="str">
        <f t="shared" si="2"/>
        <v/>
      </c>
      <c r="Q34" s="16" t="str">
        <f t="shared" si="3"/>
        <v/>
      </c>
      <c r="R34" s="7" t="str">
        <f>IF(E34="","",VLOOKUP(E34,[1]DATA!$A$2:$AG$2452,10,FALSE))</f>
        <v>한화테크윈</v>
      </c>
      <c r="S34" s="7" t="str">
        <f>IF(E34="","",VLOOKUP(E34,[1]DATA!$A$2:$AG$2452,2,FALSE))</f>
        <v>SET</v>
      </c>
    </row>
    <row r="35" spans="1:19" x14ac:dyDescent="0.3">
      <c r="A35" s="5">
        <f t="shared" si="5"/>
        <v>34</v>
      </c>
      <c r="B35" s="6">
        <f t="shared" si="4"/>
        <v>46128</v>
      </c>
      <c r="C35" s="7" t="s">
        <v>68</v>
      </c>
      <c r="D35" s="8" t="s">
        <v>68</v>
      </c>
      <c r="E35" s="9" t="s">
        <v>71</v>
      </c>
      <c r="F35" s="10">
        <v>60</v>
      </c>
      <c r="G35" s="10"/>
      <c r="H35" s="11"/>
      <c r="I35" s="7">
        <f>IF(E35="","",VLOOKUP(E35,[1]DATA!$A$2:$AG$2452,5,FALSE))</f>
        <v>875</v>
      </c>
      <c r="J35" s="12">
        <f t="shared" si="0"/>
        <v>0</v>
      </c>
      <c r="K35" s="13" t="e">
        <f>IF(E35="","",SUMIFS([2]단가!$E:$E,[2]단가!$A:$A,출하일보전송용260416!$C35,[2]단가!$B:$B,출하일보전송용260416!$E35))</f>
        <v>#VALUE!</v>
      </c>
      <c r="L35" s="14" t="e">
        <f t="shared" si="1"/>
        <v>#VALUE!</v>
      </c>
      <c r="M35" s="15" t="str">
        <f>IF(H35="","",IF(H35&lt;50,VLOOKUP(C35,[1]운반비기준!$A$2:$D$3036,3,FALSE)))</f>
        <v/>
      </c>
      <c r="N35" s="15" t="str">
        <f>IF(H35="","",IF(H35&gt;51,VLOOKUP(C35,[1]운반비기준!$A$2:$D$3036,4,FALSE)))</f>
        <v/>
      </c>
      <c r="O35" s="16" t="str">
        <f t="shared" si="2"/>
        <v/>
      </c>
      <c r="Q35" s="16" t="str">
        <f t="shared" si="3"/>
        <v/>
      </c>
      <c r="R35" s="7" t="str">
        <f>IF(E35="","",VLOOKUP(E35,[1]DATA!$A$2:$AG$2452,10,FALSE))</f>
        <v>한화비전</v>
      </c>
      <c r="S35" s="7" t="str">
        <f>IF(E35="","",VLOOKUP(E35,[1]DATA!$A$2:$AG$2452,2,FALSE))</f>
        <v>SET</v>
      </c>
    </row>
    <row r="36" spans="1:19" x14ac:dyDescent="0.3">
      <c r="A36" s="5">
        <f t="shared" si="5"/>
        <v>35</v>
      </c>
      <c r="B36" s="6">
        <f t="shared" si="4"/>
        <v>46128</v>
      </c>
      <c r="C36" s="7" t="s">
        <v>72</v>
      </c>
      <c r="D36" s="8" t="s">
        <v>73</v>
      </c>
      <c r="E36" s="9" t="s">
        <v>74</v>
      </c>
      <c r="F36" s="10">
        <v>100</v>
      </c>
      <c r="G36" s="10"/>
      <c r="H36" s="11">
        <v>528</v>
      </c>
      <c r="I36" s="7">
        <f>IF(E36="","",VLOOKUP(E36,[1]DATA!$A$2:$AG$2452,5,FALSE))</f>
        <v>309</v>
      </c>
      <c r="J36" s="12">
        <f t="shared" si="0"/>
        <v>0</v>
      </c>
      <c r="K36" s="13" t="e">
        <f>IF(E36="","",SUMIFS([2]단가!$E:$E,[2]단가!$A:$A,출하일보전송용260416!$C36,[2]단가!$B:$B,출하일보전송용260416!$E36))</f>
        <v>#VALUE!</v>
      </c>
      <c r="L36" s="14" t="e">
        <f t="shared" si="1"/>
        <v>#VALUE!</v>
      </c>
      <c r="M36" s="15" t="b">
        <f>IF(H36="","",IF(H36&lt;50,VLOOKUP(C36,[1]운반비기준!$A$2:$D$3036,3,FALSE)))</f>
        <v>0</v>
      </c>
      <c r="N36" s="15">
        <f>IF(H36="","",IF(H36&gt;51,VLOOKUP(C36,[1]운반비기준!$A$2:$D$3036,4,FALSE)))</f>
        <v>73000</v>
      </c>
      <c r="O36" s="16">
        <f t="shared" si="2"/>
        <v>73000</v>
      </c>
      <c r="Q36" s="16">
        <f t="shared" si="3"/>
        <v>73000</v>
      </c>
      <c r="R36" s="7" t="str">
        <f>IF(E36="","",VLOOKUP(E36,[1]DATA!$A$2:$AG$2452,10,FALSE))</f>
        <v>SK매직</v>
      </c>
      <c r="S36" s="7" t="str">
        <f>IF(E36="","",VLOOKUP(E36,[1]DATA!$A$2:$AG$2452,2,FALSE))</f>
        <v>SET</v>
      </c>
    </row>
    <row r="37" spans="1:19" x14ac:dyDescent="0.3">
      <c r="A37" s="5">
        <f t="shared" si="5"/>
        <v>36</v>
      </c>
      <c r="B37" s="6">
        <f t="shared" si="4"/>
        <v>46128</v>
      </c>
      <c r="C37" s="7" t="s">
        <v>72</v>
      </c>
      <c r="D37" s="8" t="s">
        <v>73</v>
      </c>
      <c r="E37" s="9" t="s">
        <v>75</v>
      </c>
      <c r="F37" s="10">
        <v>100</v>
      </c>
      <c r="G37" s="10"/>
      <c r="H37" s="11"/>
      <c r="I37" s="7">
        <f>IF(E37="","",VLOOKUP(E37,[1]DATA!$A$2:$AG$2452,5,FALSE))</f>
        <v>120</v>
      </c>
      <c r="J37" s="12">
        <f t="shared" si="0"/>
        <v>0</v>
      </c>
      <c r="K37" s="13" t="e">
        <f>IF(E37="","",SUMIFS([2]단가!$E:$E,[2]단가!$A:$A,출하일보전송용260416!$C37,[2]단가!$B:$B,출하일보전송용260416!$E37))</f>
        <v>#VALUE!</v>
      </c>
      <c r="L37" s="14" t="e">
        <f t="shared" si="1"/>
        <v>#VALUE!</v>
      </c>
      <c r="M37" s="15" t="str">
        <f>IF(H37="","",IF(H37&lt;50,VLOOKUP(C37,[1]운반비기준!$A$2:$D$3036,3,FALSE)))</f>
        <v/>
      </c>
      <c r="N37" s="15" t="str">
        <f>IF(H37="","",IF(H37&gt;51,VLOOKUP(C37,[1]운반비기준!$A$2:$D$3036,4,FALSE)))</f>
        <v/>
      </c>
      <c r="O37" s="16" t="str">
        <f t="shared" si="2"/>
        <v/>
      </c>
      <c r="Q37" s="16" t="str">
        <f t="shared" si="3"/>
        <v/>
      </c>
      <c r="R37" s="7" t="str">
        <f>IF(E37="","",VLOOKUP(E37,[1]DATA!$A$2:$AG$2452,10,FALSE))</f>
        <v>SK매직</v>
      </c>
      <c r="S37" s="7" t="str">
        <f>IF(E37="","",VLOOKUP(E37,[1]DATA!$A$2:$AG$2452,2,FALSE))</f>
        <v>SET</v>
      </c>
    </row>
    <row r="38" spans="1:19" x14ac:dyDescent="0.3">
      <c r="A38" s="5">
        <f t="shared" si="5"/>
        <v>37</v>
      </c>
      <c r="B38" s="6">
        <f t="shared" si="4"/>
        <v>46128</v>
      </c>
      <c r="C38" s="7" t="s">
        <v>72</v>
      </c>
      <c r="D38" s="8" t="s">
        <v>73</v>
      </c>
      <c r="E38" s="9" t="s">
        <v>76</v>
      </c>
      <c r="F38" s="10">
        <v>1000</v>
      </c>
      <c r="G38" s="10"/>
      <c r="H38" s="11"/>
      <c r="I38" s="7">
        <f>IF(E38="","",VLOOKUP(E38,[1]DATA!$A$2:$AG$2452,5,FALSE))</f>
        <v>188</v>
      </c>
      <c r="J38" s="12">
        <f t="shared" si="0"/>
        <v>0</v>
      </c>
      <c r="K38" s="13" t="e">
        <f>IF(E38="","",SUMIFS([2]단가!$E:$E,[2]단가!$A:$A,출하일보전송용260416!$C38,[2]단가!$B:$B,출하일보전송용260416!$E38))</f>
        <v>#VALUE!</v>
      </c>
      <c r="L38" s="14" t="e">
        <f t="shared" si="1"/>
        <v>#VALUE!</v>
      </c>
      <c r="M38" s="15" t="str">
        <f>IF(H38="","",IF(H38&lt;50,VLOOKUP(C38,[1]운반비기준!$A$2:$D$3036,3,FALSE)))</f>
        <v/>
      </c>
      <c r="N38" s="15" t="str">
        <f>IF(H38="","",IF(H38&gt;51,VLOOKUP(C38,[1]운반비기준!$A$2:$D$3036,4,FALSE)))</f>
        <v/>
      </c>
      <c r="O38" s="16" t="str">
        <f t="shared" si="2"/>
        <v/>
      </c>
      <c r="Q38" s="16" t="str">
        <f t="shared" si="3"/>
        <v/>
      </c>
      <c r="R38" s="7" t="str">
        <f>IF(E38="","",VLOOKUP(E38,[1]DATA!$A$2:$AG$2452,10,FALSE))</f>
        <v>SK매직</v>
      </c>
      <c r="S38" s="7" t="str">
        <f>IF(E38="","",VLOOKUP(E38,[1]DATA!$A$2:$AG$2452,2,FALSE))</f>
        <v>SET</v>
      </c>
    </row>
    <row r="39" spans="1:19" x14ac:dyDescent="0.3">
      <c r="A39" s="5" t="str">
        <f t="shared" si="5"/>
        <v/>
      </c>
      <c r="B39" s="6" t="str">
        <f t="shared" si="4"/>
        <v/>
      </c>
      <c r="C39" s="7"/>
      <c r="D39" s="8"/>
      <c r="E39" s="9"/>
      <c r="F39" s="10"/>
      <c r="G39" s="10"/>
      <c r="H39" s="11"/>
      <c r="I39" s="7" t="str">
        <f>IF(E39="","",VLOOKUP(E39,[1]DATA!$A$2:$AG$2452,5,FALSE))</f>
        <v/>
      </c>
      <c r="J39" s="12" t="str">
        <f t="shared" si="0"/>
        <v/>
      </c>
      <c r="K39" s="13" t="str">
        <f>IF(E39="","",SUMIFS([2]단가!$E:$E,[2]단가!$A:$A,출하일보전송용260416!$C39,[2]단가!$B:$B,출하일보전송용260416!$E39))</f>
        <v/>
      </c>
      <c r="L39" s="14" t="str">
        <f t="shared" si="1"/>
        <v/>
      </c>
      <c r="M39" s="15" t="str">
        <f>IF(H39="","",IF(H39&lt;50,VLOOKUP(C39,[1]운반비기준!$A$2:$D$3036,3,FALSE)))</f>
        <v/>
      </c>
      <c r="N39" s="15" t="str">
        <f>IF(H39="","",IF(H39&gt;51,VLOOKUP(C39,[1]운반비기준!$A$2:$D$3036,4,FALSE)))</f>
        <v/>
      </c>
      <c r="O39" s="16" t="str">
        <f t="shared" si="2"/>
        <v/>
      </c>
      <c r="Q39" s="16" t="str">
        <f t="shared" si="3"/>
        <v/>
      </c>
      <c r="R39" s="7" t="str">
        <f>IF(E39="","",VLOOKUP(E39,[1]DATA!$A$2:$AG$2452,10,FALSE))</f>
        <v/>
      </c>
      <c r="S39" s="7" t="str">
        <f>IF(E39="","",VLOOKUP(E39,[1]DATA!$A$2:$AG$2452,2,FALSE))</f>
        <v/>
      </c>
    </row>
    <row r="40" spans="1:19" x14ac:dyDescent="0.3">
      <c r="A40" s="5" t="str">
        <f t="shared" si="5"/>
        <v/>
      </c>
      <c r="B40" s="6" t="str">
        <f t="shared" si="4"/>
        <v/>
      </c>
      <c r="C40" s="7"/>
      <c r="D40" s="8"/>
      <c r="E40" s="9"/>
      <c r="F40" s="10"/>
      <c r="G40" s="10"/>
      <c r="H40" s="11"/>
      <c r="I40" s="7" t="str">
        <f>IF(E40="","",VLOOKUP(E40,[1]DATA!$A$2:$AG$2452,5,FALSE))</f>
        <v/>
      </c>
      <c r="J40" s="12" t="str">
        <f t="shared" si="0"/>
        <v/>
      </c>
      <c r="K40" s="13" t="str">
        <f>IF(E40="","",SUMIFS([2]단가!$E:$E,[2]단가!$A:$A,출하일보전송용260416!$C40,[2]단가!$B:$B,출하일보전송용260416!$E40))</f>
        <v/>
      </c>
      <c r="L40" s="14" t="str">
        <f t="shared" si="1"/>
        <v/>
      </c>
      <c r="M40" s="15" t="str">
        <f>IF(H40="","",IF(H40&lt;50,VLOOKUP(C40,[1]운반비기준!$A$2:$D$3036,3,FALSE)))</f>
        <v/>
      </c>
      <c r="N40" s="15" t="str">
        <f>IF(H40="","",IF(H40&gt;51,VLOOKUP(C40,[1]운반비기준!$A$2:$D$3036,4,FALSE)))</f>
        <v/>
      </c>
      <c r="O40" s="16" t="str">
        <f t="shared" si="2"/>
        <v/>
      </c>
      <c r="Q40" s="16" t="str">
        <f t="shared" si="3"/>
        <v/>
      </c>
      <c r="R40" s="7" t="str">
        <f>IF(E40="","",VLOOKUP(E40,[1]DATA!$A$2:$AG$2452,10,FALSE))</f>
        <v/>
      </c>
      <c r="S40" s="7" t="str">
        <f>IF(E40="","",VLOOKUP(E40,[1]DATA!$A$2:$AG$2452,2,FALSE))</f>
        <v/>
      </c>
    </row>
    <row r="41" spans="1:19" x14ac:dyDescent="0.3">
      <c r="A41" s="5" t="str">
        <f t="shared" si="5"/>
        <v/>
      </c>
      <c r="B41" s="6" t="str">
        <f t="shared" si="4"/>
        <v/>
      </c>
      <c r="C41" s="7"/>
      <c r="D41" s="8"/>
      <c r="E41" s="9"/>
      <c r="F41" s="10"/>
      <c r="G41" s="10"/>
      <c r="H41" s="11"/>
      <c r="I41" s="7" t="str">
        <f>IF(E41="","",VLOOKUP(E41,[1]DATA!$A$2:$AG$2452,5,FALSE))</f>
        <v/>
      </c>
      <c r="J41" s="12" t="str">
        <f t="shared" si="0"/>
        <v/>
      </c>
      <c r="K41" s="13" t="str">
        <f>IF(E41="","",SUMIFS([2]단가!$E:$E,[2]단가!$A:$A,출하일보전송용260416!$C41,[2]단가!$B:$B,출하일보전송용260416!$E41))</f>
        <v/>
      </c>
      <c r="L41" s="14" t="str">
        <f t="shared" si="1"/>
        <v/>
      </c>
      <c r="M41" s="15" t="str">
        <f>IF(H41="","",IF(H41&lt;50,VLOOKUP(C41,[1]운반비기준!$A$2:$D$3036,3,FALSE)))</f>
        <v/>
      </c>
      <c r="N41" s="15" t="str">
        <f>IF(H41="","",IF(H41&gt;51,VLOOKUP(C41,[1]운반비기준!$A$2:$D$3036,4,FALSE)))</f>
        <v/>
      </c>
      <c r="O41" s="16" t="str">
        <f t="shared" si="2"/>
        <v/>
      </c>
      <c r="Q41" s="16" t="str">
        <f t="shared" si="3"/>
        <v/>
      </c>
      <c r="R41" s="7" t="str">
        <f>IF(E41="","",VLOOKUP(E41,[1]DATA!$A$2:$AG$2452,10,FALSE))</f>
        <v/>
      </c>
      <c r="S41" s="7" t="str">
        <f>IF(E41="","",VLOOKUP(E41,[1]DATA!$A$2:$AG$2452,2,FALSE))</f>
        <v/>
      </c>
    </row>
    <row r="42" spans="1:19" x14ac:dyDescent="0.3">
      <c r="A42" s="5" t="str">
        <f t="shared" si="5"/>
        <v/>
      </c>
      <c r="B42" s="6" t="str">
        <f t="shared" si="4"/>
        <v/>
      </c>
      <c r="C42" s="7"/>
      <c r="D42" s="8"/>
      <c r="E42" s="9"/>
      <c r="F42" s="10"/>
      <c r="G42" s="10"/>
      <c r="H42" s="11"/>
      <c r="I42" s="7" t="str">
        <f>IF(E42="","",VLOOKUP(E42,[1]DATA!$A$2:$AG$2452,5,FALSE))</f>
        <v/>
      </c>
      <c r="J42" s="12" t="str">
        <f t="shared" si="0"/>
        <v/>
      </c>
      <c r="K42" s="13" t="str">
        <f>IF(E42="","",SUMIFS([2]단가!$E:$E,[2]단가!$A:$A,출하일보전송용260416!$C42,[2]단가!$B:$B,출하일보전송용260416!$E42))</f>
        <v/>
      </c>
      <c r="L42" s="14" t="str">
        <f t="shared" si="1"/>
        <v/>
      </c>
      <c r="M42" s="15" t="str">
        <f>IF(H42="","",IF(H42&lt;50,VLOOKUP(C42,[1]운반비기준!$A$2:$D$3036,3,FALSE)))</f>
        <v/>
      </c>
      <c r="N42" s="15" t="str">
        <f>IF(H42="","",IF(H42&gt;51,VLOOKUP(C42,[1]운반비기준!$A$2:$D$3036,4,FALSE)))</f>
        <v/>
      </c>
      <c r="O42" s="16" t="str">
        <f t="shared" si="2"/>
        <v/>
      </c>
      <c r="Q42" s="16" t="str">
        <f t="shared" si="3"/>
        <v/>
      </c>
      <c r="R42" s="7" t="str">
        <f>IF(E42="","",VLOOKUP(E42,[1]DATA!$A$2:$AG$2452,10,FALSE))</f>
        <v/>
      </c>
      <c r="S42" s="7" t="str">
        <f>IF(E42="","",VLOOKUP(E42,[1]DATA!$A$2:$AG$2452,2,FALSE))</f>
        <v/>
      </c>
    </row>
    <row r="43" spans="1:19" x14ac:dyDescent="0.3">
      <c r="A43" s="5" t="str">
        <f t="shared" si="5"/>
        <v/>
      </c>
      <c r="B43" s="6" t="str">
        <f t="shared" si="4"/>
        <v/>
      </c>
      <c r="C43" s="7"/>
      <c r="D43" s="8"/>
      <c r="E43" s="9"/>
      <c r="F43" s="10"/>
      <c r="G43" s="10"/>
      <c r="H43" s="11"/>
      <c r="I43" s="7" t="str">
        <f>IF(E43="","",VLOOKUP(E43,[1]DATA!$A$2:$AG$2452,5,FALSE))</f>
        <v/>
      </c>
      <c r="J43" s="12" t="str">
        <f t="shared" si="0"/>
        <v/>
      </c>
      <c r="K43" s="13" t="str">
        <f>IF(E43="","",SUMIFS([2]단가!$E:$E,[2]단가!$A:$A,출하일보전송용260416!$C43,[2]단가!$B:$B,출하일보전송용260416!$E43))</f>
        <v/>
      </c>
      <c r="L43" s="14" t="str">
        <f t="shared" si="1"/>
        <v/>
      </c>
      <c r="M43" s="15" t="str">
        <f>IF(H43="","",IF(H43&lt;50,VLOOKUP(C43,[1]운반비기준!$A$2:$D$3036,3,FALSE)))</f>
        <v/>
      </c>
      <c r="N43" s="15" t="str">
        <f>IF(H43="","",IF(H43&gt;51,VLOOKUP(C43,[1]운반비기준!$A$2:$D$3036,4,FALSE)))</f>
        <v/>
      </c>
      <c r="O43" s="16" t="str">
        <f t="shared" si="2"/>
        <v/>
      </c>
      <c r="Q43" s="16" t="str">
        <f t="shared" si="3"/>
        <v/>
      </c>
      <c r="R43" s="7" t="str">
        <f>IF(E43="","",VLOOKUP(E43,[1]DATA!$A$2:$AG$2452,10,FALSE))</f>
        <v/>
      </c>
      <c r="S43" s="7" t="str">
        <f>IF(E43="","",VLOOKUP(E43,[1]DATA!$A$2:$AG$2452,2,FALSE))</f>
        <v/>
      </c>
    </row>
    <row r="44" spans="1:19" x14ac:dyDescent="0.3">
      <c r="A44" s="5" t="str">
        <f t="shared" si="5"/>
        <v/>
      </c>
      <c r="B44" s="6" t="str">
        <f t="shared" si="4"/>
        <v/>
      </c>
      <c r="C44" s="7"/>
      <c r="D44" s="8"/>
      <c r="E44" s="9"/>
      <c r="F44" s="10"/>
      <c r="G44" s="10"/>
      <c r="H44" s="11"/>
      <c r="I44" s="7" t="str">
        <f>IF(E44="","",VLOOKUP(E44,[1]DATA!$A$2:$AG$2452,5,FALSE))</f>
        <v/>
      </c>
      <c r="J44" s="12" t="str">
        <f t="shared" si="0"/>
        <v/>
      </c>
      <c r="K44" s="13" t="str">
        <f>IF(E44="","",SUMIFS([2]단가!$E:$E,[2]단가!$A:$A,출하일보전송용260416!$C44,[2]단가!$B:$B,출하일보전송용260416!$E44))</f>
        <v/>
      </c>
      <c r="L44" s="14" t="str">
        <f t="shared" si="1"/>
        <v/>
      </c>
      <c r="M44" s="15" t="str">
        <f>IF(H44="","",IF(H44&lt;50,VLOOKUP(C44,[1]운반비기준!$A$2:$D$3036,3,FALSE)))</f>
        <v/>
      </c>
      <c r="N44" s="15" t="str">
        <f>IF(H44="","",IF(H44&gt;51,VLOOKUP(C44,[1]운반비기준!$A$2:$D$3036,4,FALSE)))</f>
        <v/>
      </c>
      <c r="O44" s="16" t="str">
        <f t="shared" si="2"/>
        <v/>
      </c>
      <c r="Q44" s="16" t="str">
        <f t="shared" si="3"/>
        <v/>
      </c>
      <c r="R44" s="7" t="str">
        <f>IF(E44="","",VLOOKUP(E44,[1]DATA!$A$2:$AG$2452,10,FALSE))</f>
        <v/>
      </c>
      <c r="S44" s="7" t="str">
        <f>IF(E44="","",VLOOKUP(E44,[1]DATA!$A$2:$AG$2452,2,FALSE))</f>
        <v/>
      </c>
    </row>
    <row r="45" spans="1:19" x14ac:dyDescent="0.3">
      <c r="A45" s="5" t="str">
        <f t="shared" si="5"/>
        <v/>
      </c>
      <c r="B45" s="6" t="str">
        <f t="shared" si="4"/>
        <v/>
      </c>
      <c r="C45" s="7"/>
      <c r="D45" s="8"/>
      <c r="E45" s="9"/>
      <c r="F45" s="10"/>
      <c r="G45" s="10"/>
      <c r="H45" s="11"/>
      <c r="I45" s="7" t="str">
        <f>IF(E45="","",VLOOKUP(E45,[1]DATA!$A$2:$AG$2452,5,FALSE))</f>
        <v/>
      </c>
      <c r="J45" s="12" t="str">
        <f t="shared" si="0"/>
        <v/>
      </c>
      <c r="K45" s="13" t="str">
        <f>IF(E45="","",SUMIFS([2]단가!$E:$E,[2]단가!$A:$A,출하일보전송용260416!$C45,[2]단가!$B:$B,출하일보전송용260416!$E45))</f>
        <v/>
      </c>
      <c r="L45" s="14" t="str">
        <f t="shared" si="1"/>
        <v/>
      </c>
      <c r="M45" s="15" t="str">
        <f>IF(H45="","",IF(H45&lt;50,VLOOKUP(C45,[1]운반비기준!$A$2:$D$3036,3,FALSE)))</f>
        <v/>
      </c>
      <c r="N45" s="15" t="str">
        <f>IF(H45="","",IF(H45&gt;51,VLOOKUP(C45,[1]운반비기준!$A$2:$D$3036,4,FALSE)))</f>
        <v/>
      </c>
      <c r="O45" s="16" t="str">
        <f t="shared" si="2"/>
        <v/>
      </c>
      <c r="Q45" s="16" t="str">
        <f t="shared" si="3"/>
        <v/>
      </c>
      <c r="R45" s="7" t="str">
        <f>IF(E45="","",VLOOKUP(E45,[1]DATA!$A$2:$AG$2452,10,FALSE))</f>
        <v/>
      </c>
      <c r="S45" s="7" t="str">
        <f>IF(E45="","",VLOOKUP(E45,[1]DATA!$A$2:$AG$2452,2,FALSE))</f>
        <v/>
      </c>
    </row>
    <row r="46" spans="1:19" x14ac:dyDescent="0.3">
      <c r="A46" s="5" t="str">
        <f t="shared" si="5"/>
        <v/>
      </c>
      <c r="B46" s="6" t="str">
        <f t="shared" si="4"/>
        <v/>
      </c>
      <c r="C46" s="7"/>
      <c r="D46" s="8"/>
      <c r="E46" s="9"/>
      <c r="F46" s="10"/>
      <c r="G46" s="10"/>
      <c r="H46" s="11"/>
      <c r="I46" s="7" t="str">
        <f>IF(E46="","",VLOOKUP(E46,[1]DATA!$A$2:$AG$2452,5,FALSE))</f>
        <v/>
      </c>
      <c r="J46" s="12" t="str">
        <f t="shared" si="0"/>
        <v/>
      </c>
      <c r="K46" s="13" t="str">
        <f>IF(E46="","",SUMIFS([2]단가!$E:$E,[2]단가!$A:$A,출하일보전송용260416!$C46,[2]단가!$B:$B,출하일보전송용260416!$E46))</f>
        <v/>
      </c>
      <c r="L46" s="14" t="str">
        <f t="shared" si="1"/>
        <v/>
      </c>
      <c r="M46" s="15" t="str">
        <f>IF(H46="","",IF(H46&lt;50,VLOOKUP(C46,[1]운반비기준!$A$2:$D$3036,3,FALSE)))</f>
        <v/>
      </c>
      <c r="N46" s="15" t="str">
        <f>IF(H46="","",IF(H46&gt;51,VLOOKUP(C46,[1]운반비기준!$A$2:$D$3036,4,FALSE)))</f>
        <v/>
      </c>
      <c r="O46" s="16" t="str">
        <f t="shared" si="2"/>
        <v/>
      </c>
      <c r="Q46" s="16" t="str">
        <f t="shared" si="3"/>
        <v/>
      </c>
      <c r="R46" s="7" t="str">
        <f>IF(E46="","",VLOOKUP(E46,[1]DATA!$A$2:$AG$2452,10,FALSE))</f>
        <v/>
      </c>
      <c r="S46" s="7" t="str">
        <f>IF(E46="","",VLOOKUP(E46,[1]DATA!$A$2:$AG$2452,2,FALSE))</f>
        <v/>
      </c>
    </row>
    <row r="47" spans="1:19" x14ac:dyDescent="0.3">
      <c r="A47" s="5" t="str">
        <f t="shared" si="5"/>
        <v/>
      </c>
      <c r="B47" s="6" t="str">
        <f t="shared" si="4"/>
        <v/>
      </c>
      <c r="C47" s="7"/>
      <c r="D47" s="8"/>
      <c r="E47" s="9"/>
      <c r="F47" s="10"/>
      <c r="G47" s="10"/>
      <c r="H47" s="11"/>
      <c r="I47" s="7" t="str">
        <f>IF(E47="","",VLOOKUP(E47,[1]DATA!$A$2:$AG$2452,5,FALSE))</f>
        <v/>
      </c>
      <c r="J47" s="12" t="str">
        <f t="shared" si="0"/>
        <v/>
      </c>
      <c r="K47" s="13" t="str">
        <f>IF(E47="","",SUMIFS([2]단가!$E:$E,[2]단가!$A:$A,출하일보전송용260416!$C47,[2]단가!$B:$B,출하일보전송용260416!$E47))</f>
        <v/>
      </c>
      <c r="L47" s="14" t="str">
        <f t="shared" si="1"/>
        <v/>
      </c>
      <c r="M47" s="15" t="str">
        <f>IF(H47="","",IF(H47&lt;50,VLOOKUP(C47,[1]운반비기준!$A$2:$D$3036,3,FALSE)))</f>
        <v/>
      </c>
      <c r="N47" s="15" t="str">
        <f>IF(H47="","",IF(H47&gt;51,VLOOKUP(C47,[1]운반비기준!$A$2:$D$3036,4,FALSE)))</f>
        <v/>
      </c>
      <c r="O47" s="16" t="str">
        <f t="shared" si="2"/>
        <v/>
      </c>
      <c r="Q47" s="16" t="str">
        <f t="shared" si="3"/>
        <v/>
      </c>
      <c r="R47" s="7" t="str">
        <f>IF(E47="","",VLOOKUP(E47,[1]DATA!$A$2:$AG$2452,10,FALSE))</f>
        <v/>
      </c>
      <c r="S47" s="7" t="str">
        <f>IF(E47="","",VLOOKUP(E47,[1]DATA!$A$2:$AG$2452,2,FALSE))</f>
        <v/>
      </c>
    </row>
    <row r="48" spans="1:19" x14ac:dyDescent="0.3">
      <c r="A48" s="5" t="str">
        <f t="shared" si="5"/>
        <v/>
      </c>
      <c r="B48" s="6" t="str">
        <f t="shared" si="4"/>
        <v/>
      </c>
      <c r="C48" s="7"/>
      <c r="D48" s="8"/>
      <c r="E48" s="9"/>
      <c r="F48" s="10"/>
      <c r="G48" s="10"/>
      <c r="H48" s="11"/>
      <c r="I48" s="7" t="str">
        <f>IF(E48="","",VLOOKUP(E48,[1]DATA!$A$2:$AG$2452,5,FALSE))</f>
        <v/>
      </c>
      <c r="J48" s="12" t="str">
        <f t="shared" si="0"/>
        <v/>
      </c>
      <c r="K48" s="13" t="str">
        <f>IF(E48="","",SUMIFS([2]단가!$E:$E,[2]단가!$A:$A,출하일보전송용260416!$C48,[2]단가!$B:$B,출하일보전송용260416!$E48))</f>
        <v/>
      </c>
      <c r="L48" s="14" t="str">
        <f t="shared" si="1"/>
        <v/>
      </c>
      <c r="M48" s="15" t="str">
        <f>IF(H48="","",IF(H48&lt;50,VLOOKUP(C48,[1]운반비기준!$A$2:$D$3036,3,FALSE)))</f>
        <v/>
      </c>
      <c r="N48" s="15" t="str">
        <f>IF(H48="","",IF(H48&gt;51,VLOOKUP(C48,[1]운반비기준!$A$2:$D$3036,4,FALSE)))</f>
        <v/>
      </c>
      <c r="O48" s="16" t="str">
        <f t="shared" si="2"/>
        <v/>
      </c>
      <c r="Q48" s="16" t="str">
        <f t="shared" si="3"/>
        <v/>
      </c>
      <c r="R48" s="7" t="str">
        <f>IF(E48="","",VLOOKUP(E48,[1]DATA!$A$2:$AG$2452,10,FALSE))</f>
        <v/>
      </c>
      <c r="S48" s="7" t="str">
        <f>IF(E48="","",VLOOKUP(E48,[1]DATA!$A$2:$AG$2452,2,FALSE))</f>
        <v/>
      </c>
    </row>
    <row r="49" spans="1:19" x14ac:dyDescent="0.3">
      <c r="A49" s="5" t="str">
        <f t="shared" si="5"/>
        <v/>
      </c>
      <c r="B49" s="6" t="str">
        <f t="shared" si="4"/>
        <v/>
      </c>
      <c r="C49" s="7"/>
      <c r="D49" s="8"/>
      <c r="E49" s="9"/>
      <c r="F49" s="10"/>
      <c r="G49" s="10"/>
      <c r="H49" s="11"/>
      <c r="I49" s="7" t="str">
        <f>IF(E49="","",VLOOKUP(E49,[1]DATA!$A$2:$AG$2452,5,FALSE))</f>
        <v/>
      </c>
      <c r="J49" s="12" t="str">
        <f t="shared" si="0"/>
        <v/>
      </c>
      <c r="K49" s="13" t="str">
        <f>IF(E49="","",SUMIFS([2]단가!$E:$E,[2]단가!$A:$A,출하일보전송용260416!$C49,[2]단가!$B:$B,출하일보전송용260416!$E49))</f>
        <v/>
      </c>
      <c r="L49" s="14" t="str">
        <f t="shared" si="1"/>
        <v/>
      </c>
      <c r="M49" s="15" t="str">
        <f>IF(H49="","",IF(H49&lt;50,VLOOKUP(C49,[1]운반비기준!$A$2:$D$3036,3,FALSE)))</f>
        <v/>
      </c>
      <c r="N49" s="15" t="str">
        <f>IF(H49="","",IF(H49&gt;51,VLOOKUP(C49,[1]운반비기준!$A$2:$D$3036,4,FALSE)))</f>
        <v/>
      </c>
      <c r="O49" s="16" t="str">
        <f t="shared" si="2"/>
        <v/>
      </c>
      <c r="Q49" s="16" t="str">
        <f t="shared" si="3"/>
        <v/>
      </c>
      <c r="R49" s="7" t="str">
        <f>IF(E49="","",VLOOKUP(E49,[1]DATA!$A$2:$AG$2452,10,FALSE))</f>
        <v/>
      </c>
      <c r="S49" s="7" t="str">
        <f>IF(E49="","",VLOOKUP(E49,[1]DATA!$A$2:$AG$2452,2,FALSE))</f>
        <v/>
      </c>
    </row>
    <row r="50" spans="1:19" x14ac:dyDescent="0.3">
      <c r="A50" s="5" t="str">
        <f t="shared" si="5"/>
        <v/>
      </c>
      <c r="B50" s="6" t="str">
        <f t="shared" si="4"/>
        <v/>
      </c>
      <c r="C50" s="7"/>
      <c r="D50" s="8"/>
      <c r="E50" s="9"/>
      <c r="F50" s="10"/>
      <c r="G50" s="10"/>
      <c r="H50" s="11"/>
      <c r="I50" s="7" t="str">
        <f>IF(E50="","",VLOOKUP(E50,[1]DATA!$A$2:$AG$2452,5,FALSE))</f>
        <v/>
      </c>
      <c r="J50" s="12" t="str">
        <f t="shared" si="0"/>
        <v/>
      </c>
      <c r="K50" s="13" t="str">
        <f>IF(E50="","",SUMIFS([2]단가!$E:$E,[2]단가!$A:$A,출하일보전송용260416!$C50,[2]단가!$B:$B,출하일보전송용260416!$E50))</f>
        <v/>
      </c>
      <c r="L50" s="14" t="str">
        <f t="shared" si="1"/>
        <v/>
      </c>
      <c r="M50" s="15" t="str">
        <f>IF(H50="","",IF(H50&lt;50,VLOOKUP(C50,[1]운반비기준!$A$2:$D$3036,3,FALSE)))</f>
        <v/>
      </c>
      <c r="N50" s="15" t="str">
        <f>IF(H50="","",IF(H50&gt;51,VLOOKUP(C50,[1]운반비기준!$A$2:$D$3036,4,FALSE)))</f>
        <v/>
      </c>
      <c r="O50" s="16" t="str">
        <f t="shared" si="2"/>
        <v/>
      </c>
      <c r="Q50" s="16" t="str">
        <f t="shared" si="3"/>
        <v/>
      </c>
      <c r="R50" s="7" t="str">
        <f>IF(E50="","",VLOOKUP(E50,[1]DATA!$A$2:$AG$2452,10,FALSE))</f>
        <v/>
      </c>
      <c r="S50" s="7" t="str">
        <f>IF(E50="","",VLOOKUP(E50,[1]DATA!$A$2:$AG$2452,2,FALSE))</f>
        <v/>
      </c>
    </row>
    <row r="51" spans="1:19" x14ac:dyDescent="0.3">
      <c r="A51" s="5" t="str">
        <f t="shared" si="5"/>
        <v/>
      </c>
      <c r="B51" s="6" t="str">
        <f t="shared" si="4"/>
        <v/>
      </c>
      <c r="C51" s="7"/>
      <c r="D51" s="8"/>
      <c r="E51" s="9"/>
      <c r="F51" s="10"/>
      <c r="G51" s="10"/>
      <c r="H51" s="11"/>
      <c r="I51" s="7" t="str">
        <f>IF(E51="","",VLOOKUP(E51,[1]DATA!$A$2:$AG$2452,5,FALSE))</f>
        <v/>
      </c>
      <c r="J51" s="12" t="str">
        <f t="shared" si="0"/>
        <v/>
      </c>
      <c r="K51" s="13" t="str">
        <f>IF(E51="","",SUMIFS([2]단가!$E:$E,[2]단가!$A:$A,출하일보전송용260416!$C51,[2]단가!$B:$B,출하일보전송용260416!$E51))</f>
        <v/>
      </c>
      <c r="L51" s="14" t="str">
        <f t="shared" si="1"/>
        <v/>
      </c>
      <c r="M51" s="15" t="str">
        <f>IF(H51="","",IF(H51&lt;50,VLOOKUP(C51,[1]운반비기준!$A$2:$D$3036,3,FALSE)))</f>
        <v/>
      </c>
      <c r="N51" s="15" t="str">
        <f>IF(H51="","",IF(H51&gt;51,VLOOKUP(C51,[1]운반비기준!$A$2:$D$3036,4,FALSE)))</f>
        <v/>
      </c>
      <c r="O51" s="16" t="str">
        <f t="shared" si="2"/>
        <v/>
      </c>
      <c r="Q51" s="16" t="str">
        <f t="shared" si="3"/>
        <v/>
      </c>
      <c r="R51" s="7" t="str">
        <f>IF(E51="","",VLOOKUP(E51,[1]DATA!$A$2:$AG$2452,10,FALSE))</f>
        <v/>
      </c>
      <c r="S51" s="7" t="str">
        <f>IF(E51="","",VLOOKUP(E51,[1]DATA!$A$2:$AG$2452,2,FALSE))</f>
        <v/>
      </c>
    </row>
    <row r="52" spans="1:19" x14ac:dyDescent="0.3">
      <c r="A52" s="5" t="str">
        <f t="shared" si="5"/>
        <v/>
      </c>
      <c r="B52" s="6" t="str">
        <f t="shared" si="4"/>
        <v/>
      </c>
      <c r="C52" s="7"/>
      <c r="D52" s="8"/>
      <c r="E52" s="9"/>
      <c r="F52" s="10"/>
      <c r="G52" s="10"/>
      <c r="H52" s="11"/>
      <c r="I52" s="7" t="str">
        <f>IF(E52="","",VLOOKUP(E52,[1]DATA!$A$2:$AG$2452,5,FALSE))</f>
        <v/>
      </c>
      <c r="J52" s="12" t="str">
        <f t="shared" si="0"/>
        <v/>
      </c>
      <c r="K52" s="13" t="str">
        <f>IF(E52="","",SUMIFS([2]단가!$E:$E,[2]단가!$A:$A,출하일보전송용260416!$C52,[2]단가!$B:$B,출하일보전송용260416!$E52))</f>
        <v/>
      </c>
      <c r="L52" s="14" t="str">
        <f t="shared" si="1"/>
        <v/>
      </c>
      <c r="M52" s="15" t="str">
        <f>IF(H52="","",IF(H52&lt;50,VLOOKUP(C52,[1]운반비기준!$A$2:$D$3036,3,FALSE)))</f>
        <v/>
      </c>
      <c r="N52" s="15" t="str">
        <f>IF(H52="","",IF(H52&gt;51,VLOOKUP(C52,[1]운반비기준!$A$2:$D$3036,4,FALSE)))</f>
        <v/>
      </c>
      <c r="O52" s="16" t="str">
        <f t="shared" si="2"/>
        <v/>
      </c>
      <c r="Q52" s="16" t="str">
        <f t="shared" si="3"/>
        <v/>
      </c>
      <c r="R52" s="7" t="str">
        <f>IF(E52="","",VLOOKUP(E52,[1]DATA!$A$2:$AG$2452,10,FALSE))</f>
        <v/>
      </c>
      <c r="S52" s="7" t="str">
        <f>IF(E52="","",VLOOKUP(E52,[1]DATA!$A$2:$AG$2452,2,FALSE))</f>
        <v/>
      </c>
    </row>
    <row r="53" spans="1:19" x14ac:dyDescent="0.3">
      <c r="A53" s="5" t="str">
        <f t="shared" si="5"/>
        <v/>
      </c>
      <c r="B53" s="6" t="str">
        <f t="shared" si="4"/>
        <v/>
      </c>
      <c r="C53" s="7"/>
      <c r="D53" s="8"/>
      <c r="E53" s="9"/>
      <c r="F53" s="10"/>
      <c r="G53" s="10"/>
      <c r="H53" s="11"/>
      <c r="I53" s="7" t="str">
        <f>IF(E53="","",VLOOKUP(E53,[1]DATA!$A$2:$AG$2452,5,FALSE))</f>
        <v/>
      </c>
      <c r="J53" s="12" t="str">
        <f t="shared" si="0"/>
        <v/>
      </c>
      <c r="K53" s="13" t="str">
        <f>IF(E53="","",SUMIFS([2]단가!$E:$E,[2]단가!$A:$A,출하일보전송용260416!$C53,[2]단가!$B:$B,출하일보전송용260416!$E53))</f>
        <v/>
      </c>
      <c r="L53" s="14" t="str">
        <f t="shared" si="1"/>
        <v/>
      </c>
      <c r="M53" s="15" t="str">
        <f>IF(H53="","",IF(H53&lt;50,VLOOKUP(C53,[1]운반비기준!$A$2:$D$3036,3,FALSE)))</f>
        <v/>
      </c>
      <c r="N53" s="15" t="str">
        <f>IF(H53="","",IF(H53&gt;51,VLOOKUP(C53,[1]운반비기준!$A$2:$D$3036,4,FALSE)))</f>
        <v/>
      </c>
      <c r="O53" s="16" t="str">
        <f t="shared" si="2"/>
        <v/>
      </c>
      <c r="Q53" s="16" t="str">
        <f t="shared" si="3"/>
        <v/>
      </c>
      <c r="R53" s="7" t="str">
        <f>IF(E53="","",VLOOKUP(E53,[1]DATA!$A$2:$AG$2452,10,FALSE))</f>
        <v/>
      </c>
      <c r="S53" s="7" t="str">
        <f>IF(E53="","",VLOOKUP(E53,[1]DATA!$A$2:$AG$2452,2,FALSE))</f>
        <v/>
      </c>
    </row>
    <row r="54" spans="1:19" x14ac:dyDescent="0.3">
      <c r="A54" s="5" t="str">
        <f t="shared" si="5"/>
        <v/>
      </c>
      <c r="B54" s="6" t="str">
        <f t="shared" si="4"/>
        <v/>
      </c>
      <c r="C54" s="7"/>
      <c r="D54" s="8"/>
      <c r="E54" s="9"/>
      <c r="F54" s="10"/>
      <c r="G54" s="10"/>
      <c r="H54" s="11"/>
      <c r="I54" s="7" t="str">
        <f>IF(E54="","",VLOOKUP(E54,[1]DATA!$A$2:$AG$2452,5,FALSE))</f>
        <v/>
      </c>
      <c r="J54" s="12" t="str">
        <f t="shared" si="0"/>
        <v/>
      </c>
      <c r="K54" s="13" t="str">
        <f>IF(E54="","",SUMIFS([2]단가!$E:$E,[2]단가!$A:$A,출하일보전송용260416!$C54,[2]단가!$B:$B,출하일보전송용260416!$E54))</f>
        <v/>
      </c>
      <c r="L54" s="14" t="str">
        <f t="shared" si="1"/>
        <v/>
      </c>
      <c r="M54" s="15" t="str">
        <f>IF(H54="","",IF(H54&lt;50,VLOOKUP(C54,[1]운반비기준!$A$2:$D$3036,3,FALSE)))</f>
        <v/>
      </c>
      <c r="N54" s="15" t="str">
        <f>IF(H54="","",IF(H54&gt;51,VLOOKUP(C54,[1]운반비기준!$A$2:$D$3036,4,FALSE)))</f>
        <v/>
      </c>
      <c r="O54" s="16" t="str">
        <f t="shared" si="2"/>
        <v/>
      </c>
      <c r="Q54" s="16" t="str">
        <f t="shared" si="3"/>
        <v/>
      </c>
      <c r="R54" s="7" t="str">
        <f>IF(E54="","",VLOOKUP(E54,[1]DATA!$A$2:$AG$2452,10,FALSE))</f>
        <v/>
      </c>
      <c r="S54" s="7" t="str">
        <f>IF(E54="","",VLOOKUP(E54,[1]DATA!$A$2:$AG$2452,2,FALSE))</f>
        <v/>
      </c>
    </row>
    <row r="55" spans="1:19" x14ac:dyDescent="0.3">
      <c r="A55" s="5" t="str">
        <f t="shared" si="5"/>
        <v/>
      </c>
      <c r="B55" s="6" t="str">
        <f t="shared" si="4"/>
        <v/>
      </c>
      <c r="C55" s="7"/>
      <c r="D55" s="8"/>
      <c r="E55" s="9"/>
      <c r="F55" s="10"/>
      <c r="G55" s="10"/>
      <c r="H55" s="11"/>
      <c r="I55" s="7" t="str">
        <f>IF(E55="","",VLOOKUP(E55,[1]DATA!$A$2:$AG$2452,5,FALSE))</f>
        <v/>
      </c>
      <c r="J55" s="12" t="str">
        <f t="shared" si="0"/>
        <v/>
      </c>
      <c r="K55" s="13" t="str">
        <f>IF(E55="","",SUMIFS([2]단가!$E:$E,[2]단가!$A:$A,출하일보전송용260416!$C55,[2]단가!$B:$B,출하일보전송용260416!$E55))</f>
        <v/>
      </c>
      <c r="L55" s="14" t="str">
        <f t="shared" si="1"/>
        <v/>
      </c>
      <c r="M55" s="15" t="str">
        <f>IF(H55="","",IF(H55&lt;50,VLOOKUP(C55,[1]운반비기준!$A$2:$D$3036,3,FALSE)))</f>
        <v/>
      </c>
      <c r="N55" s="15" t="str">
        <f>IF(H55="","",IF(H55&gt;51,VLOOKUP(C55,[1]운반비기준!$A$2:$D$3036,4,FALSE)))</f>
        <v/>
      </c>
      <c r="O55" s="16" t="str">
        <f t="shared" si="2"/>
        <v/>
      </c>
      <c r="Q55" s="16" t="str">
        <f t="shared" si="3"/>
        <v/>
      </c>
      <c r="R55" s="7" t="str">
        <f>IF(E55="","",VLOOKUP(E55,[1]DATA!$A$2:$AG$2452,10,FALSE))</f>
        <v/>
      </c>
      <c r="S55" s="7" t="str">
        <f>IF(E55="","",VLOOKUP(E55,[1]DATA!$A$2:$AG$2452,2,FALSE))</f>
        <v/>
      </c>
    </row>
    <row r="56" spans="1:19" x14ac:dyDescent="0.3">
      <c r="A56" s="5" t="str">
        <f t="shared" si="5"/>
        <v/>
      </c>
      <c r="B56" s="6" t="str">
        <f t="shared" si="4"/>
        <v/>
      </c>
      <c r="C56" s="7"/>
      <c r="D56" s="8"/>
      <c r="E56" s="9"/>
      <c r="F56" s="10"/>
      <c r="G56" s="10"/>
      <c r="H56" s="11"/>
      <c r="I56" s="7" t="str">
        <f>IF(E56="","",VLOOKUP(E56,[1]DATA!$A$2:$AG$2452,5,FALSE))</f>
        <v/>
      </c>
      <c r="J56" s="12" t="str">
        <f t="shared" si="0"/>
        <v/>
      </c>
      <c r="K56" s="13" t="str">
        <f>IF(E56="","",SUMIFS([2]단가!$E:$E,[2]단가!$A:$A,출하일보전송용260416!$C56,[2]단가!$B:$B,출하일보전송용260416!$E56))</f>
        <v/>
      </c>
      <c r="L56" s="14" t="str">
        <f t="shared" si="1"/>
        <v/>
      </c>
      <c r="M56" s="15" t="str">
        <f>IF(H56="","",IF(H56&lt;50,VLOOKUP(C56,[1]운반비기준!$A$2:$D$3036,3,FALSE)))</f>
        <v/>
      </c>
      <c r="N56" s="15" t="str">
        <f>IF(H56="","",IF(H56&gt;51,VLOOKUP(C56,[1]운반비기준!$A$2:$D$3036,4,FALSE)))</f>
        <v/>
      </c>
      <c r="O56" s="16" t="str">
        <f t="shared" si="2"/>
        <v/>
      </c>
      <c r="Q56" s="16" t="str">
        <f t="shared" si="3"/>
        <v/>
      </c>
      <c r="R56" s="7" t="str">
        <f>IF(E56="","",VLOOKUP(E56,[1]DATA!$A$2:$AG$2452,10,FALSE))</f>
        <v/>
      </c>
      <c r="S56" s="7" t="str">
        <f>IF(E56="","",VLOOKUP(E56,[1]DATA!$A$2:$AG$2452,2,FALSE))</f>
        <v/>
      </c>
    </row>
    <row r="57" spans="1:19" x14ac:dyDescent="0.3">
      <c r="A57" s="5" t="str">
        <f t="shared" si="5"/>
        <v/>
      </c>
      <c r="B57" s="6" t="str">
        <f t="shared" si="4"/>
        <v/>
      </c>
      <c r="C57" s="7"/>
      <c r="D57" s="8"/>
      <c r="E57" s="9"/>
      <c r="F57" s="10"/>
      <c r="G57" s="10"/>
      <c r="H57" s="11"/>
      <c r="I57" s="7" t="str">
        <f>IF(E57="","",VLOOKUP(E57,[1]DATA!$A$2:$AG$2452,5,FALSE))</f>
        <v/>
      </c>
      <c r="J57" s="12" t="str">
        <f t="shared" si="0"/>
        <v/>
      </c>
      <c r="K57" s="13" t="str">
        <f>IF(E57="","",SUMIFS([2]단가!$E:$E,[2]단가!$A:$A,출하일보전송용260416!$C57,[2]단가!$B:$B,출하일보전송용260416!$E57))</f>
        <v/>
      </c>
      <c r="L57" s="14" t="str">
        <f t="shared" si="1"/>
        <v/>
      </c>
      <c r="M57" s="15" t="str">
        <f>IF(H57="","",IF(H57&lt;50,VLOOKUP(C57,[1]운반비기준!$A$2:$D$3036,3,FALSE)))</f>
        <v/>
      </c>
      <c r="N57" s="15" t="str">
        <f>IF(H57="","",IF(H57&gt;51,VLOOKUP(C57,[1]운반비기준!$A$2:$D$3036,4,FALSE)))</f>
        <v/>
      </c>
      <c r="O57" s="16" t="str">
        <f t="shared" si="2"/>
        <v/>
      </c>
      <c r="Q57" s="16" t="str">
        <f t="shared" si="3"/>
        <v/>
      </c>
      <c r="R57" s="7" t="str">
        <f>IF(E57="","",VLOOKUP(E57,[1]DATA!$A$2:$AG$2452,10,FALSE))</f>
        <v/>
      </c>
      <c r="S57" s="7" t="str">
        <f>IF(E57="","",VLOOKUP(E57,[1]DATA!$A$2:$AG$2452,2,FALSE))</f>
        <v/>
      </c>
    </row>
    <row r="58" spans="1:19" x14ac:dyDescent="0.3">
      <c r="A58" s="5" t="str">
        <f t="shared" si="5"/>
        <v/>
      </c>
      <c r="B58" s="6" t="str">
        <f t="shared" si="4"/>
        <v/>
      </c>
      <c r="C58" s="7"/>
      <c r="D58" s="8"/>
      <c r="E58" s="9"/>
      <c r="F58" s="10"/>
      <c r="G58" s="10"/>
      <c r="H58" s="11"/>
      <c r="I58" s="7" t="str">
        <f>IF(E58="","",VLOOKUP(E58,[1]DATA!$A$2:$AG$2452,5,FALSE))</f>
        <v/>
      </c>
      <c r="J58" s="12" t="str">
        <f t="shared" si="0"/>
        <v/>
      </c>
      <c r="K58" s="13" t="str">
        <f>IF(E58="","",SUMIFS([2]단가!$E:$E,[2]단가!$A:$A,출하일보전송용260416!$C58,[2]단가!$B:$B,출하일보전송용260416!$E58))</f>
        <v/>
      </c>
      <c r="L58" s="14" t="str">
        <f t="shared" si="1"/>
        <v/>
      </c>
      <c r="M58" s="15" t="str">
        <f>IF(H58="","",IF(H58&lt;50,VLOOKUP(C58,[1]운반비기준!$A$2:$D$3036,3,FALSE)))</f>
        <v/>
      </c>
      <c r="N58" s="15" t="str">
        <f>IF(H58="","",IF(H58&gt;51,VLOOKUP(C58,[1]운반비기준!$A$2:$D$3036,4,FALSE)))</f>
        <v/>
      </c>
      <c r="O58" s="16" t="str">
        <f t="shared" si="2"/>
        <v/>
      </c>
      <c r="Q58" s="16" t="str">
        <f t="shared" si="3"/>
        <v/>
      </c>
      <c r="R58" s="7" t="str">
        <f>IF(E58="","",VLOOKUP(E58,[1]DATA!$A$2:$AG$2452,10,FALSE))</f>
        <v/>
      </c>
      <c r="S58" s="7" t="str">
        <f>IF(E58="","",VLOOKUP(E58,[1]DATA!$A$2:$AG$2452,2,FALSE))</f>
        <v/>
      </c>
    </row>
    <row r="59" spans="1:19" x14ac:dyDescent="0.3">
      <c r="A59" s="5" t="str">
        <f t="shared" si="5"/>
        <v/>
      </c>
      <c r="B59" s="6" t="str">
        <f t="shared" si="4"/>
        <v/>
      </c>
      <c r="C59" s="7"/>
      <c r="D59" s="8"/>
      <c r="E59" s="9"/>
      <c r="F59" s="10"/>
      <c r="G59" s="10"/>
      <c r="H59" s="11"/>
      <c r="I59" s="7" t="str">
        <f>IF(E59="","",VLOOKUP(E59,[1]DATA!$A$2:$AG$2452,5,FALSE))</f>
        <v/>
      </c>
      <c r="J59" s="12" t="str">
        <f t="shared" si="0"/>
        <v/>
      </c>
      <c r="K59" s="13" t="str">
        <f>IF(E59="","",SUMIFS([2]단가!$E:$E,[2]단가!$A:$A,출하일보전송용260416!$C59,[2]단가!$B:$B,출하일보전송용260416!$E59))</f>
        <v/>
      </c>
      <c r="L59" s="14" t="str">
        <f t="shared" si="1"/>
        <v/>
      </c>
      <c r="M59" s="15" t="str">
        <f>IF(H59="","",IF(H59&lt;50,VLOOKUP(C59,[1]운반비기준!$A$2:$D$3036,3,FALSE)))</f>
        <v/>
      </c>
      <c r="N59" s="15" t="str">
        <f>IF(H59="","",IF(H59&gt;51,VLOOKUP(C59,[1]운반비기준!$A$2:$D$3036,4,FALSE)))</f>
        <v/>
      </c>
      <c r="O59" s="16" t="str">
        <f t="shared" si="2"/>
        <v/>
      </c>
      <c r="Q59" s="16" t="str">
        <f t="shared" si="3"/>
        <v/>
      </c>
      <c r="R59" s="7" t="str">
        <f>IF(E59="","",VLOOKUP(E59,[1]DATA!$A$2:$AG$2452,10,FALSE))</f>
        <v/>
      </c>
      <c r="S59" s="7" t="str">
        <f>IF(E59="","",VLOOKUP(E59,[1]DATA!$A$2:$AG$2452,2,FALSE))</f>
        <v/>
      </c>
    </row>
    <row r="60" spans="1:19" x14ac:dyDescent="0.3">
      <c r="A60" s="5" t="str">
        <f t="shared" si="5"/>
        <v/>
      </c>
      <c r="B60" s="6" t="str">
        <f t="shared" si="4"/>
        <v/>
      </c>
      <c r="C60" s="7"/>
      <c r="D60" s="8"/>
      <c r="E60" s="9"/>
      <c r="F60" s="10"/>
      <c r="G60" s="10"/>
      <c r="H60" s="11"/>
      <c r="I60" s="7" t="str">
        <f>IF(E60="","",VLOOKUP(E60,[1]DATA!$A$2:$AG$2452,5,FALSE))</f>
        <v/>
      </c>
      <c r="J60" s="12" t="str">
        <f t="shared" si="0"/>
        <v/>
      </c>
      <c r="K60" s="13" t="str">
        <f>IF(E60="","",SUMIFS([2]단가!$E:$E,[2]단가!$A:$A,출하일보전송용260416!$C60,[2]단가!$B:$B,출하일보전송용260416!$E60))</f>
        <v/>
      </c>
      <c r="L60" s="14" t="str">
        <f t="shared" si="1"/>
        <v/>
      </c>
      <c r="M60" s="15" t="str">
        <f>IF(H60="","",IF(H60&lt;50,VLOOKUP(C60,[1]운반비기준!$A$2:$D$3036,3,FALSE)))</f>
        <v/>
      </c>
      <c r="N60" s="15" t="str">
        <f>IF(H60="","",IF(H60&gt;51,VLOOKUP(C60,[1]운반비기준!$A$2:$D$3036,4,FALSE)))</f>
        <v/>
      </c>
      <c r="O60" s="16" t="str">
        <f t="shared" si="2"/>
        <v/>
      </c>
      <c r="Q60" s="16" t="str">
        <f t="shared" si="3"/>
        <v/>
      </c>
      <c r="R60" s="7" t="str">
        <f>IF(E60="","",VLOOKUP(E60,[1]DATA!$A$2:$AG$2452,10,FALSE))</f>
        <v/>
      </c>
      <c r="S60" s="7" t="str">
        <f>IF(E60="","",VLOOKUP(E60,[1]DATA!$A$2:$AG$2452,2,FALSE))</f>
        <v/>
      </c>
    </row>
    <row r="61" spans="1:19" x14ac:dyDescent="0.3">
      <c r="A61" s="5" t="str">
        <f t="shared" si="5"/>
        <v/>
      </c>
      <c r="B61" s="6" t="str">
        <f t="shared" si="4"/>
        <v/>
      </c>
      <c r="C61" s="7"/>
      <c r="D61" s="8"/>
      <c r="E61" s="9"/>
      <c r="F61" s="10"/>
      <c r="G61" s="10"/>
      <c r="H61" s="11"/>
      <c r="I61" s="7" t="str">
        <f>IF(E61="","",VLOOKUP(E61,[1]DATA!$A$2:$AG$2452,5,FALSE))</f>
        <v/>
      </c>
      <c r="J61" s="12" t="str">
        <f t="shared" si="0"/>
        <v/>
      </c>
      <c r="K61" s="13" t="str">
        <f>IF(E61="","",SUMIFS([2]단가!$E:$E,[2]단가!$A:$A,출하일보전송용260416!$C61,[2]단가!$B:$B,출하일보전송용260416!$E61))</f>
        <v/>
      </c>
      <c r="L61" s="14" t="str">
        <f t="shared" si="1"/>
        <v/>
      </c>
      <c r="M61" s="15" t="str">
        <f>IF(H61="","",IF(H61&lt;50,VLOOKUP(C61,[1]운반비기준!$A$2:$D$3036,3,FALSE)))</f>
        <v/>
      </c>
      <c r="N61" s="15" t="str">
        <f>IF(H61="","",IF(H61&gt;51,VLOOKUP(C61,[1]운반비기준!$A$2:$D$3036,4,FALSE)))</f>
        <v/>
      </c>
      <c r="O61" s="16" t="str">
        <f t="shared" si="2"/>
        <v/>
      </c>
      <c r="Q61" s="16" t="str">
        <f t="shared" si="3"/>
        <v/>
      </c>
      <c r="R61" s="7" t="str">
        <f>IF(E61="","",VLOOKUP(E61,[1]DATA!$A$2:$AG$2452,10,FALSE))</f>
        <v/>
      </c>
      <c r="S61" s="7" t="str">
        <f>IF(E61="","",VLOOKUP(E61,[1]DATA!$A$2:$AG$2452,2,FALSE))</f>
        <v/>
      </c>
    </row>
    <row r="62" spans="1:19" x14ac:dyDescent="0.3">
      <c r="A62" s="5" t="str">
        <f t="shared" si="5"/>
        <v/>
      </c>
      <c r="B62" s="6" t="str">
        <f t="shared" si="4"/>
        <v/>
      </c>
      <c r="C62" s="7"/>
      <c r="D62" s="8"/>
      <c r="E62" s="9"/>
      <c r="F62" s="10"/>
      <c r="G62" s="10"/>
      <c r="H62" s="11"/>
      <c r="I62" s="7" t="str">
        <f>IF(E62="","",VLOOKUP(E62,[1]DATA!$A$2:$AG$2452,5,FALSE))</f>
        <v/>
      </c>
      <c r="J62" s="12" t="str">
        <f t="shared" si="0"/>
        <v/>
      </c>
      <c r="K62" s="13" t="str">
        <f>IF(E62="","",SUMIFS([2]단가!$E:$E,[2]단가!$A:$A,출하일보전송용260416!$C62,[2]단가!$B:$B,출하일보전송용260416!$E62))</f>
        <v/>
      </c>
      <c r="L62" s="14" t="str">
        <f t="shared" si="1"/>
        <v/>
      </c>
      <c r="M62" s="15" t="str">
        <f>IF(H62="","",IF(H62&lt;50,VLOOKUP(C62,[1]운반비기준!$A$2:$D$3036,3,FALSE)))</f>
        <v/>
      </c>
      <c r="N62" s="15" t="str">
        <f>IF(H62="","",IF(H62&gt;51,VLOOKUP(C62,[1]운반비기준!$A$2:$D$3036,4,FALSE)))</f>
        <v/>
      </c>
      <c r="O62" s="16" t="str">
        <f t="shared" si="2"/>
        <v/>
      </c>
      <c r="Q62" s="16" t="str">
        <f t="shared" si="3"/>
        <v/>
      </c>
      <c r="R62" s="7" t="str">
        <f>IF(E62="","",VLOOKUP(E62,[1]DATA!$A$2:$AG$2452,10,FALSE))</f>
        <v/>
      </c>
      <c r="S62" s="7" t="str">
        <f>IF(E62="","",VLOOKUP(E62,[1]DATA!$A$2:$AG$2452,2,FALSE))</f>
        <v/>
      </c>
    </row>
    <row r="63" spans="1:19" x14ac:dyDescent="0.3">
      <c r="A63" s="5" t="str">
        <f t="shared" si="5"/>
        <v/>
      </c>
      <c r="B63" s="6" t="str">
        <f t="shared" si="4"/>
        <v/>
      </c>
      <c r="C63" s="7"/>
      <c r="D63" s="8"/>
      <c r="E63" s="9"/>
      <c r="F63" s="10"/>
      <c r="G63" s="10"/>
      <c r="H63" s="11"/>
      <c r="I63" s="7" t="str">
        <f>IF(E63="","",VLOOKUP(E63,[1]DATA!$A$2:$AG$2452,5,FALSE))</f>
        <v/>
      </c>
      <c r="J63" s="12" t="str">
        <f t="shared" si="0"/>
        <v/>
      </c>
      <c r="K63" s="13" t="str">
        <f>IF(E63="","",SUMIFS([2]단가!$E:$E,[2]단가!$A:$A,출하일보전송용260416!$C63,[2]단가!$B:$B,출하일보전송용260416!$E63))</f>
        <v/>
      </c>
      <c r="L63" s="14" t="str">
        <f t="shared" si="1"/>
        <v/>
      </c>
      <c r="M63" s="15" t="str">
        <f>IF(H63="","",IF(H63&lt;50,VLOOKUP(C63,[1]운반비기준!$A$2:$D$3036,3,FALSE)))</f>
        <v/>
      </c>
      <c r="N63" s="15" t="str">
        <f>IF(H63="","",IF(H63&gt;51,VLOOKUP(C63,[1]운반비기준!$A$2:$D$3036,4,FALSE)))</f>
        <v/>
      </c>
      <c r="O63" s="16" t="str">
        <f t="shared" si="2"/>
        <v/>
      </c>
      <c r="Q63" s="16" t="str">
        <f t="shared" si="3"/>
        <v/>
      </c>
      <c r="R63" s="7" t="str">
        <f>IF(E63="","",VLOOKUP(E63,[1]DATA!$A$2:$AG$2452,10,FALSE))</f>
        <v/>
      </c>
      <c r="S63" s="7" t="str">
        <f>IF(E63="","",VLOOKUP(E63,[1]DATA!$A$2:$AG$2452,2,FALSE))</f>
        <v/>
      </c>
    </row>
    <row r="64" spans="1:19" x14ac:dyDescent="0.3">
      <c r="A64" s="5" t="str">
        <f t="shared" si="5"/>
        <v/>
      </c>
      <c r="B64" s="6" t="str">
        <f t="shared" si="4"/>
        <v/>
      </c>
      <c r="C64" s="7"/>
      <c r="D64" s="8"/>
      <c r="E64" s="9"/>
      <c r="F64" s="10"/>
      <c r="G64" s="10"/>
      <c r="H64" s="11"/>
      <c r="I64" s="7" t="str">
        <f>IF(E64="","",VLOOKUP(E64,[1]DATA!$A$2:$AG$2452,5,FALSE))</f>
        <v/>
      </c>
      <c r="J64" s="12" t="str">
        <f t="shared" si="0"/>
        <v/>
      </c>
      <c r="K64" s="13" t="str">
        <f>IF(E64="","",SUMIFS([2]단가!$E:$E,[2]단가!$A:$A,출하일보전송용260416!$C64,[2]단가!$B:$B,출하일보전송용260416!$E64))</f>
        <v/>
      </c>
      <c r="L64" s="14" t="str">
        <f t="shared" si="1"/>
        <v/>
      </c>
      <c r="M64" s="15" t="str">
        <f>IF(H64="","",IF(H64&lt;50,VLOOKUP(C64,[1]운반비기준!$A$2:$D$3036,3,FALSE)))</f>
        <v/>
      </c>
      <c r="N64" s="15" t="str">
        <f>IF(H64="","",IF(H64&gt;51,VLOOKUP(C64,[1]운반비기준!$A$2:$D$3036,4,FALSE)))</f>
        <v/>
      </c>
      <c r="O64" s="16" t="str">
        <f t="shared" si="2"/>
        <v/>
      </c>
      <c r="Q64" s="16" t="str">
        <f t="shared" si="3"/>
        <v/>
      </c>
      <c r="R64" s="7" t="str">
        <f>IF(E64="","",VLOOKUP(E64,[1]DATA!$A$2:$AG$2452,10,FALSE))</f>
        <v/>
      </c>
      <c r="S64" s="7" t="str">
        <f>IF(E64="","",VLOOKUP(E64,[1]DATA!$A$2:$AG$2452,2,FALSE))</f>
        <v/>
      </c>
    </row>
    <row r="65" spans="1:19" x14ac:dyDescent="0.3">
      <c r="A65" s="5" t="str">
        <f t="shared" si="5"/>
        <v/>
      </c>
      <c r="B65" s="6" t="str">
        <f t="shared" si="4"/>
        <v/>
      </c>
      <c r="C65" s="7"/>
      <c r="D65" s="8"/>
      <c r="E65" s="9"/>
      <c r="F65" s="10"/>
      <c r="G65" s="10"/>
      <c r="H65" s="11"/>
      <c r="I65" s="7" t="str">
        <f>IF(E65="","",VLOOKUP(E65,[1]DATA!$A$2:$AG$2452,5,FALSE))</f>
        <v/>
      </c>
      <c r="J65" s="12" t="str">
        <f t="shared" si="0"/>
        <v/>
      </c>
      <c r="K65" s="13" t="str">
        <f>IF(E65="","",SUMIFS([2]단가!$E:$E,[2]단가!$A:$A,출하일보전송용260416!$C65,[2]단가!$B:$B,출하일보전송용260416!$E65))</f>
        <v/>
      </c>
      <c r="L65" s="14" t="str">
        <f t="shared" si="1"/>
        <v/>
      </c>
      <c r="M65" s="15" t="str">
        <f>IF(H65="","",IF(H65&lt;50,VLOOKUP(C65,[1]운반비기준!$A$2:$D$3036,3,FALSE)))</f>
        <v/>
      </c>
      <c r="N65" s="15" t="str">
        <f>IF(H65="","",IF(H65&gt;51,VLOOKUP(C65,[1]운반비기준!$A$2:$D$3036,4,FALSE)))</f>
        <v/>
      </c>
      <c r="O65" s="16" t="str">
        <f t="shared" si="2"/>
        <v/>
      </c>
      <c r="Q65" s="16" t="str">
        <f t="shared" si="3"/>
        <v/>
      </c>
      <c r="R65" s="7" t="str">
        <f>IF(E65="","",VLOOKUP(E65,[1]DATA!$A$2:$AG$2452,10,FALSE))</f>
        <v/>
      </c>
      <c r="S65" s="7" t="str">
        <f>IF(E65="","",VLOOKUP(E65,[1]DATA!$A$2:$AG$2452,2,FALSE))</f>
        <v/>
      </c>
    </row>
    <row r="66" spans="1:19" x14ac:dyDescent="0.3">
      <c r="A66" s="5" t="str">
        <f t="shared" si="5"/>
        <v/>
      </c>
      <c r="B66" s="6" t="str">
        <f t="shared" si="4"/>
        <v/>
      </c>
      <c r="C66" s="7"/>
      <c r="D66" s="8"/>
      <c r="E66" s="9"/>
      <c r="F66" s="10"/>
      <c r="G66" s="10"/>
      <c r="H66" s="11"/>
      <c r="I66" s="7" t="str">
        <f>IF(E66="","",VLOOKUP(E66,[1]DATA!$A$2:$AG$2452,5,FALSE))</f>
        <v/>
      </c>
      <c r="J66" s="12" t="str">
        <f t="shared" ref="J66:J108" si="6">IF(E66="","",(G66*I66/1000))</f>
        <v/>
      </c>
      <c r="K66" s="13" t="str">
        <f>IF(E66="","",SUMIFS([2]단가!$E:$E,[2]단가!$A:$A,출하일보전송용260416!$C66,[2]단가!$B:$B,출하일보전송용260416!$E66))</f>
        <v/>
      </c>
      <c r="L66" s="14" t="str">
        <f t="shared" ref="L66:L108" si="7">IF(E66="","",(G66*K66))</f>
        <v/>
      </c>
      <c r="M66" s="15" t="str">
        <f>IF(H66="","",IF(H66&lt;50,VLOOKUP(C66,[1]운반비기준!$A$2:$D$3036,3,FALSE)))</f>
        <v/>
      </c>
      <c r="N66" s="15" t="str">
        <f>IF(H66="","",IF(H66&gt;51,VLOOKUP(C66,[1]운반비기준!$A$2:$D$3036,4,FALSE)))</f>
        <v/>
      </c>
      <c r="O66" s="16" t="str">
        <f t="shared" ref="O66:O108" si="8">IF(H66="","",(M66+N66))</f>
        <v/>
      </c>
      <c r="Q66" s="16" t="str">
        <f t="shared" ref="Q66:Q108" si="9">IF(H66="","",(O66+P66))</f>
        <v/>
      </c>
      <c r="R66" s="7" t="str">
        <f>IF(E66="","",VLOOKUP(E66,[1]DATA!$A$2:$AG$2452,10,FALSE))</f>
        <v/>
      </c>
      <c r="S66" s="7" t="str">
        <f>IF(E66="","",VLOOKUP(E66,[1]DATA!$A$2:$AG$2452,2,FALSE))</f>
        <v/>
      </c>
    </row>
    <row r="67" spans="1:19" x14ac:dyDescent="0.3">
      <c r="A67" s="5" t="str">
        <f t="shared" si="5"/>
        <v/>
      </c>
      <c r="B67" s="6" t="str">
        <f t="shared" ref="B67:B110" si="10">IF(E67="","",(B66))</f>
        <v/>
      </c>
      <c r="C67" s="7"/>
      <c r="D67" s="8"/>
      <c r="E67" s="9"/>
      <c r="F67" s="10"/>
      <c r="G67" s="10"/>
      <c r="H67" s="11"/>
      <c r="I67" s="7" t="str">
        <f>IF(E67="","",VLOOKUP(E67,[1]DATA!$A$2:$AG$2452,5,FALSE))</f>
        <v/>
      </c>
      <c r="J67" s="12" t="str">
        <f t="shared" si="6"/>
        <v/>
      </c>
      <c r="K67" s="13" t="str">
        <f>IF(E67="","",SUMIFS([2]단가!$E:$E,[2]단가!$A:$A,출하일보전송용260416!$C67,[2]단가!$B:$B,출하일보전송용260416!$E67))</f>
        <v/>
      </c>
      <c r="L67" s="14" t="str">
        <f t="shared" si="7"/>
        <v/>
      </c>
      <c r="M67" s="15" t="str">
        <f>IF(H67="","",IF(H67&lt;50,VLOOKUP(C67,[1]운반비기준!$A$2:$D$3036,3,FALSE)))</f>
        <v/>
      </c>
      <c r="N67" s="15" t="str">
        <f>IF(H67="","",IF(H67&gt;51,VLOOKUP(C67,[1]운반비기준!$A$2:$D$3036,4,FALSE)))</f>
        <v/>
      </c>
      <c r="O67" s="16" t="str">
        <f t="shared" si="8"/>
        <v/>
      </c>
      <c r="Q67" s="16" t="str">
        <f t="shared" si="9"/>
        <v/>
      </c>
      <c r="R67" s="7" t="str">
        <f>IF(E67="","",VLOOKUP(E67,[1]DATA!$A$2:$AG$2452,10,FALSE))</f>
        <v/>
      </c>
      <c r="S67" s="7" t="str">
        <f>IF(E67="","",VLOOKUP(E67,[1]DATA!$A$2:$AG$2452,2,FALSE))</f>
        <v/>
      </c>
    </row>
    <row r="68" spans="1:19" x14ac:dyDescent="0.3">
      <c r="A68" s="5" t="str">
        <f t="shared" ref="A68:A101" si="11">IF(E68="","",(A67+1))</f>
        <v/>
      </c>
      <c r="B68" s="6" t="str">
        <f t="shared" si="10"/>
        <v/>
      </c>
      <c r="C68" s="7"/>
      <c r="D68" s="8"/>
      <c r="E68" s="9"/>
      <c r="F68" s="10"/>
      <c r="G68" s="10"/>
      <c r="H68" s="11"/>
      <c r="I68" s="7" t="str">
        <f>IF(E68="","",VLOOKUP(E68,[1]DATA!$A$2:$AG$2452,5,FALSE))</f>
        <v/>
      </c>
      <c r="J68" s="12" t="str">
        <f t="shared" si="6"/>
        <v/>
      </c>
      <c r="K68" s="13" t="str">
        <f>IF(E68="","",SUMIFS([2]단가!$E:$E,[2]단가!$A:$A,출하일보전송용260416!$C68,[2]단가!$B:$B,출하일보전송용260416!$E68))</f>
        <v/>
      </c>
      <c r="L68" s="14" t="str">
        <f t="shared" si="7"/>
        <v/>
      </c>
      <c r="M68" s="15" t="str">
        <f>IF(H68="","",IF(H68&lt;50,VLOOKUP(C68,[1]운반비기준!$A$2:$D$3036,3,FALSE)))</f>
        <v/>
      </c>
      <c r="N68" s="15" t="str">
        <f>IF(H68="","",IF(H68&gt;51,VLOOKUP(C68,[1]운반비기준!$A$2:$D$3036,4,FALSE)))</f>
        <v/>
      </c>
      <c r="O68" s="16" t="str">
        <f t="shared" si="8"/>
        <v/>
      </c>
      <c r="Q68" s="16" t="str">
        <f t="shared" si="9"/>
        <v/>
      </c>
      <c r="R68" s="7" t="str">
        <f>IF(E68="","",VLOOKUP(E68,[1]DATA!$A$2:$AG$2452,10,FALSE))</f>
        <v/>
      </c>
      <c r="S68" s="7" t="str">
        <f>IF(E68="","",VLOOKUP(E68,[1]DATA!$A$2:$AG$2452,2,FALSE))</f>
        <v/>
      </c>
    </row>
    <row r="69" spans="1:19" x14ac:dyDescent="0.3">
      <c r="A69" s="5" t="str">
        <f t="shared" si="11"/>
        <v/>
      </c>
      <c r="B69" s="6" t="str">
        <f t="shared" si="10"/>
        <v/>
      </c>
      <c r="C69" s="7"/>
      <c r="D69" s="8"/>
      <c r="E69" s="9"/>
      <c r="F69" s="10"/>
      <c r="G69" s="10"/>
      <c r="H69" s="11"/>
      <c r="I69" s="7" t="str">
        <f>IF(E69="","",VLOOKUP(E69,[1]DATA!$A$2:$AG$2452,5,FALSE))</f>
        <v/>
      </c>
      <c r="J69" s="12" t="str">
        <f t="shared" si="6"/>
        <v/>
      </c>
      <c r="K69" s="13" t="str">
        <f>IF(E69="","",SUMIFS([2]단가!$E:$E,[2]단가!$A:$A,출하일보전송용260416!$C69,[2]단가!$B:$B,출하일보전송용260416!$E69))</f>
        <v/>
      </c>
      <c r="L69" s="14" t="str">
        <f t="shared" si="7"/>
        <v/>
      </c>
      <c r="M69" s="15" t="str">
        <f>IF(H69="","",IF(H69&lt;50,VLOOKUP(C69,[1]운반비기준!$A$2:$D$3036,3,FALSE)))</f>
        <v/>
      </c>
      <c r="N69" s="15" t="str">
        <f>IF(H69="","",IF(H69&gt;51,VLOOKUP(C69,[1]운반비기준!$A$2:$D$3036,4,FALSE)))</f>
        <v/>
      </c>
      <c r="O69" s="16" t="str">
        <f t="shared" si="8"/>
        <v/>
      </c>
      <c r="Q69" s="16" t="str">
        <f t="shared" si="9"/>
        <v/>
      </c>
      <c r="R69" s="7" t="str">
        <f>IF(E69="","",VLOOKUP(E69,[1]DATA!$A$2:$AG$2452,10,FALSE))</f>
        <v/>
      </c>
      <c r="S69" s="7" t="str">
        <f>IF(E69="","",VLOOKUP(E69,[1]DATA!$A$2:$AG$2452,2,FALSE))</f>
        <v/>
      </c>
    </row>
    <row r="70" spans="1:19" x14ac:dyDescent="0.3">
      <c r="A70" s="5" t="str">
        <f t="shared" si="11"/>
        <v/>
      </c>
      <c r="B70" s="6" t="str">
        <f t="shared" si="10"/>
        <v/>
      </c>
      <c r="C70" s="7"/>
      <c r="D70" s="8"/>
      <c r="E70" s="9"/>
      <c r="F70" s="10"/>
      <c r="G70" s="10"/>
      <c r="H70" s="11"/>
      <c r="I70" s="7" t="str">
        <f>IF(E70="","",VLOOKUP(E70,[1]DATA!$A$2:$AG$2452,5,FALSE))</f>
        <v/>
      </c>
      <c r="J70" s="12" t="str">
        <f t="shared" si="6"/>
        <v/>
      </c>
      <c r="K70" s="13" t="str">
        <f>IF(E70="","",SUMIFS([2]단가!$E:$E,[2]단가!$A:$A,출하일보전송용260416!$C70,[2]단가!$B:$B,출하일보전송용260416!$E70))</f>
        <v/>
      </c>
      <c r="L70" s="14" t="str">
        <f t="shared" si="7"/>
        <v/>
      </c>
      <c r="M70" s="15" t="str">
        <f>IF(H70="","",IF(H70&lt;50,VLOOKUP(C70,[1]운반비기준!$A$2:$D$3036,3,FALSE)))</f>
        <v/>
      </c>
      <c r="N70" s="15" t="str">
        <f>IF(H70="","",IF(H70&gt;51,VLOOKUP(C70,[1]운반비기준!$A$2:$D$3036,4,FALSE)))</f>
        <v/>
      </c>
      <c r="O70" s="16" t="str">
        <f t="shared" si="8"/>
        <v/>
      </c>
      <c r="Q70" s="16" t="str">
        <f t="shared" si="9"/>
        <v/>
      </c>
      <c r="R70" s="7" t="str">
        <f>IF(E70="","",VLOOKUP(E70,[1]DATA!$A$2:$AG$2452,10,FALSE))</f>
        <v/>
      </c>
      <c r="S70" s="7" t="str">
        <f>IF(E70="","",VLOOKUP(E70,[1]DATA!$A$2:$AG$2452,2,FALSE))</f>
        <v/>
      </c>
    </row>
    <row r="71" spans="1:19" x14ac:dyDescent="0.3">
      <c r="A71" s="5" t="str">
        <f t="shared" si="11"/>
        <v/>
      </c>
      <c r="B71" s="6" t="str">
        <f t="shared" si="10"/>
        <v/>
      </c>
      <c r="C71" s="7"/>
      <c r="D71" s="8"/>
      <c r="E71" s="9"/>
      <c r="F71" s="10"/>
      <c r="G71" s="10"/>
      <c r="H71" s="11"/>
      <c r="I71" s="7" t="str">
        <f>IF(E71="","",VLOOKUP(E71,[1]DATA!$A$2:$AG$2452,5,FALSE))</f>
        <v/>
      </c>
      <c r="J71" s="12" t="str">
        <f t="shared" si="6"/>
        <v/>
      </c>
      <c r="K71" s="13" t="str">
        <f>IF(E71="","",SUMIFS([2]단가!$E:$E,[2]단가!$A:$A,출하일보전송용260416!$C71,[2]단가!$B:$B,출하일보전송용260416!$E71))</f>
        <v/>
      </c>
      <c r="L71" s="14" t="str">
        <f t="shared" si="7"/>
        <v/>
      </c>
      <c r="M71" s="15" t="str">
        <f>IF(H71="","",IF(H71&lt;50,VLOOKUP(C71,[1]운반비기준!$A$2:$D$3036,3,FALSE)))</f>
        <v/>
      </c>
      <c r="N71" s="15" t="str">
        <f>IF(H71="","",IF(H71&gt;51,VLOOKUP(C71,[1]운반비기준!$A$2:$D$3036,4,FALSE)))</f>
        <v/>
      </c>
      <c r="O71" s="16" t="str">
        <f t="shared" si="8"/>
        <v/>
      </c>
      <c r="Q71" s="16" t="str">
        <f t="shared" si="9"/>
        <v/>
      </c>
      <c r="R71" s="7" t="str">
        <f>IF(E71="","",VLOOKUP(E71,[1]DATA!$A$2:$AG$2452,10,FALSE))</f>
        <v/>
      </c>
      <c r="S71" s="7" t="str">
        <f>IF(E71="","",VLOOKUP(E71,[1]DATA!$A$2:$AG$2452,2,FALSE))</f>
        <v/>
      </c>
    </row>
    <row r="72" spans="1:19" x14ac:dyDescent="0.3">
      <c r="A72" s="5" t="str">
        <f t="shared" si="11"/>
        <v/>
      </c>
      <c r="B72" s="6" t="str">
        <f t="shared" si="10"/>
        <v/>
      </c>
      <c r="C72" s="7"/>
      <c r="D72" s="8"/>
      <c r="E72" s="9"/>
      <c r="F72" s="10"/>
      <c r="G72" s="10"/>
      <c r="H72" s="11"/>
      <c r="I72" s="7" t="str">
        <f>IF(E72="","",VLOOKUP(E72,[1]DATA!$A$2:$AG$2452,5,FALSE))</f>
        <v/>
      </c>
      <c r="J72" s="12" t="str">
        <f t="shared" si="6"/>
        <v/>
      </c>
      <c r="K72" s="13" t="str">
        <f>IF(E72="","",SUMIFS([2]단가!$E:$E,[2]단가!$A:$A,출하일보전송용260416!$C72,[2]단가!$B:$B,출하일보전송용260416!$E72))</f>
        <v/>
      </c>
      <c r="L72" s="14" t="str">
        <f t="shared" si="7"/>
        <v/>
      </c>
      <c r="M72" s="15" t="str">
        <f>IF(H72="","",IF(H72&lt;50,VLOOKUP(C72,[1]운반비기준!$A$2:$D$3036,3,FALSE)))</f>
        <v/>
      </c>
      <c r="N72" s="15" t="str">
        <f>IF(H72="","",IF(H72&gt;51,VLOOKUP(C72,[1]운반비기준!$A$2:$D$3036,4,FALSE)))</f>
        <v/>
      </c>
      <c r="O72" s="16" t="str">
        <f t="shared" si="8"/>
        <v/>
      </c>
      <c r="Q72" s="16" t="str">
        <f t="shared" si="9"/>
        <v/>
      </c>
      <c r="R72" s="7" t="str">
        <f>IF(E72="","",VLOOKUP(E72,[1]DATA!$A$2:$AG$2452,10,FALSE))</f>
        <v/>
      </c>
      <c r="S72" s="7" t="str">
        <f>IF(E72="","",VLOOKUP(E72,[1]DATA!$A$2:$AG$2452,2,FALSE))</f>
        <v/>
      </c>
    </row>
    <row r="73" spans="1:19" x14ac:dyDescent="0.3">
      <c r="A73" s="5" t="str">
        <f t="shared" si="11"/>
        <v/>
      </c>
      <c r="B73" s="6" t="str">
        <f t="shared" si="10"/>
        <v/>
      </c>
      <c r="C73" s="7"/>
      <c r="D73" s="8"/>
      <c r="E73" s="9"/>
      <c r="F73" s="10"/>
      <c r="G73" s="10"/>
      <c r="H73" s="11"/>
      <c r="I73" s="7" t="str">
        <f>IF(E73="","",VLOOKUP(E73,[1]DATA!$A$2:$AG$2452,5,FALSE))</f>
        <v/>
      </c>
      <c r="J73" s="12" t="str">
        <f t="shared" si="6"/>
        <v/>
      </c>
      <c r="K73" s="13" t="str">
        <f>IF(E73="","",SUMIFS([2]단가!$E:$E,[2]단가!$A:$A,출하일보전송용260416!$C73,[2]단가!$B:$B,출하일보전송용260416!$E73))</f>
        <v/>
      </c>
      <c r="L73" s="14" t="str">
        <f t="shared" si="7"/>
        <v/>
      </c>
      <c r="M73" s="15" t="str">
        <f>IF(H73="","",IF(H73&lt;50,VLOOKUP(C73,[1]운반비기준!$A$2:$D$3036,3,FALSE)))</f>
        <v/>
      </c>
      <c r="N73" s="15" t="str">
        <f>IF(H73="","",IF(H73&gt;51,VLOOKUP(C73,[1]운반비기준!$A$2:$D$3036,4,FALSE)))</f>
        <v/>
      </c>
      <c r="O73" s="16" t="str">
        <f t="shared" si="8"/>
        <v/>
      </c>
      <c r="Q73" s="16" t="str">
        <f t="shared" si="9"/>
        <v/>
      </c>
      <c r="R73" s="7" t="str">
        <f>IF(E73="","",VLOOKUP(E73,[1]DATA!$A$2:$AG$2452,10,FALSE))</f>
        <v/>
      </c>
      <c r="S73" s="7" t="str">
        <f>IF(E73="","",VLOOKUP(E73,[1]DATA!$A$2:$AG$2452,2,FALSE))</f>
        <v/>
      </c>
    </row>
    <row r="74" spans="1:19" x14ac:dyDescent="0.3">
      <c r="A74" s="5" t="str">
        <f t="shared" si="11"/>
        <v/>
      </c>
      <c r="B74" s="6" t="str">
        <f t="shared" si="10"/>
        <v/>
      </c>
      <c r="C74" s="7"/>
      <c r="D74" s="8"/>
      <c r="E74" s="9"/>
      <c r="F74" s="10"/>
      <c r="G74" s="10"/>
      <c r="H74" s="11"/>
      <c r="I74" s="7" t="str">
        <f>IF(E74="","",VLOOKUP(E74,[1]DATA!$A$2:$AG$2452,5,FALSE))</f>
        <v/>
      </c>
      <c r="J74" s="12" t="str">
        <f t="shared" si="6"/>
        <v/>
      </c>
      <c r="K74" s="13" t="str">
        <f>IF(E74="","",SUMIFS([2]단가!$E:$E,[2]단가!$A:$A,출하일보전송용260416!$C74,[2]단가!$B:$B,출하일보전송용260416!$E74))</f>
        <v/>
      </c>
      <c r="L74" s="14" t="str">
        <f t="shared" si="7"/>
        <v/>
      </c>
      <c r="M74" s="15" t="str">
        <f>IF(H74="","",IF(H74&lt;50,VLOOKUP(C74,[1]운반비기준!$A$2:$D$3036,3,FALSE)))</f>
        <v/>
      </c>
      <c r="N74" s="15" t="str">
        <f>IF(H74="","",IF(H74&gt;51,VLOOKUP(C74,[1]운반비기준!$A$2:$D$3036,4,FALSE)))</f>
        <v/>
      </c>
      <c r="O74" s="16" t="str">
        <f t="shared" si="8"/>
        <v/>
      </c>
      <c r="Q74" s="16" t="str">
        <f t="shared" si="9"/>
        <v/>
      </c>
      <c r="R74" s="7" t="str">
        <f>IF(E74="","",VLOOKUP(E74,[1]DATA!$A$2:$AG$2452,10,FALSE))</f>
        <v/>
      </c>
      <c r="S74" s="7" t="str">
        <f>IF(E74="","",VLOOKUP(E74,[1]DATA!$A$2:$AG$2452,2,FALSE))</f>
        <v/>
      </c>
    </row>
    <row r="75" spans="1:19" x14ac:dyDescent="0.3">
      <c r="A75" s="5" t="str">
        <f t="shared" si="11"/>
        <v/>
      </c>
      <c r="B75" s="6" t="str">
        <f t="shared" si="10"/>
        <v/>
      </c>
      <c r="C75" s="7"/>
      <c r="D75" s="8"/>
      <c r="E75" s="9"/>
      <c r="F75" s="10"/>
      <c r="G75" s="10"/>
      <c r="H75" s="11"/>
      <c r="I75" s="7" t="str">
        <f>IF(E75="","",VLOOKUP(E75,[1]DATA!$A$2:$AG$2452,5,FALSE))</f>
        <v/>
      </c>
      <c r="J75" s="12" t="str">
        <f t="shared" si="6"/>
        <v/>
      </c>
      <c r="K75" s="13" t="str">
        <f>IF(E75="","",SUMIFS([2]단가!$E:$E,[2]단가!$A:$A,출하일보전송용260416!$C75,[2]단가!$B:$B,출하일보전송용260416!$E75))</f>
        <v/>
      </c>
      <c r="L75" s="14" t="str">
        <f t="shared" si="7"/>
        <v/>
      </c>
      <c r="M75" s="15" t="str">
        <f>IF(H75="","",IF(H75&lt;50,VLOOKUP(C75,[1]운반비기준!$A$2:$D$3036,3,FALSE)))</f>
        <v/>
      </c>
      <c r="N75" s="15" t="str">
        <f>IF(H75="","",IF(H75&gt;51,VLOOKUP(C75,[1]운반비기준!$A$2:$D$3036,4,FALSE)))</f>
        <v/>
      </c>
      <c r="O75" s="16" t="str">
        <f t="shared" si="8"/>
        <v/>
      </c>
      <c r="Q75" s="16" t="str">
        <f t="shared" si="9"/>
        <v/>
      </c>
      <c r="R75" s="7" t="str">
        <f>IF(E75="","",VLOOKUP(E75,[1]DATA!$A$2:$AG$2452,10,FALSE))</f>
        <v/>
      </c>
      <c r="S75" s="7" t="str">
        <f>IF(E75="","",VLOOKUP(E75,[1]DATA!$A$2:$AG$2452,2,FALSE))</f>
        <v/>
      </c>
    </row>
    <row r="76" spans="1:19" x14ac:dyDescent="0.3">
      <c r="A76" s="5" t="str">
        <f t="shared" si="11"/>
        <v/>
      </c>
      <c r="B76" s="6" t="str">
        <f t="shared" si="10"/>
        <v/>
      </c>
      <c r="C76" s="7"/>
      <c r="D76" s="8"/>
      <c r="E76" s="9"/>
      <c r="F76" s="10"/>
      <c r="G76" s="10"/>
      <c r="H76" s="11"/>
      <c r="I76" s="7" t="str">
        <f>IF(E76="","",VLOOKUP(E76,[1]DATA!$A$2:$AG$2452,5,FALSE))</f>
        <v/>
      </c>
      <c r="J76" s="12" t="str">
        <f t="shared" si="6"/>
        <v/>
      </c>
      <c r="K76" s="13" t="str">
        <f>IF(E76="","",SUMIFS([2]단가!$E:$E,[2]단가!$A:$A,출하일보전송용260416!$C76,[2]단가!$B:$B,출하일보전송용260416!$E76))</f>
        <v/>
      </c>
      <c r="L76" s="14" t="str">
        <f t="shared" si="7"/>
        <v/>
      </c>
      <c r="M76" s="15" t="str">
        <f>IF(H76="","",IF(H76&lt;50,VLOOKUP(C76,[1]운반비기준!$A$2:$D$3036,3,FALSE)))</f>
        <v/>
      </c>
      <c r="N76" s="15" t="str">
        <f>IF(H76="","",IF(H76&gt;51,VLOOKUP(C76,[1]운반비기준!$A$2:$D$3036,4,FALSE)))</f>
        <v/>
      </c>
      <c r="O76" s="16" t="str">
        <f t="shared" si="8"/>
        <v/>
      </c>
      <c r="Q76" s="16" t="str">
        <f t="shared" si="9"/>
        <v/>
      </c>
      <c r="R76" s="7" t="str">
        <f>IF(E76="","",VLOOKUP(E76,[1]DATA!$A$2:$AG$2452,10,FALSE))</f>
        <v/>
      </c>
      <c r="S76" s="7" t="str">
        <f>IF(E76="","",VLOOKUP(E76,[1]DATA!$A$2:$AG$2452,2,FALSE))</f>
        <v/>
      </c>
    </row>
    <row r="77" spans="1:19" x14ac:dyDescent="0.3">
      <c r="A77" s="5" t="str">
        <f t="shared" si="11"/>
        <v/>
      </c>
      <c r="B77" s="6" t="str">
        <f t="shared" si="10"/>
        <v/>
      </c>
      <c r="C77" s="7"/>
      <c r="D77" s="8"/>
      <c r="E77" s="9"/>
      <c r="F77" s="10"/>
      <c r="G77" s="10"/>
      <c r="H77" s="11"/>
      <c r="I77" s="7" t="str">
        <f>IF(E77="","",VLOOKUP(E77,[1]DATA!$A$2:$AG$2452,5,FALSE))</f>
        <v/>
      </c>
      <c r="J77" s="12" t="str">
        <f t="shared" si="6"/>
        <v/>
      </c>
      <c r="K77" s="13" t="str">
        <f>IF(E77="","",SUMIFS([2]단가!$E:$E,[2]단가!$A:$A,출하일보전송용260416!$C77,[2]단가!$B:$B,출하일보전송용260416!$E77))</f>
        <v/>
      </c>
      <c r="L77" s="14" t="str">
        <f t="shared" si="7"/>
        <v/>
      </c>
      <c r="M77" s="15" t="str">
        <f>IF(H77="","",IF(H77&lt;50,VLOOKUP(C77,[1]운반비기준!$A$2:$D$3036,3,FALSE)))</f>
        <v/>
      </c>
      <c r="N77" s="15" t="str">
        <f>IF(H77="","",IF(H77&gt;51,VLOOKUP(C77,[1]운반비기준!$A$2:$D$3036,4,FALSE)))</f>
        <v/>
      </c>
      <c r="O77" s="16" t="str">
        <f t="shared" si="8"/>
        <v/>
      </c>
      <c r="Q77" s="16" t="str">
        <f t="shared" si="9"/>
        <v/>
      </c>
      <c r="R77" s="7" t="str">
        <f>IF(E77="","",VLOOKUP(E77,[1]DATA!$A$2:$AG$2452,10,FALSE))</f>
        <v/>
      </c>
      <c r="S77" s="7" t="str">
        <f>IF(E77="","",VLOOKUP(E77,[1]DATA!$A$2:$AG$2452,2,FALSE))</f>
        <v/>
      </c>
    </row>
    <row r="78" spans="1:19" x14ac:dyDescent="0.3">
      <c r="A78" s="5" t="str">
        <f t="shared" si="11"/>
        <v/>
      </c>
      <c r="B78" s="6" t="str">
        <f t="shared" si="10"/>
        <v/>
      </c>
      <c r="C78" s="7"/>
      <c r="D78" s="8"/>
      <c r="E78" s="9"/>
      <c r="F78" s="10"/>
      <c r="G78" s="10"/>
      <c r="H78" s="11"/>
      <c r="I78" s="7" t="str">
        <f>IF(E78="","",VLOOKUP(E78,[1]DATA!$A$2:$AG$2452,5,FALSE))</f>
        <v/>
      </c>
      <c r="J78" s="12" t="str">
        <f t="shared" si="6"/>
        <v/>
      </c>
      <c r="K78" s="13" t="str">
        <f>IF(E78="","",SUMIFS([2]단가!$E:$E,[2]단가!$A:$A,출하일보전송용260416!$C78,[2]단가!$B:$B,출하일보전송용260416!$E78))</f>
        <v/>
      </c>
      <c r="L78" s="14" t="str">
        <f t="shared" si="7"/>
        <v/>
      </c>
      <c r="M78" s="15" t="str">
        <f>IF(H78="","",IF(H78&lt;50,VLOOKUP(C78,[1]운반비기준!$A$2:$D$3036,3,FALSE)))</f>
        <v/>
      </c>
      <c r="N78" s="15" t="str">
        <f>IF(H78="","",IF(H78&gt;51,VLOOKUP(C78,[1]운반비기준!$A$2:$D$3036,4,FALSE)))</f>
        <v/>
      </c>
      <c r="O78" s="16" t="str">
        <f t="shared" si="8"/>
        <v/>
      </c>
      <c r="Q78" s="16" t="str">
        <f t="shared" si="9"/>
        <v/>
      </c>
      <c r="R78" s="7" t="str">
        <f>IF(E78="","",VLOOKUP(E78,[1]DATA!$A$2:$AG$2452,10,FALSE))</f>
        <v/>
      </c>
      <c r="S78" s="7" t="str">
        <f>IF(E78="","",VLOOKUP(E78,[1]DATA!$A$2:$AG$2452,2,FALSE))</f>
        <v/>
      </c>
    </row>
    <row r="79" spans="1:19" x14ac:dyDescent="0.3">
      <c r="A79" s="5" t="str">
        <f t="shared" si="11"/>
        <v/>
      </c>
      <c r="B79" s="6" t="str">
        <f t="shared" si="10"/>
        <v/>
      </c>
      <c r="C79" s="7"/>
      <c r="D79" s="8"/>
      <c r="E79" s="9"/>
      <c r="F79" s="10"/>
      <c r="G79" s="10"/>
      <c r="H79" s="11"/>
      <c r="I79" s="7" t="str">
        <f>IF(E79="","",VLOOKUP(E79,[1]DATA!$A$2:$AG$2452,5,FALSE))</f>
        <v/>
      </c>
      <c r="J79" s="12" t="str">
        <f t="shared" si="6"/>
        <v/>
      </c>
      <c r="K79" s="13" t="str">
        <f>IF(E79="","",SUMIFS([2]단가!$E:$E,[2]단가!$A:$A,출하일보전송용260416!$C79,[2]단가!$B:$B,출하일보전송용260416!$E79))</f>
        <v/>
      </c>
      <c r="L79" s="14" t="str">
        <f t="shared" si="7"/>
        <v/>
      </c>
      <c r="M79" s="15" t="str">
        <f>IF(H79="","",IF(H79&lt;50,VLOOKUP(C79,[1]운반비기준!$A$2:$D$3036,3,FALSE)))</f>
        <v/>
      </c>
      <c r="N79" s="15" t="str">
        <f>IF(H79="","",IF(H79&gt;51,VLOOKUP(C79,[1]운반비기준!$A$2:$D$3036,4,FALSE)))</f>
        <v/>
      </c>
      <c r="O79" s="16" t="str">
        <f t="shared" si="8"/>
        <v/>
      </c>
      <c r="Q79" s="16" t="str">
        <f t="shared" si="9"/>
        <v/>
      </c>
      <c r="R79" s="7" t="str">
        <f>IF(E79="","",VLOOKUP(E79,[1]DATA!$A$2:$AG$2452,10,FALSE))</f>
        <v/>
      </c>
      <c r="S79" s="7" t="str">
        <f>IF(E79="","",VLOOKUP(E79,[1]DATA!$A$2:$AG$2452,2,FALSE))</f>
        <v/>
      </c>
    </row>
    <row r="80" spans="1:19" x14ac:dyDescent="0.3">
      <c r="A80" s="5" t="str">
        <f t="shared" si="11"/>
        <v/>
      </c>
      <c r="B80" s="6" t="str">
        <f t="shared" si="10"/>
        <v/>
      </c>
      <c r="C80" s="7"/>
      <c r="D80" s="8"/>
      <c r="E80" s="9"/>
      <c r="F80" s="10"/>
      <c r="G80" s="10"/>
      <c r="H80" s="11"/>
      <c r="I80" s="7" t="str">
        <f>IF(E80="","",VLOOKUP(E80,[1]DATA!$A$2:$AG$2452,5,FALSE))</f>
        <v/>
      </c>
      <c r="J80" s="12" t="str">
        <f t="shared" si="6"/>
        <v/>
      </c>
      <c r="K80" s="13" t="str">
        <f>IF(E80="","",SUMIFS([2]단가!$E:$E,[2]단가!$A:$A,출하일보전송용260416!$C80,[2]단가!$B:$B,출하일보전송용260416!$E80))</f>
        <v/>
      </c>
      <c r="L80" s="14" t="str">
        <f t="shared" si="7"/>
        <v/>
      </c>
      <c r="M80" s="15" t="str">
        <f>IF(H80="","",IF(H80&lt;50,VLOOKUP(C80,[1]운반비기준!$A$2:$D$3036,3,FALSE)))</f>
        <v/>
      </c>
      <c r="N80" s="15" t="str">
        <f>IF(H80="","",IF(H80&gt;51,VLOOKUP(C80,[1]운반비기준!$A$2:$D$3036,4,FALSE)))</f>
        <v/>
      </c>
      <c r="O80" s="16" t="str">
        <f t="shared" si="8"/>
        <v/>
      </c>
      <c r="Q80" s="16" t="str">
        <f t="shared" si="9"/>
        <v/>
      </c>
      <c r="R80" s="7" t="str">
        <f>IF(E80="","",VLOOKUP(E80,[1]DATA!$A$2:$AG$2452,10,FALSE))</f>
        <v/>
      </c>
      <c r="S80" s="7" t="str">
        <f>IF(E80="","",VLOOKUP(E80,[1]DATA!$A$2:$AG$2452,2,FALSE))</f>
        <v/>
      </c>
    </row>
    <row r="81" spans="1:19" x14ac:dyDescent="0.3">
      <c r="A81" s="5" t="str">
        <f t="shared" si="11"/>
        <v/>
      </c>
      <c r="B81" s="6" t="str">
        <f t="shared" si="10"/>
        <v/>
      </c>
      <c r="C81" s="7"/>
      <c r="D81" s="8"/>
      <c r="E81" s="9"/>
      <c r="F81" s="10"/>
      <c r="G81" s="10"/>
      <c r="H81" s="11"/>
      <c r="I81" s="7" t="str">
        <f>IF(E81="","",VLOOKUP(E81,[1]DATA!$A$2:$AG$2452,5,FALSE))</f>
        <v/>
      </c>
      <c r="J81" s="12" t="str">
        <f t="shared" si="6"/>
        <v/>
      </c>
      <c r="K81" s="13" t="str">
        <f>IF(E81="","",SUMIFS([2]단가!$E:$E,[2]단가!$A:$A,출하일보전송용260416!$C81,[2]단가!$B:$B,출하일보전송용260416!$E81))</f>
        <v/>
      </c>
      <c r="L81" s="14" t="str">
        <f t="shared" si="7"/>
        <v/>
      </c>
      <c r="M81" s="15" t="str">
        <f>IF(H81="","",IF(H81&lt;50,VLOOKUP(C81,[1]운반비기준!$A$2:$D$3036,3,FALSE)))</f>
        <v/>
      </c>
      <c r="N81" s="15" t="str">
        <f>IF(H81="","",IF(H81&gt;51,VLOOKUP(C81,[1]운반비기준!$A$2:$D$3036,4,FALSE)))</f>
        <v/>
      </c>
      <c r="O81" s="16" t="str">
        <f t="shared" si="8"/>
        <v/>
      </c>
      <c r="Q81" s="16" t="str">
        <f t="shared" si="9"/>
        <v/>
      </c>
      <c r="R81" s="7" t="str">
        <f>IF(E81="","",VLOOKUP(E81,[1]DATA!$A$2:$AG$2452,10,FALSE))</f>
        <v/>
      </c>
      <c r="S81" s="7" t="str">
        <f>IF(E81="","",VLOOKUP(E81,[1]DATA!$A$2:$AG$2452,2,FALSE))</f>
        <v/>
      </c>
    </row>
    <row r="82" spans="1:19" x14ac:dyDescent="0.3">
      <c r="A82" s="5" t="str">
        <f t="shared" si="11"/>
        <v/>
      </c>
      <c r="B82" s="6" t="str">
        <f t="shared" si="10"/>
        <v/>
      </c>
      <c r="C82" s="7"/>
      <c r="D82" s="8"/>
      <c r="E82" s="9"/>
      <c r="F82" s="10"/>
      <c r="G82" s="10"/>
      <c r="H82" s="11"/>
      <c r="I82" s="7" t="str">
        <f>IF(E82="","",VLOOKUP(E82,[1]DATA!$A$2:$AG$2452,5,FALSE))</f>
        <v/>
      </c>
      <c r="J82" s="12" t="str">
        <f t="shared" si="6"/>
        <v/>
      </c>
      <c r="K82" s="13" t="str">
        <f>IF(E82="","",SUMIFS([2]단가!$E:$E,[2]단가!$A:$A,출하일보전송용260416!$C82,[2]단가!$B:$B,출하일보전송용260416!$E82))</f>
        <v/>
      </c>
      <c r="L82" s="14" t="str">
        <f t="shared" si="7"/>
        <v/>
      </c>
      <c r="M82" s="15" t="str">
        <f>IF(H82="","",IF(H82&lt;50,VLOOKUP(C82,[1]운반비기준!$A$2:$D$3036,3,FALSE)))</f>
        <v/>
      </c>
      <c r="N82" s="15" t="str">
        <f>IF(H82="","",IF(H82&gt;51,VLOOKUP(C82,[1]운반비기준!$A$2:$D$3036,4,FALSE)))</f>
        <v/>
      </c>
      <c r="O82" s="16" t="str">
        <f t="shared" si="8"/>
        <v/>
      </c>
      <c r="Q82" s="16" t="str">
        <f t="shared" si="9"/>
        <v/>
      </c>
      <c r="R82" s="7" t="str">
        <f>IF(E82="","",VLOOKUP(E82,[1]DATA!$A$2:$AG$2452,10,FALSE))</f>
        <v/>
      </c>
      <c r="S82" s="7" t="str">
        <f>IF(E82="","",VLOOKUP(E82,[1]DATA!$A$2:$AG$2452,2,FALSE))</f>
        <v/>
      </c>
    </row>
    <row r="83" spans="1:19" x14ac:dyDescent="0.3">
      <c r="A83" s="5" t="str">
        <f t="shared" si="11"/>
        <v/>
      </c>
      <c r="B83" s="6" t="str">
        <f t="shared" si="10"/>
        <v/>
      </c>
      <c r="C83" s="7"/>
      <c r="D83" s="8"/>
      <c r="E83" s="9"/>
      <c r="F83" s="10"/>
      <c r="G83" s="10"/>
      <c r="H83" s="11"/>
      <c r="I83" s="7" t="str">
        <f>IF(E83="","",VLOOKUP(E83,[1]DATA!$A$2:$AG$2452,5,FALSE))</f>
        <v/>
      </c>
      <c r="J83" s="12" t="str">
        <f t="shared" si="6"/>
        <v/>
      </c>
      <c r="K83" s="13" t="str">
        <f>IF(E83="","",SUMIFS([2]단가!$E:$E,[2]단가!$A:$A,출하일보전송용260416!$C83,[2]단가!$B:$B,출하일보전송용260416!$E83))</f>
        <v/>
      </c>
      <c r="L83" s="14" t="str">
        <f t="shared" si="7"/>
        <v/>
      </c>
      <c r="M83" s="15" t="str">
        <f>IF(H83="","",IF(H83&lt;50,VLOOKUP(C83,[1]운반비기준!$A$2:$D$3036,3,FALSE)))</f>
        <v/>
      </c>
      <c r="N83" s="15" t="str">
        <f>IF(H83="","",IF(H83&gt;51,VLOOKUP(C83,[1]운반비기준!$A$2:$D$3036,4,FALSE)))</f>
        <v/>
      </c>
      <c r="O83" s="16" t="str">
        <f t="shared" si="8"/>
        <v/>
      </c>
      <c r="Q83" s="16" t="str">
        <f t="shared" si="9"/>
        <v/>
      </c>
      <c r="R83" s="7" t="str">
        <f>IF(E83="","",VLOOKUP(E83,[1]DATA!$A$2:$AG$2452,10,FALSE))</f>
        <v/>
      </c>
      <c r="S83" s="7" t="str">
        <f>IF(E83="","",VLOOKUP(E83,[1]DATA!$A$2:$AG$2452,2,FALSE))</f>
        <v/>
      </c>
    </row>
    <row r="84" spans="1:19" x14ac:dyDescent="0.3">
      <c r="A84" s="5" t="str">
        <f t="shared" si="11"/>
        <v/>
      </c>
      <c r="B84" s="6" t="str">
        <f t="shared" si="10"/>
        <v/>
      </c>
      <c r="C84" s="7"/>
      <c r="D84" s="8"/>
      <c r="E84" s="9"/>
      <c r="F84" s="10"/>
      <c r="G84" s="10"/>
      <c r="H84" s="11"/>
      <c r="I84" s="7" t="str">
        <f>IF(E84="","",VLOOKUP(E84,[1]DATA!$A$2:$AG$2452,5,FALSE))</f>
        <v/>
      </c>
      <c r="J84" s="12" t="str">
        <f t="shared" si="6"/>
        <v/>
      </c>
      <c r="K84" s="13" t="str">
        <f>IF(E84="","",SUMIFS([2]단가!$E:$E,[2]단가!$A:$A,출하일보전송용260416!$C84,[2]단가!$B:$B,출하일보전송용260416!$E84))</f>
        <v/>
      </c>
      <c r="L84" s="14" t="str">
        <f t="shared" si="7"/>
        <v/>
      </c>
      <c r="M84" s="15" t="str">
        <f>IF(H84="","",IF(H84&lt;50,VLOOKUP(C84,[1]운반비기준!$A$2:$D$3036,3,FALSE)))</f>
        <v/>
      </c>
      <c r="N84" s="15" t="str">
        <f>IF(H84="","",IF(H84&gt;51,VLOOKUP(C84,[1]운반비기준!$A$2:$D$3036,4,FALSE)))</f>
        <v/>
      </c>
      <c r="O84" s="16" t="str">
        <f t="shared" si="8"/>
        <v/>
      </c>
      <c r="Q84" s="16" t="str">
        <f t="shared" si="9"/>
        <v/>
      </c>
      <c r="R84" s="7" t="str">
        <f>IF(E84="","",VLOOKUP(E84,[1]DATA!$A$2:$AG$2452,10,FALSE))</f>
        <v/>
      </c>
      <c r="S84" s="7" t="str">
        <f>IF(E84="","",VLOOKUP(E84,[1]DATA!$A$2:$AG$2452,2,FALSE))</f>
        <v/>
      </c>
    </row>
    <row r="85" spans="1:19" x14ac:dyDescent="0.3">
      <c r="A85" s="5" t="str">
        <f t="shared" si="11"/>
        <v/>
      </c>
      <c r="B85" s="6" t="str">
        <f t="shared" si="10"/>
        <v/>
      </c>
      <c r="C85" s="7"/>
      <c r="D85" s="8"/>
      <c r="E85" s="9"/>
      <c r="F85" s="10"/>
      <c r="G85" s="10"/>
      <c r="H85" s="11"/>
      <c r="I85" s="7" t="str">
        <f>IF(E85="","",VLOOKUP(E85,[1]DATA!$A$2:$AG$2452,5,FALSE))</f>
        <v/>
      </c>
      <c r="J85" s="12" t="str">
        <f t="shared" si="6"/>
        <v/>
      </c>
      <c r="K85" s="13" t="str">
        <f>IF(E85="","",SUMIFS([2]단가!$E:$E,[2]단가!$A:$A,출하일보전송용260416!$C85,[2]단가!$B:$B,출하일보전송용260416!$E85))</f>
        <v/>
      </c>
      <c r="L85" s="14" t="str">
        <f t="shared" si="7"/>
        <v/>
      </c>
      <c r="M85" s="15" t="str">
        <f>IF(H85="","",IF(H85&lt;50,VLOOKUP(C85,[1]운반비기준!$A$2:$D$3036,3,FALSE)))</f>
        <v/>
      </c>
      <c r="N85" s="15" t="str">
        <f>IF(H85="","",IF(H85&gt;51,VLOOKUP(C85,[1]운반비기준!$A$2:$D$3036,4,FALSE)))</f>
        <v/>
      </c>
      <c r="O85" s="16" t="str">
        <f t="shared" si="8"/>
        <v/>
      </c>
      <c r="Q85" s="16" t="str">
        <f t="shared" si="9"/>
        <v/>
      </c>
      <c r="R85" s="7" t="str">
        <f>IF(E85="","",VLOOKUP(E85,[1]DATA!$A$2:$AG$2452,10,FALSE))</f>
        <v/>
      </c>
      <c r="S85" s="7" t="str">
        <f>IF(E85="","",VLOOKUP(E85,[1]DATA!$A$2:$AG$2452,2,FALSE))</f>
        <v/>
      </c>
    </row>
    <row r="86" spans="1:19" x14ac:dyDescent="0.3">
      <c r="A86" s="5" t="str">
        <f t="shared" si="11"/>
        <v/>
      </c>
      <c r="B86" s="6" t="str">
        <f t="shared" si="10"/>
        <v/>
      </c>
      <c r="C86" s="7"/>
      <c r="D86" s="8"/>
      <c r="E86" s="9"/>
      <c r="F86" s="10"/>
      <c r="G86" s="10"/>
      <c r="H86" s="11"/>
      <c r="I86" s="7" t="str">
        <f>IF(E86="","",VLOOKUP(E86,[1]DATA!$A$2:$AG$2452,5,FALSE))</f>
        <v/>
      </c>
      <c r="J86" s="12" t="str">
        <f t="shared" si="6"/>
        <v/>
      </c>
      <c r="K86" s="13" t="str">
        <f>IF(E86="","",SUMIFS([2]단가!$E:$E,[2]단가!$A:$A,출하일보전송용260416!$C86,[2]단가!$B:$B,출하일보전송용260416!$E86))</f>
        <v/>
      </c>
      <c r="L86" s="14" t="str">
        <f t="shared" si="7"/>
        <v/>
      </c>
      <c r="M86" s="15" t="str">
        <f>IF(H86="","",IF(H86&lt;50,VLOOKUP(C86,[1]운반비기준!$A$2:$D$3036,3,FALSE)))</f>
        <v/>
      </c>
      <c r="N86" s="15" t="str">
        <f>IF(H86="","",IF(H86&gt;51,VLOOKUP(C86,[1]운반비기준!$A$2:$D$3036,4,FALSE)))</f>
        <v/>
      </c>
      <c r="O86" s="16" t="str">
        <f t="shared" si="8"/>
        <v/>
      </c>
      <c r="Q86" s="16" t="str">
        <f t="shared" si="9"/>
        <v/>
      </c>
      <c r="R86" s="7" t="str">
        <f>IF(E86="","",VLOOKUP(E86,[1]DATA!$A$2:$AG$2452,10,FALSE))</f>
        <v/>
      </c>
      <c r="S86" s="7" t="str">
        <f>IF(E86="","",VLOOKUP(E86,[1]DATA!$A$2:$AG$2452,2,FALSE))</f>
        <v/>
      </c>
    </row>
    <row r="87" spans="1:19" x14ac:dyDescent="0.3">
      <c r="A87" s="5" t="str">
        <f t="shared" si="11"/>
        <v/>
      </c>
      <c r="B87" s="6" t="str">
        <f t="shared" si="10"/>
        <v/>
      </c>
      <c r="C87" s="7"/>
      <c r="D87" s="8"/>
      <c r="E87" s="9"/>
      <c r="F87" s="10"/>
      <c r="G87" s="10"/>
      <c r="H87" s="11"/>
      <c r="I87" s="7" t="str">
        <f>IF(E87="","",VLOOKUP(E87,[1]DATA!$A$2:$AG$2452,5,FALSE))</f>
        <v/>
      </c>
      <c r="J87" s="12" t="str">
        <f t="shared" si="6"/>
        <v/>
      </c>
      <c r="K87" s="13" t="str">
        <f>IF(E87="","",SUMIFS([2]단가!$E:$E,[2]단가!$A:$A,출하일보전송용260416!$C87,[2]단가!$B:$B,출하일보전송용260416!$E87))</f>
        <v/>
      </c>
      <c r="L87" s="14" t="str">
        <f t="shared" si="7"/>
        <v/>
      </c>
      <c r="M87" s="15" t="str">
        <f>IF(H87="","",IF(H87&lt;50,VLOOKUP(C87,[1]운반비기준!$A$2:$D$3036,3,FALSE)))</f>
        <v/>
      </c>
      <c r="N87" s="15" t="str">
        <f>IF(H87="","",IF(H87&gt;51,VLOOKUP(C87,[1]운반비기준!$A$2:$D$3036,4,FALSE)))</f>
        <v/>
      </c>
      <c r="O87" s="16" t="str">
        <f t="shared" si="8"/>
        <v/>
      </c>
      <c r="Q87" s="16" t="str">
        <f t="shared" si="9"/>
        <v/>
      </c>
      <c r="R87" s="7" t="str">
        <f>IF(E87="","",VLOOKUP(E87,[1]DATA!$A$2:$AG$2452,10,FALSE))</f>
        <v/>
      </c>
      <c r="S87" s="7" t="str">
        <f>IF(E87="","",VLOOKUP(E87,[1]DATA!$A$2:$AG$2452,2,FALSE))</f>
        <v/>
      </c>
    </row>
    <row r="88" spans="1:19" x14ac:dyDescent="0.3">
      <c r="A88" s="5" t="str">
        <f t="shared" si="11"/>
        <v/>
      </c>
      <c r="B88" s="6" t="str">
        <f t="shared" si="10"/>
        <v/>
      </c>
      <c r="C88" s="7"/>
      <c r="D88" s="8"/>
      <c r="E88" s="9"/>
      <c r="F88" s="10"/>
      <c r="G88" s="10"/>
      <c r="H88" s="11"/>
      <c r="I88" s="7" t="str">
        <f>IF(E88="","",VLOOKUP(E88,[1]DATA!$A$2:$AG$2452,5,FALSE))</f>
        <v/>
      </c>
      <c r="J88" s="12" t="str">
        <f t="shared" si="6"/>
        <v/>
      </c>
      <c r="K88" s="13" t="str">
        <f>IF(E88="","",SUMIFS([2]단가!$E:$E,[2]단가!$A:$A,출하일보전송용260416!$C88,[2]단가!$B:$B,출하일보전송용260416!$E88))</f>
        <v/>
      </c>
      <c r="L88" s="14" t="str">
        <f t="shared" si="7"/>
        <v/>
      </c>
      <c r="M88" s="15" t="str">
        <f>IF(H88="","",IF(H88&lt;50,VLOOKUP(C88,[1]운반비기준!$A$2:$D$3036,3,FALSE)))</f>
        <v/>
      </c>
      <c r="N88" s="15" t="str">
        <f>IF(H88="","",IF(H88&gt;51,VLOOKUP(C88,[1]운반비기준!$A$2:$D$3036,4,FALSE)))</f>
        <v/>
      </c>
      <c r="O88" s="16" t="str">
        <f t="shared" si="8"/>
        <v/>
      </c>
      <c r="Q88" s="16" t="str">
        <f t="shared" si="9"/>
        <v/>
      </c>
      <c r="R88" s="7" t="str">
        <f>IF(E88="","",VLOOKUP(E88,[1]DATA!$A$2:$AG$2452,10,FALSE))</f>
        <v/>
      </c>
      <c r="S88" s="7" t="str">
        <f>IF(E88="","",VLOOKUP(E88,[1]DATA!$A$2:$AG$2452,2,FALSE))</f>
        <v/>
      </c>
    </row>
    <row r="89" spans="1:19" x14ac:dyDescent="0.3">
      <c r="A89" s="5" t="str">
        <f t="shared" si="11"/>
        <v/>
      </c>
      <c r="B89" s="6" t="str">
        <f t="shared" si="10"/>
        <v/>
      </c>
      <c r="C89" s="7"/>
      <c r="D89" s="8"/>
      <c r="E89" s="9"/>
      <c r="F89" s="10"/>
      <c r="G89" s="10"/>
      <c r="H89" s="11"/>
      <c r="I89" s="7" t="str">
        <f>IF(E89="","",VLOOKUP(E89,[1]DATA!$A$2:$AG$2452,5,FALSE))</f>
        <v/>
      </c>
      <c r="J89" s="12" t="str">
        <f t="shared" si="6"/>
        <v/>
      </c>
      <c r="K89" s="13" t="str">
        <f>IF(E89="","",SUMIFS([2]단가!$E:$E,[2]단가!$A:$A,출하일보전송용260416!$C89,[2]단가!$B:$B,출하일보전송용260416!$E89))</f>
        <v/>
      </c>
      <c r="L89" s="14" t="str">
        <f t="shared" si="7"/>
        <v/>
      </c>
      <c r="M89" s="15" t="str">
        <f>IF(H89="","",IF(H89&lt;50,VLOOKUP(C89,[1]운반비기준!$A$2:$D$3036,3,FALSE)))</f>
        <v/>
      </c>
      <c r="N89" s="15" t="str">
        <f>IF(H89="","",IF(H89&gt;51,VLOOKUP(C89,[1]운반비기준!$A$2:$D$3036,4,FALSE)))</f>
        <v/>
      </c>
      <c r="O89" s="16" t="str">
        <f t="shared" si="8"/>
        <v/>
      </c>
      <c r="Q89" s="16" t="str">
        <f t="shared" si="9"/>
        <v/>
      </c>
      <c r="R89" s="7" t="str">
        <f>IF(E89="","",VLOOKUP(E89,[1]DATA!$A$2:$AG$2452,10,FALSE))</f>
        <v/>
      </c>
      <c r="S89" s="7" t="str">
        <f>IF(E89="","",VLOOKUP(E89,[1]DATA!$A$2:$AG$2452,2,FALSE))</f>
        <v/>
      </c>
    </row>
    <row r="90" spans="1:19" x14ac:dyDescent="0.3">
      <c r="A90" s="5" t="str">
        <f t="shared" si="11"/>
        <v/>
      </c>
      <c r="B90" s="6" t="str">
        <f t="shared" si="10"/>
        <v/>
      </c>
      <c r="C90" s="7"/>
      <c r="D90" s="8"/>
      <c r="E90" s="9"/>
      <c r="F90" s="10"/>
      <c r="G90" s="10"/>
      <c r="H90" s="11"/>
      <c r="I90" s="7" t="str">
        <f>IF(E90="","",VLOOKUP(E90,[1]DATA!$A$2:$AG$2452,5,FALSE))</f>
        <v/>
      </c>
      <c r="J90" s="12" t="str">
        <f t="shared" si="6"/>
        <v/>
      </c>
      <c r="K90" s="13" t="str">
        <f>IF(E90="","",SUMIFS([2]단가!$E:$E,[2]단가!$A:$A,출하일보전송용260416!$C90,[2]단가!$B:$B,출하일보전송용260416!$E90))</f>
        <v/>
      </c>
      <c r="L90" s="14" t="str">
        <f t="shared" si="7"/>
        <v/>
      </c>
      <c r="M90" s="15" t="str">
        <f>IF(H90="","",IF(H90&lt;50,VLOOKUP(C90,[1]운반비기준!$A$2:$D$3036,3,FALSE)))</f>
        <v/>
      </c>
      <c r="N90" s="15" t="str">
        <f>IF(H90="","",IF(H90&gt;51,VLOOKUP(C90,[1]운반비기준!$A$2:$D$3036,4,FALSE)))</f>
        <v/>
      </c>
      <c r="O90" s="16" t="str">
        <f t="shared" si="8"/>
        <v/>
      </c>
      <c r="Q90" s="16" t="str">
        <f t="shared" si="9"/>
        <v/>
      </c>
      <c r="R90" s="7" t="str">
        <f>IF(E90="","",VLOOKUP(E90,[1]DATA!$A$2:$AG$2452,10,FALSE))</f>
        <v/>
      </c>
      <c r="S90" s="7" t="str">
        <f>IF(E90="","",VLOOKUP(E90,[1]DATA!$A$2:$AG$2452,2,FALSE))</f>
        <v/>
      </c>
    </row>
    <row r="91" spans="1:19" x14ac:dyDescent="0.3">
      <c r="A91" s="5" t="str">
        <f t="shared" si="11"/>
        <v/>
      </c>
      <c r="B91" s="6" t="str">
        <f t="shared" si="10"/>
        <v/>
      </c>
      <c r="C91" s="7"/>
      <c r="D91" s="8"/>
      <c r="E91" s="9"/>
      <c r="F91" s="10"/>
      <c r="G91" s="10"/>
      <c r="H91" s="11"/>
      <c r="I91" s="7" t="str">
        <f>IF(E91="","",VLOOKUP(E91,[1]DATA!$A$2:$AG$2452,5,FALSE))</f>
        <v/>
      </c>
      <c r="J91" s="12" t="str">
        <f t="shared" si="6"/>
        <v/>
      </c>
      <c r="K91" s="13" t="str">
        <f>IF(E91="","",SUMIFS([2]단가!$E:$E,[2]단가!$A:$A,출하일보전송용260416!$C91,[2]단가!$B:$B,출하일보전송용260416!$E91))</f>
        <v/>
      </c>
      <c r="L91" s="14" t="str">
        <f t="shared" si="7"/>
        <v/>
      </c>
      <c r="M91" s="15" t="str">
        <f>IF(H91="","",IF(H91&lt;50,VLOOKUP(C91,[1]운반비기준!$A$2:$D$3036,3,FALSE)))</f>
        <v/>
      </c>
      <c r="N91" s="15" t="str">
        <f>IF(H91="","",IF(H91&gt;51,VLOOKUP(C91,[1]운반비기준!$A$2:$D$3036,4,FALSE)))</f>
        <v/>
      </c>
      <c r="O91" s="16" t="str">
        <f t="shared" si="8"/>
        <v/>
      </c>
      <c r="Q91" s="16" t="str">
        <f t="shared" si="9"/>
        <v/>
      </c>
      <c r="R91" s="7" t="str">
        <f>IF(E91="","",VLOOKUP(E91,[1]DATA!$A$2:$AG$2452,10,FALSE))</f>
        <v/>
      </c>
      <c r="S91" s="7" t="str">
        <f>IF(E91="","",VLOOKUP(E91,[1]DATA!$A$2:$AG$2452,2,FALSE))</f>
        <v/>
      </c>
    </row>
    <row r="92" spans="1:19" x14ac:dyDescent="0.3">
      <c r="A92" s="5" t="str">
        <f t="shared" si="11"/>
        <v/>
      </c>
      <c r="B92" s="6" t="str">
        <f t="shared" si="10"/>
        <v/>
      </c>
      <c r="C92" s="7"/>
      <c r="D92" s="8"/>
      <c r="E92" s="9"/>
      <c r="F92" s="10"/>
      <c r="G92" s="10"/>
      <c r="H92" s="11"/>
      <c r="I92" s="7" t="str">
        <f>IF(E92="","",VLOOKUP(E92,[1]DATA!$A$2:$AG$2452,5,FALSE))</f>
        <v/>
      </c>
      <c r="J92" s="12" t="str">
        <f t="shared" si="6"/>
        <v/>
      </c>
      <c r="K92" s="13" t="str">
        <f>IF(E92="","",SUMIFS([2]단가!$E:$E,[2]단가!$A:$A,출하일보전송용260416!$C92,[2]단가!$B:$B,출하일보전송용260416!$E92))</f>
        <v/>
      </c>
      <c r="L92" s="14" t="str">
        <f t="shared" si="7"/>
        <v/>
      </c>
      <c r="M92" s="15" t="str">
        <f>IF(H92="","",IF(H92&lt;50,VLOOKUP(C92,[1]운반비기준!$A$2:$D$3036,3,FALSE)))</f>
        <v/>
      </c>
      <c r="N92" s="15" t="str">
        <f>IF(H92="","",IF(H92&gt;51,VLOOKUP(C92,[1]운반비기준!$A$2:$D$3036,4,FALSE)))</f>
        <v/>
      </c>
      <c r="O92" s="16" t="str">
        <f t="shared" si="8"/>
        <v/>
      </c>
      <c r="Q92" s="16" t="str">
        <f t="shared" si="9"/>
        <v/>
      </c>
      <c r="R92" s="7" t="str">
        <f>IF(E92="","",VLOOKUP(E92,[1]DATA!$A$2:$AG$2452,10,FALSE))</f>
        <v/>
      </c>
      <c r="S92" s="7" t="str">
        <f>IF(E92="","",VLOOKUP(E92,[1]DATA!$A$2:$AG$2452,2,FALSE))</f>
        <v/>
      </c>
    </row>
    <row r="93" spans="1:19" x14ac:dyDescent="0.3">
      <c r="A93" s="5" t="str">
        <f t="shared" si="11"/>
        <v/>
      </c>
      <c r="B93" s="6" t="str">
        <f t="shared" si="10"/>
        <v/>
      </c>
      <c r="C93" s="7"/>
      <c r="D93" s="8"/>
      <c r="E93" s="9"/>
      <c r="F93" s="10"/>
      <c r="G93" s="10"/>
      <c r="H93" s="11"/>
      <c r="I93" s="7" t="str">
        <f>IF(E93="","",VLOOKUP(E93,[1]DATA!$A$2:$AG$2452,5,FALSE))</f>
        <v/>
      </c>
      <c r="J93" s="12" t="str">
        <f t="shared" si="6"/>
        <v/>
      </c>
      <c r="K93" s="13" t="str">
        <f>IF(E93="","",SUMIFS([2]단가!$E:$E,[2]단가!$A:$A,출하일보전송용260416!$C93,[2]단가!$B:$B,출하일보전송용260416!$E93))</f>
        <v/>
      </c>
      <c r="L93" s="14" t="str">
        <f t="shared" si="7"/>
        <v/>
      </c>
      <c r="M93" s="15" t="str">
        <f>IF(H93="","",IF(H93&lt;50,VLOOKUP(C93,[1]운반비기준!$A$2:$D$3036,3,FALSE)))</f>
        <v/>
      </c>
      <c r="N93" s="15" t="str">
        <f>IF(H93="","",IF(H93&gt;51,VLOOKUP(C93,[1]운반비기준!$A$2:$D$3036,4,FALSE)))</f>
        <v/>
      </c>
      <c r="O93" s="16" t="str">
        <f t="shared" si="8"/>
        <v/>
      </c>
      <c r="Q93" s="16" t="str">
        <f t="shared" si="9"/>
        <v/>
      </c>
      <c r="R93" s="7" t="str">
        <f>IF(E93="","",VLOOKUP(E93,[1]DATA!$A$2:$AG$2452,10,FALSE))</f>
        <v/>
      </c>
      <c r="S93" s="7" t="str">
        <f>IF(E93="","",VLOOKUP(E93,[1]DATA!$A$2:$AG$2452,2,FALSE))</f>
        <v/>
      </c>
    </row>
    <row r="94" spans="1:19" x14ac:dyDescent="0.3">
      <c r="A94" s="5" t="str">
        <f t="shared" si="11"/>
        <v/>
      </c>
      <c r="B94" s="6" t="str">
        <f t="shared" si="10"/>
        <v/>
      </c>
      <c r="C94" s="7"/>
      <c r="D94" s="8"/>
      <c r="E94" s="9"/>
      <c r="F94" s="10"/>
      <c r="G94" s="10"/>
      <c r="H94" s="11"/>
      <c r="I94" s="7" t="str">
        <f>IF(E94="","",VLOOKUP(E94,[1]DATA!$A$2:$AG$2452,5,FALSE))</f>
        <v/>
      </c>
      <c r="J94" s="12" t="str">
        <f t="shared" si="6"/>
        <v/>
      </c>
      <c r="K94" s="13" t="str">
        <f>IF(E94="","",SUMIFS([2]단가!$E:$E,[2]단가!$A:$A,출하일보전송용260416!$C94,[2]단가!$B:$B,출하일보전송용260416!$E94))</f>
        <v/>
      </c>
      <c r="L94" s="14" t="str">
        <f t="shared" si="7"/>
        <v/>
      </c>
      <c r="M94" s="15" t="str">
        <f>IF(H94="","",IF(H94&lt;50,VLOOKUP(C94,[1]운반비기준!$A$2:$D$3036,3,FALSE)))</f>
        <v/>
      </c>
      <c r="N94" s="15" t="str">
        <f>IF(H94="","",IF(H94&gt;51,VLOOKUP(C94,[1]운반비기준!$A$2:$D$3036,4,FALSE)))</f>
        <v/>
      </c>
      <c r="O94" s="16" t="str">
        <f t="shared" si="8"/>
        <v/>
      </c>
      <c r="Q94" s="16" t="str">
        <f t="shared" si="9"/>
        <v/>
      </c>
      <c r="R94" s="7" t="str">
        <f>IF(E94="","",VLOOKUP(E94,[1]DATA!$A$2:$AG$2452,10,FALSE))</f>
        <v/>
      </c>
      <c r="S94" s="7" t="str">
        <f>IF(E94="","",VLOOKUP(E94,[1]DATA!$A$2:$AG$2452,2,FALSE))</f>
        <v/>
      </c>
    </row>
    <row r="95" spans="1:19" x14ac:dyDescent="0.3">
      <c r="A95" s="5" t="str">
        <f t="shared" si="11"/>
        <v/>
      </c>
      <c r="B95" s="6" t="str">
        <f t="shared" si="10"/>
        <v/>
      </c>
      <c r="C95" s="7"/>
      <c r="D95" s="8"/>
      <c r="E95" s="9"/>
      <c r="F95" s="10"/>
      <c r="G95" s="10"/>
      <c r="H95" s="11"/>
      <c r="I95" s="7" t="str">
        <f>IF(E95="","",VLOOKUP(E95,[1]DATA!$A$2:$AG$2452,5,FALSE))</f>
        <v/>
      </c>
      <c r="J95" s="12" t="str">
        <f t="shared" si="6"/>
        <v/>
      </c>
      <c r="K95" s="13" t="str">
        <f>IF(E95="","",SUMIFS([2]단가!$E:$E,[2]단가!$A:$A,출하일보전송용260416!$C95,[2]단가!$B:$B,출하일보전송용260416!$E95))</f>
        <v/>
      </c>
      <c r="L95" s="14" t="str">
        <f t="shared" si="7"/>
        <v/>
      </c>
      <c r="M95" s="15" t="str">
        <f>IF(H95="","",IF(H95&lt;50,VLOOKUP(C95,[1]운반비기준!$A$2:$D$3036,3,FALSE)))</f>
        <v/>
      </c>
      <c r="N95" s="15" t="str">
        <f>IF(H95="","",IF(H95&gt;51,VLOOKUP(C95,[1]운반비기준!$A$2:$D$3036,4,FALSE)))</f>
        <v/>
      </c>
      <c r="O95" s="16" t="str">
        <f t="shared" si="8"/>
        <v/>
      </c>
      <c r="Q95" s="16" t="str">
        <f t="shared" si="9"/>
        <v/>
      </c>
      <c r="R95" s="7" t="str">
        <f>IF(E95="","",VLOOKUP(E95,[1]DATA!$A$2:$AG$2452,10,FALSE))</f>
        <v/>
      </c>
      <c r="S95" s="7" t="str">
        <f>IF(E95="","",VLOOKUP(E95,[1]DATA!$A$2:$AG$2452,2,FALSE))</f>
        <v/>
      </c>
    </row>
    <row r="96" spans="1:19" x14ac:dyDescent="0.3">
      <c r="A96" s="5" t="str">
        <f t="shared" si="11"/>
        <v/>
      </c>
      <c r="B96" s="6" t="str">
        <f t="shared" si="10"/>
        <v/>
      </c>
      <c r="C96" s="7"/>
      <c r="D96" s="8"/>
      <c r="E96" s="9"/>
      <c r="F96" s="10"/>
      <c r="G96" s="10"/>
      <c r="H96" s="11"/>
      <c r="I96" s="7" t="str">
        <f>IF(E96="","",VLOOKUP(E96,[1]DATA!$A$2:$AG$2452,5,FALSE))</f>
        <v/>
      </c>
      <c r="J96" s="12" t="str">
        <f t="shared" si="6"/>
        <v/>
      </c>
      <c r="K96" s="13" t="str">
        <f>IF(E96="","",SUMIFS([2]단가!$E:$E,[2]단가!$A:$A,출하일보전송용260416!$C96,[2]단가!$B:$B,출하일보전송용260416!$E96))</f>
        <v/>
      </c>
      <c r="L96" s="14" t="str">
        <f t="shared" si="7"/>
        <v/>
      </c>
      <c r="M96" s="15" t="str">
        <f>IF(H96="","",IF(H96&lt;50,VLOOKUP(C96,[1]운반비기준!$A$2:$D$3036,3,FALSE)))</f>
        <v/>
      </c>
      <c r="N96" s="15" t="str">
        <f>IF(H96="","",IF(H96&gt;51,VLOOKUP(C96,[1]운반비기준!$A$2:$D$3036,4,FALSE)))</f>
        <v/>
      </c>
      <c r="O96" s="16" t="str">
        <f t="shared" si="8"/>
        <v/>
      </c>
      <c r="Q96" s="16" t="str">
        <f t="shared" si="9"/>
        <v/>
      </c>
      <c r="R96" s="7" t="str">
        <f>IF(E96="","",VLOOKUP(E96,[1]DATA!$A$2:$AG$2452,10,FALSE))</f>
        <v/>
      </c>
      <c r="S96" s="7" t="str">
        <f>IF(E96="","",VLOOKUP(E96,[1]DATA!$A$2:$AG$2452,2,FALSE))</f>
        <v/>
      </c>
    </row>
    <row r="97" spans="1:19" x14ac:dyDescent="0.3">
      <c r="A97" s="5" t="str">
        <f t="shared" si="11"/>
        <v/>
      </c>
      <c r="B97" s="6" t="str">
        <f t="shared" si="10"/>
        <v/>
      </c>
      <c r="C97" s="7"/>
      <c r="D97" s="8"/>
      <c r="E97" s="9"/>
      <c r="F97" s="10"/>
      <c r="G97" s="10"/>
      <c r="H97" s="11"/>
      <c r="I97" s="7" t="str">
        <f>IF(E97="","",VLOOKUP(E97,[1]DATA!$A$2:$AG$2452,5,FALSE))</f>
        <v/>
      </c>
      <c r="J97" s="12" t="str">
        <f t="shared" si="6"/>
        <v/>
      </c>
      <c r="K97" s="13" t="str">
        <f>IF(E97="","",SUMIFS([2]단가!$E:$E,[2]단가!$A:$A,출하일보전송용260416!$C97,[2]단가!$B:$B,출하일보전송용260416!$E97))</f>
        <v/>
      </c>
      <c r="L97" s="14" t="str">
        <f t="shared" si="7"/>
        <v/>
      </c>
      <c r="M97" s="15" t="str">
        <f>IF(H97="","",IF(H97&lt;50,VLOOKUP(C97,[1]운반비기준!$A$2:$D$3036,3,FALSE)))</f>
        <v/>
      </c>
      <c r="N97" s="15" t="str">
        <f>IF(H97="","",IF(H97&gt;51,VLOOKUP(C97,[1]운반비기준!$A$2:$D$3036,4,FALSE)))</f>
        <v/>
      </c>
      <c r="O97" s="16" t="str">
        <f t="shared" si="8"/>
        <v/>
      </c>
      <c r="Q97" s="16" t="str">
        <f t="shared" si="9"/>
        <v/>
      </c>
      <c r="R97" s="7" t="str">
        <f>IF(E97="","",VLOOKUP(E97,[1]DATA!$A$2:$AG$2452,10,FALSE))</f>
        <v/>
      </c>
      <c r="S97" s="7" t="str">
        <f>IF(E97="","",VLOOKUP(E97,[1]DATA!$A$2:$AG$2452,2,FALSE))</f>
        <v/>
      </c>
    </row>
    <row r="98" spans="1:19" x14ac:dyDescent="0.3">
      <c r="A98" s="5" t="str">
        <f t="shared" si="11"/>
        <v/>
      </c>
      <c r="B98" s="6" t="str">
        <f t="shared" si="10"/>
        <v/>
      </c>
      <c r="C98" s="7"/>
      <c r="D98" s="8"/>
      <c r="E98" s="9"/>
      <c r="F98" s="10"/>
      <c r="G98" s="10"/>
      <c r="H98" s="11"/>
      <c r="I98" s="7" t="str">
        <f>IF(E98="","",VLOOKUP(E98,[1]DATA!$A$2:$AG$2452,5,FALSE))</f>
        <v/>
      </c>
      <c r="J98" s="12" t="str">
        <f t="shared" si="6"/>
        <v/>
      </c>
      <c r="K98" s="13" t="str">
        <f>IF(E98="","",SUMIFS([2]단가!$E:$E,[2]단가!$A:$A,출하일보전송용260416!$C98,[2]단가!$B:$B,출하일보전송용260416!$E98))</f>
        <v/>
      </c>
      <c r="L98" s="14" t="str">
        <f t="shared" si="7"/>
        <v/>
      </c>
      <c r="M98" s="15" t="str">
        <f>IF(H98="","",IF(H98&lt;50,VLOOKUP(C98,[1]운반비기준!$A$2:$D$3036,3,FALSE)))</f>
        <v/>
      </c>
      <c r="N98" s="15" t="str">
        <f>IF(H98="","",IF(H98&gt;51,VLOOKUP(C98,[1]운반비기준!$A$2:$D$3036,4,FALSE)))</f>
        <v/>
      </c>
      <c r="O98" s="16" t="str">
        <f t="shared" si="8"/>
        <v/>
      </c>
      <c r="Q98" s="16" t="str">
        <f t="shared" si="9"/>
        <v/>
      </c>
      <c r="R98" s="7" t="str">
        <f>IF(E98="","",VLOOKUP(E98,[1]DATA!$A$2:$AG$2452,10,FALSE))</f>
        <v/>
      </c>
      <c r="S98" s="7" t="str">
        <f>IF(E98="","",VLOOKUP(E98,[1]DATA!$A$2:$AG$2452,2,FALSE))</f>
        <v/>
      </c>
    </row>
    <row r="99" spans="1:19" x14ac:dyDescent="0.3">
      <c r="A99" s="5" t="str">
        <f t="shared" si="11"/>
        <v/>
      </c>
      <c r="B99" s="6" t="str">
        <f t="shared" si="10"/>
        <v/>
      </c>
      <c r="C99" s="7"/>
      <c r="D99" s="8"/>
      <c r="E99" s="9"/>
      <c r="F99" s="10"/>
      <c r="G99" s="10"/>
      <c r="H99" s="11"/>
      <c r="I99" s="7" t="str">
        <f>IF(E99="","",VLOOKUP(E99,[1]DATA!$A$2:$AG$2452,5,FALSE))</f>
        <v/>
      </c>
      <c r="J99" s="12" t="str">
        <f t="shared" si="6"/>
        <v/>
      </c>
      <c r="K99" s="13" t="str">
        <f>IF(E99="","",SUMIFS([2]단가!$E:$E,[2]단가!$A:$A,출하일보전송용260416!$C99,[2]단가!$B:$B,출하일보전송용260416!$E99))</f>
        <v/>
      </c>
      <c r="L99" s="14" t="str">
        <f t="shared" si="7"/>
        <v/>
      </c>
      <c r="M99" s="15" t="str">
        <f>IF(H99="","",IF(H99&lt;50,VLOOKUP(C99,[1]운반비기준!$A$2:$D$3036,3,FALSE)))</f>
        <v/>
      </c>
      <c r="N99" s="15" t="str">
        <f>IF(H99="","",IF(H99&gt;51,VLOOKUP(C99,[1]운반비기준!$A$2:$D$3036,4,FALSE)))</f>
        <v/>
      </c>
      <c r="O99" s="16" t="str">
        <f t="shared" si="8"/>
        <v/>
      </c>
      <c r="Q99" s="16" t="str">
        <f t="shared" si="9"/>
        <v/>
      </c>
      <c r="R99" s="7" t="str">
        <f>IF(E99="","",VLOOKUP(E99,[1]DATA!$A$2:$AG$2452,10,FALSE))</f>
        <v/>
      </c>
      <c r="S99" s="7" t="str">
        <f>IF(E99="","",VLOOKUP(E99,[1]DATA!$A$2:$AG$2452,2,FALSE))</f>
        <v/>
      </c>
    </row>
    <row r="100" spans="1:19" x14ac:dyDescent="0.3">
      <c r="A100" s="5" t="str">
        <f t="shared" si="11"/>
        <v/>
      </c>
      <c r="B100" s="6" t="str">
        <f t="shared" si="10"/>
        <v/>
      </c>
      <c r="C100" s="7"/>
      <c r="D100" s="8"/>
      <c r="E100" s="9"/>
      <c r="F100" s="10"/>
      <c r="G100" s="10"/>
      <c r="H100" s="11"/>
      <c r="I100" s="7" t="str">
        <f>IF(E100="","",VLOOKUP(E100,[1]DATA!$A$2:$AG$2452,5,FALSE))</f>
        <v/>
      </c>
      <c r="J100" s="12" t="str">
        <f t="shared" si="6"/>
        <v/>
      </c>
      <c r="K100" s="13" t="str">
        <f>IF(E100="","",SUMIFS([2]단가!$E:$E,[2]단가!$A:$A,출하일보전송용260416!$C100,[2]단가!$B:$B,출하일보전송용260416!$E100))</f>
        <v/>
      </c>
      <c r="L100" s="14" t="str">
        <f t="shared" si="7"/>
        <v/>
      </c>
      <c r="M100" s="15" t="str">
        <f>IF(H100="","",IF(H100&lt;50,VLOOKUP(C100,[1]운반비기준!$A$2:$D$3036,3,FALSE)))</f>
        <v/>
      </c>
      <c r="N100" s="15" t="str">
        <f>IF(H100="","",IF(H100&gt;51,VLOOKUP(C100,[1]운반비기준!$A$2:$D$3036,4,FALSE)))</f>
        <v/>
      </c>
      <c r="O100" s="16" t="str">
        <f t="shared" si="8"/>
        <v/>
      </c>
      <c r="Q100" s="16" t="str">
        <f t="shared" si="9"/>
        <v/>
      </c>
      <c r="R100" s="7" t="str">
        <f>IF(E100="","",VLOOKUP(E100,[1]DATA!$A$2:$AG$2452,10,FALSE))</f>
        <v/>
      </c>
      <c r="S100" s="7" t="str">
        <f>IF(E100="","",VLOOKUP(E100,[1]DATA!$A$2:$AG$2452,2,FALSE))</f>
        <v/>
      </c>
    </row>
    <row r="101" spans="1:19" x14ac:dyDescent="0.3">
      <c r="A101" s="5" t="str">
        <f t="shared" si="11"/>
        <v/>
      </c>
      <c r="B101" s="6" t="str">
        <f t="shared" si="10"/>
        <v/>
      </c>
      <c r="C101" s="7"/>
      <c r="D101" s="8"/>
      <c r="E101" s="9"/>
      <c r="F101" s="10"/>
      <c r="G101" s="10"/>
      <c r="H101" s="11"/>
      <c r="I101" s="7" t="str">
        <f>IF(E101="","",VLOOKUP(E101,[1]DATA!$A$2:$AG$2452,5,FALSE))</f>
        <v/>
      </c>
      <c r="J101" s="12" t="str">
        <f t="shared" si="6"/>
        <v/>
      </c>
      <c r="K101" s="13" t="str">
        <f>IF(E101="","",SUMIFS([2]단가!$E:$E,[2]단가!$A:$A,출하일보전송용260416!$C101,[2]단가!$B:$B,출하일보전송용260416!$E101))</f>
        <v/>
      </c>
      <c r="L101" s="14" t="str">
        <f t="shared" si="7"/>
        <v/>
      </c>
      <c r="M101" s="15" t="str">
        <f>IF(H101="","",IF(H101&lt;50,VLOOKUP(C101,[1]운반비기준!$A$2:$D$3036,3,FALSE)))</f>
        <v/>
      </c>
      <c r="N101" s="15" t="str">
        <f>IF(H101="","",IF(H101&gt;51,VLOOKUP(C101,[1]운반비기준!$A$2:$D$3036,4,FALSE)))</f>
        <v/>
      </c>
      <c r="O101" s="16" t="str">
        <f t="shared" si="8"/>
        <v/>
      </c>
      <c r="Q101" s="16" t="str">
        <f t="shared" si="9"/>
        <v/>
      </c>
      <c r="R101" s="7" t="str">
        <f>IF(E101="","",VLOOKUP(E101,[1]DATA!$A$2:$AG$2452,10,FALSE))</f>
        <v/>
      </c>
      <c r="S101" s="7" t="str">
        <f>IF(E101="","",VLOOKUP(E101,[1]DATA!$A$2:$AG$2452,2,FALSE))</f>
        <v/>
      </c>
    </row>
    <row r="102" spans="1:19" x14ac:dyDescent="0.3">
      <c r="A102" s="5" t="str">
        <f>IF(E102="","",(A101+1))</f>
        <v/>
      </c>
      <c r="B102" s="6" t="str">
        <f t="shared" si="10"/>
        <v/>
      </c>
      <c r="C102" s="7"/>
      <c r="D102" s="8"/>
      <c r="E102" s="9"/>
      <c r="F102" s="10"/>
      <c r="G102" s="10"/>
      <c r="H102" s="11"/>
      <c r="I102" s="7" t="str">
        <f>IF(E102="","",VLOOKUP(E102,[1]DATA!$A$2:$AG$2452,5,FALSE))</f>
        <v/>
      </c>
      <c r="J102" s="12" t="str">
        <f t="shared" si="6"/>
        <v/>
      </c>
      <c r="K102" s="13" t="str">
        <f>IF(E102="","",SUMIFS([2]단가!$E:$E,[2]단가!$A:$A,출하일보전송용260416!$C102,[2]단가!$B:$B,출하일보전송용260416!$E102))</f>
        <v/>
      </c>
      <c r="L102" s="14" t="str">
        <f t="shared" si="7"/>
        <v/>
      </c>
      <c r="M102" s="15" t="str">
        <f>IF(H102="","",IF(H102&lt;50,VLOOKUP(C102,[1]운반비기준!$A$2:$D$3036,3,FALSE)))</f>
        <v/>
      </c>
      <c r="N102" s="15" t="str">
        <f>IF(H102="","",IF(H102&gt;51,VLOOKUP(C102,[1]운반비기준!$A$2:$D$3036,4,FALSE)))</f>
        <v/>
      </c>
      <c r="O102" s="16" t="str">
        <f t="shared" si="8"/>
        <v/>
      </c>
      <c r="Q102" s="16" t="str">
        <f t="shared" si="9"/>
        <v/>
      </c>
      <c r="R102" s="7" t="str">
        <f>IF(E102="","",VLOOKUP(E102,[1]DATA!$A$2:$AG$2452,10,FALSE))</f>
        <v/>
      </c>
      <c r="S102" s="7" t="str">
        <f>IF(E102="","",VLOOKUP(E102,[1]DATA!$A$2:$AG$2452,2,FALSE))</f>
        <v/>
      </c>
    </row>
    <row r="103" spans="1:19" x14ac:dyDescent="0.3">
      <c r="A103" s="5" t="str">
        <f t="shared" ref="A103:A109" si="12">IF(E103="","",(A102+1))</f>
        <v/>
      </c>
      <c r="B103" s="6" t="str">
        <f t="shared" si="10"/>
        <v/>
      </c>
      <c r="C103" s="7"/>
      <c r="D103" s="8"/>
      <c r="E103" s="9"/>
      <c r="F103" s="10"/>
      <c r="G103" s="10"/>
      <c r="H103" s="11"/>
      <c r="I103" s="7" t="str">
        <f>IF(E103="","",VLOOKUP(E103,[1]DATA!$A$2:$AG$2452,5,FALSE))</f>
        <v/>
      </c>
      <c r="J103" s="12" t="str">
        <f t="shared" si="6"/>
        <v/>
      </c>
      <c r="K103" s="13" t="str">
        <f>IF(E103="","",SUMIFS([2]단가!$E:$E,[2]단가!$A:$A,출하일보전송용260416!$C103,[2]단가!$B:$B,출하일보전송용260416!$E103))</f>
        <v/>
      </c>
      <c r="L103" s="14" t="str">
        <f t="shared" si="7"/>
        <v/>
      </c>
      <c r="M103" s="15" t="str">
        <f>IF(H103="","",IF(H103&lt;50,VLOOKUP(C103,[1]운반비기준!$A$2:$D$3036,3,FALSE)))</f>
        <v/>
      </c>
      <c r="N103" s="15" t="str">
        <f>IF(H103="","",IF(H103&gt;51,VLOOKUP(C103,[1]운반비기준!$A$2:$D$3036,4,FALSE)))</f>
        <v/>
      </c>
      <c r="O103" s="16" t="str">
        <f t="shared" si="8"/>
        <v/>
      </c>
      <c r="Q103" s="16" t="str">
        <f t="shared" si="9"/>
        <v/>
      </c>
      <c r="R103" s="7" t="str">
        <f>IF(E103="","",VLOOKUP(E103,[1]DATA!$A$2:$AG$2452,10,FALSE))</f>
        <v/>
      </c>
      <c r="S103" s="7" t="str">
        <f>IF(E103="","",VLOOKUP(E103,[1]DATA!$A$2:$AG$2452,2,FALSE))</f>
        <v/>
      </c>
    </row>
    <row r="104" spans="1:19" x14ac:dyDescent="0.3">
      <c r="A104" s="5" t="str">
        <f t="shared" si="12"/>
        <v/>
      </c>
      <c r="B104" s="6" t="str">
        <f t="shared" si="10"/>
        <v/>
      </c>
      <c r="C104" s="7"/>
      <c r="D104" s="8"/>
      <c r="E104" s="9"/>
      <c r="F104" s="10"/>
      <c r="G104" s="10"/>
      <c r="H104" s="11"/>
      <c r="I104" s="7" t="str">
        <f>IF(E104="","",VLOOKUP(E104,[1]DATA!$A$2:$AG$2452,5,FALSE))</f>
        <v/>
      </c>
      <c r="J104" s="12" t="str">
        <f t="shared" si="6"/>
        <v/>
      </c>
      <c r="K104" s="13" t="str">
        <f>IF(E104="","",SUMIFS([2]단가!$E:$E,[2]단가!$A:$A,출하일보전송용260416!$C104,[2]단가!$B:$B,출하일보전송용260416!$E104))</f>
        <v/>
      </c>
      <c r="L104" s="14" t="str">
        <f t="shared" si="7"/>
        <v/>
      </c>
      <c r="M104" s="15" t="str">
        <f>IF(H104="","",IF(H104&lt;50,VLOOKUP(C104,[1]운반비기준!$A$2:$D$3036,3,FALSE)))</f>
        <v/>
      </c>
      <c r="N104" s="15" t="str">
        <f>IF(H104="","",IF(H104&gt;51,VLOOKUP(C104,[1]운반비기준!$A$2:$D$3036,4,FALSE)))</f>
        <v/>
      </c>
      <c r="O104" s="16" t="str">
        <f t="shared" si="8"/>
        <v/>
      </c>
      <c r="Q104" s="16" t="str">
        <f t="shared" si="9"/>
        <v/>
      </c>
      <c r="R104" s="7" t="str">
        <f>IF(E104="","",VLOOKUP(E104,[1]DATA!$A$2:$AG$2452,10,FALSE))</f>
        <v/>
      </c>
      <c r="S104" s="7" t="str">
        <f>IF(E104="","",VLOOKUP(E104,[1]DATA!$A$2:$AG$2452,2,FALSE))</f>
        <v/>
      </c>
    </row>
    <row r="105" spans="1:19" x14ac:dyDescent="0.3">
      <c r="A105" s="5" t="str">
        <f t="shared" si="12"/>
        <v/>
      </c>
      <c r="B105" s="6" t="str">
        <f t="shared" si="10"/>
        <v/>
      </c>
      <c r="C105" s="7"/>
      <c r="D105" s="8"/>
      <c r="E105" s="9"/>
      <c r="F105" s="10"/>
      <c r="G105" s="10"/>
      <c r="H105" s="11"/>
      <c r="I105" s="7" t="str">
        <f>IF(E105="","",VLOOKUP(E105,[1]DATA!$A$2:$AG$2452,5,FALSE))</f>
        <v/>
      </c>
      <c r="J105" s="12" t="str">
        <f t="shared" si="6"/>
        <v/>
      </c>
      <c r="K105" s="13" t="str">
        <f>IF(E105="","",SUMIFS([2]단가!$E:$E,[2]단가!$A:$A,출하일보전송용260416!$C105,[2]단가!$B:$B,출하일보전송용260416!$E105))</f>
        <v/>
      </c>
      <c r="L105" s="14" t="str">
        <f t="shared" si="7"/>
        <v/>
      </c>
      <c r="M105" s="15" t="str">
        <f>IF(H105="","",IF(H105&lt;50,VLOOKUP(C105,[1]운반비기준!$A$2:$D$3036,3,FALSE)))</f>
        <v/>
      </c>
      <c r="N105" s="15" t="str">
        <f>IF(H105="","",IF(H105&gt;51,VLOOKUP(C105,[1]운반비기준!$A$2:$D$3036,4,FALSE)))</f>
        <v/>
      </c>
      <c r="O105" s="16" t="str">
        <f t="shared" si="8"/>
        <v/>
      </c>
      <c r="Q105" s="16" t="str">
        <f t="shared" si="9"/>
        <v/>
      </c>
      <c r="R105" s="7" t="str">
        <f>IF(E105="","",VLOOKUP(E105,[1]DATA!$A$2:$AG$2452,10,FALSE))</f>
        <v/>
      </c>
      <c r="S105" s="7" t="str">
        <f>IF(E105="","",VLOOKUP(E105,[1]DATA!$A$2:$AG$2452,2,FALSE))</f>
        <v/>
      </c>
    </row>
    <row r="106" spans="1:19" x14ac:dyDescent="0.3">
      <c r="A106" s="5" t="str">
        <f>IF(E106="","",(A105+1))</f>
        <v/>
      </c>
      <c r="B106" s="6" t="str">
        <f>IF(E106="","",(B105))</f>
        <v/>
      </c>
      <c r="C106" s="7"/>
      <c r="D106" s="8"/>
      <c r="E106" s="9"/>
      <c r="F106" s="10"/>
      <c r="G106" s="10"/>
      <c r="H106" s="11"/>
      <c r="I106" s="7" t="str">
        <f>IF(E106="","",VLOOKUP(E106,[1]DATA!$A$2:$AG$2452,5,FALSE))</f>
        <v/>
      </c>
      <c r="J106" s="12" t="str">
        <f t="shared" si="6"/>
        <v/>
      </c>
      <c r="K106" s="13" t="str">
        <f>IF(E106="","",SUMIFS([2]단가!$E:$E,[2]단가!$A:$A,출하일보전송용260416!$C106,[2]단가!$B:$B,출하일보전송용260416!$E106))</f>
        <v/>
      </c>
      <c r="L106" s="14" t="str">
        <f t="shared" si="7"/>
        <v/>
      </c>
      <c r="M106" s="15" t="str">
        <f>IF(H106="","",IF(H106&lt;50,VLOOKUP(C106,[1]운반비기준!$A$2:$D$3036,3,FALSE)))</f>
        <v/>
      </c>
      <c r="N106" s="15" t="str">
        <f>IF(H106="","",IF(H106&gt;51,VLOOKUP(C106,[1]운반비기준!$A$2:$D$3036,4,FALSE)))</f>
        <v/>
      </c>
      <c r="O106" s="16" t="str">
        <f t="shared" si="8"/>
        <v/>
      </c>
      <c r="Q106" s="16" t="str">
        <f t="shared" si="9"/>
        <v/>
      </c>
      <c r="R106" s="7" t="str">
        <f>IF(E106="","",VLOOKUP(E106,[1]DATA!$A$2:$AG$2452,10,FALSE))</f>
        <v/>
      </c>
      <c r="S106" s="7" t="str">
        <f>IF(E106="","",VLOOKUP(E106,[1]DATA!$A$2:$AG$2452,2,FALSE))</f>
        <v/>
      </c>
    </row>
    <row r="107" spans="1:19" x14ac:dyDescent="0.3">
      <c r="A107" s="5" t="str">
        <f t="shared" si="12"/>
        <v/>
      </c>
      <c r="B107" s="6" t="str">
        <f t="shared" si="10"/>
        <v/>
      </c>
      <c r="C107" s="7"/>
      <c r="D107" s="8"/>
      <c r="E107" s="9"/>
      <c r="F107" s="10"/>
      <c r="G107" s="10"/>
      <c r="H107" s="11"/>
      <c r="I107" s="7" t="str">
        <f>IF(E107="","",VLOOKUP(E107,[1]DATA!$A$2:$AG$2452,5,FALSE))</f>
        <v/>
      </c>
      <c r="J107" s="12" t="str">
        <f t="shared" si="6"/>
        <v/>
      </c>
      <c r="K107" s="13" t="str">
        <f>IF(E107="","",SUMIFS([2]단가!$E:$E,[2]단가!$A:$A,출하일보전송용260416!$C107,[2]단가!$B:$B,출하일보전송용260416!$E107))</f>
        <v/>
      </c>
      <c r="L107" s="14" t="str">
        <f t="shared" si="7"/>
        <v/>
      </c>
      <c r="M107" s="15" t="str">
        <f>IF(H107="","",IF(H107&lt;50,VLOOKUP(C107,[1]운반비기준!$A$2:$D$3036,3,FALSE)))</f>
        <v/>
      </c>
      <c r="N107" s="15" t="str">
        <f>IF(H107="","",IF(H107&gt;51,VLOOKUP(C107,[1]운반비기준!$A$2:$D$3036,4,FALSE)))</f>
        <v/>
      </c>
      <c r="O107" s="16" t="str">
        <f t="shared" si="8"/>
        <v/>
      </c>
      <c r="Q107" s="16" t="str">
        <f t="shared" si="9"/>
        <v/>
      </c>
      <c r="R107" s="7" t="str">
        <f>IF(E107="","",VLOOKUP(E107,[1]DATA!$A$2:$AG$2452,10,FALSE))</f>
        <v/>
      </c>
      <c r="S107" s="7" t="str">
        <f>IF(E107="","",VLOOKUP(E107,[1]DATA!$A$2:$AG$2452,2,FALSE))</f>
        <v/>
      </c>
    </row>
    <row r="108" spans="1:19" x14ac:dyDescent="0.3">
      <c r="A108" s="5" t="str">
        <f t="shared" si="12"/>
        <v/>
      </c>
      <c r="B108" s="6" t="str">
        <f t="shared" si="10"/>
        <v/>
      </c>
      <c r="C108" s="7"/>
      <c r="D108" s="8"/>
      <c r="E108" s="9"/>
      <c r="F108" s="10"/>
      <c r="G108" s="10"/>
      <c r="H108" s="11"/>
      <c r="I108" s="7" t="str">
        <f>IF(E108="","",VLOOKUP(E108,[1]DATA!$A$2:$AG$2452,5,FALSE))</f>
        <v/>
      </c>
      <c r="J108" s="12" t="str">
        <f t="shared" si="6"/>
        <v/>
      </c>
      <c r="K108" s="13" t="str">
        <f>IF(E108="","",SUMIFS([2]단가!$E:$E,[2]단가!$A:$A,출하일보전송용260416!$C108,[2]단가!$B:$B,출하일보전송용260416!$E108))</f>
        <v/>
      </c>
      <c r="L108" s="14" t="str">
        <f t="shared" si="7"/>
        <v/>
      </c>
      <c r="M108" s="15" t="str">
        <f>IF(H108="","",IF(H108&lt;50,VLOOKUP(C108,[1]운반비기준!$A$2:$D$3036,3,FALSE)))</f>
        <v/>
      </c>
      <c r="N108" s="15" t="str">
        <f>IF(H108="","",IF(H108&gt;51,VLOOKUP(C108,[1]운반비기준!$A$2:$D$3036,4,FALSE)))</f>
        <v/>
      </c>
      <c r="O108" s="16" t="str">
        <f t="shared" si="8"/>
        <v/>
      </c>
      <c r="Q108" s="16" t="str">
        <f t="shared" si="9"/>
        <v/>
      </c>
      <c r="R108" s="7" t="str">
        <f>IF(E108="","",VLOOKUP(E108,[1]DATA!$A$2:$AG$2452,10,FALSE))</f>
        <v/>
      </c>
      <c r="S108" s="7" t="str">
        <f>IF(E108="","",VLOOKUP(E108,[1]DATA!$A$2:$AG$2452,2,FALSE))</f>
        <v/>
      </c>
    </row>
    <row r="109" spans="1:19" x14ac:dyDescent="0.3">
      <c r="A109" s="5" t="str">
        <f t="shared" si="12"/>
        <v/>
      </c>
      <c r="B109" s="6" t="str">
        <f t="shared" si="10"/>
        <v/>
      </c>
      <c r="C109" s="7"/>
      <c r="D109" s="8"/>
      <c r="E109" s="9"/>
      <c r="F109" s="10"/>
      <c r="G109" s="10"/>
      <c r="H109" s="11"/>
      <c r="I109" s="7" t="str">
        <f>IF(E109="","",VLOOKUP(E109,[1]DATA!$A$2:$AG$2452,5,FALSE))</f>
        <v/>
      </c>
      <c r="J109" s="12" t="str">
        <f>IF(E109="","",(G109*I109/1000))</f>
        <v/>
      </c>
      <c r="K109" s="13" t="str">
        <f>IF(E109="","",SUMIFS([2]단가!$E:$E,[2]단가!$A:$A,출하일보전송용260416!$C109,[2]단가!$B:$B,출하일보전송용260416!$E109))</f>
        <v/>
      </c>
      <c r="L109" s="14" t="str">
        <f>IF(E109="","",(G109*K109))</f>
        <v/>
      </c>
      <c r="M109" s="15" t="str">
        <f>IF(H109="","",IF(H109&lt;50,VLOOKUP(C109,[1]운반비기준!$A$2:$D$3036,3,FALSE)))</f>
        <v/>
      </c>
      <c r="N109" s="15" t="str">
        <f>IF(H109="","",IF(H109&gt;51,VLOOKUP(C109,[1]운반비기준!$A$2:$D$3036,4,FALSE)))</f>
        <v/>
      </c>
      <c r="O109" s="16" t="str">
        <f>IF(H109="","",(M109+N109))</f>
        <v/>
      </c>
      <c r="Q109" s="16" t="str">
        <f>IF(H109="","",(O109+P109))</f>
        <v/>
      </c>
      <c r="R109" s="7" t="str">
        <f>IF(E109="","",VLOOKUP(E109,[1]DATA!$A$2:$AG$2452,10,FALSE))</f>
        <v/>
      </c>
      <c r="S109" s="7" t="str">
        <f>IF(E109="","",VLOOKUP(E109,[1]DATA!$A$2:$AG$2452,2,FALSE))</f>
        <v/>
      </c>
    </row>
    <row r="110" spans="1:19" x14ac:dyDescent="0.3">
      <c r="A110" s="5" t="str">
        <f>IF(E110="","",(A106+1))</f>
        <v/>
      </c>
      <c r="B110" s="6" t="str">
        <f t="shared" si="10"/>
        <v/>
      </c>
      <c r="C110" s="7"/>
      <c r="D110" s="8"/>
      <c r="E110" s="9"/>
      <c r="F110" s="10"/>
      <c r="G110" s="10"/>
      <c r="H110" s="11"/>
      <c r="I110" s="7" t="str">
        <f>IF(E110="","",VLOOKUP(E110,[1]DATA!$A$2:$AG$2452,5,FALSE))</f>
        <v/>
      </c>
      <c r="J110" s="12" t="str">
        <f>IF(E110="","",(G110*I110/1000))</f>
        <v/>
      </c>
      <c r="K110" s="13" t="str">
        <f>IF(E110="","",SUMIFS([2]단가!$E:$E,[2]단가!$A:$A,출하일보전송용260416!$C110,[2]단가!$B:$B,출하일보전송용260416!$E110))</f>
        <v/>
      </c>
      <c r="L110" s="14" t="str">
        <f>IF(E110="","",(G110*K110))</f>
        <v/>
      </c>
      <c r="M110" s="15" t="str">
        <f>IF(H110="","",IF(H110&lt;50,VLOOKUP(C110,[1]운반비기준!$A$2:$D$3036,3,FALSE)))</f>
        <v/>
      </c>
      <c r="N110" s="15" t="str">
        <f>IF(H110="","",IF(H110&gt;51,VLOOKUP(C110,[1]운반비기준!$A$2:$D$3036,4,FALSE)))</f>
        <v/>
      </c>
      <c r="O110" s="16" t="str">
        <f>IF(H110="","",(M110+N110))</f>
        <v/>
      </c>
      <c r="Q110" s="16" t="str">
        <f>IF(H110="","",(O110+P110))</f>
        <v/>
      </c>
      <c r="R110" s="7" t="str">
        <f>IF(E110="","",VLOOKUP(E110,[1]DATA!$A$2:$AG$2452,10,FALSE))</f>
        <v/>
      </c>
      <c r="S110" s="7" t="str">
        <f>IF(E110="","",VLOOKUP(E110,[1]DATA!$A$2:$AG$2452,2,FALSE))</f>
        <v/>
      </c>
    </row>
    <row r="111" spans="1:19" x14ac:dyDescent="0.3">
      <c r="C111" s="21"/>
      <c r="D111" s="8"/>
      <c r="E111" s="8"/>
      <c r="F111" s="10"/>
      <c r="G111" s="10"/>
      <c r="H111" s="10"/>
      <c r="I111" s="22" t="s">
        <v>77</v>
      </c>
      <c r="J111" s="23">
        <f>SUM(J2:J110)/1000</f>
        <v>0</v>
      </c>
      <c r="K111" s="24"/>
      <c r="L111" s="25" t="e">
        <f>SUM(L2:L110)</f>
        <v>#VALUE!</v>
      </c>
      <c r="M111" s="25"/>
      <c r="N111" s="26"/>
      <c r="O111" s="27" t="e">
        <f>L111/J111/1000/1000</f>
        <v>#VALUE!</v>
      </c>
      <c r="P111" s="28" t="s">
        <v>78</v>
      </c>
      <c r="Q111" s="28">
        <f>SUM(Q2:Q110)</f>
        <v>1761000</v>
      </c>
      <c r="R111" s="27" t="e">
        <f>(L111-Q111)/J111/1000/1000</f>
        <v>#VALUE!</v>
      </c>
    </row>
    <row r="112" spans="1:19" x14ac:dyDescent="0.3">
      <c r="C112" s="21"/>
      <c r="D112" s="8"/>
      <c r="E112" s="8"/>
      <c r="F112" s="10"/>
      <c r="G112" s="10"/>
      <c r="H112" s="10"/>
      <c r="I112" s="23" t="s">
        <v>79</v>
      </c>
      <c r="J112" s="23">
        <v>56.8</v>
      </c>
      <c r="K112" s="24"/>
      <c r="L112" s="25">
        <v>373949707</v>
      </c>
      <c r="M112" s="25"/>
      <c r="N112" s="26"/>
      <c r="O112" s="28"/>
      <c r="P112" s="28" t="s">
        <v>80</v>
      </c>
      <c r="Q112" s="29" t="e">
        <f>Q111/L111</f>
        <v>#VALUE!</v>
      </c>
    </row>
    <row r="113" spans="3:17" x14ac:dyDescent="0.3">
      <c r="C113" s="21"/>
      <c r="D113" s="8"/>
      <c r="E113" s="8"/>
      <c r="F113" s="10"/>
      <c r="G113" s="10"/>
      <c r="H113" s="10"/>
      <c r="I113" s="23" t="s">
        <v>81</v>
      </c>
      <c r="J113" s="23">
        <f>J112+J111</f>
        <v>56.8</v>
      </c>
      <c r="K113" s="24"/>
      <c r="L113" s="25" t="e">
        <f>+SUM(L111:M112)</f>
        <v>#VALUE!</v>
      </c>
      <c r="M113" s="25"/>
      <c r="N113" s="26"/>
      <c r="O113" s="28"/>
      <c r="P113" s="28"/>
      <c r="Q113" s="28"/>
    </row>
    <row r="114" spans="3:17" x14ac:dyDescent="0.3">
      <c r="C114" s="21"/>
      <c r="D114" s="8"/>
      <c r="E114" s="8"/>
      <c r="F114" s="10"/>
      <c r="G114" s="10"/>
      <c r="H114" s="10"/>
      <c r="I114" s="21"/>
      <c r="J114" s="30">
        <f>SUBTOTAL(9,J2:J19)</f>
        <v>0</v>
      </c>
      <c r="K114" s="31"/>
      <c r="L114" s="30"/>
      <c r="M114" s="26"/>
      <c r="N114" s="26"/>
      <c r="O114" s="28"/>
      <c r="P114" s="28"/>
      <c r="Q114" s="30"/>
    </row>
    <row r="115" spans="3:17" x14ac:dyDescent="0.3">
      <c r="C115" s="21"/>
      <c r="D115" s="8"/>
      <c r="E115" s="8"/>
      <c r="F115" s="10"/>
      <c r="G115" s="10"/>
      <c r="H115" s="10"/>
      <c r="I115" s="21"/>
      <c r="J115" s="32"/>
      <c r="K115" s="31"/>
      <c r="L115" s="30"/>
      <c r="M115" s="26"/>
      <c r="N115" s="33"/>
      <c r="O115" s="28"/>
      <c r="P115" s="28"/>
      <c r="Q115" s="28"/>
    </row>
    <row r="116" spans="3:17" x14ac:dyDescent="0.3">
      <c r="C116" s="21"/>
      <c r="D116" s="8"/>
      <c r="E116" s="8"/>
      <c r="F116" s="10"/>
      <c r="G116" s="18"/>
      <c r="H116" s="10"/>
      <c r="I116" s="21"/>
      <c r="J116" s="32"/>
      <c r="K116" s="31"/>
      <c r="L116" s="30"/>
      <c r="M116" s="26"/>
      <c r="N116" s="26"/>
      <c r="O116" s="28"/>
      <c r="P116" s="28"/>
      <c r="Q116" s="28"/>
    </row>
    <row r="117" spans="3:17" x14ac:dyDescent="0.3">
      <c r="C117" s="21"/>
      <c r="D117" s="8"/>
      <c r="E117" s="8"/>
      <c r="F117" s="10"/>
      <c r="G117" s="10"/>
      <c r="H117" s="10"/>
      <c r="I117" s="21"/>
      <c r="J117" s="32"/>
      <c r="K117" s="31"/>
      <c r="L117" s="30"/>
      <c r="M117" s="26"/>
      <c r="N117" s="26"/>
      <c r="O117" s="28"/>
      <c r="P117" s="28"/>
      <c r="Q117" s="28"/>
    </row>
    <row r="118" spans="3:17" x14ac:dyDescent="0.3">
      <c r="C118" s="21"/>
      <c r="D118" s="8"/>
      <c r="E118" s="8"/>
      <c r="F118" s="10"/>
      <c r="G118" s="10"/>
      <c r="H118" s="10"/>
      <c r="I118" s="21"/>
      <c r="J118" s="32"/>
      <c r="K118" s="31"/>
      <c r="L118" s="30"/>
      <c r="M118" s="26"/>
      <c r="N118" s="26"/>
      <c r="O118" s="28"/>
      <c r="P118" s="28"/>
      <c r="Q118" s="28"/>
    </row>
    <row r="119" spans="3:17" x14ac:dyDescent="0.3">
      <c r="C119" s="21"/>
      <c r="D119" s="8"/>
      <c r="E119" s="34"/>
      <c r="F119" s="10"/>
      <c r="G119" s="10"/>
      <c r="H119" s="10"/>
      <c r="I119" s="21"/>
      <c r="J119" s="32"/>
      <c r="K119" s="31"/>
      <c r="L119" s="30"/>
      <c r="M119" s="26"/>
      <c r="N119" s="26"/>
      <c r="O119" s="28"/>
      <c r="P119" s="28"/>
      <c r="Q119" s="28"/>
    </row>
    <row r="120" spans="3:17" x14ac:dyDescent="0.3">
      <c r="C120" s="21"/>
      <c r="D120" s="8"/>
      <c r="E120" s="8"/>
      <c r="F120" s="10"/>
      <c r="G120" s="10"/>
      <c r="H120" s="10"/>
      <c r="I120" s="21"/>
      <c r="J120" s="32"/>
      <c r="K120" s="31"/>
      <c r="L120" s="30"/>
      <c r="M120" s="26"/>
      <c r="N120" s="26"/>
      <c r="O120" s="28"/>
      <c r="P120" s="28"/>
      <c r="Q120" s="28"/>
    </row>
    <row r="121" spans="3:17" x14ac:dyDescent="0.3">
      <c r="C121" s="21"/>
      <c r="D121" s="8"/>
      <c r="E121" s="35"/>
      <c r="F121" s="10"/>
      <c r="G121" s="10"/>
      <c r="H121" s="10"/>
      <c r="I121" s="21"/>
      <c r="J121" s="32"/>
      <c r="K121" s="31"/>
      <c r="L121" s="30"/>
      <c r="M121" s="26"/>
      <c r="N121" s="26"/>
      <c r="O121" s="28"/>
      <c r="P121" s="28"/>
      <c r="Q121" s="28"/>
    </row>
    <row r="122" spans="3:17" x14ac:dyDescent="0.3">
      <c r="C122" s="21"/>
      <c r="D122" s="8"/>
      <c r="E122" s="8"/>
      <c r="F122" s="10"/>
      <c r="G122" s="10"/>
      <c r="H122" s="10"/>
      <c r="I122" s="21"/>
      <c r="J122" s="32"/>
      <c r="K122" s="31"/>
      <c r="L122" s="30"/>
      <c r="M122" s="26"/>
      <c r="N122" s="26"/>
      <c r="O122" s="28"/>
      <c r="P122" s="28"/>
      <c r="Q122" s="28"/>
    </row>
    <row r="123" spans="3:17" x14ac:dyDescent="0.3">
      <c r="C123" s="21"/>
      <c r="D123" s="8"/>
      <c r="E123" s="8"/>
      <c r="F123" s="10"/>
      <c r="G123" s="10"/>
      <c r="H123" s="10"/>
      <c r="I123" s="21"/>
      <c r="J123" s="32"/>
      <c r="K123" s="31"/>
      <c r="L123" s="30"/>
      <c r="M123" s="26"/>
      <c r="N123" s="26"/>
      <c r="O123" s="28"/>
      <c r="P123" s="28"/>
      <c r="Q123" s="28"/>
    </row>
    <row r="124" spans="3:17" x14ac:dyDescent="0.3">
      <c r="C124" s="21"/>
      <c r="D124" s="8"/>
      <c r="E124" s="8"/>
      <c r="F124" s="10"/>
      <c r="G124" s="10"/>
      <c r="H124" s="10"/>
      <c r="I124" s="21"/>
      <c r="J124" s="32"/>
      <c r="K124" s="31"/>
      <c r="L124" s="30"/>
      <c r="M124" s="26"/>
      <c r="N124" s="26"/>
      <c r="O124" s="28"/>
      <c r="P124" s="28"/>
      <c r="Q124" s="28"/>
    </row>
    <row r="125" spans="3:17" x14ac:dyDescent="0.3">
      <c r="C125" s="21"/>
      <c r="D125" s="8"/>
      <c r="E125" s="8"/>
      <c r="F125" s="10"/>
      <c r="G125" s="10"/>
      <c r="H125" s="10"/>
      <c r="I125" s="21"/>
      <c r="J125" s="32"/>
      <c r="K125" s="31"/>
      <c r="L125" s="30"/>
      <c r="M125" s="26"/>
      <c r="N125" s="26"/>
      <c r="O125" s="28"/>
      <c r="P125" s="28"/>
      <c r="Q125" s="28"/>
    </row>
    <row r="126" spans="3:17" x14ac:dyDescent="0.3">
      <c r="C126" s="21"/>
      <c r="D126" s="8"/>
      <c r="E126" s="8"/>
      <c r="F126" s="10"/>
      <c r="G126" s="10"/>
      <c r="H126" s="10"/>
      <c r="I126" s="21"/>
      <c r="J126" s="32"/>
      <c r="K126" s="31"/>
      <c r="L126" s="30"/>
      <c r="M126" s="26"/>
      <c r="N126" s="26"/>
      <c r="O126" s="28"/>
      <c r="P126" s="28"/>
      <c r="Q126" s="28"/>
    </row>
    <row r="127" spans="3:17" x14ac:dyDescent="0.3">
      <c r="C127" s="21"/>
      <c r="D127" s="8"/>
      <c r="E127" s="8"/>
      <c r="F127" s="10"/>
      <c r="G127" s="10"/>
      <c r="H127" s="10"/>
      <c r="I127" s="21"/>
      <c r="J127" s="32"/>
      <c r="K127" s="31"/>
      <c r="L127" s="30"/>
      <c r="M127" s="26"/>
      <c r="N127" s="26"/>
      <c r="O127" s="28"/>
      <c r="P127" s="28"/>
      <c r="Q127" s="28"/>
    </row>
    <row r="128" spans="3:17" x14ac:dyDescent="0.3">
      <c r="C128" s="21"/>
      <c r="D128" s="8"/>
      <c r="E128" s="8"/>
      <c r="F128" s="10"/>
      <c r="G128" s="10"/>
      <c r="H128" s="10"/>
      <c r="I128" s="21"/>
      <c r="J128" s="32"/>
      <c r="K128" s="31"/>
      <c r="L128" s="30"/>
      <c r="M128" s="26"/>
      <c r="N128" s="26"/>
      <c r="O128" s="28"/>
      <c r="P128" s="28"/>
      <c r="Q128" s="28"/>
    </row>
    <row r="129" spans="3:17" x14ac:dyDescent="0.3">
      <c r="C129" s="21"/>
      <c r="D129" s="8"/>
      <c r="E129" s="8"/>
      <c r="F129" s="10"/>
      <c r="G129" s="10"/>
      <c r="H129" s="10"/>
      <c r="I129" s="21"/>
      <c r="J129" s="32"/>
      <c r="K129" s="31"/>
      <c r="L129" s="30"/>
      <c r="M129" s="26"/>
      <c r="N129" s="26"/>
      <c r="O129" s="28"/>
      <c r="P129" s="28"/>
      <c r="Q129" s="28"/>
    </row>
    <row r="130" spans="3:17" x14ac:dyDescent="0.3">
      <c r="C130" s="21"/>
      <c r="D130" s="8"/>
      <c r="E130" s="8"/>
      <c r="F130" s="10"/>
      <c r="G130" s="10"/>
      <c r="H130" s="10"/>
      <c r="I130" s="21"/>
      <c r="J130" s="32"/>
      <c r="K130" s="31"/>
      <c r="L130" s="30"/>
      <c r="M130" s="26"/>
      <c r="N130" s="26"/>
      <c r="O130" s="28"/>
      <c r="P130" s="28"/>
      <c r="Q130" s="28"/>
    </row>
    <row r="131" spans="3:17" x14ac:dyDescent="0.3">
      <c r="C131" s="21"/>
      <c r="D131" s="8"/>
      <c r="E131" s="8"/>
      <c r="F131" s="10"/>
      <c r="G131" s="10"/>
      <c r="H131" s="10"/>
      <c r="I131" s="21"/>
      <c r="J131" s="32"/>
      <c r="K131" s="31"/>
      <c r="L131" s="30"/>
      <c r="M131" s="26"/>
      <c r="N131" s="26"/>
      <c r="O131" s="28"/>
      <c r="P131" s="28"/>
      <c r="Q131" s="28"/>
    </row>
    <row r="132" spans="3:17" x14ac:dyDescent="0.3">
      <c r="C132" s="21"/>
      <c r="D132" s="8"/>
      <c r="E132" s="8"/>
      <c r="F132" s="10"/>
      <c r="G132" s="10"/>
      <c r="H132" s="10"/>
      <c r="I132" s="21"/>
      <c r="J132" s="32"/>
      <c r="K132" s="31"/>
      <c r="L132" s="30"/>
      <c r="M132" s="26"/>
      <c r="N132" s="26"/>
      <c r="O132" s="28"/>
      <c r="P132" s="28"/>
      <c r="Q132" s="28"/>
    </row>
    <row r="133" spans="3:17" x14ac:dyDescent="0.3">
      <c r="C133" s="21"/>
      <c r="D133" s="8"/>
      <c r="E133" s="8"/>
      <c r="F133" s="10"/>
      <c r="G133" s="10"/>
      <c r="H133" s="10"/>
      <c r="I133" s="21"/>
      <c r="J133" s="32"/>
      <c r="K133" s="31"/>
      <c r="L133" s="30"/>
      <c r="M133" s="26"/>
      <c r="N133" s="26"/>
      <c r="O133" s="28"/>
      <c r="P133" s="28"/>
      <c r="Q133" s="28"/>
    </row>
    <row r="134" spans="3:17" x14ac:dyDescent="0.3">
      <c r="C134" s="21"/>
      <c r="D134" s="8"/>
      <c r="E134" s="8"/>
      <c r="F134" s="10"/>
      <c r="G134" s="10"/>
      <c r="H134" s="10"/>
      <c r="I134" s="21"/>
      <c r="J134" s="32"/>
      <c r="K134" s="31"/>
      <c r="L134" s="30"/>
      <c r="M134" s="26"/>
      <c r="N134" s="26"/>
      <c r="O134" s="28"/>
      <c r="P134" s="28"/>
      <c r="Q134" s="28"/>
    </row>
    <row r="135" spans="3:17" x14ac:dyDescent="0.3">
      <c r="C135" s="21"/>
      <c r="D135" s="8"/>
      <c r="E135" s="8"/>
      <c r="F135" s="10"/>
      <c r="G135" s="10"/>
      <c r="H135" s="10"/>
      <c r="I135" s="21"/>
      <c r="J135" s="32"/>
      <c r="K135" s="31"/>
      <c r="L135" s="30"/>
      <c r="M135" s="26"/>
      <c r="N135" s="26"/>
      <c r="O135" s="28"/>
      <c r="P135" s="28"/>
      <c r="Q135" s="28"/>
    </row>
    <row r="136" spans="3:17" x14ac:dyDescent="0.3">
      <c r="C136" s="21"/>
      <c r="D136" s="8"/>
      <c r="E136" s="8"/>
      <c r="F136" s="10"/>
      <c r="G136" s="10"/>
      <c r="H136" s="10"/>
      <c r="I136" s="21"/>
      <c r="J136" s="32"/>
      <c r="K136" s="31"/>
      <c r="L136" s="30"/>
      <c r="M136" s="26"/>
      <c r="N136" s="26"/>
      <c r="O136" s="28"/>
      <c r="P136" s="28"/>
      <c r="Q136" s="28"/>
    </row>
    <row r="137" spans="3:17" x14ac:dyDescent="0.3">
      <c r="C137" s="21"/>
      <c r="D137" s="8"/>
      <c r="E137" s="8"/>
      <c r="F137" s="10"/>
      <c r="G137" s="10"/>
      <c r="H137" s="10"/>
      <c r="I137" s="21"/>
      <c r="J137" s="32"/>
      <c r="K137" s="31"/>
      <c r="L137" s="30"/>
      <c r="M137" s="26"/>
      <c r="N137" s="26"/>
      <c r="O137" s="28"/>
      <c r="P137" s="28"/>
      <c r="Q137" s="28"/>
    </row>
    <row r="138" spans="3:17" x14ac:dyDescent="0.3">
      <c r="C138" s="21"/>
      <c r="D138" s="8"/>
      <c r="E138" s="8"/>
      <c r="F138" s="10"/>
      <c r="G138" s="10"/>
      <c r="H138" s="10"/>
      <c r="I138" s="21"/>
      <c r="J138" s="32"/>
      <c r="K138" s="31"/>
      <c r="L138" s="30"/>
      <c r="M138" s="26"/>
      <c r="N138" s="26"/>
      <c r="O138" s="28"/>
      <c r="P138" s="28"/>
      <c r="Q138" s="28"/>
    </row>
    <row r="139" spans="3:17" x14ac:dyDescent="0.3">
      <c r="C139" s="21"/>
      <c r="D139" s="8"/>
      <c r="E139" s="8"/>
      <c r="F139" s="10"/>
      <c r="G139" s="10"/>
      <c r="H139" s="10"/>
      <c r="I139" s="21"/>
      <c r="J139" s="32"/>
      <c r="K139" s="31"/>
      <c r="L139" s="30"/>
      <c r="M139" s="26"/>
      <c r="N139" s="26"/>
      <c r="O139" s="28"/>
      <c r="P139" s="28"/>
      <c r="Q139" s="28"/>
    </row>
    <row r="140" spans="3:17" x14ac:dyDescent="0.3">
      <c r="C140" s="21"/>
      <c r="D140" s="8"/>
      <c r="E140" s="8"/>
      <c r="F140" s="10"/>
      <c r="G140" s="10"/>
      <c r="H140" s="10"/>
      <c r="I140" s="21"/>
      <c r="J140" s="32"/>
      <c r="K140" s="31"/>
      <c r="L140" s="30"/>
      <c r="M140" s="26"/>
      <c r="N140" s="26"/>
      <c r="O140" s="28"/>
      <c r="P140" s="28"/>
      <c r="Q140" s="28"/>
    </row>
    <row r="141" spans="3:17" x14ac:dyDescent="0.3">
      <c r="C141" s="21"/>
      <c r="D141" s="8"/>
      <c r="E141" s="8"/>
      <c r="F141" s="10"/>
      <c r="G141" s="10"/>
      <c r="H141" s="10"/>
      <c r="I141" s="21"/>
      <c r="J141" s="32"/>
      <c r="K141" s="31"/>
      <c r="L141" s="30"/>
      <c r="M141" s="26"/>
      <c r="N141" s="26"/>
      <c r="O141" s="28"/>
      <c r="P141" s="28"/>
      <c r="Q141" s="28"/>
    </row>
    <row r="142" spans="3:17" x14ac:dyDescent="0.3">
      <c r="C142" s="21"/>
      <c r="D142" s="8"/>
      <c r="E142" s="8"/>
      <c r="F142" s="10"/>
      <c r="G142" s="10"/>
      <c r="H142" s="10"/>
      <c r="I142" s="21"/>
      <c r="J142" s="32"/>
      <c r="K142" s="31"/>
      <c r="L142" s="30"/>
      <c r="M142" s="26"/>
      <c r="N142" s="26"/>
      <c r="O142" s="28"/>
      <c r="P142" s="28"/>
      <c r="Q142" s="28"/>
    </row>
    <row r="143" spans="3:17" x14ac:dyDescent="0.3">
      <c r="C143" s="21"/>
      <c r="D143" s="8"/>
      <c r="E143" s="8"/>
      <c r="F143" s="10"/>
      <c r="G143" s="10"/>
      <c r="H143" s="10"/>
      <c r="I143" s="21"/>
      <c r="J143" s="32"/>
      <c r="K143" s="31"/>
      <c r="L143" s="30"/>
      <c r="M143" s="26"/>
      <c r="N143" s="26"/>
      <c r="O143" s="28"/>
      <c r="P143" s="28"/>
      <c r="Q143" s="28"/>
    </row>
    <row r="144" spans="3:17" x14ac:dyDescent="0.3">
      <c r="C144" s="21"/>
      <c r="D144" s="8"/>
      <c r="E144" s="8"/>
      <c r="F144" s="10"/>
      <c r="G144" s="10"/>
      <c r="H144" s="10"/>
      <c r="I144" s="21"/>
      <c r="J144" s="32"/>
      <c r="K144" s="31"/>
      <c r="L144" s="30"/>
      <c r="M144" s="26"/>
      <c r="N144" s="26"/>
      <c r="O144" s="28"/>
      <c r="P144" s="28"/>
      <c r="Q144" s="28"/>
    </row>
    <row r="145" spans="3:17" x14ac:dyDescent="0.3">
      <c r="C145" s="21"/>
      <c r="D145" s="8"/>
      <c r="E145" s="8"/>
      <c r="F145" s="10"/>
      <c r="G145" s="10"/>
      <c r="H145" s="10"/>
      <c r="I145" s="21"/>
      <c r="J145" s="32"/>
      <c r="K145" s="31"/>
      <c r="L145" s="30"/>
      <c r="M145" s="26"/>
      <c r="N145" s="26"/>
      <c r="O145" s="28"/>
      <c r="P145" s="28"/>
      <c r="Q145" s="28"/>
    </row>
    <row r="146" spans="3:17" x14ac:dyDescent="0.3">
      <c r="C146" s="21"/>
      <c r="D146" s="8"/>
      <c r="E146" s="8"/>
      <c r="F146" s="10"/>
      <c r="G146" s="10"/>
      <c r="H146" s="10"/>
      <c r="I146" s="21"/>
      <c r="J146" s="32"/>
      <c r="K146" s="31"/>
      <c r="L146" s="30"/>
      <c r="M146" s="26"/>
      <c r="N146" s="26"/>
      <c r="O146" s="28"/>
      <c r="P146" s="28"/>
      <c r="Q146" s="28"/>
    </row>
    <row r="147" spans="3:17" x14ac:dyDescent="0.3">
      <c r="C147" s="21"/>
      <c r="D147" s="8"/>
      <c r="E147" s="8"/>
      <c r="F147" s="10"/>
      <c r="G147" s="10"/>
      <c r="H147" s="10"/>
      <c r="I147" s="21"/>
      <c r="J147" s="32"/>
      <c r="K147" s="31"/>
      <c r="L147" s="30"/>
      <c r="M147" s="26"/>
      <c r="N147" s="26"/>
      <c r="O147" s="28"/>
      <c r="P147" s="28"/>
      <c r="Q147" s="28"/>
    </row>
    <row r="148" spans="3:17" x14ac:dyDescent="0.3">
      <c r="C148" s="21"/>
      <c r="D148" s="8"/>
      <c r="E148" s="8"/>
      <c r="F148" s="10"/>
      <c r="G148" s="10"/>
      <c r="H148" s="10"/>
      <c r="I148" s="21"/>
      <c r="J148" s="32"/>
      <c r="K148" s="31"/>
      <c r="L148" s="30"/>
      <c r="M148" s="26"/>
      <c r="N148" s="26"/>
      <c r="O148" s="28"/>
      <c r="P148" s="28"/>
      <c r="Q148" s="28"/>
    </row>
    <row r="149" spans="3:17" x14ac:dyDescent="0.3">
      <c r="C149" s="21"/>
      <c r="D149" s="8"/>
      <c r="E149" s="8"/>
      <c r="F149" s="10"/>
      <c r="G149" s="10"/>
      <c r="H149" s="10"/>
      <c r="I149" s="21"/>
      <c r="J149" s="32"/>
      <c r="K149" s="31"/>
      <c r="L149" s="30"/>
      <c r="M149" s="26"/>
      <c r="N149" s="26"/>
      <c r="O149" s="28"/>
      <c r="P149" s="28"/>
      <c r="Q149" s="28"/>
    </row>
    <row r="150" spans="3:17" x14ac:dyDescent="0.3">
      <c r="C150" s="21"/>
      <c r="D150" s="8"/>
      <c r="E150" s="8"/>
      <c r="F150" s="10"/>
      <c r="G150" s="10"/>
      <c r="H150" s="10"/>
      <c r="I150" s="21"/>
      <c r="J150" s="32"/>
      <c r="K150" s="31"/>
      <c r="L150" s="30"/>
      <c r="M150" s="26"/>
      <c r="N150" s="26"/>
      <c r="O150" s="28"/>
      <c r="P150" s="28"/>
      <c r="Q150" s="28"/>
    </row>
    <row r="151" spans="3:17" x14ac:dyDescent="0.3">
      <c r="C151" s="21"/>
      <c r="D151" s="8"/>
      <c r="E151" s="8"/>
      <c r="F151" s="10"/>
      <c r="G151" s="10"/>
      <c r="H151" s="10"/>
      <c r="I151" s="21"/>
      <c r="J151" s="32"/>
      <c r="K151" s="31"/>
      <c r="L151" s="30"/>
      <c r="M151" s="26"/>
      <c r="N151" s="26"/>
      <c r="O151" s="28"/>
      <c r="P151" s="28"/>
      <c r="Q151" s="28"/>
    </row>
    <row r="152" spans="3:17" x14ac:dyDescent="0.3">
      <c r="C152" s="21"/>
      <c r="D152" s="8"/>
      <c r="E152" s="8"/>
      <c r="F152" s="10"/>
      <c r="G152" s="10"/>
      <c r="H152" s="10"/>
      <c r="I152" s="21"/>
      <c r="J152" s="32"/>
      <c r="K152" s="31"/>
      <c r="L152" s="30"/>
      <c r="M152" s="26"/>
      <c r="N152" s="26"/>
      <c r="O152" s="28"/>
      <c r="P152" s="28"/>
      <c r="Q152" s="28"/>
    </row>
    <row r="153" spans="3:17" x14ac:dyDescent="0.3">
      <c r="C153" s="21"/>
      <c r="D153" s="8"/>
      <c r="E153" s="8"/>
      <c r="F153" s="10"/>
      <c r="G153" s="10"/>
      <c r="H153" s="10"/>
      <c r="I153" s="21"/>
      <c r="J153" s="32"/>
      <c r="K153" s="31"/>
      <c r="L153" s="30"/>
      <c r="M153" s="26"/>
      <c r="N153" s="26"/>
      <c r="O153" s="28"/>
      <c r="P153" s="28"/>
      <c r="Q153" s="28"/>
    </row>
    <row r="154" spans="3:17" x14ac:dyDescent="0.3">
      <c r="C154" s="21"/>
      <c r="D154" s="8"/>
      <c r="E154" s="8"/>
      <c r="F154" s="10"/>
      <c r="G154" s="10"/>
      <c r="H154" s="10"/>
      <c r="I154" s="21"/>
      <c r="J154" s="32"/>
      <c r="K154" s="31"/>
      <c r="L154" s="30"/>
      <c r="M154" s="26"/>
      <c r="N154" s="26"/>
      <c r="O154" s="28"/>
      <c r="P154" s="28"/>
      <c r="Q154" s="28"/>
    </row>
    <row r="155" spans="3:17" x14ac:dyDescent="0.3">
      <c r="C155" s="21"/>
      <c r="D155" s="8"/>
      <c r="E155" s="8"/>
      <c r="F155" s="10"/>
      <c r="G155" s="10"/>
      <c r="H155" s="10"/>
      <c r="I155" s="21"/>
      <c r="J155" s="32"/>
      <c r="K155" s="31"/>
      <c r="L155" s="30"/>
      <c r="M155" s="26"/>
      <c r="N155" s="26"/>
      <c r="O155" s="28"/>
      <c r="P155" s="28"/>
      <c r="Q155" s="28"/>
    </row>
    <row r="156" spans="3:17" x14ac:dyDescent="0.3">
      <c r="C156" s="21"/>
      <c r="D156" s="8"/>
      <c r="E156" s="8"/>
      <c r="F156" s="10"/>
      <c r="G156" s="10"/>
      <c r="H156" s="10"/>
      <c r="I156" s="21"/>
      <c r="J156" s="32"/>
      <c r="K156" s="31"/>
      <c r="L156" s="30"/>
      <c r="M156" s="26"/>
      <c r="N156" s="26"/>
      <c r="O156" s="28"/>
      <c r="P156" s="28"/>
      <c r="Q156" s="28"/>
    </row>
    <row r="157" spans="3:17" x14ac:dyDescent="0.3">
      <c r="C157" s="21"/>
      <c r="D157" s="8"/>
      <c r="E157" s="8"/>
      <c r="F157" s="10"/>
      <c r="G157" s="10"/>
      <c r="H157" s="10"/>
      <c r="I157" s="21"/>
      <c r="J157" s="32"/>
      <c r="K157" s="31"/>
      <c r="L157" s="30"/>
      <c r="M157" s="26"/>
      <c r="N157" s="26"/>
      <c r="O157" s="28"/>
      <c r="P157" s="28"/>
      <c r="Q157" s="28"/>
    </row>
    <row r="158" spans="3:17" x14ac:dyDescent="0.3">
      <c r="C158" s="21"/>
      <c r="D158" s="8"/>
      <c r="E158" s="8"/>
      <c r="F158" s="10"/>
      <c r="G158" s="10"/>
      <c r="H158" s="10"/>
      <c r="I158" s="21"/>
      <c r="J158" s="32"/>
      <c r="K158" s="31"/>
      <c r="L158" s="30"/>
      <c r="M158" s="26"/>
      <c r="N158" s="26"/>
      <c r="O158" s="28"/>
      <c r="P158" s="28"/>
      <c r="Q158" s="28"/>
    </row>
    <row r="159" spans="3:17" x14ac:dyDescent="0.3">
      <c r="C159" s="21"/>
      <c r="D159" s="8"/>
      <c r="E159" s="8"/>
      <c r="F159" s="10"/>
      <c r="G159" s="10"/>
      <c r="H159" s="10"/>
      <c r="I159" s="21"/>
      <c r="J159" s="32"/>
      <c r="K159" s="31"/>
      <c r="L159" s="30"/>
      <c r="M159" s="26"/>
      <c r="N159" s="26"/>
      <c r="O159" s="28"/>
      <c r="P159" s="28"/>
      <c r="Q159" s="28"/>
    </row>
    <row r="160" spans="3:17" x14ac:dyDescent="0.3">
      <c r="C160" s="21"/>
      <c r="D160" s="8"/>
      <c r="E160" s="8"/>
      <c r="F160" s="10"/>
      <c r="G160" s="10"/>
      <c r="H160" s="10"/>
      <c r="I160" s="21"/>
      <c r="J160" s="32"/>
      <c r="K160" s="31"/>
      <c r="L160" s="30"/>
      <c r="M160" s="26"/>
      <c r="N160" s="26"/>
      <c r="O160" s="28"/>
      <c r="P160" s="28"/>
      <c r="Q160" s="28"/>
    </row>
    <row r="161" spans="3:17" x14ac:dyDescent="0.3">
      <c r="C161" s="21"/>
      <c r="D161" s="8"/>
      <c r="E161" s="8"/>
      <c r="F161" s="10"/>
      <c r="G161" s="10"/>
      <c r="H161" s="10"/>
      <c r="I161" s="21"/>
      <c r="J161" s="32"/>
      <c r="K161" s="31"/>
      <c r="L161" s="30"/>
      <c r="M161" s="26"/>
      <c r="N161" s="26"/>
      <c r="O161" s="28"/>
      <c r="P161" s="28"/>
      <c r="Q161" s="28"/>
    </row>
    <row r="162" spans="3:17" x14ac:dyDescent="0.3">
      <c r="C162" s="21"/>
      <c r="D162" s="8"/>
      <c r="E162" s="8"/>
      <c r="F162" s="10"/>
      <c r="G162" s="10"/>
      <c r="H162" s="10"/>
      <c r="I162" s="21"/>
      <c r="J162" s="32"/>
      <c r="K162" s="31"/>
      <c r="L162" s="30"/>
      <c r="M162" s="26"/>
      <c r="N162" s="26"/>
      <c r="O162" s="28"/>
      <c r="P162" s="28"/>
      <c r="Q162" s="28"/>
    </row>
    <row r="163" spans="3:17" x14ac:dyDescent="0.3">
      <c r="C163" s="21"/>
      <c r="D163" s="8"/>
      <c r="E163" s="8"/>
      <c r="F163" s="10"/>
      <c r="G163" s="10"/>
      <c r="H163" s="10"/>
      <c r="I163" s="21"/>
      <c r="J163" s="32"/>
      <c r="K163" s="31"/>
      <c r="L163" s="30"/>
      <c r="M163" s="26"/>
      <c r="N163" s="26"/>
      <c r="O163" s="28"/>
      <c r="P163" s="28"/>
      <c r="Q163" s="28"/>
    </row>
    <row r="164" spans="3:17" x14ac:dyDescent="0.3">
      <c r="C164" s="21"/>
      <c r="D164" s="8"/>
      <c r="E164" s="8"/>
      <c r="F164" s="10"/>
      <c r="G164" s="10"/>
      <c r="H164" s="10"/>
      <c r="I164" s="21"/>
      <c r="J164" s="32"/>
      <c r="K164" s="31"/>
      <c r="L164" s="30"/>
      <c r="M164" s="26"/>
      <c r="N164" s="26"/>
      <c r="O164" s="28"/>
      <c r="P164" s="28"/>
      <c r="Q164" s="28"/>
    </row>
    <row r="165" spans="3:17" x14ac:dyDescent="0.3">
      <c r="C165" s="21"/>
      <c r="D165" s="8"/>
      <c r="E165" s="8"/>
      <c r="F165" s="10"/>
      <c r="G165" s="10"/>
      <c r="H165" s="10"/>
      <c r="I165" s="21"/>
      <c r="J165" s="32"/>
      <c r="K165" s="31"/>
      <c r="L165" s="30"/>
      <c r="M165" s="26"/>
      <c r="N165" s="26"/>
      <c r="O165" s="28"/>
      <c r="P165" s="28"/>
      <c r="Q165" s="28"/>
    </row>
    <row r="166" spans="3:17" x14ac:dyDescent="0.3">
      <c r="C166" s="21"/>
      <c r="D166" s="8"/>
      <c r="E166" s="8"/>
      <c r="F166" s="10"/>
      <c r="G166" s="10"/>
      <c r="H166" s="10"/>
      <c r="I166" s="21"/>
      <c r="J166" s="32"/>
      <c r="K166" s="31"/>
      <c r="L166" s="30"/>
      <c r="M166" s="26"/>
      <c r="N166" s="26"/>
      <c r="O166" s="28"/>
      <c r="P166" s="28"/>
      <c r="Q166" s="28"/>
    </row>
    <row r="167" spans="3:17" x14ac:dyDescent="0.3">
      <c r="C167" s="21"/>
      <c r="D167" s="8"/>
      <c r="E167" s="8"/>
      <c r="F167" s="10"/>
      <c r="G167" s="10"/>
      <c r="H167" s="10"/>
      <c r="I167" s="21"/>
      <c r="J167" s="32"/>
      <c r="K167" s="31"/>
      <c r="L167" s="30"/>
      <c r="M167" s="26"/>
      <c r="N167" s="26"/>
      <c r="O167" s="28"/>
      <c r="P167" s="28"/>
      <c r="Q167" s="28"/>
    </row>
    <row r="168" spans="3:17" x14ac:dyDescent="0.3">
      <c r="C168" s="21"/>
      <c r="D168" s="8"/>
      <c r="E168" s="8"/>
      <c r="F168" s="10"/>
      <c r="G168" s="10"/>
      <c r="H168" s="10"/>
      <c r="I168" s="21"/>
      <c r="J168" s="32"/>
      <c r="K168" s="31"/>
      <c r="L168" s="30"/>
      <c r="M168" s="26"/>
      <c r="N168" s="26"/>
      <c r="O168" s="28"/>
      <c r="P168" s="28"/>
      <c r="Q168" s="28"/>
    </row>
    <row r="169" spans="3:17" x14ac:dyDescent="0.3">
      <c r="C169" s="21"/>
      <c r="D169" s="8"/>
      <c r="E169" s="8"/>
      <c r="F169" s="10"/>
      <c r="G169" s="10"/>
      <c r="H169" s="10"/>
      <c r="I169" s="21"/>
      <c r="J169" s="32"/>
      <c r="K169" s="31"/>
      <c r="L169" s="30"/>
      <c r="M169" s="26"/>
      <c r="N169" s="26"/>
      <c r="O169" s="28"/>
      <c r="P169" s="28"/>
      <c r="Q169" s="28"/>
    </row>
    <row r="170" spans="3:17" x14ac:dyDescent="0.3">
      <c r="C170" s="21"/>
      <c r="D170" s="8"/>
      <c r="E170" s="8"/>
      <c r="F170" s="10"/>
      <c r="G170" s="10"/>
      <c r="H170" s="10"/>
      <c r="I170" s="21"/>
      <c r="J170" s="32"/>
      <c r="K170" s="31"/>
      <c r="L170" s="30"/>
      <c r="M170" s="26"/>
      <c r="N170" s="26"/>
      <c r="O170" s="28"/>
      <c r="P170" s="28"/>
      <c r="Q170" s="28"/>
    </row>
    <row r="171" spans="3:17" x14ac:dyDescent="0.3">
      <c r="C171" s="21"/>
      <c r="D171" s="8"/>
      <c r="E171" s="8"/>
      <c r="F171" s="10"/>
      <c r="G171" s="10"/>
      <c r="H171" s="10"/>
      <c r="I171" s="21"/>
      <c r="J171" s="32"/>
      <c r="K171" s="31"/>
      <c r="L171" s="30"/>
      <c r="M171" s="26"/>
      <c r="N171" s="26"/>
      <c r="O171" s="28"/>
      <c r="P171" s="28"/>
      <c r="Q171" s="28"/>
    </row>
    <row r="172" spans="3:17" x14ac:dyDescent="0.3">
      <c r="C172" s="21"/>
      <c r="D172" s="8"/>
      <c r="E172" s="8"/>
      <c r="F172" s="10"/>
      <c r="G172" s="10"/>
      <c r="H172" s="10"/>
      <c r="I172" s="21"/>
      <c r="J172" s="32"/>
      <c r="K172" s="31"/>
      <c r="L172" s="30"/>
      <c r="M172" s="26"/>
      <c r="N172" s="26"/>
      <c r="O172" s="28"/>
      <c r="P172" s="28"/>
      <c r="Q172" s="28"/>
    </row>
    <row r="173" spans="3:17" x14ac:dyDescent="0.3">
      <c r="C173" s="21"/>
      <c r="D173" s="8"/>
      <c r="E173" s="8"/>
      <c r="F173" s="10"/>
      <c r="G173" s="10"/>
      <c r="H173" s="10"/>
      <c r="I173" s="21"/>
      <c r="J173" s="32"/>
      <c r="K173" s="31"/>
      <c r="L173" s="30"/>
      <c r="M173" s="26"/>
      <c r="N173" s="26"/>
      <c r="O173" s="28"/>
      <c r="P173" s="28"/>
      <c r="Q173" s="28"/>
    </row>
    <row r="174" spans="3:17" x14ac:dyDescent="0.3">
      <c r="C174" s="21"/>
      <c r="D174" s="8"/>
      <c r="E174" s="8"/>
      <c r="F174" s="10"/>
      <c r="G174" s="10"/>
      <c r="H174" s="10"/>
      <c r="I174" s="21"/>
      <c r="J174" s="32"/>
      <c r="K174" s="31"/>
      <c r="L174" s="30"/>
      <c r="M174" s="26"/>
      <c r="N174" s="26"/>
      <c r="O174" s="28"/>
      <c r="P174" s="28"/>
      <c r="Q174" s="28"/>
    </row>
    <row r="175" spans="3:17" x14ac:dyDescent="0.3">
      <c r="C175" s="21"/>
      <c r="D175" s="8"/>
      <c r="E175" s="8"/>
      <c r="F175" s="10"/>
      <c r="G175" s="10"/>
      <c r="H175" s="10"/>
      <c r="I175" s="21"/>
      <c r="J175" s="32"/>
      <c r="K175" s="31"/>
      <c r="L175" s="30"/>
      <c r="M175" s="26"/>
      <c r="N175" s="26"/>
      <c r="O175" s="28"/>
      <c r="P175" s="28"/>
      <c r="Q175" s="28"/>
    </row>
    <row r="176" spans="3:17" x14ac:dyDescent="0.3">
      <c r="C176" s="21"/>
      <c r="D176" s="8"/>
      <c r="E176" s="8"/>
      <c r="F176" s="10"/>
      <c r="G176" s="10"/>
      <c r="H176" s="10"/>
      <c r="I176" s="21"/>
      <c r="J176" s="32"/>
      <c r="K176" s="31"/>
      <c r="L176" s="30"/>
      <c r="M176" s="26"/>
      <c r="N176" s="26"/>
      <c r="O176" s="28"/>
      <c r="P176" s="28"/>
      <c r="Q176" s="28"/>
    </row>
    <row r="177" spans="3:17" x14ac:dyDescent="0.3">
      <c r="C177" s="21"/>
      <c r="D177" s="8"/>
      <c r="E177" s="8"/>
      <c r="F177" s="10"/>
      <c r="G177" s="10"/>
      <c r="H177" s="10"/>
      <c r="I177" s="21"/>
      <c r="J177" s="32"/>
      <c r="K177" s="31"/>
      <c r="L177" s="30"/>
      <c r="M177" s="26"/>
      <c r="N177" s="26"/>
      <c r="O177" s="28"/>
      <c r="P177" s="28"/>
      <c r="Q177" s="28"/>
    </row>
    <row r="178" spans="3:17" x14ac:dyDescent="0.3">
      <c r="C178" s="21"/>
      <c r="D178" s="8"/>
      <c r="E178" s="8"/>
      <c r="F178" s="10"/>
      <c r="G178" s="10"/>
      <c r="H178" s="10"/>
      <c r="I178" s="21"/>
      <c r="J178" s="32"/>
      <c r="K178" s="31"/>
      <c r="L178" s="30"/>
      <c r="M178" s="26"/>
      <c r="N178" s="26"/>
      <c r="O178" s="28"/>
      <c r="P178" s="28"/>
      <c r="Q178" s="28"/>
    </row>
    <row r="179" spans="3:17" x14ac:dyDescent="0.3">
      <c r="C179" s="21"/>
      <c r="D179" s="8"/>
      <c r="E179" s="8"/>
      <c r="F179" s="10"/>
      <c r="G179" s="10"/>
      <c r="H179" s="10"/>
      <c r="I179" s="21"/>
      <c r="J179" s="32"/>
      <c r="K179" s="31"/>
      <c r="L179" s="30"/>
      <c r="M179" s="26"/>
      <c r="N179" s="26"/>
      <c r="O179" s="28"/>
      <c r="P179" s="28"/>
      <c r="Q179" s="28"/>
    </row>
    <row r="180" spans="3:17" x14ac:dyDescent="0.3">
      <c r="C180" s="21"/>
      <c r="D180" s="8"/>
      <c r="E180" s="8"/>
      <c r="F180" s="10"/>
      <c r="G180" s="10"/>
      <c r="H180" s="10"/>
      <c r="I180" s="21"/>
      <c r="J180" s="32"/>
      <c r="K180" s="31"/>
      <c r="L180" s="30"/>
      <c r="M180" s="26"/>
      <c r="N180" s="26"/>
      <c r="O180" s="28"/>
      <c r="P180" s="28"/>
      <c r="Q180" s="28"/>
    </row>
    <row r="181" spans="3:17" x14ac:dyDescent="0.3">
      <c r="C181" s="21"/>
      <c r="D181" s="8"/>
      <c r="E181" s="8"/>
      <c r="F181" s="10"/>
      <c r="G181" s="10"/>
      <c r="H181" s="10"/>
      <c r="I181" s="21"/>
      <c r="J181" s="32"/>
      <c r="K181" s="31"/>
      <c r="L181" s="30"/>
      <c r="M181" s="26"/>
      <c r="N181" s="26"/>
      <c r="O181" s="28"/>
      <c r="P181" s="28"/>
      <c r="Q181" s="28"/>
    </row>
    <row r="182" spans="3:17" x14ac:dyDescent="0.3">
      <c r="C182" s="21"/>
      <c r="D182" s="8"/>
      <c r="E182" s="8"/>
      <c r="F182" s="10"/>
      <c r="G182" s="10"/>
      <c r="H182" s="10"/>
      <c r="I182" s="21"/>
      <c r="J182" s="32"/>
      <c r="K182" s="31"/>
      <c r="L182" s="30"/>
      <c r="M182" s="26"/>
      <c r="N182" s="26"/>
      <c r="O182" s="28"/>
      <c r="P182" s="28"/>
      <c r="Q182" s="28"/>
    </row>
    <row r="183" spans="3:17" x14ac:dyDescent="0.3">
      <c r="C183" s="21"/>
      <c r="D183" s="8"/>
      <c r="E183" s="8"/>
      <c r="F183" s="10"/>
      <c r="G183" s="10"/>
      <c r="H183" s="10"/>
      <c r="I183" s="21"/>
      <c r="J183" s="32"/>
      <c r="K183" s="31"/>
      <c r="L183" s="30"/>
      <c r="M183" s="26"/>
      <c r="N183" s="26"/>
      <c r="O183" s="28"/>
      <c r="P183" s="28"/>
      <c r="Q183" s="28"/>
    </row>
    <row r="184" spans="3:17" x14ac:dyDescent="0.3">
      <c r="C184" s="21"/>
      <c r="D184" s="8"/>
      <c r="E184" s="8"/>
      <c r="F184" s="10"/>
      <c r="G184" s="10"/>
      <c r="H184" s="10"/>
      <c r="I184" s="21"/>
      <c r="J184" s="32"/>
      <c r="K184" s="31"/>
      <c r="L184" s="30"/>
      <c r="M184" s="26"/>
      <c r="N184" s="26"/>
      <c r="O184" s="28"/>
      <c r="P184" s="28"/>
      <c r="Q184" s="28"/>
    </row>
    <row r="185" spans="3:17" x14ac:dyDescent="0.3">
      <c r="C185" s="21"/>
      <c r="D185" s="8"/>
      <c r="E185" s="8"/>
      <c r="F185" s="10"/>
      <c r="G185" s="10"/>
      <c r="H185" s="10"/>
      <c r="I185" s="21"/>
      <c r="J185" s="32"/>
      <c r="K185" s="31"/>
      <c r="L185" s="30"/>
      <c r="M185" s="26"/>
      <c r="N185" s="26"/>
      <c r="O185" s="28"/>
      <c r="P185" s="28"/>
      <c r="Q185" s="28"/>
    </row>
    <row r="186" spans="3:17" x14ac:dyDescent="0.3">
      <c r="C186" s="21"/>
      <c r="D186" s="8"/>
      <c r="E186" s="8"/>
      <c r="F186" s="10"/>
      <c r="G186" s="10"/>
      <c r="H186" s="10"/>
      <c r="I186" s="21"/>
      <c r="J186" s="32"/>
      <c r="K186" s="31"/>
      <c r="L186" s="30"/>
      <c r="M186" s="26"/>
      <c r="N186" s="26"/>
      <c r="O186" s="28"/>
      <c r="P186" s="28"/>
      <c r="Q186" s="28"/>
    </row>
    <row r="187" spans="3:17" x14ac:dyDescent="0.3">
      <c r="C187" s="21"/>
      <c r="D187" s="8"/>
      <c r="E187" s="8"/>
      <c r="F187" s="10"/>
      <c r="G187" s="10"/>
      <c r="H187" s="10"/>
      <c r="I187" s="21"/>
      <c r="J187" s="32"/>
      <c r="K187" s="31"/>
      <c r="L187" s="30"/>
      <c r="M187" s="26"/>
      <c r="N187" s="26"/>
      <c r="O187" s="28"/>
      <c r="P187" s="28"/>
      <c r="Q187" s="28"/>
    </row>
    <row r="188" spans="3:17" x14ac:dyDescent="0.3">
      <c r="C188" s="21"/>
      <c r="D188" s="8"/>
      <c r="E188" s="8"/>
      <c r="F188" s="10"/>
      <c r="G188" s="10"/>
      <c r="H188" s="10"/>
      <c r="I188" s="21"/>
      <c r="J188" s="32"/>
      <c r="K188" s="31"/>
      <c r="L188" s="30"/>
      <c r="M188" s="26"/>
      <c r="N188" s="26"/>
      <c r="O188" s="28"/>
      <c r="P188" s="28"/>
      <c r="Q188" s="28"/>
    </row>
    <row r="189" spans="3:17" x14ac:dyDescent="0.3">
      <c r="C189" s="21"/>
      <c r="D189" s="8"/>
      <c r="E189" s="8"/>
      <c r="F189" s="10"/>
      <c r="G189" s="10"/>
      <c r="H189" s="10"/>
      <c r="I189" s="21"/>
      <c r="J189" s="32"/>
      <c r="K189" s="31"/>
      <c r="L189" s="30"/>
      <c r="M189" s="26"/>
      <c r="N189" s="26"/>
      <c r="O189" s="28"/>
      <c r="P189" s="28"/>
      <c r="Q189" s="28"/>
    </row>
    <row r="190" spans="3:17" x14ac:dyDescent="0.3">
      <c r="C190" s="21"/>
      <c r="D190" s="8"/>
      <c r="E190" s="8"/>
      <c r="F190" s="10"/>
      <c r="G190" s="10"/>
      <c r="H190" s="10"/>
      <c r="I190" s="21"/>
      <c r="J190" s="32"/>
      <c r="K190" s="31"/>
      <c r="L190" s="30"/>
      <c r="M190" s="26"/>
      <c r="N190" s="26"/>
      <c r="O190" s="28"/>
      <c r="P190" s="28"/>
      <c r="Q190" s="28"/>
    </row>
    <row r="191" spans="3:17" x14ac:dyDescent="0.3">
      <c r="C191" s="21"/>
      <c r="D191" s="8"/>
      <c r="E191" s="8"/>
      <c r="F191" s="10"/>
      <c r="G191" s="10"/>
      <c r="H191" s="10"/>
      <c r="I191" s="21"/>
      <c r="J191" s="32"/>
      <c r="K191" s="31"/>
      <c r="L191" s="30"/>
      <c r="M191" s="26"/>
      <c r="N191" s="26"/>
      <c r="O191" s="28"/>
      <c r="P191" s="28"/>
      <c r="Q191" s="28"/>
    </row>
    <row r="192" spans="3:17" x14ac:dyDescent="0.3">
      <c r="C192" s="21"/>
      <c r="D192" s="8"/>
      <c r="E192" s="8"/>
      <c r="F192" s="10"/>
      <c r="G192" s="10"/>
      <c r="H192" s="10"/>
      <c r="I192" s="21"/>
      <c r="J192" s="32"/>
      <c r="K192" s="31"/>
      <c r="L192" s="30"/>
      <c r="M192" s="26"/>
      <c r="N192" s="26"/>
      <c r="O192" s="28"/>
      <c r="P192" s="28"/>
      <c r="Q192" s="28"/>
    </row>
    <row r="193" spans="3:17" x14ac:dyDescent="0.3">
      <c r="C193" s="21"/>
      <c r="D193" s="8"/>
      <c r="E193" s="8"/>
      <c r="F193" s="10"/>
      <c r="G193" s="10"/>
      <c r="H193" s="10"/>
      <c r="I193" s="21"/>
      <c r="J193" s="32"/>
      <c r="K193" s="31"/>
      <c r="L193" s="30"/>
      <c r="M193" s="26"/>
      <c r="N193" s="26"/>
      <c r="O193" s="28"/>
      <c r="P193" s="28"/>
      <c r="Q193" s="28"/>
    </row>
    <row r="194" spans="3:17" x14ac:dyDescent="0.3">
      <c r="C194" s="21"/>
      <c r="D194" s="8"/>
      <c r="E194" s="8"/>
      <c r="F194" s="10"/>
      <c r="G194" s="10"/>
      <c r="H194" s="10"/>
      <c r="I194" s="21"/>
      <c r="J194" s="32"/>
      <c r="K194" s="31"/>
      <c r="L194" s="30"/>
      <c r="M194" s="26"/>
      <c r="N194" s="26"/>
      <c r="O194" s="28"/>
      <c r="P194" s="28"/>
      <c r="Q194" s="28"/>
    </row>
    <row r="195" spans="3:17" x14ac:dyDescent="0.3">
      <c r="C195" s="21"/>
      <c r="D195" s="8"/>
      <c r="E195" s="8"/>
      <c r="F195" s="10"/>
      <c r="G195" s="10"/>
      <c r="H195" s="10"/>
      <c r="I195" s="21"/>
      <c r="J195" s="32"/>
      <c r="K195" s="31"/>
      <c r="L195" s="30"/>
      <c r="M195" s="26"/>
      <c r="N195" s="26"/>
      <c r="O195" s="28"/>
      <c r="P195" s="28"/>
      <c r="Q195" s="28"/>
    </row>
    <row r="196" spans="3:17" x14ac:dyDescent="0.3">
      <c r="C196" s="21"/>
      <c r="D196" s="8"/>
      <c r="E196" s="8"/>
      <c r="F196" s="10"/>
      <c r="G196" s="10"/>
      <c r="H196" s="10"/>
      <c r="I196" s="21"/>
      <c r="J196" s="32"/>
      <c r="K196" s="31"/>
      <c r="L196" s="30"/>
      <c r="M196" s="26"/>
      <c r="N196" s="26"/>
      <c r="O196" s="28"/>
      <c r="P196" s="28"/>
      <c r="Q196" s="28"/>
    </row>
    <row r="197" spans="3:17" x14ac:dyDescent="0.3">
      <c r="C197" s="21"/>
      <c r="D197" s="8"/>
      <c r="E197" s="8"/>
      <c r="F197" s="10"/>
      <c r="G197" s="10"/>
      <c r="H197" s="10"/>
      <c r="I197" s="21"/>
      <c r="J197" s="32"/>
      <c r="K197" s="31"/>
      <c r="L197" s="30"/>
      <c r="M197" s="26"/>
      <c r="N197" s="26"/>
      <c r="O197" s="28"/>
      <c r="P197" s="28"/>
      <c r="Q197" s="28"/>
    </row>
    <row r="198" spans="3:17" x14ac:dyDescent="0.3">
      <c r="C198" s="21"/>
      <c r="D198" s="8"/>
      <c r="E198" s="8"/>
      <c r="F198" s="10"/>
      <c r="G198" s="10"/>
      <c r="H198" s="10"/>
      <c r="I198" s="21"/>
      <c r="J198" s="32"/>
      <c r="K198" s="31"/>
      <c r="L198" s="30"/>
      <c r="M198" s="26"/>
      <c r="N198" s="26"/>
      <c r="O198" s="28"/>
      <c r="P198" s="28"/>
      <c r="Q198" s="28"/>
    </row>
    <row r="199" spans="3:17" x14ac:dyDescent="0.3">
      <c r="C199" s="21"/>
      <c r="D199" s="8"/>
      <c r="E199" s="8"/>
      <c r="F199" s="10"/>
      <c r="G199" s="10"/>
      <c r="H199" s="10"/>
      <c r="I199" s="21"/>
      <c r="J199" s="32"/>
      <c r="K199" s="31"/>
      <c r="L199" s="30"/>
      <c r="M199" s="26"/>
      <c r="N199" s="26"/>
      <c r="O199" s="28"/>
      <c r="P199" s="28"/>
      <c r="Q199" s="28"/>
    </row>
    <row r="200" spans="3:17" x14ac:dyDescent="0.3">
      <c r="C200" s="21"/>
      <c r="D200" s="8"/>
      <c r="E200" s="8"/>
      <c r="F200" s="10"/>
      <c r="G200" s="10"/>
      <c r="H200" s="10"/>
      <c r="I200" s="21"/>
      <c r="J200" s="32"/>
      <c r="K200" s="31"/>
      <c r="L200" s="30"/>
      <c r="M200" s="26"/>
      <c r="N200" s="26"/>
      <c r="O200" s="28"/>
      <c r="P200" s="28"/>
      <c r="Q200" s="28"/>
    </row>
    <row r="201" spans="3:17" x14ac:dyDescent="0.3">
      <c r="C201" s="21"/>
      <c r="D201" s="8"/>
      <c r="E201" s="8"/>
      <c r="F201" s="10"/>
      <c r="G201" s="10"/>
      <c r="H201" s="10"/>
      <c r="I201" s="21"/>
      <c r="J201" s="32"/>
      <c r="K201" s="31"/>
      <c r="L201" s="30"/>
      <c r="M201" s="26"/>
      <c r="N201" s="26"/>
      <c r="O201" s="28"/>
      <c r="P201" s="28"/>
      <c r="Q201" s="28"/>
    </row>
    <row r="202" spans="3:17" x14ac:dyDescent="0.3">
      <c r="C202" s="21"/>
      <c r="D202" s="8"/>
      <c r="E202" s="8"/>
      <c r="F202" s="10"/>
      <c r="G202" s="10"/>
      <c r="H202" s="10"/>
      <c r="I202" s="21"/>
      <c r="J202" s="32"/>
      <c r="K202" s="31"/>
      <c r="L202" s="30"/>
      <c r="M202" s="26"/>
      <c r="N202" s="26"/>
      <c r="O202" s="28"/>
      <c r="P202" s="28"/>
      <c r="Q202" s="28"/>
    </row>
    <row r="203" spans="3:17" x14ac:dyDescent="0.3">
      <c r="C203" s="21"/>
      <c r="D203" s="8"/>
      <c r="E203" s="8"/>
      <c r="F203" s="10"/>
      <c r="G203" s="10"/>
      <c r="H203" s="10"/>
      <c r="I203" s="21"/>
      <c r="J203" s="32"/>
      <c r="K203" s="31"/>
      <c r="L203" s="30"/>
      <c r="M203" s="26"/>
      <c r="N203" s="26"/>
      <c r="O203" s="28"/>
      <c r="P203" s="28"/>
      <c r="Q203" s="28"/>
    </row>
    <row r="204" spans="3:17" x14ac:dyDescent="0.3">
      <c r="C204" s="21"/>
      <c r="D204" s="8"/>
      <c r="E204" s="8"/>
      <c r="F204" s="10"/>
      <c r="G204" s="10"/>
      <c r="H204" s="10"/>
      <c r="I204" s="21"/>
      <c r="J204" s="32"/>
      <c r="K204" s="31"/>
      <c r="L204" s="30"/>
      <c r="M204" s="26"/>
      <c r="N204" s="26"/>
      <c r="O204" s="28"/>
      <c r="P204" s="28"/>
      <c r="Q204" s="28"/>
    </row>
    <row r="205" spans="3:17" x14ac:dyDescent="0.3">
      <c r="C205" s="21"/>
      <c r="D205" s="8"/>
      <c r="E205" s="8"/>
      <c r="F205" s="10"/>
      <c r="G205" s="10"/>
      <c r="H205" s="10"/>
      <c r="I205" s="21"/>
      <c r="J205" s="32"/>
      <c r="K205" s="31"/>
      <c r="L205" s="30"/>
      <c r="M205" s="26"/>
      <c r="N205" s="26"/>
      <c r="O205" s="28"/>
      <c r="P205" s="28"/>
      <c r="Q205" s="28"/>
    </row>
    <row r="206" spans="3:17" x14ac:dyDescent="0.3">
      <c r="C206" s="21"/>
      <c r="D206" s="8"/>
      <c r="E206" s="8"/>
      <c r="F206" s="10"/>
      <c r="G206" s="10"/>
      <c r="H206" s="10"/>
      <c r="I206" s="21"/>
      <c r="J206" s="32"/>
      <c r="K206" s="31"/>
      <c r="L206" s="30"/>
      <c r="M206" s="26"/>
      <c r="N206" s="26"/>
      <c r="O206" s="28"/>
      <c r="P206" s="28"/>
      <c r="Q206" s="28"/>
    </row>
    <row r="207" spans="3:17" x14ac:dyDescent="0.3">
      <c r="C207" s="21"/>
      <c r="D207" s="8"/>
      <c r="E207" s="8"/>
      <c r="F207" s="10"/>
      <c r="G207" s="10"/>
      <c r="H207" s="10"/>
      <c r="I207" s="21"/>
      <c r="J207" s="32"/>
      <c r="K207" s="31"/>
      <c r="L207" s="30"/>
      <c r="M207" s="26"/>
      <c r="N207" s="26"/>
      <c r="O207" s="28"/>
      <c r="P207" s="28"/>
      <c r="Q207" s="28"/>
    </row>
    <row r="208" spans="3:17" x14ac:dyDescent="0.3">
      <c r="C208" s="21"/>
      <c r="D208" s="8"/>
      <c r="E208" s="8"/>
      <c r="F208" s="10"/>
      <c r="G208" s="10"/>
      <c r="H208" s="10"/>
      <c r="I208" s="21"/>
      <c r="J208" s="32"/>
      <c r="K208" s="31"/>
      <c r="L208" s="30"/>
      <c r="M208" s="26"/>
      <c r="N208" s="26"/>
      <c r="O208" s="28"/>
      <c r="P208" s="28"/>
      <c r="Q208" s="28"/>
    </row>
    <row r="209" spans="3:17" x14ac:dyDescent="0.3">
      <c r="C209" s="21"/>
      <c r="D209" s="8"/>
      <c r="E209" s="8"/>
      <c r="F209" s="10"/>
      <c r="G209" s="10"/>
      <c r="H209" s="10"/>
      <c r="I209" s="21"/>
      <c r="J209" s="32"/>
      <c r="K209" s="31"/>
      <c r="L209" s="30"/>
      <c r="M209" s="26"/>
      <c r="N209" s="26"/>
      <c r="O209" s="28"/>
      <c r="P209" s="28"/>
      <c r="Q209" s="28"/>
    </row>
    <row r="210" spans="3:17" x14ac:dyDescent="0.3">
      <c r="C210" s="21"/>
      <c r="D210" s="8"/>
      <c r="E210" s="8"/>
      <c r="F210" s="10"/>
      <c r="G210" s="10"/>
      <c r="H210" s="10"/>
      <c r="I210" s="21"/>
      <c r="J210" s="32"/>
      <c r="K210" s="31"/>
      <c r="L210" s="30"/>
      <c r="M210" s="26"/>
      <c r="N210" s="26"/>
      <c r="O210" s="28"/>
      <c r="P210" s="28"/>
      <c r="Q210" s="28"/>
    </row>
    <row r="211" spans="3:17" x14ac:dyDescent="0.3">
      <c r="C211" s="21"/>
      <c r="D211" s="8"/>
      <c r="E211" s="8"/>
      <c r="F211" s="10"/>
      <c r="G211" s="10"/>
      <c r="H211" s="10"/>
      <c r="I211" s="21"/>
      <c r="J211" s="32"/>
      <c r="K211" s="31"/>
      <c r="L211" s="30"/>
      <c r="M211" s="26"/>
      <c r="N211" s="26"/>
      <c r="O211" s="28"/>
      <c r="P211" s="28"/>
      <c r="Q211" s="28"/>
    </row>
    <row r="212" spans="3:17" x14ac:dyDescent="0.3">
      <c r="C212" s="21"/>
      <c r="D212" s="8"/>
      <c r="E212" s="8"/>
      <c r="F212" s="10"/>
      <c r="G212" s="10"/>
      <c r="H212" s="10"/>
      <c r="I212" s="21"/>
      <c r="J212" s="32"/>
      <c r="K212" s="31"/>
      <c r="L212" s="30"/>
      <c r="M212" s="26"/>
      <c r="N212" s="26"/>
      <c r="O212" s="28"/>
      <c r="P212" s="28"/>
      <c r="Q212" s="28"/>
    </row>
    <row r="213" spans="3:17" x14ac:dyDescent="0.3">
      <c r="C213" s="21"/>
      <c r="D213" s="8"/>
      <c r="E213" s="8"/>
      <c r="F213" s="10"/>
      <c r="G213" s="10"/>
      <c r="H213" s="10"/>
      <c r="I213" s="21"/>
      <c r="J213" s="32"/>
      <c r="K213" s="31"/>
      <c r="L213" s="30"/>
      <c r="M213" s="26"/>
      <c r="N213" s="26"/>
      <c r="O213" s="28"/>
      <c r="P213" s="28"/>
      <c r="Q213" s="28"/>
    </row>
    <row r="214" spans="3:17" x14ac:dyDescent="0.3">
      <c r="C214" s="21"/>
      <c r="D214" s="8"/>
      <c r="E214" s="8"/>
      <c r="F214" s="10"/>
      <c r="G214" s="10"/>
      <c r="H214" s="10"/>
      <c r="I214" s="21"/>
      <c r="J214" s="32"/>
      <c r="K214" s="31"/>
      <c r="L214" s="30"/>
      <c r="M214" s="26"/>
      <c r="N214" s="26"/>
      <c r="O214" s="28"/>
      <c r="P214" s="28"/>
      <c r="Q214" s="28"/>
    </row>
    <row r="215" spans="3:17" x14ac:dyDescent="0.3">
      <c r="C215" s="21"/>
      <c r="D215" s="8"/>
      <c r="E215" s="8"/>
      <c r="F215" s="10"/>
      <c r="G215" s="10"/>
      <c r="H215" s="10"/>
      <c r="I215" s="21"/>
      <c r="J215" s="32"/>
      <c r="K215" s="31"/>
      <c r="L215" s="30"/>
      <c r="M215" s="26"/>
      <c r="N215" s="26"/>
      <c r="O215" s="28"/>
      <c r="P215" s="28"/>
      <c r="Q215" s="28"/>
    </row>
    <row r="216" spans="3:17" x14ac:dyDescent="0.3">
      <c r="C216" s="21"/>
      <c r="D216" s="8"/>
      <c r="E216" s="8"/>
      <c r="F216" s="10"/>
      <c r="G216" s="10"/>
      <c r="H216" s="10"/>
      <c r="I216" s="21"/>
      <c r="J216" s="32"/>
      <c r="K216" s="31"/>
      <c r="L216" s="30"/>
      <c r="M216" s="26"/>
      <c r="N216" s="26"/>
      <c r="O216" s="28"/>
      <c r="P216" s="28"/>
      <c r="Q216" s="28"/>
    </row>
    <row r="217" spans="3:17" x14ac:dyDescent="0.3">
      <c r="C217" s="21"/>
      <c r="D217" s="8"/>
      <c r="E217" s="8"/>
      <c r="F217" s="10"/>
      <c r="G217" s="10"/>
      <c r="H217" s="10"/>
      <c r="I217" s="21"/>
      <c r="J217" s="32"/>
      <c r="K217" s="31"/>
      <c r="L217" s="30"/>
      <c r="M217" s="26"/>
      <c r="N217" s="26"/>
      <c r="O217" s="28"/>
      <c r="P217" s="28"/>
      <c r="Q217" s="28"/>
    </row>
    <row r="218" spans="3:17" x14ac:dyDescent="0.3">
      <c r="C218" s="21"/>
      <c r="D218" s="8"/>
      <c r="E218" s="8"/>
      <c r="F218" s="10"/>
      <c r="G218" s="10"/>
      <c r="H218" s="10"/>
      <c r="I218" s="21"/>
      <c r="J218" s="32"/>
      <c r="K218" s="31"/>
      <c r="L218" s="30"/>
      <c r="M218" s="26"/>
      <c r="N218" s="26"/>
      <c r="O218" s="28"/>
      <c r="P218" s="28"/>
      <c r="Q218" s="28"/>
    </row>
    <row r="219" spans="3:17" x14ac:dyDescent="0.3">
      <c r="C219" s="21"/>
      <c r="D219" s="8"/>
      <c r="E219" s="8"/>
      <c r="F219" s="10"/>
      <c r="G219" s="10"/>
      <c r="H219" s="10"/>
      <c r="I219" s="21"/>
      <c r="J219" s="32"/>
      <c r="K219" s="31"/>
      <c r="L219" s="30"/>
      <c r="M219" s="26"/>
      <c r="N219" s="26"/>
      <c r="O219" s="28"/>
      <c r="P219" s="28"/>
      <c r="Q219" s="28"/>
    </row>
    <row r="220" spans="3:17" x14ac:dyDescent="0.3">
      <c r="C220" s="21"/>
      <c r="D220" s="8"/>
      <c r="E220" s="8"/>
      <c r="F220" s="10"/>
      <c r="G220" s="10"/>
      <c r="H220" s="10"/>
      <c r="I220" s="21"/>
      <c r="J220" s="32"/>
      <c r="K220" s="31"/>
      <c r="L220" s="30"/>
      <c r="M220" s="26"/>
      <c r="N220" s="26"/>
      <c r="O220" s="28"/>
      <c r="P220" s="28"/>
      <c r="Q220" s="28"/>
    </row>
    <row r="221" spans="3:17" x14ac:dyDescent="0.3">
      <c r="C221" s="21"/>
      <c r="D221" s="8"/>
      <c r="E221" s="8"/>
      <c r="F221" s="10"/>
      <c r="G221" s="10"/>
      <c r="H221" s="10"/>
      <c r="I221" s="21"/>
      <c r="J221" s="32"/>
      <c r="K221" s="31"/>
      <c r="L221" s="30"/>
      <c r="M221" s="26"/>
      <c r="N221" s="26"/>
      <c r="O221" s="28"/>
      <c r="P221" s="28"/>
      <c r="Q221" s="28"/>
    </row>
    <row r="222" spans="3:17" x14ac:dyDescent="0.3">
      <c r="C222" s="21"/>
      <c r="D222" s="8"/>
      <c r="E222" s="8"/>
      <c r="F222" s="10"/>
      <c r="G222" s="10"/>
      <c r="H222" s="10"/>
      <c r="I222" s="21"/>
      <c r="J222" s="32"/>
      <c r="K222" s="31"/>
      <c r="L222" s="30"/>
      <c r="M222" s="26"/>
      <c r="N222" s="26"/>
      <c r="O222" s="28"/>
      <c r="P222" s="28"/>
      <c r="Q222" s="28"/>
    </row>
    <row r="223" spans="3:17" x14ac:dyDescent="0.3">
      <c r="C223" s="21"/>
      <c r="D223" s="8"/>
      <c r="E223" s="8"/>
      <c r="F223" s="10"/>
      <c r="G223" s="10"/>
      <c r="H223" s="10"/>
      <c r="I223" s="21"/>
      <c r="J223" s="32"/>
      <c r="K223" s="31"/>
      <c r="L223" s="30"/>
      <c r="M223" s="26"/>
      <c r="N223" s="26"/>
      <c r="O223" s="28"/>
      <c r="P223" s="28"/>
      <c r="Q223" s="28"/>
    </row>
    <row r="224" spans="3:17" x14ac:dyDescent="0.3">
      <c r="C224" s="21"/>
      <c r="D224" s="8"/>
      <c r="E224" s="8"/>
      <c r="F224" s="10"/>
      <c r="G224" s="10"/>
      <c r="H224" s="10"/>
      <c r="I224" s="21"/>
      <c r="J224" s="32"/>
      <c r="K224" s="31"/>
      <c r="L224" s="30"/>
      <c r="M224" s="26"/>
      <c r="N224" s="26"/>
      <c r="O224" s="28"/>
      <c r="P224" s="28"/>
      <c r="Q224" s="28"/>
    </row>
    <row r="225" spans="3:17" x14ac:dyDescent="0.3">
      <c r="C225" s="21"/>
      <c r="D225" s="8"/>
      <c r="E225" s="8"/>
      <c r="F225" s="10"/>
      <c r="G225" s="10"/>
      <c r="H225" s="10"/>
      <c r="I225" s="21"/>
      <c r="J225" s="32"/>
      <c r="K225" s="31"/>
      <c r="L225" s="30"/>
      <c r="M225" s="26"/>
      <c r="N225" s="26"/>
      <c r="O225" s="28"/>
      <c r="P225" s="28"/>
      <c r="Q225" s="28"/>
    </row>
    <row r="226" spans="3:17" x14ac:dyDescent="0.3">
      <c r="C226" s="21"/>
      <c r="D226" s="8"/>
      <c r="E226" s="8"/>
      <c r="F226" s="10"/>
      <c r="G226" s="10"/>
      <c r="H226" s="10"/>
      <c r="I226" s="21"/>
      <c r="J226" s="32"/>
      <c r="K226" s="31"/>
      <c r="L226" s="30"/>
      <c r="M226" s="26"/>
      <c r="N226" s="26"/>
      <c r="O226" s="28"/>
      <c r="P226" s="28"/>
      <c r="Q226" s="28"/>
    </row>
    <row r="227" spans="3:17" x14ac:dyDescent="0.3">
      <c r="C227" s="21"/>
      <c r="D227" s="8"/>
      <c r="E227" s="8"/>
      <c r="F227" s="10"/>
      <c r="G227" s="10"/>
      <c r="H227" s="10"/>
      <c r="I227" s="21"/>
      <c r="J227" s="32"/>
      <c r="K227" s="31"/>
      <c r="L227" s="30"/>
      <c r="M227" s="26"/>
      <c r="N227" s="26"/>
      <c r="O227" s="28"/>
      <c r="P227" s="28"/>
      <c r="Q227" s="28"/>
    </row>
    <row r="228" spans="3:17" x14ac:dyDescent="0.3">
      <c r="C228" s="21"/>
      <c r="D228" s="8"/>
      <c r="E228" s="8"/>
      <c r="F228" s="10"/>
      <c r="G228" s="10"/>
      <c r="H228" s="10"/>
      <c r="I228" s="21"/>
      <c r="J228" s="32"/>
      <c r="K228" s="31"/>
      <c r="L228" s="30"/>
      <c r="M228" s="26"/>
      <c r="N228" s="26"/>
      <c r="O228" s="28"/>
      <c r="P228" s="28"/>
      <c r="Q228" s="28"/>
    </row>
    <row r="229" spans="3:17" x14ac:dyDescent="0.3">
      <c r="C229" s="21"/>
      <c r="D229" s="8"/>
      <c r="E229" s="8"/>
      <c r="F229" s="10"/>
      <c r="G229" s="10"/>
      <c r="H229" s="10"/>
      <c r="I229" s="21"/>
      <c r="J229" s="32"/>
      <c r="K229" s="31"/>
      <c r="L229" s="30"/>
      <c r="M229" s="26"/>
      <c r="N229" s="26"/>
      <c r="O229" s="28"/>
      <c r="P229" s="28"/>
      <c r="Q229" s="28"/>
    </row>
    <row r="230" spans="3:17" x14ac:dyDescent="0.3">
      <c r="C230" s="21"/>
      <c r="D230" s="8"/>
      <c r="E230" s="8"/>
      <c r="F230" s="10"/>
      <c r="G230" s="10"/>
      <c r="H230" s="10"/>
      <c r="I230" s="21"/>
      <c r="J230" s="32"/>
      <c r="K230" s="31"/>
      <c r="L230" s="30"/>
      <c r="M230" s="26"/>
      <c r="N230" s="26"/>
      <c r="O230" s="28"/>
      <c r="P230" s="28"/>
      <c r="Q230" s="28"/>
    </row>
    <row r="231" spans="3:17" x14ac:dyDescent="0.3">
      <c r="C231" s="21"/>
      <c r="D231" s="8"/>
      <c r="E231" s="8"/>
      <c r="F231" s="10"/>
      <c r="G231" s="10"/>
      <c r="H231" s="10"/>
      <c r="I231" s="21"/>
      <c r="J231" s="32"/>
      <c r="K231" s="31"/>
      <c r="L231" s="30"/>
      <c r="M231" s="26"/>
      <c r="N231" s="26"/>
      <c r="O231" s="28"/>
      <c r="P231" s="28"/>
      <c r="Q231" s="28"/>
    </row>
    <row r="232" spans="3:17" x14ac:dyDescent="0.3">
      <c r="C232" s="21"/>
      <c r="D232" s="8"/>
      <c r="E232" s="8"/>
      <c r="F232" s="10"/>
      <c r="G232" s="10"/>
      <c r="H232" s="10"/>
      <c r="I232" s="21"/>
      <c r="J232" s="32"/>
      <c r="K232" s="31"/>
      <c r="L232" s="30"/>
      <c r="M232" s="26"/>
      <c r="N232" s="26"/>
      <c r="O232" s="28"/>
      <c r="P232" s="28"/>
      <c r="Q232" s="28"/>
    </row>
    <row r="233" spans="3:17" x14ac:dyDescent="0.3">
      <c r="C233" s="21"/>
      <c r="D233" s="8"/>
      <c r="E233" s="8"/>
      <c r="F233" s="10"/>
      <c r="G233" s="10"/>
      <c r="H233" s="10"/>
      <c r="I233" s="21"/>
      <c r="J233" s="32"/>
      <c r="K233" s="31"/>
      <c r="L233" s="30"/>
      <c r="M233" s="26"/>
      <c r="N233" s="26"/>
      <c r="O233" s="28"/>
      <c r="P233" s="28"/>
      <c r="Q233" s="28"/>
    </row>
    <row r="234" spans="3:17" x14ac:dyDescent="0.3">
      <c r="C234" s="21"/>
      <c r="D234" s="8"/>
      <c r="E234" s="8"/>
      <c r="F234" s="10"/>
      <c r="G234" s="10"/>
      <c r="H234" s="10"/>
      <c r="I234" s="21"/>
      <c r="J234" s="32"/>
      <c r="K234" s="31"/>
      <c r="L234" s="30"/>
      <c r="M234" s="26"/>
      <c r="N234" s="26"/>
      <c r="O234" s="28"/>
      <c r="P234" s="28"/>
      <c r="Q234" s="28"/>
    </row>
    <row r="235" spans="3:17" x14ac:dyDescent="0.3">
      <c r="C235" s="21"/>
      <c r="D235" s="8"/>
      <c r="E235" s="8"/>
      <c r="F235" s="10"/>
      <c r="G235" s="10"/>
      <c r="H235" s="10"/>
      <c r="I235" s="21"/>
      <c r="J235" s="32"/>
      <c r="K235" s="31"/>
      <c r="L235" s="30"/>
      <c r="M235" s="26"/>
      <c r="N235" s="26"/>
      <c r="O235" s="28"/>
      <c r="P235" s="28"/>
      <c r="Q235" s="28"/>
    </row>
    <row r="236" spans="3:17" x14ac:dyDescent="0.3">
      <c r="C236" s="21"/>
      <c r="D236" s="8"/>
      <c r="E236" s="8"/>
      <c r="F236" s="10"/>
      <c r="G236" s="10"/>
      <c r="H236" s="10"/>
      <c r="I236" s="21"/>
      <c r="J236" s="32"/>
      <c r="K236" s="31"/>
      <c r="L236" s="30"/>
      <c r="M236" s="26"/>
      <c r="N236" s="26"/>
      <c r="O236" s="28"/>
      <c r="P236" s="28"/>
      <c r="Q236" s="28"/>
    </row>
    <row r="237" spans="3:17" x14ac:dyDescent="0.3">
      <c r="C237" s="21"/>
      <c r="D237" s="8"/>
      <c r="E237" s="8"/>
      <c r="F237" s="10"/>
      <c r="G237" s="10"/>
      <c r="H237" s="10"/>
      <c r="I237" s="21"/>
      <c r="J237" s="32"/>
      <c r="K237" s="31"/>
      <c r="L237" s="30"/>
      <c r="M237" s="26"/>
      <c r="N237" s="26"/>
      <c r="O237" s="28"/>
      <c r="P237" s="28"/>
      <c r="Q237" s="28"/>
    </row>
    <row r="238" spans="3:17" x14ac:dyDescent="0.3">
      <c r="C238" s="21"/>
      <c r="D238" s="8"/>
      <c r="E238" s="8"/>
      <c r="F238" s="10"/>
      <c r="G238" s="10"/>
      <c r="H238" s="10"/>
      <c r="I238" s="21"/>
      <c r="J238" s="32"/>
      <c r="K238" s="31"/>
      <c r="L238" s="30"/>
      <c r="M238" s="26"/>
      <c r="N238" s="26"/>
      <c r="O238" s="28"/>
      <c r="P238" s="28"/>
      <c r="Q238" s="28"/>
    </row>
    <row r="239" spans="3:17" x14ac:dyDescent="0.3">
      <c r="C239" s="21"/>
      <c r="D239" s="8"/>
      <c r="E239" s="8"/>
      <c r="F239" s="10"/>
      <c r="G239" s="10"/>
      <c r="H239" s="10"/>
      <c r="I239" s="21"/>
      <c r="J239" s="32"/>
      <c r="K239" s="31"/>
      <c r="L239" s="30"/>
      <c r="M239" s="26"/>
      <c r="N239" s="26"/>
      <c r="O239" s="28"/>
      <c r="P239" s="28"/>
      <c r="Q239" s="28"/>
    </row>
    <row r="240" spans="3:17" x14ac:dyDescent="0.3">
      <c r="C240" s="21"/>
      <c r="D240" s="8"/>
      <c r="E240" s="8"/>
      <c r="F240" s="10"/>
      <c r="G240" s="10"/>
      <c r="H240" s="10"/>
      <c r="I240" s="21"/>
      <c r="J240" s="32"/>
      <c r="K240" s="31"/>
      <c r="L240" s="30"/>
      <c r="M240" s="26"/>
      <c r="N240" s="26"/>
      <c r="O240" s="28"/>
      <c r="P240" s="28"/>
      <c r="Q240" s="28"/>
    </row>
    <row r="241" spans="3:17" x14ac:dyDescent="0.3">
      <c r="C241" s="21"/>
      <c r="D241" s="8"/>
      <c r="E241" s="8"/>
      <c r="F241" s="10"/>
      <c r="G241" s="10"/>
      <c r="H241" s="10"/>
      <c r="I241" s="21"/>
      <c r="J241" s="32"/>
      <c r="K241" s="31"/>
      <c r="L241" s="30"/>
      <c r="M241" s="26"/>
      <c r="N241" s="26"/>
      <c r="O241" s="28"/>
      <c r="P241" s="28"/>
      <c r="Q241" s="28"/>
    </row>
    <row r="242" spans="3:17" x14ac:dyDescent="0.3">
      <c r="C242" s="21"/>
      <c r="D242" s="8"/>
      <c r="E242" s="8"/>
      <c r="F242" s="10"/>
      <c r="G242" s="10"/>
      <c r="H242" s="10"/>
      <c r="I242" s="21"/>
      <c r="J242" s="32"/>
      <c r="K242" s="31"/>
      <c r="L242" s="30"/>
      <c r="M242" s="26"/>
      <c r="N242" s="26"/>
      <c r="O242" s="28"/>
      <c r="P242" s="28"/>
      <c r="Q242" s="28"/>
    </row>
    <row r="243" spans="3:17" x14ac:dyDescent="0.3">
      <c r="C243" s="21"/>
      <c r="D243" s="8"/>
      <c r="E243" s="8"/>
      <c r="F243" s="10"/>
      <c r="G243" s="10"/>
      <c r="H243" s="10"/>
      <c r="I243" s="21"/>
      <c r="J243" s="32"/>
      <c r="K243" s="31"/>
      <c r="L243" s="30"/>
      <c r="M243" s="26"/>
      <c r="N243" s="26"/>
      <c r="O243" s="28"/>
      <c r="P243" s="28"/>
      <c r="Q243" s="28"/>
    </row>
    <row r="244" spans="3:17" x14ac:dyDescent="0.3">
      <c r="C244" s="21"/>
      <c r="D244" s="8"/>
      <c r="E244" s="8"/>
      <c r="F244" s="10"/>
      <c r="G244" s="10"/>
      <c r="H244" s="10"/>
      <c r="I244" s="21"/>
      <c r="J244" s="32"/>
      <c r="K244" s="31"/>
      <c r="L244" s="30"/>
      <c r="M244" s="26"/>
      <c r="N244" s="26"/>
      <c r="O244" s="28"/>
      <c r="P244" s="28"/>
      <c r="Q244" s="28"/>
    </row>
    <row r="245" spans="3:17" x14ac:dyDescent="0.3">
      <c r="C245" s="21"/>
      <c r="D245" s="8"/>
      <c r="E245" s="8"/>
      <c r="F245" s="10"/>
      <c r="G245" s="10"/>
      <c r="H245" s="10"/>
      <c r="I245" s="21"/>
      <c r="J245" s="32"/>
      <c r="K245" s="31"/>
      <c r="L245" s="30"/>
      <c r="M245" s="26"/>
      <c r="N245" s="26"/>
      <c r="O245" s="28"/>
      <c r="P245" s="28"/>
      <c r="Q245" s="28"/>
    </row>
    <row r="246" spans="3:17" x14ac:dyDescent="0.3">
      <c r="C246" s="21"/>
      <c r="D246" s="8"/>
      <c r="E246" s="8"/>
      <c r="F246" s="10"/>
      <c r="G246" s="10"/>
      <c r="H246" s="10"/>
      <c r="I246" s="21"/>
      <c r="J246" s="32"/>
      <c r="K246" s="31"/>
      <c r="L246" s="30"/>
      <c r="M246" s="26"/>
      <c r="N246" s="26"/>
      <c r="O246" s="28"/>
      <c r="P246" s="28"/>
      <c r="Q246" s="28"/>
    </row>
    <row r="247" spans="3:17" x14ac:dyDescent="0.3">
      <c r="C247" s="21"/>
      <c r="D247" s="8"/>
      <c r="E247" s="8"/>
      <c r="F247" s="10"/>
      <c r="G247" s="10"/>
      <c r="H247" s="10"/>
      <c r="I247" s="21"/>
      <c r="J247" s="32"/>
      <c r="K247" s="31"/>
      <c r="L247" s="30"/>
      <c r="M247" s="26"/>
      <c r="N247" s="26"/>
      <c r="O247" s="28"/>
      <c r="P247" s="28"/>
      <c r="Q247" s="28"/>
    </row>
    <row r="248" spans="3:17" x14ac:dyDescent="0.3">
      <c r="C248" s="21"/>
      <c r="D248" s="8"/>
      <c r="E248" s="8"/>
      <c r="F248" s="10"/>
      <c r="G248" s="10"/>
      <c r="H248" s="10"/>
      <c r="I248" s="21"/>
      <c r="J248" s="32"/>
      <c r="K248" s="31"/>
      <c r="L248" s="30"/>
      <c r="M248" s="26"/>
      <c r="N248" s="26"/>
      <c r="O248" s="28"/>
      <c r="P248" s="28"/>
      <c r="Q248" s="28"/>
    </row>
    <row r="249" spans="3:17" x14ac:dyDescent="0.3">
      <c r="C249" s="21"/>
      <c r="D249" s="8"/>
      <c r="E249" s="8"/>
      <c r="F249" s="10"/>
      <c r="G249" s="10"/>
      <c r="H249" s="10"/>
      <c r="I249" s="21"/>
      <c r="J249" s="32"/>
      <c r="K249" s="31"/>
      <c r="L249" s="30"/>
      <c r="M249" s="26"/>
      <c r="N249" s="26"/>
      <c r="O249" s="28"/>
      <c r="P249" s="28"/>
      <c r="Q249" s="28"/>
    </row>
    <row r="250" spans="3:17" x14ac:dyDescent="0.3">
      <c r="C250" s="21"/>
      <c r="D250" s="8"/>
      <c r="E250" s="8"/>
      <c r="F250" s="10"/>
      <c r="G250" s="10"/>
      <c r="H250" s="10"/>
      <c r="I250" s="21"/>
      <c r="J250" s="32"/>
      <c r="K250" s="31"/>
      <c r="L250" s="30"/>
      <c r="M250" s="26"/>
      <c r="N250" s="26"/>
      <c r="O250" s="28"/>
      <c r="P250" s="28"/>
      <c r="Q250" s="28"/>
    </row>
    <row r="251" spans="3:17" x14ac:dyDescent="0.3">
      <c r="C251" s="21"/>
      <c r="D251" s="8"/>
      <c r="E251" s="8"/>
      <c r="F251" s="10"/>
      <c r="G251" s="10"/>
      <c r="H251" s="10"/>
      <c r="I251" s="21"/>
      <c r="J251" s="32"/>
      <c r="K251" s="31"/>
      <c r="L251" s="30"/>
      <c r="M251" s="26"/>
      <c r="N251" s="26"/>
      <c r="O251" s="28"/>
      <c r="P251" s="28"/>
      <c r="Q251" s="28"/>
    </row>
    <row r="252" spans="3:17" x14ac:dyDescent="0.3">
      <c r="C252" s="21"/>
      <c r="D252" s="8"/>
      <c r="E252" s="8"/>
      <c r="F252" s="10"/>
      <c r="G252" s="10"/>
      <c r="H252" s="10"/>
      <c r="I252" s="21"/>
      <c r="J252" s="32"/>
      <c r="K252" s="31"/>
      <c r="L252" s="30"/>
      <c r="M252" s="26"/>
      <c r="N252" s="26"/>
      <c r="O252" s="28"/>
      <c r="P252" s="28"/>
      <c r="Q252" s="28"/>
    </row>
    <row r="253" spans="3:17" x14ac:dyDescent="0.3">
      <c r="C253" s="21"/>
      <c r="D253" s="8"/>
      <c r="E253" s="8"/>
      <c r="F253" s="10"/>
      <c r="G253" s="10"/>
      <c r="H253" s="10"/>
      <c r="I253" s="21"/>
      <c r="J253" s="32"/>
      <c r="K253" s="31"/>
      <c r="L253" s="30"/>
      <c r="M253" s="26"/>
      <c r="N253" s="26"/>
      <c r="O253" s="28"/>
      <c r="P253" s="28"/>
      <c r="Q253" s="28"/>
    </row>
    <row r="254" spans="3:17" x14ac:dyDescent="0.3">
      <c r="C254" s="21"/>
      <c r="D254" s="8"/>
      <c r="E254" s="8"/>
      <c r="F254" s="10"/>
      <c r="G254" s="10"/>
      <c r="H254" s="10"/>
      <c r="I254" s="21"/>
      <c r="J254" s="32"/>
      <c r="K254" s="31"/>
      <c r="L254" s="30"/>
      <c r="M254" s="26"/>
      <c r="N254" s="26"/>
      <c r="O254" s="28"/>
      <c r="P254" s="28"/>
      <c r="Q254" s="28"/>
    </row>
    <row r="255" spans="3:17" x14ac:dyDescent="0.3">
      <c r="C255" s="21"/>
      <c r="D255" s="8"/>
      <c r="E255" s="8"/>
      <c r="F255" s="10"/>
      <c r="G255" s="10"/>
      <c r="H255" s="10"/>
      <c r="I255" s="21"/>
      <c r="J255" s="32"/>
      <c r="K255" s="31"/>
      <c r="L255" s="30"/>
      <c r="M255" s="26"/>
      <c r="N255" s="26"/>
      <c r="O255" s="28"/>
      <c r="P255" s="28"/>
      <c r="Q255" s="28"/>
    </row>
    <row r="256" spans="3:17" x14ac:dyDescent="0.3">
      <c r="C256" s="21"/>
      <c r="D256" s="8"/>
      <c r="E256" s="8"/>
      <c r="F256" s="10"/>
      <c r="G256" s="10"/>
      <c r="H256" s="10"/>
      <c r="I256" s="21"/>
      <c r="J256" s="32"/>
      <c r="K256" s="31"/>
      <c r="L256" s="30"/>
      <c r="M256" s="26"/>
      <c r="N256" s="26"/>
      <c r="O256" s="28"/>
      <c r="P256" s="28"/>
      <c r="Q256" s="28"/>
    </row>
    <row r="257" spans="3:17" x14ac:dyDescent="0.3">
      <c r="C257" s="21"/>
      <c r="D257" s="8"/>
      <c r="E257" s="8"/>
      <c r="F257" s="10"/>
      <c r="G257" s="10"/>
      <c r="H257" s="10"/>
      <c r="I257" s="21"/>
      <c r="J257" s="32"/>
      <c r="K257" s="31"/>
      <c r="L257" s="30"/>
      <c r="M257" s="26"/>
      <c r="N257" s="26"/>
      <c r="O257" s="28"/>
      <c r="P257" s="28"/>
      <c r="Q257" s="28"/>
    </row>
    <row r="258" spans="3:17" x14ac:dyDescent="0.3">
      <c r="C258" s="21"/>
      <c r="D258" s="8"/>
      <c r="E258" s="8"/>
      <c r="F258" s="10"/>
      <c r="G258" s="10"/>
      <c r="H258" s="10"/>
      <c r="I258" s="21"/>
      <c r="J258" s="32"/>
      <c r="K258" s="31"/>
      <c r="L258" s="30"/>
      <c r="M258" s="26"/>
      <c r="N258" s="26"/>
      <c r="O258" s="28"/>
      <c r="P258" s="28"/>
      <c r="Q258" s="28"/>
    </row>
    <row r="259" spans="3:17" x14ac:dyDescent="0.3">
      <c r="C259" s="21"/>
      <c r="D259" s="8"/>
      <c r="E259" s="8"/>
      <c r="F259" s="10"/>
      <c r="G259" s="10"/>
      <c r="H259" s="10"/>
      <c r="I259" s="21"/>
      <c r="J259" s="32"/>
      <c r="K259" s="31"/>
      <c r="L259" s="30"/>
      <c r="M259" s="26"/>
      <c r="N259" s="26"/>
      <c r="O259" s="28"/>
      <c r="P259" s="28"/>
      <c r="Q259" s="28"/>
    </row>
    <row r="260" spans="3:17" x14ac:dyDescent="0.3">
      <c r="C260" s="21"/>
      <c r="D260" s="8"/>
      <c r="E260" s="8"/>
      <c r="F260" s="10"/>
      <c r="G260" s="10"/>
      <c r="H260" s="10"/>
      <c r="I260" s="21"/>
      <c r="J260" s="32"/>
      <c r="K260" s="31"/>
      <c r="L260" s="30"/>
      <c r="M260" s="26"/>
      <c r="N260" s="26"/>
      <c r="O260" s="28"/>
      <c r="P260" s="28"/>
      <c r="Q260" s="28"/>
    </row>
    <row r="261" spans="3:17" x14ac:dyDescent="0.3">
      <c r="C261" s="21"/>
      <c r="D261" s="8"/>
      <c r="E261" s="8"/>
      <c r="F261" s="10"/>
      <c r="G261" s="10"/>
      <c r="H261" s="10"/>
      <c r="I261" s="21"/>
      <c r="J261" s="32"/>
      <c r="K261" s="31"/>
      <c r="L261" s="30"/>
      <c r="M261" s="26"/>
      <c r="N261" s="26"/>
      <c r="O261" s="28"/>
      <c r="P261" s="28"/>
      <c r="Q261" s="28"/>
    </row>
    <row r="262" spans="3:17" x14ac:dyDescent="0.3">
      <c r="C262" s="21"/>
      <c r="D262" s="8"/>
      <c r="E262" s="8"/>
      <c r="F262" s="10"/>
      <c r="G262" s="10"/>
      <c r="H262" s="10"/>
      <c r="I262" s="21"/>
      <c r="J262" s="32"/>
      <c r="K262" s="31"/>
      <c r="L262" s="30"/>
      <c r="M262" s="26"/>
      <c r="N262" s="26"/>
      <c r="O262" s="28"/>
      <c r="P262" s="28"/>
      <c r="Q262" s="28"/>
    </row>
    <row r="263" spans="3:17" x14ac:dyDescent="0.3">
      <c r="C263" s="21"/>
      <c r="D263" s="8"/>
      <c r="E263" s="8"/>
      <c r="F263" s="10"/>
      <c r="G263" s="10"/>
      <c r="H263" s="10"/>
      <c r="I263" s="21"/>
      <c r="J263" s="32"/>
      <c r="K263" s="31"/>
      <c r="L263" s="30"/>
      <c r="M263" s="26"/>
      <c r="N263" s="26"/>
      <c r="O263" s="28"/>
      <c r="P263" s="28"/>
      <c r="Q263" s="28"/>
    </row>
    <row r="264" spans="3:17" x14ac:dyDescent="0.3">
      <c r="C264" s="21"/>
      <c r="D264" s="8"/>
      <c r="E264" s="8"/>
      <c r="F264" s="10"/>
      <c r="G264" s="10"/>
      <c r="H264" s="10"/>
      <c r="I264" s="21"/>
      <c r="J264" s="32"/>
      <c r="K264" s="31"/>
      <c r="L264" s="30"/>
      <c r="M264" s="26"/>
      <c r="N264" s="26"/>
      <c r="O264" s="28"/>
      <c r="P264" s="28"/>
      <c r="Q264" s="28"/>
    </row>
    <row r="265" spans="3:17" x14ac:dyDescent="0.3">
      <c r="C265" s="21"/>
      <c r="D265" s="8"/>
      <c r="E265" s="8"/>
      <c r="F265" s="10"/>
      <c r="G265" s="10"/>
      <c r="H265" s="10"/>
      <c r="I265" s="21"/>
      <c r="J265" s="32"/>
      <c r="K265" s="31"/>
      <c r="L265" s="30"/>
      <c r="M265" s="26"/>
      <c r="N265" s="26"/>
      <c r="O265" s="28"/>
      <c r="P265" s="28"/>
      <c r="Q265" s="28"/>
    </row>
    <row r="266" spans="3:17" x14ac:dyDescent="0.3">
      <c r="C266" s="21"/>
      <c r="D266" s="8"/>
      <c r="E266" s="8"/>
      <c r="F266" s="10"/>
      <c r="G266" s="10"/>
      <c r="H266" s="10"/>
      <c r="I266" s="21"/>
      <c r="J266" s="32"/>
      <c r="K266" s="31"/>
      <c r="L266" s="30"/>
      <c r="M266" s="26"/>
      <c r="N266" s="26"/>
      <c r="O266" s="28"/>
      <c r="P266" s="28"/>
      <c r="Q266" s="28"/>
    </row>
    <row r="267" spans="3:17" x14ac:dyDescent="0.3">
      <c r="C267" s="21"/>
      <c r="D267" s="8"/>
      <c r="E267" s="8"/>
      <c r="F267" s="10"/>
      <c r="G267" s="10"/>
      <c r="H267" s="10"/>
      <c r="I267" s="21"/>
      <c r="J267" s="32"/>
      <c r="K267" s="31"/>
      <c r="L267" s="30"/>
      <c r="M267" s="26"/>
      <c r="N267" s="26"/>
      <c r="O267" s="28"/>
      <c r="P267" s="28"/>
      <c r="Q267" s="28"/>
    </row>
    <row r="268" spans="3:17" x14ac:dyDescent="0.3">
      <c r="C268" s="21"/>
      <c r="D268" s="8"/>
      <c r="E268" s="8"/>
      <c r="F268" s="10"/>
      <c r="G268" s="10"/>
      <c r="H268" s="10"/>
      <c r="I268" s="21"/>
      <c r="J268" s="32"/>
      <c r="K268" s="31"/>
      <c r="L268" s="30"/>
      <c r="M268" s="26"/>
      <c r="N268" s="26"/>
      <c r="O268" s="28"/>
      <c r="P268" s="28"/>
      <c r="Q268" s="28"/>
    </row>
    <row r="269" spans="3:17" x14ac:dyDescent="0.3">
      <c r="C269" s="21"/>
      <c r="D269" s="8"/>
      <c r="E269" s="8"/>
      <c r="F269" s="10"/>
      <c r="G269" s="10"/>
      <c r="H269" s="10"/>
      <c r="I269" s="21"/>
      <c r="J269" s="32"/>
      <c r="K269" s="31"/>
      <c r="L269" s="30"/>
      <c r="M269" s="26"/>
      <c r="N269" s="26"/>
      <c r="O269" s="28"/>
      <c r="P269" s="28"/>
      <c r="Q269" s="28"/>
    </row>
    <row r="270" spans="3:17" x14ac:dyDescent="0.3">
      <c r="C270" s="21"/>
      <c r="D270" s="8"/>
      <c r="E270" s="8"/>
      <c r="F270" s="10"/>
      <c r="G270" s="10"/>
      <c r="H270" s="10"/>
      <c r="I270" s="21"/>
      <c r="J270" s="32"/>
      <c r="K270" s="31"/>
      <c r="L270" s="30"/>
      <c r="M270" s="26"/>
      <c r="N270" s="26"/>
      <c r="O270" s="28"/>
      <c r="P270" s="28"/>
      <c r="Q270" s="28"/>
    </row>
    <row r="271" spans="3:17" x14ac:dyDescent="0.3">
      <c r="C271" s="21"/>
      <c r="D271" s="8"/>
      <c r="E271" s="8"/>
      <c r="F271" s="10"/>
      <c r="G271" s="10"/>
      <c r="H271" s="10"/>
      <c r="I271" s="21"/>
      <c r="J271" s="32"/>
      <c r="K271" s="31"/>
      <c r="L271" s="30"/>
      <c r="M271" s="26"/>
      <c r="N271" s="26"/>
      <c r="O271" s="28"/>
      <c r="P271" s="28"/>
      <c r="Q271" s="28"/>
    </row>
    <row r="272" spans="3:17" x14ac:dyDescent="0.3">
      <c r="C272" s="21"/>
      <c r="D272" s="8"/>
      <c r="E272" s="8"/>
      <c r="F272" s="10"/>
      <c r="G272" s="10"/>
      <c r="H272" s="10"/>
      <c r="I272" s="21"/>
      <c r="J272" s="32"/>
      <c r="K272" s="31"/>
      <c r="L272" s="30"/>
      <c r="M272" s="26"/>
      <c r="N272" s="26"/>
      <c r="O272" s="28"/>
      <c r="P272" s="28"/>
      <c r="Q272" s="28"/>
    </row>
    <row r="273" spans="3:17" x14ac:dyDescent="0.3">
      <c r="C273" s="21"/>
      <c r="D273" s="8"/>
      <c r="E273" s="8"/>
      <c r="F273" s="10"/>
      <c r="G273" s="10"/>
      <c r="H273" s="10"/>
      <c r="I273" s="21"/>
      <c r="J273" s="32"/>
      <c r="K273" s="31"/>
      <c r="L273" s="30"/>
      <c r="M273" s="26"/>
      <c r="N273" s="26"/>
      <c r="O273" s="28"/>
      <c r="P273" s="28"/>
      <c r="Q273" s="28"/>
    </row>
    <row r="274" spans="3:17" x14ac:dyDescent="0.3">
      <c r="C274" s="21"/>
      <c r="D274" s="8"/>
      <c r="E274" s="8"/>
      <c r="F274" s="10"/>
      <c r="G274" s="10"/>
      <c r="H274" s="10"/>
      <c r="I274" s="21"/>
      <c r="J274" s="32"/>
      <c r="K274" s="31"/>
      <c r="L274" s="30"/>
      <c r="M274" s="26"/>
      <c r="N274" s="26"/>
      <c r="O274" s="28"/>
      <c r="P274" s="28"/>
      <c r="Q274" s="28"/>
    </row>
    <row r="275" spans="3:17" x14ac:dyDescent="0.3">
      <c r="C275" s="21"/>
      <c r="D275" s="8"/>
      <c r="E275" s="8"/>
      <c r="F275" s="10"/>
      <c r="G275" s="10"/>
      <c r="H275" s="10"/>
      <c r="I275" s="21"/>
      <c r="J275" s="32"/>
      <c r="K275" s="31"/>
      <c r="L275" s="30"/>
      <c r="M275" s="26"/>
      <c r="N275" s="26"/>
      <c r="O275" s="28"/>
      <c r="P275" s="28"/>
      <c r="Q275" s="28"/>
    </row>
    <row r="276" spans="3:17" x14ac:dyDescent="0.3">
      <c r="C276" s="21"/>
      <c r="D276" s="8"/>
      <c r="E276" s="8"/>
      <c r="F276" s="10"/>
      <c r="G276" s="10"/>
      <c r="H276" s="10"/>
      <c r="I276" s="21"/>
      <c r="J276" s="32"/>
      <c r="K276" s="31"/>
      <c r="L276" s="30"/>
      <c r="M276" s="26"/>
      <c r="N276" s="26"/>
      <c r="O276" s="28"/>
      <c r="P276" s="28"/>
      <c r="Q276" s="28"/>
    </row>
    <row r="277" spans="3:17" x14ac:dyDescent="0.3">
      <c r="C277" s="21"/>
      <c r="D277" s="8"/>
      <c r="E277" s="8"/>
      <c r="F277" s="10"/>
      <c r="G277" s="10"/>
      <c r="H277" s="10"/>
      <c r="I277" s="21"/>
      <c r="J277" s="32"/>
      <c r="K277" s="31"/>
      <c r="L277" s="30"/>
      <c r="M277" s="26"/>
      <c r="N277" s="26"/>
      <c r="O277" s="28"/>
      <c r="P277" s="28"/>
      <c r="Q277" s="28"/>
    </row>
    <row r="278" spans="3:17" x14ac:dyDescent="0.3">
      <c r="C278" s="21"/>
      <c r="D278" s="8"/>
      <c r="E278" s="8"/>
      <c r="F278" s="10"/>
      <c r="G278" s="10"/>
      <c r="H278" s="10"/>
      <c r="I278" s="21"/>
      <c r="J278" s="32"/>
      <c r="K278" s="31"/>
      <c r="L278" s="30"/>
      <c r="M278" s="26"/>
      <c r="N278" s="26"/>
      <c r="O278" s="28"/>
      <c r="P278" s="28"/>
      <c r="Q278" s="28"/>
    </row>
    <row r="279" spans="3:17" x14ac:dyDescent="0.3">
      <c r="C279" s="21"/>
      <c r="D279" s="8"/>
      <c r="E279" s="8"/>
      <c r="F279" s="10"/>
      <c r="G279" s="10"/>
      <c r="H279" s="10"/>
      <c r="I279" s="21"/>
      <c r="J279" s="32"/>
      <c r="K279" s="31"/>
      <c r="L279" s="30"/>
      <c r="M279" s="26"/>
      <c r="N279" s="26"/>
      <c r="O279" s="28"/>
      <c r="P279" s="28"/>
      <c r="Q279" s="28"/>
    </row>
    <row r="280" spans="3:17" x14ac:dyDescent="0.3">
      <c r="C280" s="21"/>
      <c r="D280" s="8"/>
      <c r="E280" s="8"/>
      <c r="F280" s="10"/>
      <c r="G280" s="10"/>
      <c r="H280" s="10"/>
      <c r="I280" s="21"/>
      <c r="J280" s="32"/>
      <c r="K280" s="31"/>
      <c r="L280" s="30"/>
      <c r="M280" s="26"/>
      <c r="N280" s="26"/>
      <c r="O280" s="28"/>
      <c r="P280" s="28"/>
      <c r="Q280" s="28"/>
    </row>
    <row r="281" spans="3:17" x14ac:dyDescent="0.3">
      <c r="C281" s="21"/>
      <c r="D281" s="8"/>
      <c r="E281" s="8"/>
      <c r="F281" s="10"/>
      <c r="G281" s="10"/>
      <c r="H281" s="10"/>
      <c r="I281" s="21"/>
      <c r="J281" s="32"/>
      <c r="K281" s="31"/>
      <c r="L281" s="30"/>
      <c r="M281" s="26"/>
      <c r="N281" s="26"/>
      <c r="O281" s="28"/>
      <c r="P281" s="28"/>
      <c r="Q281" s="28"/>
    </row>
    <row r="282" spans="3:17" x14ac:dyDescent="0.3">
      <c r="C282" s="21"/>
      <c r="D282" s="8"/>
      <c r="E282" s="8"/>
      <c r="F282" s="10"/>
      <c r="G282" s="10"/>
      <c r="H282" s="10"/>
      <c r="I282" s="21"/>
      <c r="J282" s="32"/>
      <c r="K282" s="31"/>
      <c r="L282" s="30"/>
      <c r="M282" s="26"/>
      <c r="N282" s="26"/>
      <c r="O282" s="28"/>
      <c r="P282" s="28"/>
      <c r="Q282" s="28"/>
    </row>
    <row r="283" spans="3:17" x14ac:dyDescent="0.3">
      <c r="C283" s="21"/>
      <c r="D283" s="8"/>
      <c r="E283" s="8"/>
      <c r="F283" s="10"/>
      <c r="G283" s="10"/>
      <c r="H283" s="10"/>
      <c r="I283" s="21"/>
      <c r="J283" s="32"/>
      <c r="K283" s="31"/>
      <c r="L283" s="30"/>
      <c r="M283" s="26"/>
      <c r="N283" s="26"/>
      <c r="O283" s="28"/>
      <c r="P283" s="28"/>
      <c r="Q283" s="28"/>
    </row>
    <row r="284" spans="3:17" x14ac:dyDescent="0.3">
      <c r="C284" s="21"/>
      <c r="D284" s="8"/>
      <c r="E284" s="8"/>
      <c r="F284" s="10"/>
      <c r="G284" s="10"/>
      <c r="H284" s="10"/>
      <c r="I284" s="21"/>
      <c r="J284" s="32"/>
      <c r="K284" s="31"/>
      <c r="L284" s="30"/>
      <c r="M284" s="26"/>
      <c r="N284" s="26"/>
      <c r="O284" s="28"/>
      <c r="P284" s="28"/>
      <c r="Q284" s="28"/>
    </row>
    <row r="285" spans="3:17" x14ac:dyDescent="0.3">
      <c r="C285" s="21"/>
      <c r="D285" s="8"/>
      <c r="E285" s="8"/>
      <c r="F285" s="10"/>
      <c r="G285" s="10"/>
      <c r="H285" s="10"/>
      <c r="I285" s="21"/>
      <c r="J285" s="32"/>
      <c r="K285" s="31"/>
      <c r="L285" s="30"/>
      <c r="M285" s="26"/>
      <c r="N285" s="26"/>
      <c r="O285" s="28"/>
      <c r="P285" s="28"/>
      <c r="Q285" s="28"/>
    </row>
    <row r="286" spans="3:17" x14ac:dyDescent="0.3">
      <c r="C286" s="21"/>
      <c r="D286" s="8"/>
      <c r="E286" s="8"/>
      <c r="F286" s="10"/>
      <c r="G286" s="10"/>
      <c r="H286" s="10"/>
      <c r="I286" s="21"/>
      <c r="J286" s="32"/>
      <c r="K286" s="31"/>
      <c r="L286" s="30"/>
      <c r="M286" s="26"/>
      <c r="N286" s="26"/>
      <c r="O286" s="28"/>
      <c r="P286" s="28"/>
      <c r="Q286" s="28"/>
    </row>
    <row r="287" spans="3:17" x14ac:dyDescent="0.3">
      <c r="C287" s="21"/>
      <c r="D287" s="8"/>
      <c r="E287" s="8"/>
      <c r="F287" s="10"/>
      <c r="G287" s="10"/>
      <c r="H287" s="10"/>
      <c r="I287" s="21"/>
      <c r="J287" s="32"/>
      <c r="K287" s="31"/>
      <c r="L287" s="30"/>
      <c r="M287" s="26"/>
      <c r="N287" s="26"/>
      <c r="O287" s="28"/>
      <c r="P287" s="28"/>
      <c r="Q287" s="28"/>
    </row>
    <row r="288" spans="3:17" x14ac:dyDescent="0.3">
      <c r="C288" s="21"/>
      <c r="D288" s="8"/>
      <c r="E288" s="8"/>
      <c r="F288" s="10"/>
      <c r="G288" s="10"/>
      <c r="H288" s="10"/>
      <c r="I288" s="21"/>
      <c r="J288" s="32"/>
      <c r="K288" s="31"/>
      <c r="L288" s="30"/>
      <c r="M288" s="26"/>
      <c r="N288" s="26"/>
      <c r="O288" s="28"/>
      <c r="P288" s="28"/>
      <c r="Q288" s="28"/>
    </row>
    <row r="289" spans="1:17" x14ac:dyDescent="0.3">
      <c r="C289" s="21"/>
      <c r="D289" s="8"/>
      <c r="E289" s="8"/>
      <c r="F289" s="10"/>
      <c r="G289" s="10"/>
      <c r="H289" s="10"/>
      <c r="I289" s="21"/>
      <c r="J289" s="32"/>
      <c r="K289" s="31"/>
      <c r="L289" s="30"/>
      <c r="M289" s="26"/>
      <c r="N289" s="26"/>
      <c r="O289" s="28"/>
      <c r="P289" s="28"/>
      <c r="Q289" s="28"/>
    </row>
    <row r="290" spans="1:17" x14ac:dyDescent="0.3">
      <c r="C290" s="21"/>
      <c r="D290" s="8"/>
      <c r="E290" s="8"/>
      <c r="F290" s="10"/>
      <c r="G290" s="10"/>
      <c r="H290" s="10"/>
      <c r="I290" s="21"/>
      <c r="J290" s="32"/>
      <c r="K290" s="31"/>
      <c r="L290" s="30"/>
      <c r="M290" s="26"/>
      <c r="N290" s="26"/>
      <c r="O290" s="28"/>
      <c r="P290" s="28"/>
      <c r="Q290" s="28"/>
    </row>
    <row r="291" spans="1:17" x14ac:dyDescent="0.3">
      <c r="C291" s="21"/>
      <c r="D291" s="8"/>
      <c r="E291" s="8"/>
      <c r="F291" s="10"/>
      <c r="G291" s="10"/>
      <c r="H291" s="10"/>
      <c r="I291" s="21"/>
      <c r="J291" s="32"/>
      <c r="K291" s="31"/>
      <c r="L291" s="30"/>
      <c r="M291" s="26"/>
      <c r="N291" s="26"/>
      <c r="O291" s="28"/>
      <c r="P291" s="28"/>
      <c r="Q291" s="28"/>
    </row>
    <row r="292" spans="1:17" x14ac:dyDescent="0.3">
      <c r="C292" s="21"/>
      <c r="D292" s="8"/>
      <c r="E292" s="8"/>
      <c r="F292" s="10"/>
      <c r="G292" s="10"/>
      <c r="H292" s="10"/>
      <c r="I292" s="21"/>
      <c r="J292" s="32"/>
      <c r="K292" s="31"/>
      <c r="L292" s="30"/>
      <c r="M292" s="26"/>
      <c r="N292" s="26"/>
      <c r="O292" s="28"/>
      <c r="P292" s="28"/>
      <c r="Q292" s="28"/>
    </row>
    <row r="293" spans="1:17" x14ac:dyDescent="0.3">
      <c r="C293" s="21"/>
      <c r="D293" s="8"/>
      <c r="E293" s="8"/>
      <c r="F293" s="10"/>
      <c r="G293" s="10"/>
      <c r="H293" s="10"/>
      <c r="I293" s="21"/>
      <c r="J293" s="32"/>
      <c r="K293" s="31"/>
      <c r="L293" s="30"/>
      <c r="M293" s="26"/>
      <c r="N293" s="26"/>
      <c r="O293" s="28"/>
      <c r="P293" s="28"/>
      <c r="Q293" s="28"/>
    </row>
    <row r="294" spans="1:17" x14ac:dyDescent="0.3">
      <c r="C294" s="21"/>
      <c r="D294" s="8"/>
      <c r="E294" s="8"/>
      <c r="F294" s="10"/>
      <c r="G294" s="10"/>
      <c r="H294" s="10"/>
      <c r="I294" s="21"/>
      <c r="J294" s="32"/>
      <c r="K294" s="31"/>
      <c r="L294" s="30"/>
      <c r="M294" s="26"/>
      <c r="N294" s="26"/>
      <c r="O294" s="28"/>
      <c r="P294" s="28"/>
      <c r="Q294" s="28"/>
    </row>
    <row r="295" spans="1:17" x14ac:dyDescent="0.3">
      <c r="C295" s="21"/>
      <c r="D295" s="8"/>
      <c r="E295" s="8"/>
      <c r="F295" s="10"/>
      <c r="G295" s="10"/>
      <c r="H295" s="10"/>
      <c r="I295" s="21"/>
      <c r="J295" s="32"/>
      <c r="K295" s="31"/>
      <c r="L295" s="30"/>
      <c r="M295" s="26"/>
      <c r="N295" s="26"/>
      <c r="O295" s="28"/>
      <c r="P295" s="28"/>
      <c r="Q295" s="28"/>
    </row>
    <row r="296" spans="1:17" x14ac:dyDescent="0.3">
      <c r="C296" s="21"/>
      <c r="D296" s="8"/>
      <c r="E296" s="8"/>
      <c r="F296" s="10"/>
      <c r="G296" s="10"/>
      <c r="H296" s="10"/>
      <c r="I296" s="21"/>
      <c r="J296" s="32"/>
      <c r="K296" s="31"/>
      <c r="L296" s="30"/>
      <c r="M296" s="26"/>
      <c r="N296" s="26"/>
      <c r="O296" s="28"/>
      <c r="P296" s="28"/>
      <c r="Q296" s="28"/>
    </row>
    <row r="297" spans="1:17" x14ac:dyDescent="0.3">
      <c r="C297" s="21"/>
      <c r="D297" s="8"/>
      <c r="E297" s="8"/>
      <c r="F297" s="10"/>
      <c r="G297" s="10"/>
      <c r="H297" s="10"/>
      <c r="I297" s="21"/>
      <c r="J297" s="32"/>
      <c r="K297" s="31"/>
      <c r="L297" s="30"/>
      <c r="M297" s="26"/>
      <c r="N297" s="26"/>
      <c r="O297" s="28"/>
      <c r="P297" s="28"/>
      <c r="Q297" s="28"/>
    </row>
    <row r="298" spans="1:17" x14ac:dyDescent="0.3">
      <c r="C298" s="21"/>
      <c r="D298" s="8"/>
      <c r="E298" s="8"/>
      <c r="F298" s="10"/>
      <c r="G298" s="10"/>
      <c r="H298" s="10"/>
      <c r="I298" s="21"/>
      <c r="J298" s="32"/>
      <c r="K298" s="31"/>
      <c r="L298" s="30"/>
      <c r="M298" s="26"/>
      <c r="N298" s="26"/>
      <c r="O298" s="28"/>
      <c r="P298" s="28"/>
      <c r="Q298" s="28"/>
    </row>
    <row r="299" spans="1:17" x14ac:dyDescent="0.3">
      <c r="C299" s="21"/>
      <c r="D299" s="36"/>
      <c r="E299" s="8"/>
      <c r="F299" s="10"/>
      <c r="G299" s="10"/>
      <c r="H299" s="10"/>
      <c r="I299" s="21"/>
      <c r="J299" s="32"/>
      <c r="K299" s="31"/>
      <c r="L299" s="30"/>
      <c r="M299" s="26"/>
      <c r="N299" s="26"/>
      <c r="O299" s="28"/>
      <c r="P299" s="28"/>
      <c r="Q299" s="28"/>
    </row>
    <row r="300" spans="1:17" x14ac:dyDescent="0.3">
      <c r="C300" s="21"/>
      <c r="D300" s="8"/>
      <c r="E300" s="8"/>
      <c r="F300" s="10"/>
      <c r="G300" s="10"/>
      <c r="H300" s="10"/>
      <c r="I300" s="21"/>
      <c r="J300" s="32"/>
      <c r="K300" s="31"/>
      <c r="L300" s="30"/>
      <c r="M300" s="26"/>
      <c r="N300" s="26"/>
      <c r="O300" s="28"/>
      <c r="P300" s="28"/>
      <c r="Q300" s="28"/>
    </row>
    <row r="301" spans="1:17" x14ac:dyDescent="0.3">
      <c r="C301" s="21"/>
      <c r="D301" s="8"/>
      <c r="E301" s="8"/>
      <c r="F301" s="10"/>
      <c r="G301" s="10"/>
      <c r="H301" s="10"/>
      <c r="I301" s="21"/>
      <c r="J301" s="32"/>
      <c r="K301" s="31"/>
      <c r="L301" s="30"/>
      <c r="M301" s="26"/>
      <c r="N301" s="26"/>
      <c r="O301" s="28"/>
      <c r="P301" s="28"/>
      <c r="Q301" s="28"/>
    </row>
    <row r="302" spans="1:17" x14ac:dyDescent="0.3">
      <c r="A302" s="5"/>
      <c r="B302" s="6"/>
      <c r="C302" s="7"/>
      <c r="D302" s="8"/>
      <c r="E302" s="8"/>
      <c r="F302" s="10"/>
      <c r="G302" s="10"/>
      <c r="H302" s="10"/>
      <c r="I302" s="7"/>
      <c r="J302" s="12"/>
      <c r="K302" s="13"/>
      <c r="L302" s="14"/>
      <c r="M302" s="15"/>
      <c r="N302" s="15"/>
      <c r="O302" s="16"/>
      <c r="Q302" s="16"/>
    </row>
    <row r="303" spans="1:17" x14ac:dyDescent="0.3">
      <c r="A303" s="5"/>
      <c r="B303" s="6"/>
      <c r="C303" s="7"/>
      <c r="D303" s="8"/>
      <c r="E303" s="8"/>
      <c r="F303" s="10"/>
      <c r="G303" s="10"/>
      <c r="H303" s="10"/>
      <c r="I303" s="7"/>
      <c r="J303" s="12"/>
      <c r="K303" s="13"/>
      <c r="L303" s="14"/>
      <c r="M303" s="15"/>
      <c r="N303" s="15"/>
      <c r="O303" s="16"/>
      <c r="Q303" s="16"/>
    </row>
    <row r="304" spans="1:17" x14ac:dyDescent="0.3">
      <c r="A304" s="5"/>
      <c r="B304" s="6"/>
      <c r="C304" s="7"/>
      <c r="D304" s="8"/>
      <c r="E304" s="8"/>
      <c r="F304" s="10"/>
      <c r="G304" s="10"/>
      <c r="H304" s="10"/>
      <c r="I304" s="7"/>
      <c r="J304" s="12"/>
      <c r="K304" s="13"/>
      <c r="L304" s="14"/>
      <c r="M304" s="15"/>
      <c r="N304" s="15"/>
      <c r="O304" s="16"/>
      <c r="Q304" s="16"/>
    </row>
    <row r="305" spans="1:17" x14ac:dyDescent="0.3">
      <c r="A305" s="5"/>
      <c r="B305" s="6"/>
      <c r="C305" s="7"/>
      <c r="D305" s="8"/>
      <c r="E305" s="8"/>
      <c r="F305" s="10"/>
      <c r="G305" s="10"/>
      <c r="H305" s="10"/>
      <c r="I305" s="7"/>
      <c r="J305" s="12"/>
      <c r="K305" s="13"/>
      <c r="L305" s="14"/>
      <c r="M305" s="15"/>
      <c r="N305" s="15"/>
      <c r="O305" s="16"/>
      <c r="Q305" s="16"/>
    </row>
    <row r="306" spans="1:17" x14ac:dyDescent="0.3">
      <c r="A306" s="5"/>
      <c r="B306" s="6"/>
      <c r="C306" s="7"/>
      <c r="D306" s="8"/>
      <c r="E306" s="8"/>
      <c r="F306" s="10"/>
      <c r="G306" s="10"/>
      <c r="H306" s="10"/>
      <c r="I306" s="7"/>
      <c r="J306" s="12"/>
      <c r="K306" s="13"/>
      <c r="L306" s="14"/>
      <c r="M306" s="15"/>
      <c r="N306" s="15"/>
      <c r="O306" s="16"/>
      <c r="Q306" s="16"/>
    </row>
    <row r="307" spans="1:17" x14ac:dyDescent="0.3">
      <c r="A307" s="5"/>
      <c r="B307" s="6"/>
      <c r="C307" s="7"/>
      <c r="D307" s="8"/>
      <c r="E307" s="8"/>
      <c r="F307" s="10"/>
      <c r="G307" s="10"/>
      <c r="H307" s="10"/>
      <c r="I307" s="7"/>
      <c r="J307" s="12"/>
      <c r="K307" s="13"/>
      <c r="L307" s="14"/>
      <c r="M307" s="15"/>
      <c r="N307" s="15"/>
      <c r="O307" s="16"/>
      <c r="Q307" s="16"/>
    </row>
    <row r="308" spans="1:17" x14ac:dyDescent="0.3">
      <c r="A308" s="5"/>
      <c r="B308" s="6"/>
      <c r="C308" s="7"/>
      <c r="D308" s="8"/>
      <c r="E308" s="8"/>
      <c r="F308" s="10"/>
      <c r="G308" s="10"/>
      <c r="H308" s="10"/>
      <c r="I308" s="7"/>
      <c r="J308" s="12"/>
      <c r="K308" s="13"/>
      <c r="L308" s="14"/>
      <c r="M308" s="15"/>
      <c r="N308" s="15"/>
      <c r="O308" s="16"/>
      <c r="Q308" s="16"/>
    </row>
    <row r="309" spans="1:17" x14ac:dyDescent="0.3">
      <c r="A309" s="5"/>
      <c r="B309" s="6"/>
      <c r="C309" s="7"/>
      <c r="D309" s="8"/>
      <c r="E309" s="8"/>
      <c r="F309" s="10"/>
      <c r="G309" s="10"/>
      <c r="H309" s="10"/>
      <c r="I309" s="7"/>
      <c r="J309" s="12"/>
      <c r="K309" s="13"/>
      <c r="L309" s="14"/>
      <c r="M309" s="15"/>
      <c r="N309" s="15"/>
      <c r="O309" s="16"/>
      <c r="Q309" s="16"/>
    </row>
    <row r="310" spans="1:17" x14ac:dyDescent="0.3">
      <c r="A310" s="5"/>
      <c r="B310" s="6"/>
      <c r="C310" s="7"/>
      <c r="D310" s="8"/>
      <c r="E310" s="8"/>
      <c r="F310" s="10"/>
      <c r="G310" s="10"/>
      <c r="H310" s="10"/>
      <c r="I310" s="7"/>
      <c r="J310" s="12"/>
      <c r="K310" s="13"/>
      <c r="L310" s="14"/>
      <c r="M310" s="15"/>
      <c r="N310" s="15"/>
      <c r="O310" s="16"/>
      <c r="Q310" s="16"/>
    </row>
    <row r="311" spans="1:17" x14ac:dyDescent="0.3">
      <c r="A311" s="5"/>
      <c r="B311" s="6"/>
      <c r="C311" s="7"/>
      <c r="D311" s="8"/>
      <c r="E311" s="8"/>
      <c r="F311" s="10"/>
      <c r="G311" s="10"/>
      <c r="H311" s="10"/>
      <c r="I311" s="7"/>
      <c r="J311" s="12"/>
      <c r="K311" s="13"/>
      <c r="L311" s="14"/>
      <c r="M311" s="15"/>
      <c r="N311" s="15"/>
      <c r="O311" s="16"/>
      <c r="Q311" s="16"/>
    </row>
    <row r="312" spans="1:17" x14ac:dyDescent="0.3">
      <c r="A312" s="5"/>
      <c r="B312" s="6"/>
      <c r="C312" s="7"/>
      <c r="D312" s="8"/>
      <c r="E312" s="8"/>
      <c r="F312" s="10"/>
      <c r="G312" s="10"/>
      <c r="H312" s="10"/>
      <c r="I312" s="7"/>
      <c r="J312" s="12"/>
      <c r="K312" s="13"/>
      <c r="L312" s="14"/>
      <c r="M312" s="15"/>
      <c r="N312" s="15"/>
      <c r="O312" s="16"/>
      <c r="Q312" s="16"/>
    </row>
    <row r="313" spans="1:17" x14ac:dyDescent="0.3">
      <c r="A313" s="5"/>
      <c r="B313" s="6"/>
      <c r="C313" s="7"/>
      <c r="D313" s="8"/>
      <c r="E313" s="8"/>
      <c r="F313" s="10"/>
      <c r="G313" s="10"/>
      <c r="H313" s="10"/>
      <c r="I313" s="7"/>
      <c r="J313" s="12"/>
      <c r="K313" s="13"/>
      <c r="L313" s="14"/>
      <c r="M313" s="15"/>
      <c r="N313" s="15"/>
      <c r="O313" s="16"/>
      <c r="Q313" s="16"/>
    </row>
    <row r="314" spans="1:17" x14ac:dyDescent="0.3">
      <c r="A314" s="5"/>
      <c r="B314" s="6"/>
      <c r="C314" s="7"/>
      <c r="D314" s="8"/>
      <c r="E314" s="8"/>
      <c r="F314" s="10"/>
      <c r="G314" s="10"/>
      <c r="H314" s="10"/>
      <c r="I314" s="7"/>
      <c r="J314" s="12"/>
      <c r="K314" s="13"/>
      <c r="L314" s="14"/>
      <c r="M314" s="15"/>
      <c r="N314" s="15"/>
      <c r="O314" s="16"/>
      <c r="Q314" s="16"/>
    </row>
    <row r="315" spans="1:17" x14ac:dyDescent="0.3">
      <c r="A315" s="5"/>
      <c r="B315" s="6"/>
      <c r="C315" s="7"/>
      <c r="D315" s="8"/>
      <c r="E315" s="8"/>
      <c r="F315" s="10"/>
      <c r="G315" s="10"/>
      <c r="H315" s="10"/>
      <c r="I315" s="7"/>
      <c r="J315" s="12"/>
      <c r="K315" s="13"/>
      <c r="L315" s="14"/>
      <c r="M315" s="15"/>
      <c r="N315" s="15"/>
      <c r="O315" s="16"/>
      <c r="Q315" s="16"/>
    </row>
    <row r="316" spans="1:17" x14ac:dyDescent="0.3">
      <c r="A316" s="5"/>
      <c r="B316" s="6"/>
      <c r="C316" s="7"/>
      <c r="D316" s="8"/>
      <c r="E316" s="8"/>
      <c r="F316" s="10"/>
      <c r="G316" s="10"/>
      <c r="H316" s="10"/>
      <c r="I316" s="7"/>
      <c r="J316" s="12"/>
      <c r="K316" s="13"/>
      <c r="L316" s="14"/>
      <c r="M316" s="15"/>
      <c r="N316" s="15"/>
      <c r="O316" s="16"/>
      <c r="Q316" s="16"/>
    </row>
    <row r="317" spans="1:17" x14ac:dyDescent="0.3">
      <c r="A317" s="5"/>
      <c r="B317" s="6"/>
      <c r="C317" s="7"/>
      <c r="D317" s="8"/>
      <c r="E317" s="8"/>
      <c r="F317" s="10"/>
      <c r="G317" s="10"/>
      <c r="H317" s="10"/>
      <c r="I317" s="7"/>
      <c r="J317" s="12"/>
      <c r="K317" s="13"/>
      <c r="L317" s="14"/>
      <c r="M317" s="15"/>
      <c r="N317" s="15"/>
      <c r="O317" s="16"/>
      <c r="Q317" s="16"/>
    </row>
    <row r="318" spans="1:17" x14ac:dyDescent="0.3">
      <c r="A318" s="5"/>
      <c r="B318" s="6"/>
      <c r="C318" s="7"/>
      <c r="D318" s="8"/>
      <c r="E318" s="8"/>
      <c r="F318" s="10"/>
      <c r="G318" s="10"/>
      <c r="H318" s="10"/>
      <c r="I318" s="7"/>
      <c r="J318" s="12"/>
      <c r="K318" s="13"/>
      <c r="L318" s="14"/>
      <c r="M318" s="15"/>
      <c r="N318" s="15"/>
      <c r="O318" s="16"/>
      <c r="Q318" s="16"/>
    </row>
    <row r="319" spans="1:17" x14ac:dyDescent="0.3">
      <c r="A319" s="5"/>
      <c r="B319" s="6"/>
      <c r="C319" s="7"/>
      <c r="D319" s="8"/>
      <c r="E319" s="8"/>
      <c r="F319" s="10"/>
      <c r="G319" s="10"/>
      <c r="H319" s="10"/>
      <c r="I319" s="7"/>
      <c r="J319" s="12"/>
      <c r="K319" s="13"/>
      <c r="L319" s="14"/>
      <c r="M319" s="15"/>
      <c r="N319" s="15"/>
      <c r="O319" s="16"/>
      <c r="Q319" s="16"/>
    </row>
    <row r="320" spans="1:17" x14ac:dyDescent="0.3">
      <c r="A320" s="5"/>
      <c r="B320" s="6"/>
      <c r="C320" s="7"/>
      <c r="D320" s="8"/>
      <c r="E320" s="8"/>
      <c r="F320" s="10"/>
      <c r="G320" s="10"/>
      <c r="H320" s="10"/>
      <c r="I320" s="7"/>
      <c r="J320" s="12"/>
      <c r="K320" s="13"/>
      <c r="L320" s="14"/>
      <c r="M320" s="15"/>
      <c r="N320" s="15"/>
      <c r="O320" s="16"/>
      <c r="Q320" s="16"/>
    </row>
    <row r="321" spans="1:17" x14ac:dyDescent="0.3">
      <c r="A321" s="5"/>
      <c r="B321" s="6"/>
      <c r="C321" s="7"/>
      <c r="D321" s="8"/>
      <c r="E321" s="8"/>
      <c r="F321" s="10"/>
      <c r="G321" s="10"/>
      <c r="H321" s="10"/>
      <c r="I321" s="7"/>
      <c r="J321" s="12"/>
      <c r="K321" s="13"/>
      <c r="L321" s="14"/>
      <c r="M321" s="15"/>
      <c r="N321" s="15"/>
      <c r="O321" s="16"/>
      <c r="Q321" s="16"/>
    </row>
    <row r="322" spans="1:17" x14ac:dyDescent="0.3">
      <c r="A322" s="5"/>
      <c r="B322" s="6"/>
      <c r="C322" s="7"/>
      <c r="D322" s="8"/>
      <c r="E322" s="8"/>
      <c r="F322" s="10"/>
      <c r="G322" s="10"/>
      <c r="H322" s="10"/>
      <c r="I322" s="7"/>
      <c r="J322" s="12"/>
      <c r="K322" s="13"/>
      <c r="L322" s="14"/>
      <c r="M322" s="15"/>
      <c r="N322" s="15"/>
      <c r="O322" s="16"/>
      <c r="Q322" s="16"/>
    </row>
    <row r="323" spans="1:17" x14ac:dyDescent="0.3">
      <c r="A323" s="5"/>
      <c r="B323" s="6"/>
      <c r="C323" s="7"/>
      <c r="D323" s="8"/>
      <c r="E323" s="8"/>
      <c r="F323" s="10"/>
      <c r="G323" s="10"/>
      <c r="H323" s="10"/>
      <c r="I323" s="7"/>
      <c r="J323" s="12"/>
      <c r="K323" s="13"/>
      <c r="L323" s="14"/>
      <c r="M323" s="15"/>
      <c r="N323" s="15"/>
      <c r="O323" s="16"/>
      <c r="Q323" s="16"/>
    </row>
    <row r="324" spans="1:17" x14ac:dyDescent="0.3">
      <c r="A324" s="5"/>
      <c r="B324" s="6"/>
      <c r="C324" s="7"/>
      <c r="D324" s="8"/>
      <c r="E324" s="8"/>
      <c r="F324" s="10"/>
      <c r="G324" s="10"/>
      <c r="H324" s="10"/>
      <c r="I324" s="7"/>
      <c r="J324" s="12"/>
      <c r="K324" s="13"/>
      <c r="L324" s="14"/>
      <c r="M324" s="15"/>
      <c r="N324" s="15"/>
      <c r="O324" s="16"/>
      <c r="Q324" s="16"/>
    </row>
    <row r="325" spans="1:17" x14ac:dyDescent="0.3">
      <c r="A325" s="5"/>
      <c r="B325" s="6"/>
      <c r="C325" s="7"/>
      <c r="D325" s="8"/>
      <c r="E325" s="8"/>
      <c r="F325" s="10"/>
      <c r="G325" s="10"/>
      <c r="H325" s="10"/>
      <c r="I325" s="7"/>
      <c r="J325" s="12"/>
      <c r="K325" s="13"/>
      <c r="L325" s="14"/>
      <c r="M325" s="15"/>
      <c r="N325" s="15"/>
      <c r="O325" s="16"/>
      <c r="Q325" s="16"/>
    </row>
    <row r="326" spans="1:17" x14ac:dyDescent="0.3">
      <c r="A326" s="5"/>
      <c r="B326" s="6"/>
      <c r="C326" s="7"/>
      <c r="D326" s="8"/>
      <c r="E326" s="8"/>
      <c r="F326" s="10"/>
      <c r="G326" s="10"/>
      <c r="H326" s="10"/>
      <c r="I326" s="7"/>
      <c r="J326" s="12"/>
      <c r="K326" s="13"/>
      <c r="L326" s="14"/>
      <c r="M326" s="15"/>
      <c r="N326" s="15"/>
      <c r="O326" s="16"/>
      <c r="Q326" s="16"/>
    </row>
    <row r="327" spans="1:17" x14ac:dyDescent="0.3">
      <c r="A327" s="5"/>
      <c r="B327" s="6"/>
      <c r="C327" s="7"/>
      <c r="D327" s="8"/>
      <c r="E327" s="8"/>
      <c r="F327" s="10"/>
      <c r="G327" s="10"/>
      <c r="H327" s="10"/>
      <c r="I327" s="7"/>
      <c r="J327" s="12"/>
      <c r="K327" s="13"/>
      <c r="L327" s="14"/>
      <c r="M327" s="15"/>
      <c r="N327" s="15"/>
      <c r="O327" s="16"/>
      <c r="Q327" s="16"/>
    </row>
    <row r="328" spans="1:17" x14ac:dyDescent="0.3">
      <c r="A328" s="5"/>
      <c r="B328" s="6"/>
      <c r="C328" s="7"/>
      <c r="D328" s="8"/>
      <c r="E328" s="8"/>
      <c r="F328" s="10"/>
      <c r="G328" s="10"/>
      <c r="H328" s="10"/>
      <c r="I328" s="7"/>
      <c r="J328" s="12"/>
      <c r="K328" s="13"/>
      <c r="L328" s="14"/>
      <c r="M328" s="15"/>
      <c r="N328" s="15"/>
      <c r="O328" s="16"/>
      <c r="Q328" s="16"/>
    </row>
    <row r="329" spans="1:17" x14ac:dyDescent="0.3">
      <c r="A329" s="5"/>
      <c r="B329" s="6"/>
      <c r="C329" s="7"/>
      <c r="D329" s="8"/>
      <c r="E329" s="8"/>
      <c r="F329" s="10"/>
      <c r="G329" s="10"/>
      <c r="H329" s="10"/>
      <c r="I329" s="7"/>
      <c r="J329" s="12"/>
      <c r="K329" s="13"/>
      <c r="L329" s="14"/>
      <c r="M329" s="15"/>
      <c r="N329" s="15"/>
      <c r="O329" s="16"/>
      <c r="Q329" s="16"/>
    </row>
    <row r="330" spans="1:17" x14ac:dyDescent="0.3">
      <c r="A330" s="5"/>
      <c r="B330" s="6"/>
      <c r="C330" s="7"/>
      <c r="D330" s="8"/>
      <c r="E330" s="8"/>
      <c r="F330" s="10"/>
      <c r="G330" s="10"/>
      <c r="H330" s="10"/>
      <c r="I330" s="7"/>
      <c r="J330" s="12"/>
      <c r="K330" s="13"/>
      <c r="L330" s="14"/>
      <c r="M330" s="15"/>
      <c r="N330" s="15"/>
      <c r="O330" s="16"/>
      <c r="Q330" s="16"/>
    </row>
    <row r="331" spans="1:17" x14ac:dyDescent="0.3">
      <c r="A331" s="5"/>
      <c r="B331" s="6"/>
      <c r="C331" s="7"/>
      <c r="D331" s="8"/>
      <c r="E331" s="8"/>
      <c r="F331" s="10"/>
      <c r="G331" s="10"/>
      <c r="H331" s="10"/>
      <c r="I331" s="7"/>
      <c r="J331" s="12"/>
      <c r="K331" s="13"/>
      <c r="L331" s="14"/>
      <c r="M331" s="15"/>
      <c r="N331" s="15"/>
      <c r="O331" s="16"/>
      <c r="Q331" s="16"/>
    </row>
    <row r="332" spans="1:17" x14ac:dyDescent="0.3">
      <c r="A332" s="5"/>
      <c r="B332" s="6"/>
      <c r="C332" s="7"/>
      <c r="D332" s="8"/>
      <c r="E332" s="8"/>
      <c r="F332" s="10"/>
      <c r="G332" s="10"/>
      <c r="H332" s="10"/>
      <c r="I332" s="7"/>
      <c r="J332" s="12"/>
      <c r="K332" s="13"/>
      <c r="L332" s="14"/>
      <c r="M332" s="15"/>
      <c r="N332" s="15"/>
      <c r="O332" s="16"/>
      <c r="Q332" s="16"/>
    </row>
    <row r="333" spans="1:17" x14ac:dyDescent="0.3">
      <c r="A333" s="5"/>
      <c r="B333" s="6"/>
      <c r="C333" s="7"/>
      <c r="D333" s="8"/>
      <c r="E333" s="8"/>
      <c r="F333" s="10"/>
      <c r="G333" s="10"/>
      <c r="H333" s="10"/>
      <c r="I333" s="7"/>
      <c r="J333" s="12"/>
      <c r="K333" s="13"/>
      <c r="L333" s="14"/>
      <c r="M333" s="15"/>
      <c r="N333" s="15"/>
      <c r="O333" s="16"/>
      <c r="Q333" s="16"/>
    </row>
    <row r="334" spans="1:17" x14ac:dyDescent="0.3">
      <c r="A334" s="5"/>
      <c r="B334" s="6"/>
      <c r="C334" s="7"/>
      <c r="D334" s="8"/>
      <c r="E334" s="8"/>
      <c r="F334" s="10"/>
      <c r="G334" s="10"/>
      <c r="H334" s="10"/>
      <c r="I334" s="7"/>
      <c r="J334" s="12"/>
      <c r="K334" s="13"/>
      <c r="L334" s="14"/>
      <c r="M334" s="15"/>
      <c r="N334" s="15"/>
      <c r="O334" s="16"/>
      <c r="Q334" s="16"/>
    </row>
    <row r="335" spans="1:17" x14ac:dyDescent="0.3">
      <c r="A335" s="5"/>
      <c r="B335" s="6"/>
      <c r="C335" s="7"/>
      <c r="D335" s="8"/>
      <c r="E335" s="8"/>
      <c r="F335" s="10"/>
      <c r="G335" s="10"/>
      <c r="H335" s="10"/>
      <c r="I335" s="7"/>
      <c r="J335" s="12"/>
      <c r="K335" s="13"/>
      <c r="L335" s="14"/>
      <c r="M335" s="15"/>
      <c r="N335" s="15"/>
      <c r="O335" s="16"/>
      <c r="Q335" s="16"/>
    </row>
    <row r="336" spans="1:17" x14ac:dyDescent="0.3">
      <c r="A336" s="5"/>
      <c r="B336" s="6"/>
      <c r="C336" s="7"/>
      <c r="D336" s="8"/>
      <c r="E336" s="8"/>
      <c r="F336" s="10"/>
      <c r="G336" s="10"/>
      <c r="H336" s="10"/>
      <c r="I336" s="7"/>
      <c r="J336" s="12"/>
      <c r="K336" s="13"/>
      <c r="L336" s="14"/>
      <c r="M336" s="15"/>
      <c r="N336" s="15"/>
      <c r="O336" s="16"/>
      <c r="Q336" s="16"/>
    </row>
    <row r="337" spans="1:17" x14ac:dyDescent="0.3">
      <c r="A337" s="5"/>
      <c r="B337" s="6"/>
      <c r="C337" s="7"/>
      <c r="D337" s="8"/>
      <c r="E337" s="8"/>
      <c r="F337" s="10"/>
      <c r="G337" s="10"/>
      <c r="H337" s="10"/>
      <c r="I337" s="7"/>
      <c r="J337" s="12"/>
      <c r="K337" s="13"/>
      <c r="L337" s="14"/>
      <c r="M337" s="15"/>
      <c r="N337" s="15"/>
      <c r="O337" s="16"/>
      <c r="Q337" s="16"/>
    </row>
    <row r="338" spans="1:17" x14ac:dyDescent="0.3">
      <c r="A338" s="5"/>
      <c r="B338" s="6"/>
      <c r="C338" s="7"/>
      <c r="D338" s="8"/>
      <c r="E338" s="8"/>
      <c r="F338" s="10"/>
      <c r="G338" s="10"/>
      <c r="H338" s="10"/>
      <c r="I338" s="7"/>
      <c r="J338" s="12"/>
      <c r="K338" s="13"/>
      <c r="L338" s="14"/>
      <c r="M338" s="15"/>
      <c r="N338" s="15"/>
      <c r="O338" s="16"/>
      <c r="Q338" s="16"/>
    </row>
    <row r="339" spans="1:17" x14ac:dyDescent="0.3">
      <c r="A339" s="5"/>
      <c r="B339" s="6"/>
      <c r="C339" s="7"/>
      <c r="D339" s="8"/>
      <c r="E339" s="8"/>
      <c r="F339" s="10"/>
      <c r="G339" s="10"/>
      <c r="H339" s="10"/>
      <c r="I339" s="7"/>
      <c r="J339" s="12"/>
      <c r="K339" s="13"/>
      <c r="L339" s="14"/>
      <c r="M339" s="15"/>
      <c r="N339" s="15"/>
      <c r="O339" s="16"/>
      <c r="Q339" s="16"/>
    </row>
    <row r="340" spans="1:17" x14ac:dyDescent="0.3">
      <c r="A340" s="5"/>
      <c r="B340" s="6"/>
      <c r="C340" s="7"/>
      <c r="D340" s="8"/>
      <c r="E340" s="8"/>
      <c r="F340" s="10"/>
      <c r="G340" s="10"/>
      <c r="H340" s="10"/>
      <c r="I340" s="7"/>
      <c r="J340" s="12"/>
      <c r="K340" s="13"/>
      <c r="L340" s="14"/>
      <c r="M340" s="15"/>
      <c r="N340" s="15"/>
      <c r="O340" s="16"/>
      <c r="Q340" s="16"/>
    </row>
    <row r="341" spans="1:17" x14ac:dyDescent="0.3">
      <c r="A341" s="5"/>
      <c r="B341" s="6"/>
      <c r="C341" s="7"/>
      <c r="D341" s="8"/>
      <c r="E341" s="8"/>
      <c r="F341" s="10"/>
      <c r="G341" s="10"/>
      <c r="H341" s="10"/>
      <c r="I341" s="7"/>
      <c r="J341" s="12"/>
      <c r="K341" s="13"/>
      <c r="L341" s="14"/>
      <c r="M341" s="15"/>
      <c r="N341" s="15"/>
      <c r="O341" s="16"/>
      <c r="Q341" s="16"/>
    </row>
    <row r="342" spans="1:17" x14ac:dyDescent="0.3">
      <c r="A342" s="5"/>
      <c r="B342" s="6"/>
      <c r="C342" s="7"/>
      <c r="D342" s="8"/>
      <c r="E342" s="8"/>
      <c r="F342" s="10"/>
      <c r="G342" s="10"/>
      <c r="H342" s="10"/>
      <c r="I342" s="7"/>
      <c r="J342" s="12"/>
      <c r="K342" s="13"/>
      <c r="L342" s="14"/>
      <c r="M342" s="15"/>
      <c r="N342" s="15"/>
      <c r="O342" s="16"/>
      <c r="Q342" s="16"/>
    </row>
    <row r="343" spans="1:17" x14ac:dyDescent="0.3">
      <c r="A343" s="5"/>
      <c r="B343" s="6"/>
      <c r="C343" s="7"/>
      <c r="D343" s="8"/>
      <c r="E343" s="8"/>
      <c r="F343" s="10"/>
      <c r="G343" s="10"/>
      <c r="H343" s="10"/>
      <c r="I343" s="7"/>
      <c r="J343" s="12"/>
      <c r="K343" s="13"/>
      <c r="L343" s="14"/>
      <c r="M343" s="15"/>
      <c r="N343" s="15"/>
      <c r="O343" s="16"/>
      <c r="Q343" s="16"/>
    </row>
    <row r="344" spans="1:17" x14ac:dyDescent="0.3">
      <c r="A344" s="5"/>
      <c r="B344" s="6"/>
      <c r="C344" s="7"/>
      <c r="D344" s="8"/>
      <c r="E344" s="8"/>
      <c r="F344" s="10"/>
      <c r="G344" s="10"/>
      <c r="H344" s="10"/>
      <c r="I344" s="7"/>
      <c r="J344" s="12"/>
      <c r="K344" s="13"/>
      <c r="L344" s="14"/>
      <c r="M344" s="15"/>
      <c r="N344" s="15"/>
      <c r="O344" s="16"/>
      <c r="Q344" s="16"/>
    </row>
    <row r="345" spans="1:17" x14ac:dyDescent="0.3">
      <c r="A345" s="5"/>
      <c r="B345" s="6"/>
      <c r="C345" s="7"/>
      <c r="D345" s="8"/>
      <c r="E345" s="8"/>
      <c r="F345" s="10"/>
      <c r="G345" s="10"/>
      <c r="H345" s="10"/>
      <c r="I345" s="7"/>
      <c r="J345" s="12"/>
      <c r="K345" s="13"/>
      <c r="L345" s="14"/>
      <c r="M345" s="15"/>
      <c r="N345" s="15"/>
      <c r="O345" s="16"/>
      <c r="Q345" s="16"/>
    </row>
    <row r="346" spans="1:17" x14ac:dyDescent="0.3">
      <c r="A346" s="5"/>
      <c r="B346" s="6"/>
      <c r="C346" s="7"/>
      <c r="D346" s="8"/>
      <c r="E346" s="8"/>
      <c r="F346" s="10"/>
      <c r="G346" s="10"/>
      <c r="H346" s="10"/>
      <c r="I346" s="7"/>
      <c r="J346" s="12"/>
      <c r="K346" s="13"/>
      <c r="L346" s="14"/>
      <c r="M346" s="15"/>
      <c r="N346" s="15"/>
      <c r="O346" s="16"/>
      <c r="Q346" s="16"/>
    </row>
    <row r="347" spans="1:17" x14ac:dyDescent="0.3">
      <c r="A347" s="5"/>
      <c r="B347" s="6"/>
      <c r="C347" s="7"/>
      <c r="D347" s="8"/>
      <c r="E347" s="8"/>
      <c r="F347" s="10"/>
      <c r="G347" s="10"/>
      <c r="H347" s="10"/>
      <c r="I347" s="7"/>
      <c r="J347" s="12"/>
      <c r="K347" s="13"/>
      <c r="L347" s="14"/>
      <c r="M347" s="15"/>
      <c r="N347" s="15"/>
      <c r="O347" s="16"/>
      <c r="Q347" s="16"/>
    </row>
    <row r="348" spans="1:17" x14ac:dyDescent="0.3">
      <c r="A348" s="5"/>
      <c r="B348" s="6"/>
      <c r="C348" s="7"/>
      <c r="D348" s="8"/>
      <c r="E348" s="8"/>
      <c r="F348" s="10"/>
      <c r="G348" s="10"/>
      <c r="H348" s="10"/>
      <c r="I348" s="7"/>
      <c r="J348" s="12"/>
      <c r="K348" s="13"/>
      <c r="L348" s="14"/>
      <c r="M348" s="15"/>
      <c r="N348" s="15"/>
      <c r="O348" s="16"/>
      <c r="Q348" s="16"/>
    </row>
    <row r="349" spans="1:17" x14ac:dyDescent="0.3">
      <c r="A349" s="5"/>
      <c r="B349" s="6"/>
      <c r="C349" s="7"/>
      <c r="D349" s="8"/>
      <c r="E349" s="8"/>
      <c r="F349" s="10"/>
      <c r="G349" s="10"/>
      <c r="H349" s="10"/>
      <c r="I349" s="7"/>
      <c r="J349" s="12"/>
      <c r="K349" s="13"/>
      <c r="L349" s="14"/>
      <c r="M349" s="15"/>
      <c r="N349" s="15"/>
      <c r="O349" s="16"/>
      <c r="Q349" s="16"/>
    </row>
    <row r="350" spans="1:17" x14ac:dyDescent="0.3">
      <c r="A350" s="5"/>
      <c r="B350" s="6"/>
      <c r="C350" s="7"/>
      <c r="D350" s="8"/>
      <c r="E350" s="8"/>
      <c r="F350" s="10"/>
      <c r="G350" s="10"/>
      <c r="H350" s="10"/>
      <c r="I350" s="7"/>
      <c r="J350" s="12"/>
      <c r="K350" s="13"/>
      <c r="L350" s="14"/>
      <c r="M350" s="15"/>
      <c r="N350" s="15"/>
      <c r="O350" s="16"/>
      <c r="Q350" s="16"/>
    </row>
    <row r="351" spans="1:17" x14ac:dyDescent="0.3">
      <c r="A351" s="5"/>
      <c r="B351" s="6"/>
      <c r="C351" s="7"/>
      <c r="D351" s="8"/>
      <c r="E351" s="8"/>
      <c r="F351" s="10"/>
      <c r="G351" s="10"/>
      <c r="H351" s="10"/>
      <c r="I351" s="7"/>
      <c r="J351" s="12"/>
      <c r="K351" s="13"/>
      <c r="L351" s="14"/>
      <c r="M351" s="15"/>
      <c r="N351" s="15"/>
      <c r="O351" s="16"/>
      <c r="Q351" s="16"/>
    </row>
    <row r="352" spans="1:17" x14ac:dyDescent="0.3">
      <c r="A352" s="5"/>
      <c r="B352" s="6"/>
      <c r="C352" s="7"/>
      <c r="D352" s="8"/>
      <c r="E352" s="8"/>
      <c r="F352" s="10"/>
      <c r="G352" s="10"/>
      <c r="H352" s="10"/>
      <c r="I352" s="7"/>
      <c r="J352" s="12"/>
      <c r="K352" s="13"/>
      <c r="L352" s="14"/>
      <c r="M352" s="15"/>
      <c r="N352" s="15"/>
      <c r="O352" s="16"/>
      <c r="Q352" s="16"/>
    </row>
    <row r="353" spans="1:17" x14ac:dyDescent="0.3">
      <c r="A353" s="5"/>
      <c r="B353" s="6"/>
      <c r="C353" s="7"/>
      <c r="D353" s="8"/>
      <c r="E353" s="8"/>
      <c r="F353" s="10"/>
      <c r="G353" s="10"/>
      <c r="H353" s="10"/>
      <c r="I353" s="7"/>
      <c r="J353" s="12"/>
      <c r="K353" s="13"/>
      <c r="L353" s="14"/>
      <c r="M353" s="15"/>
      <c r="N353" s="15"/>
      <c r="O353" s="16"/>
      <c r="Q353" s="16"/>
    </row>
    <row r="354" spans="1:17" x14ac:dyDescent="0.3">
      <c r="A354" s="5"/>
      <c r="B354" s="6"/>
      <c r="C354" s="7"/>
      <c r="D354" s="8"/>
      <c r="E354" s="8"/>
      <c r="F354" s="10"/>
      <c r="G354" s="10"/>
      <c r="H354" s="10"/>
      <c r="I354" s="7"/>
      <c r="J354" s="12"/>
      <c r="K354" s="13"/>
      <c r="L354" s="14"/>
      <c r="M354" s="15"/>
      <c r="N354" s="15"/>
      <c r="O354" s="16"/>
      <c r="Q354" s="16"/>
    </row>
    <row r="355" spans="1:17" x14ac:dyDescent="0.3">
      <c r="A355" s="5"/>
      <c r="B355" s="6"/>
      <c r="C355" s="7"/>
      <c r="D355" s="8"/>
      <c r="E355" s="8"/>
      <c r="F355" s="10"/>
      <c r="G355" s="10"/>
      <c r="H355" s="10"/>
      <c r="I355" s="7"/>
      <c r="J355" s="12"/>
      <c r="K355" s="13"/>
      <c r="L355" s="14"/>
      <c r="M355" s="15"/>
      <c r="N355" s="15"/>
      <c r="O355" s="16"/>
      <c r="Q355" s="16"/>
    </row>
    <row r="356" spans="1:17" x14ac:dyDescent="0.3">
      <c r="A356" s="5"/>
      <c r="B356" s="6"/>
      <c r="C356" s="7"/>
      <c r="D356" s="8"/>
      <c r="E356" s="8"/>
      <c r="F356" s="10"/>
      <c r="G356" s="10"/>
      <c r="H356" s="10"/>
      <c r="I356" s="7"/>
      <c r="J356" s="12"/>
      <c r="K356" s="13"/>
      <c r="L356" s="14"/>
      <c r="M356" s="15"/>
      <c r="N356" s="15"/>
      <c r="O356" s="16"/>
      <c r="Q356" s="16"/>
    </row>
    <row r="357" spans="1:17" x14ac:dyDescent="0.3">
      <c r="A357" s="5"/>
      <c r="B357" s="6"/>
      <c r="C357" s="7"/>
      <c r="D357" s="8"/>
      <c r="E357" s="8"/>
      <c r="F357" s="10"/>
      <c r="G357" s="10"/>
      <c r="H357" s="10"/>
      <c r="I357" s="7"/>
      <c r="J357" s="12"/>
      <c r="K357" s="13"/>
      <c r="L357" s="14"/>
      <c r="M357" s="15"/>
      <c r="N357" s="15"/>
      <c r="O357" s="16"/>
      <c r="Q357" s="16"/>
    </row>
    <row r="358" spans="1:17" x14ac:dyDescent="0.3">
      <c r="A358" s="5"/>
      <c r="B358" s="6"/>
      <c r="C358" s="7"/>
      <c r="D358" s="8"/>
      <c r="E358" s="8"/>
      <c r="F358" s="10"/>
      <c r="G358" s="10"/>
      <c r="H358" s="10"/>
      <c r="I358" s="7"/>
      <c r="J358" s="12"/>
      <c r="K358" s="13"/>
      <c r="L358" s="14"/>
      <c r="M358" s="15"/>
      <c r="N358" s="15"/>
      <c r="O358" s="16"/>
      <c r="Q358" s="16"/>
    </row>
    <row r="359" spans="1:17" x14ac:dyDescent="0.3">
      <c r="A359" s="5"/>
      <c r="B359" s="6"/>
      <c r="C359" s="7"/>
      <c r="D359" s="8"/>
      <c r="E359" s="8"/>
      <c r="F359" s="10"/>
      <c r="G359" s="10"/>
      <c r="H359" s="10"/>
      <c r="I359" s="7"/>
      <c r="J359" s="12"/>
      <c r="K359" s="13"/>
      <c r="L359" s="14"/>
      <c r="M359" s="15"/>
      <c r="N359" s="15"/>
      <c r="O359" s="16"/>
      <c r="Q359" s="16"/>
    </row>
    <row r="360" spans="1:17" x14ac:dyDescent="0.3">
      <c r="A360" s="5"/>
      <c r="B360" s="6"/>
      <c r="C360" s="7"/>
      <c r="D360" s="8"/>
      <c r="E360" s="8"/>
      <c r="F360" s="10"/>
      <c r="G360" s="10"/>
      <c r="H360" s="10"/>
      <c r="I360" s="7"/>
      <c r="J360" s="12"/>
      <c r="K360" s="13"/>
      <c r="L360" s="14"/>
      <c r="M360" s="15"/>
      <c r="N360" s="15"/>
      <c r="O360" s="16"/>
      <c r="Q360" s="16"/>
    </row>
    <row r="361" spans="1:17" x14ac:dyDescent="0.3">
      <c r="A361" s="5"/>
      <c r="B361" s="6"/>
      <c r="C361" s="7"/>
      <c r="D361" s="8"/>
      <c r="E361" s="8"/>
      <c r="F361" s="10"/>
      <c r="G361" s="10"/>
      <c r="H361" s="10"/>
      <c r="I361" s="7"/>
      <c r="J361" s="12"/>
      <c r="K361" s="13"/>
      <c r="L361" s="14"/>
      <c r="M361" s="15"/>
      <c r="N361" s="15"/>
      <c r="O361" s="16"/>
      <c r="Q361" s="16"/>
    </row>
    <row r="362" spans="1:17" x14ac:dyDescent="0.3">
      <c r="A362" s="5"/>
      <c r="B362" s="6"/>
      <c r="C362" s="7"/>
      <c r="D362" s="8"/>
      <c r="E362" s="8"/>
      <c r="F362" s="10"/>
      <c r="G362" s="10"/>
      <c r="H362" s="10"/>
      <c r="I362" s="7"/>
      <c r="J362" s="12"/>
      <c r="K362" s="13"/>
      <c r="L362" s="14"/>
      <c r="M362" s="15"/>
      <c r="N362" s="15"/>
      <c r="O362" s="16"/>
      <c r="Q362" s="16"/>
    </row>
    <row r="363" spans="1:17" x14ac:dyDescent="0.3">
      <c r="A363" s="5"/>
      <c r="B363" s="6"/>
      <c r="C363" s="7"/>
      <c r="D363" s="8"/>
      <c r="E363" s="8"/>
      <c r="F363" s="10"/>
      <c r="G363" s="10"/>
      <c r="H363" s="10"/>
      <c r="I363" s="7"/>
      <c r="J363" s="12"/>
      <c r="K363" s="13"/>
      <c r="L363" s="14"/>
      <c r="M363" s="15"/>
      <c r="N363" s="15"/>
      <c r="O363" s="16"/>
      <c r="Q363" s="16"/>
    </row>
    <row r="364" spans="1:17" x14ac:dyDescent="0.3">
      <c r="A364" s="5"/>
      <c r="B364" s="6"/>
      <c r="C364" s="7"/>
      <c r="D364" s="8"/>
      <c r="E364" s="8"/>
      <c r="F364" s="10"/>
      <c r="G364" s="10"/>
      <c r="H364" s="10"/>
      <c r="I364" s="7"/>
      <c r="J364" s="12"/>
      <c r="K364" s="13"/>
      <c r="L364" s="14"/>
      <c r="M364" s="15"/>
      <c r="N364" s="15"/>
      <c r="O364" s="16"/>
      <c r="Q364" s="16"/>
    </row>
    <row r="365" spans="1:17" x14ac:dyDescent="0.3">
      <c r="A365" s="5"/>
      <c r="B365" s="6"/>
      <c r="C365" s="7"/>
      <c r="D365" s="8"/>
      <c r="E365" s="8"/>
      <c r="F365" s="10"/>
      <c r="G365" s="10"/>
      <c r="H365" s="10"/>
      <c r="I365" s="7"/>
      <c r="J365" s="12"/>
      <c r="K365" s="13"/>
      <c r="L365" s="14"/>
      <c r="M365" s="15"/>
      <c r="N365" s="15"/>
      <c r="O365" s="16"/>
      <c r="Q365" s="16"/>
    </row>
    <row r="366" spans="1:17" x14ac:dyDescent="0.3">
      <c r="A366" s="5"/>
      <c r="B366" s="6"/>
      <c r="C366" s="7"/>
      <c r="D366" s="8"/>
      <c r="E366" s="8"/>
      <c r="F366" s="10"/>
      <c r="G366" s="10"/>
      <c r="H366" s="10"/>
      <c r="I366" s="7"/>
      <c r="J366" s="12"/>
      <c r="K366" s="13"/>
      <c r="L366" s="14"/>
      <c r="M366" s="15"/>
      <c r="N366" s="15"/>
      <c r="O366" s="16"/>
      <c r="Q366" s="16"/>
    </row>
    <row r="367" spans="1:17" x14ac:dyDescent="0.3">
      <c r="A367" s="5"/>
      <c r="B367" s="6"/>
      <c r="C367" s="7"/>
      <c r="D367" s="8"/>
      <c r="E367" s="8"/>
      <c r="F367" s="10"/>
      <c r="G367" s="10"/>
      <c r="H367" s="10"/>
      <c r="I367" s="7"/>
      <c r="J367" s="12"/>
      <c r="K367" s="13"/>
      <c r="L367" s="14"/>
      <c r="M367" s="15"/>
      <c r="N367" s="15"/>
      <c r="O367" s="16"/>
      <c r="Q367" s="16"/>
    </row>
    <row r="368" spans="1:17" x14ac:dyDescent="0.3">
      <c r="A368" s="5"/>
      <c r="B368" s="6"/>
      <c r="C368" s="7"/>
      <c r="D368" s="8"/>
      <c r="E368" s="8"/>
      <c r="F368" s="10"/>
      <c r="G368" s="10"/>
      <c r="H368" s="10"/>
      <c r="I368" s="7"/>
      <c r="J368" s="12"/>
      <c r="K368" s="13"/>
      <c r="L368" s="14"/>
      <c r="M368" s="15"/>
      <c r="N368" s="15"/>
      <c r="O368" s="16"/>
      <c r="Q368" s="16"/>
    </row>
    <row r="369" spans="1:17" x14ac:dyDescent="0.3">
      <c r="A369" s="5"/>
      <c r="B369" s="6"/>
      <c r="C369" s="7"/>
      <c r="D369" s="8"/>
      <c r="E369" s="8"/>
      <c r="F369" s="10"/>
      <c r="G369" s="10"/>
      <c r="H369" s="10"/>
      <c r="I369" s="7"/>
      <c r="J369" s="12"/>
      <c r="K369" s="13"/>
      <c r="L369" s="14"/>
      <c r="M369" s="15"/>
      <c r="N369" s="15"/>
      <c r="O369" s="16"/>
      <c r="Q369" s="16"/>
    </row>
    <row r="370" spans="1:17" x14ac:dyDescent="0.3">
      <c r="A370" s="5"/>
      <c r="B370" s="6"/>
      <c r="C370" s="7"/>
      <c r="D370" s="8"/>
      <c r="E370" s="8"/>
      <c r="F370" s="10"/>
      <c r="G370" s="10"/>
      <c r="H370" s="10"/>
      <c r="I370" s="7"/>
      <c r="J370" s="12"/>
      <c r="K370" s="13"/>
      <c r="L370" s="14"/>
      <c r="M370" s="15"/>
      <c r="N370" s="15"/>
      <c r="O370" s="16"/>
      <c r="Q370" s="16"/>
    </row>
    <row r="371" spans="1:17" x14ac:dyDescent="0.3">
      <c r="A371" s="5"/>
      <c r="B371" s="6"/>
      <c r="C371" s="7"/>
      <c r="D371" s="8"/>
      <c r="E371" s="8"/>
      <c r="F371" s="10"/>
      <c r="G371" s="10"/>
      <c r="H371" s="10"/>
      <c r="I371" s="7"/>
      <c r="J371" s="12"/>
      <c r="K371" s="13"/>
      <c r="L371" s="14"/>
      <c r="M371" s="15"/>
      <c r="N371" s="15"/>
      <c r="O371" s="16"/>
      <c r="Q371" s="16"/>
    </row>
    <row r="372" spans="1:17" x14ac:dyDescent="0.3">
      <c r="A372" s="5"/>
      <c r="B372" s="6"/>
      <c r="C372" s="7"/>
      <c r="D372" s="8"/>
      <c r="E372" s="8"/>
      <c r="F372" s="10"/>
      <c r="G372" s="10"/>
      <c r="H372" s="10"/>
      <c r="I372" s="7"/>
      <c r="J372" s="12"/>
      <c r="K372" s="13"/>
      <c r="L372" s="14"/>
      <c r="M372" s="15"/>
      <c r="N372" s="15"/>
      <c r="O372" s="16"/>
      <c r="Q372" s="16"/>
    </row>
    <row r="373" spans="1:17" x14ac:dyDescent="0.3">
      <c r="A373" s="5"/>
      <c r="B373" s="6"/>
      <c r="C373" s="7"/>
      <c r="D373" s="8"/>
      <c r="E373" s="8"/>
      <c r="F373" s="10"/>
      <c r="G373" s="10"/>
      <c r="H373" s="10"/>
      <c r="I373" s="7"/>
      <c r="J373" s="12"/>
      <c r="K373" s="13"/>
      <c r="L373" s="14"/>
      <c r="M373" s="15"/>
      <c r="N373" s="15"/>
      <c r="O373" s="16"/>
      <c r="Q373" s="16"/>
    </row>
    <row r="374" spans="1:17" x14ac:dyDescent="0.3">
      <c r="A374" s="5"/>
      <c r="B374" s="6"/>
      <c r="C374" s="7"/>
      <c r="D374" s="8"/>
      <c r="E374" s="8"/>
      <c r="F374" s="10"/>
      <c r="G374" s="10"/>
      <c r="H374" s="10"/>
      <c r="I374" s="7"/>
      <c r="J374" s="12"/>
      <c r="K374" s="13"/>
      <c r="L374" s="14"/>
      <c r="M374" s="15"/>
      <c r="N374" s="15"/>
      <c r="O374" s="16"/>
      <c r="Q374" s="16"/>
    </row>
    <row r="375" spans="1:17" x14ac:dyDescent="0.3">
      <c r="A375" s="5"/>
      <c r="B375" s="6"/>
      <c r="C375" s="7"/>
      <c r="D375" s="8"/>
      <c r="E375" s="8"/>
      <c r="F375" s="10"/>
      <c r="G375" s="10"/>
      <c r="H375" s="10"/>
      <c r="I375" s="7"/>
      <c r="J375" s="12"/>
      <c r="K375" s="13"/>
      <c r="L375" s="14"/>
      <c r="M375" s="15"/>
      <c r="N375" s="15"/>
      <c r="O375" s="16"/>
      <c r="Q375" s="16"/>
    </row>
    <row r="376" spans="1:17" x14ac:dyDescent="0.3">
      <c r="A376" s="5"/>
      <c r="B376" s="6"/>
      <c r="C376" s="7"/>
      <c r="D376" s="8"/>
      <c r="E376" s="8"/>
      <c r="F376" s="10"/>
      <c r="G376" s="10"/>
      <c r="H376" s="10"/>
      <c r="I376" s="7"/>
      <c r="J376" s="12"/>
      <c r="K376" s="13"/>
      <c r="L376" s="14"/>
      <c r="M376" s="15"/>
      <c r="N376" s="15"/>
      <c r="O376" s="16"/>
      <c r="Q376" s="16"/>
    </row>
    <row r="377" spans="1:17" x14ac:dyDescent="0.3">
      <c r="A377" s="5"/>
      <c r="B377" s="6"/>
      <c r="C377" s="7"/>
      <c r="D377" s="8"/>
      <c r="E377" s="8"/>
      <c r="F377" s="10"/>
      <c r="G377" s="10"/>
      <c r="H377" s="10"/>
      <c r="I377" s="7"/>
      <c r="J377" s="12"/>
      <c r="K377" s="13"/>
      <c r="L377" s="14"/>
      <c r="M377" s="15"/>
      <c r="N377" s="15"/>
      <c r="O377" s="16"/>
      <c r="Q377" s="16"/>
    </row>
    <row r="378" spans="1:17" x14ac:dyDescent="0.3">
      <c r="A378" s="5"/>
      <c r="B378" s="6"/>
      <c r="C378" s="7"/>
      <c r="D378" s="8"/>
      <c r="E378" s="8"/>
      <c r="F378" s="10"/>
      <c r="G378" s="10"/>
      <c r="H378" s="10"/>
      <c r="I378" s="7"/>
      <c r="J378" s="12"/>
      <c r="K378" s="13"/>
      <c r="L378" s="14"/>
      <c r="M378" s="15"/>
      <c r="N378" s="15"/>
      <c r="O378" s="16"/>
      <c r="Q378" s="16"/>
    </row>
    <row r="379" spans="1:17" x14ac:dyDescent="0.3">
      <c r="A379" s="5"/>
      <c r="B379" s="6"/>
      <c r="C379" s="7"/>
      <c r="D379" s="8"/>
      <c r="E379" s="8"/>
      <c r="F379" s="10"/>
      <c r="G379" s="10"/>
      <c r="H379" s="10"/>
      <c r="I379" s="7"/>
      <c r="J379" s="12"/>
      <c r="K379" s="13"/>
      <c r="L379" s="14"/>
      <c r="M379" s="15"/>
      <c r="N379" s="15"/>
      <c r="O379" s="16"/>
      <c r="Q379" s="16"/>
    </row>
    <row r="380" spans="1:17" x14ac:dyDescent="0.3">
      <c r="A380" s="5"/>
      <c r="B380" s="6"/>
      <c r="C380" s="7"/>
      <c r="D380" s="8"/>
      <c r="E380" s="8"/>
      <c r="F380" s="10"/>
      <c r="G380" s="10"/>
      <c r="H380" s="10"/>
      <c r="I380" s="7"/>
      <c r="J380" s="12"/>
      <c r="K380" s="13"/>
      <c r="L380" s="14"/>
      <c r="M380" s="15"/>
      <c r="N380" s="15"/>
      <c r="O380" s="16"/>
      <c r="Q380" s="16"/>
    </row>
    <row r="381" spans="1:17" x14ac:dyDescent="0.3">
      <c r="A381" s="5"/>
      <c r="B381" s="6"/>
      <c r="C381" s="7"/>
      <c r="D381" s="8"/>
      <c r="E381" s="8"/>
      <c r="F381" s="10"/>
      <c r="G381" s="10"/>
      <c r="H381" s="10"/>
      <c r="I381" s="7"/>
      <c r="J381" s="12"/>
      <c r="K381" s="13"/>
      <c r="L381" s="14"/>
      <c r="M381" s="15"/>
      <c r="N381" s="15"/>
      <c r="O381" s="16"/>
      <c r="Q381" s="16"/>
    </row>
    <row r="382" spans="1:17" x14ac:dyDescent="0.3">
      <c r="A382" s="5"/>
      <c r="B382" s="6"/>
      <c r="C382" s="7"/>
      <c r="D382" s="8"/>
      <c r="E382" s="8"/>
      <c r="F382" s="10"/>
      <c r="G382" s="10"/>
      <c r="H382" s="10"/>
      <c r="I382" s="7"/>
      <c r="J382" s="12"/>
      <c r="K382" s="13"/>
      <c r="L382" s="14"/>
      <c r="M382" s="15"/>
      <c r="N382" s="15"/>
      <c r="O382" s="16"/>
      <c r="Q382" s="16"/>
    </row>
    <row r="383" spans="1:17" x14ac:dyDescent="0.3">
      <c r="A383" s="5"/>
      <c r="B383" s="6"/>
      <c r="C383" s="7"/>
      <c r="D383" s="8"/>
      <c r="E383" s="8"/>
      <c r="F383" s="10"/>
      <c r="G383" s="10"/>
      <c r="H383" s="10"/>
      <c r="I383" s="7"/>
      <c r="J383" s="12"/>
      <c r="K383" s="13"/>
      <c r="L383" s="14"/>
      <c r="M383" s="15"/>
      <c r="N383" s="15"/>
      <c r="O383" s="16"/>
      <c r="Q383" s="16"/>
    </row>
    <row r="384" spans="1:17" x14ac:dyDescent="0.3">
      <c r="A384" s="5"/>
      <c r="B384" s="6"/>
      <c r="C384" s="7"/>
      <c r="D384" s="8"/>
      <c r="E384" s="8"/>
      <c r="F384" s="10"/>
      <c r="G384" s="10"/>
      <c r="H384" s="10"/>
      <c r="I384" s="7"/>
      <c r="J384" s="12"/>
      <c r="K384" s="13"/>
      <c r="L384" s="14"/>
      <c r="M384" s="15"/>
      <c r="N384" s="15"/>
      <c r="O384" s="16"/>
      <c r="Q384" s="16"/>
    </row>
    <row r="385" spans="1:17" x14ac:dyDescent="0.3">
      <c r="A385" s="5"/>
      <c r="B385" s="6"/>
      <c r="C385" s="7"/>
      <c r="D385" s="8"/>
      <c r="E385" s="8"/>
      <c r="F385" s="10"/>
      <c r="G385" s="10"/>
      <c r="H385" s="10"/>
      <c r="I385" s="7"/>
      <c r="J385" s="12"/>
      <c r="K385" s="13"/>
      <c r="L385" s="14"/>
      <c r="M385" s="15"/>
      <c r="N385" s="15"/>
      <c r="O385" s="16"/>
      <c r="Q385" s="16"/>
    </row>
    <row r="386" spans="1:17" x14ac:dyDescent="0.3">
      <c r="A386" s="5"/>
      <c r="B386" s="6"/>
      <c r="C386" s="7"/>
      <c r="D386" s="8"/>
      <c r="E386" s="8"/>
      <c r="F386" s="10"/>
      <c r="G386" s="10"/>
      <c r="H386" s="10"/>
      <c r="I386" s="7"/>
      <c r="J386" s="12"/>
      <c r="K386" s="13"/>
      <c r="L386" s="14"/>
      <c r="M386" s="15"/>
      <c r="N386" s="15"/>
      <c r="O386" s="16"/>
      <c r="Q386" s="16"/>
    </row>
    <row r="387" spans="1:17" x14ac:dyDescent="0.3">
      <c r="A387" s="5"/>
      <c r="B387" s="6"/>
      <c r="C387" s="7"/>
      <c r="D387" s="8"/>
      <c r="E387" s="8"/>
      <c r="F387" s="10"/>
      <c r="G387" s="10"/>
      <c r="H387" s="10"/>
      <c r="I387" s="7"/>
      <c r="J387" s="12"/>
      <c r="K387" s="13"/>
      <c r="L387" s="14"/>
      <c r="M387" s="15"/>
      <c r="N387" s="15"/>
      <c r="O387" s="16"/>
      <c r="Q387" s="16"/>
    </row>
    <row r="388" spans="1:17" x14ac:dyDescent="0.3">
      <c r="A388" s="5"/>
      <c r="B388" s="6"/>
      <c r="C388" s="7"/>
      <c r="D388" s="8"/>
      <c r="E388" s="8"/>
      <c r="F388" s="10"/>
      <c r="G388" s="10"/>
      <c r="H388" s="10"/>
      <c r="I388" s="7"/>
      <c r="J388" s="12"/>
      <c r="K388" s="13"/>
      <c r="L388" s="14"/>
      <c r="M388" s="15"/>
      <c r="N388" s="15"/>
      <c r="O388" s="16"/>
      <c r="Q388" s="16"/>
    </row>
    <row r="389" spans="1:17" x14ac:dyDescent="0.3">
      <c r="A389" s="5"/>
      <c r="B389" s="6"/>
      <c r="C389" s="7"/>
      <c r="D389" s="8"/>
      <c r="E389" s="8"/>
      <c r="F389" s="10"/>
      <c r="G389" s="10"/>
      <c r="H389" s="10"/>
      <c r="I389" s="7"/>
      <c r="J389" s="12"/>
      <c r="K389" s="13"/>
      <c r="L389" s="14"/>
      <c r="M389" s="15"/>
      <c r="N389" s="15"/>
      <c r="O389" s="16"/>
      <c r="Q389" s="16"/>
    </row>
    <row r="390" spans="1:17" x14ac:dyDescent="0.3">
      <c r="A390" s="5"/>
      <c r="B390" s="6"/>
      <c r="C390" s="7"/>
      <c r="D390" s="8"/>
      <c r="E390" s="8"/>
      <c r="F390" s="10"/>
      <c r="G390" s="10"/>
      <c r="H390" s="10"/>
      <c r="I390" s="7"/>
      <c r="J390" s="12"/>
      <c r="K390" s="13"/>
      <c r="L390" s="14"/>
      <c r="M390" s="15"/>
      <c r="N390" s="15"/>
      <c r="O390" s="16"/>
      <c r="Q390" s="16"/>
    </row>
    <row r="391" spans="1:17" x14ac:dyDescent="0.3">
      <c r="A391" s="5"/>
      <c r="B391" s="6"/>
      <c r="C391" s="7"/>
      <c r="D391" s="8"/>
      <c r="E391" s="8"/>
      <c r="F391" s="10"/>
      <c r="G391" s="10"/>
      <c r="H391" s="10"/>
      <c r="I391" s="7"/>
      <c r="J391" s="12"/>
      <c r="K391" s="13"/>
      <c r="L391" s="14"/>
      <c r="M391" s="15"/>
      <c r="N391" s="15"/>
      <c r="O391" s="16"/>
      <c r="Q391" s="16"/>
    </row>
    <row r="392" spans="1:17" x14ac:dyDescent="0.3">
      <c r="A392" s="5"/>
      <c r="B392" s="6"/>
      <c r="C392" s="7"/>
      <c r="D392" s="8"/>
      <c r="E392" s="8"/>
      <c r="F392" s="10"/>
      <c r="G392" s="10"/>
      <c r="H392" s="10"/>
      <c r="I392" s="7"/>
      <c r="J392" s="12"/>
      <c r="K392" s="13"/>
      <c r="L392" s="14"/>
      <c r="M392" s="15"/>
      <c r="N392" s="15"/>
      <c r="O392" s="16"/>
      <c r="Q392" s="16"/>
    </row>
    <row r="393" spans="1:17" x14ac:dyDescent="0.3">
      <c r="A393" s="5"/>
      <c r="B393" s="6"/>
      <c r="C393" s="7"/>
      <c r="D393" s="8"/>
      <c r="E393" s="8"/>
      <c r="F393" s="10"/>
      <c r="G393" s="10"/>
      <c r="H393" s="10"/>
      <c r="I393" s="7"/>
      <c r="J393" s="12"/>
      <c r="K393" s="13"/>
      <c r="L393" s="14"/>
      <c r="M393" s="15"/>
      <c r="N393" s="15"/>
      <c r="O393" s="16"/>
      <c r="Q393" s="16"/>
    </row>
    <row r="394" spans="1:17" x14ac:dyDescent="0.3">
      <c r="A394" s="5"/>
      <c r="B394" s="6"/>
      <c r="C394" s="7"/>
      <c r="D394" s="8"/>
      <c r="E394" s="8"/>
      <c r="F394" s="10"/>
      <c r="G394" s="10"/>
      <c r="H394" s="10"/>
      <c r="I394" s="7"/>
      <c r="J394" s="12"/>
      <c r="K394" s="13"/>
      <c r="L394" s="14"/>
      <c r="M394" s="15"/>
      <c r="N394" s="15"/>
      <c r="O394" s="16"/>
      <c r="Q394" s="16"/>
    </row>
    <row r="395" spans="1:17" x14ac:dyDescent="0.3">
      <c r="A395" s="5"/>
      <c r="B395" s="6"/>
      <c r="C395" s="7"/>
      <c r="D395" s="8"/>
      <c r="E395" s="8"/>
      <c r="F395" s="10"/>
      <c r="G395" s="10"/>
      <c r="H395" s="10"/>
      <c r="I395" s="7"/>
      <c r="J395" s="12"/>
      <c r="K395" s="13"/>
      <c r="L395" s="14"/>
      <c r="M395" s="15"/>
      <c r="N395" s="15"/>
      <c r="O395" s="16"/>
      <c r="Q395" s="16"/>
    </row>
    <row r="396" spans="1:17" x14ac:dyDescent="0.3">
      <c r="A396" s="5"/>
      <c r="B396" s="6"/>
      <c r="C396" s="7"/>
      <c r="D396" s="8"/>
      <c r="E396" s="8"/>
      <c r="F396" s="10"/>
      <c r="G396" s="10"/>
      <c r="H396" s="10"/>
      <c r="I396" s="7"/>
      <c r="J396" s="12"/>
      <c r="K396" s="13"/>
      <c r="L396" s="14"/>
      <c r="M396" s="15"/>
      <c r="N396" s="15"/>
      <c r="O396" s="16"/>
      <c r="Q396" s="16"/>
    </row>
    <row r="397" spans="1:17" x14ac:dyDescent="0.3">
      <c r="A397" s="5"/>
      <c r="B397" s="6"/>
      <c r="C397" s="7"/>
      <c r="D397" s="8"/>
      <c r="E397" s="8"/>
      <c r="F397" s="10"/>
      <c r="G397" s="10"/>
      <c r="H397" s="10"/>
      <c r="I397" s="7"/>
      <c r="J397" s="12"/>
      <c r="K397" s="13"/>
      <c r="L397" s="14"/>
      <c r="M397" s="15"/>
      <c r="N397" s="15"/>
      <c r="O397" s="16"/>
      <c r="Q397" s="16"/>
    </row>
    <row r="398" spans="1:17" x14ac:dyDescent="0.3">
      <c r="A398" s="5"/>
      <c r="B398" s="6"/>
      <c r="C398" s="7"/>
      <c r="D398" s="8"/>
      <c r="E398" s="8"/>
      <c r="F398" s="10"/>
      <c r="G398" s="10"/>
      <c r="H398" s="10"/>
      <c r="I398" s="7"/>
      <c r="J398" s="12"/>
      <c r="K398" s="13"/>
      <c r="L398" s="14"/>
      <c r="M398" s="15"/>
      <c r="N398" s="15"/>
      <c r="O398" s="16"/>
      <c r="Q398" s="16"/>
    </row>
    <row r="399" spans="1:17" x14ac:dyDescent="0.3">
      <c r="A399" s="5"/>
      <c r="B399" s="6"/>
      <c r="C399" s="7"/>
      <c r="D399" s="8"/>
      <c r="E399" s="8"/>
      <c r="F399" s="10"/>
      <c r="G399" s="10"/>
      <c r="H399" s="10"/>
      <c r="I399" s="7"/>
      <c r="J399" s="12"/>
      <c r="K399" s="13"/>
      <c r="L399" s="14"/>
      <c r="M399" s="15"/>
      <c r="N399" s="15"/>
      <c r="O399" s="16"/>
      <c r="Q399" s="16"/>
    </row>
    <row r="400" spans="1:17" x14ac:dyDescent="0.3">
      <c r="A400" s="5"/>
      <c r="B400" s="6"/>
      <c r="C400" s="7"/>
      <c r="D400" s="8"/>
      <c r="E400" s="8"/>
      <c r="F400" s="10"/>
      <c r="G400" s="10"/>
      <c r="H400" s="10"/>
      <c r="I400" s="7"/>
      <c r="J400" s="12"/>
      <c r="K400" s="13"/>
      <c r="L400" s="14"/>
      <c r="M400" s="15"/>
      <c r="N400" s="15"/>
      <c r="O400" s="16"/>
      <c r="Q400" s="16"/>
    </row>
    <row r="401" spans="1:17" x14ac:dyDescent="0.3">
      <c r="A401" s="5"/>
      <c r="B401" s="6"/>
      <c r="C401" s="7"/>
      <c r="D401" s="8"/>
      <c r="E401" s="8"/>
      <c r="F401" s="10"/>
      <c r="G401" s="10"/>
      <c r="H401" s="10"/>
      <c r="I401" s="7"/>
      <c r="J401" s="12"/>
      <c r="K401" s="13"/>
      <c r="L401" s="14"/>
      <c r="M401" s="15"/>
      <c r="N401" s="15"/>
      <c r="O401" s="16"/>
      <c r="Q401" s="16"/>
    </row>
    <row r="402" spans="1:17" x14ac:dyDescent="0.3">
      <c r="A402" s="5"/>
      <c r="B402" s="6"/>
      <c r="C402" s="7"/>
      <c r="D402" s="8"/>
      <c r="E402" s="8"/>
      <c r="F402" s="10"/>
      <c r="G402" s="10"/>
      <c r="H402" s="10"/>
      <c r="I402" s="7"/>
      <c r="J402" s="12"/>
      <c r="K402" s="13"/>
      <c r="L402" s="14"/>
      <c r="M402" s="15"/>
      <c r="N402" s="15"/>
      <c r="O402" s="16"/>
      <c r="Q402" s="16"/>
    </row>
    <row r="403" spans="1:17" x14ac:dyDescent="0.3">
      <c r="A403" s="5"/>
      <c r="B403" s="6"/>
      <c r="C403" s="7"/>
      <c r="D403" s="8"/>
      <c r="E403" s="8"/>
      <c r="F403" s="10"/>
      <c r="G403" s="10"/>
      <c r="H403" s="10"/>
      <c r="I403" s="7"/>
      <c r="J403" s="12"/>
      <c r="K403" s="13"/>
      <c r="L403" s="14"/>
      <c r="M403" s="15"/>
      <c r="N403" s="15"/>
      <c r="O403" s="16"/>
      <c r="Q403" s="16"/>
    </row>
    <row r="404" spans="1:17" x14ac:dyDescent="0.3">
      <c r="A404" s="5"/>
      <c r="B404" s="6"/>
      <c r="C404" s="7"/>
      <c r="D404" s="8"/>
      <c r="E404" s="8"/>
      <c r="F404" s="10"/>
      <c r="G404" s="10"/>
      <c r="H404" s="10"/>
      <c r="I404" s="7"/>
      <c r="J404" s="12"/>
      <c r="K404" s="13"/>
      <c r="L404" s="14"/>
      <c r="M404" s="15"/>
      <c r="N404" s="15"/>
      <c r="O404" s="16"/>
      <c r="Q404" s="16"/>
    </row>
    <row r="405" spans="1:17" x14ac:dyDescent="0.3">
      <c r="A405" s="5"/>
      <c r="B405" s="6"/>
      <c r="C405" s="7"/>
      <c r="D405" s="8"/>
      <c r="E405" s="8"/>
      <c r="F405" s="10"/>
      <c r="G405" s="10"/>
      <c r="H405" s="10"/>
      <c r="I405" s="7"/>
      <c r="J405" s="12"/>
      <c r="K405" s="13"/>
      <c r="L405" s="14"/>
      <c r="M405" s="15"/>
      <c r="N405" s="15"/>
      <c r="O405" s="16"/>
      <c r="Q405" s="16"/>
    </row>
    <row r="406" spans="1:17" x14ac:dyDescent="0.3">
      <c r="A406" s="5"/>
      <c r="B406" s="6"/>
      <c r="C406" s="7"/>
      <c r="D406" s="8"/>
      <c r="E406" s="8"/>
      <c r="F406" s="10"/>
      <c r="G406" s="10"/>
      <c r="H406" s="10"/>
      <c r="I406" s="7"/>
      <c r="J406" s="12"/>
      <c r="K406" s="13"/>
      <c r="L406" s="14"/>
      <c r="M406" s="15"/>
      <c r="N406" s="15"/>
      <c r="O406" s="16"/>
      <c r="Q406" s="16"/>
    </row>
    <row r="407" spans="1:17" x14ac:dyDescent="0.3">
      <c r="A407" s="5"/>
      <c r="B407" s="6"/>
      <c r="C407" s="7"/>
      <c r="D407" s="8"/>
      <c r="E407" s="8"/>
      <c r="F407" s="10"/>
      <c r="G407" s="10"/>
      <c r="H407" s="10"/>
      <c r="I407" s="7"/>
      <c r="J407" s="12"/>
      <c r="K407" s="13"/>
      <c r="L407" s="14"/>
      <c r="M407" s="15"/>
      <c r="N407" s="15"/>
      <c r="O407" s="16"/>
      <c r="Q407" s="16"/>
    </row>
    <row r="408" spans="1:17" x14ac:dyDescent="0.3">
      <c r="A408" s="5"/>
      <c r="B408" s="6"/>
      <c r="C408" s="7"/>
      <c r="D408" s="8"/>
      <c r="E408" s="8"/>
      <c r="F408" s="10"/>
      <c r="G408" s="10"/>
      <c r="H408" s="10"/>
      <c r="I408" s="7"/>
      <c r="J408" s="12"/>
      <c r="K408" s="13"/>
      <c r="L408" s="14"/>
      <c r="M408" s="15"/>
      <c r="N408" s="15"/>
      <c r="O408" s="16"/>
      <c r="Q408" s="16"/>
    </row>
    <row r="409" spans="1:17" x14ac:dyDescent="0.3">
      <c r="A409" s="5"/>
      <c r="B409" s="6"/>
      <c r="C409" s="7"/>
      <c r="D409" s="8"/>
      <c r="E409" s="8"/>
      <c r="F409" s="10"/>
      <c r="G409" s="10"/>
      <c r="H409" s="10"/>
      <c r="I409" s="7"/>
      <c r="J409" s="12"/>
      <c r="K409" s="13"/>
      <c r="L409" s="14"/>
      <c r="M409" s="15"/>
      <c r="N409" s="15"/>
      <c r="O409" s="16"/>
      <c r="Q409" s="16"/>
    </row>
    <row r="410" spans="1:17" x14ac:dyDescent="0.3">
      <c r="A410" s="5"/>
      <c r="B410" s="6"/>
      <c r="C410" s="7"/>
      <c r="D410" s="8"/>
      <c r="E410" s="8"/>
      <c r="F410" s="10"/>
      <c r="G410" s="10"/>
      <c r="H410" s="10"/>
      <c r="I410" s="7"/>
      <c r="J410" s="12"/>
      <c r="K410" s="13"/>
      <c r="L410" s="14"/>
      <c r="M410" s="15"/>
      <c r="N410" s="15"/>
      <c r="O410" s="16"/>
      <c r="Q410" s="16"/>
    </row>
    <row r="411" spans="1:17" x14ac:dyDescent="0.3">
      <c r="A411" s="5"/>
      <c r="B411" s="6"/>
      <c r="C411" s="7"/>
      <c r="D411" s="8"/>
      <c r="E411" s="8"/>
      <c r="F411" s="10"/>
      <c r="G411" s="10"/>
      <c r="H411" s="10"/>
      <c r="I411" s="7"/>
      <c r="J411" s="12"/>
      <c r="K411" s="13"/>
      <c r="L411" s="14"/>
      <c r="M411" s="15"/>
      <c r="N411" s="15"/>
      <c r="O411" s="16"/>
      <c r="Q411" s="16"/>
    </row>
    <row r="412" spans="1:17" x14ac:dyDescent="0.3">
      <c r="A412" s="5"/>
      <c r="B412" s="6"/>
      <c r="C412" s="7"/>
      <c r="D412" s="8"/>
      <c r="E412" s="8"/>
      <c r="F412" s="10"/>
      <c r="G412" s="10"/>
      <c r="H412" s="10"/>
      <c r="I412" s="7"/>
      <c r="J412" s="12"/>
      <c r="K412" s="13"/>
      <c r="L412" s="14"/>
      <c r="M412" s="15"/>
      <c r="N412" s="15"/>
      <c r="O412" s="16"/>
      <c r="Q412" s="16"/>
    </row>
    <row r="413" spans="1:17" x14ac:dyDescent="0.3">
      <c r="A413" s="5"/>
      <c r="B413" s="6"/>
      <c r="C413" s="7"/>
      <c r="D413" s="8"/>
      <c r="E413" s="8"/>
      <c r="F413" s="10"/>
      <c r="G413" s="10"/>
      <c r="H413" s="10"/>
      <c r="I413" s="7"/>
      <c r="J413" s="12"/>
      <c r="K413" s="13"/>
      <c r="L413" s="14"/>
      <c r="M413" s="15"/>
      <c r="N413" s="15"/>
      <c r="O413" s="16"/>
      <c r="Q413" s="16"/>
    </row>
    <row r="414" spans="1:17" x14ac:dyDescent="0.3">
      <c r="A414" s="5"/>
      <c r="B414" s="6"/>
      <c r="C414" s="7"/>
      <c r="D414" s="8"/>
      <c r="E414" s="8"/>
      <c r="F414" s="10"/>
      <c r="G414" s="10"/>
      <c r="H414" s="10"/>
      <c r="I414" s="7"/>
      <c r="J414" s="12"/>
      <c r="K414" s="13"/>
      <c r="L414" s="14"/>
      <c r="M414" s="15"/>
      <c r="N414" s="15"/>
      <c r="O414" s="16"/>
      <c r="Q414" s="16"/>
    </row>
    <row r="415" spans="1:17" x14ac:dyDescent="0.3">
      <c r="A415" s="5"/>
      <c r="B415" s="6"/>
      <c r="C415" s="7"/>
      <c r="D415" s="8"/>
      <c r="E415" s="8"/>
      <c r="F415" s="10"/>
      <c r="G415" s="10"/>
      <c r="H415" s="10"/>
      <c r="I415" s="7"/>
      <c r="J415" s="12"/>
      <c r="K415" s="13"/>
      <c r="L415" s="14"/>
      <c r="M415" s="15"/>
      <c r="N415" s="15"/>
      <c r="O415" s="16"/>
      <c r="Q415" s="16"/>
    </row>
    <row r="416" spans="1:17" x14ac:dyDescent="0.3">
      <c r="A416" s="5"/>
      <c r="B416" s="6"/>
      <c r="C416" s="7"/>
      <c r="D416" s="8"/>
      <c r="E416" s="8"/>
      <c r="F416" s="10"/>
      <c r="G416" s="10"/>
      <c r="H416" s="10"/>
      <c r="I416" s="7"/>
      <c r="J416" s="12"/>
      <c r="K416" s="13"/>
      <c r="L416" s="14"/>
      <c r="M416" s="15"/>
      <c r="N416" s="15"/>
      <c r="O416" s="16"/>
      <c r="Q416" s="16"/>
    </row>
    <row r="417" spans="1:17" x14ac:dyDescent="0.3">
      <c r="A417" s="5"/>
      <c r="B417" s="6"/>
      <c r="C417" s="7"/>
      <c r="D417" s="8"/>
      <c r="E417" s="8"/>
      <c r="F417" s="10"/>
      <c r="G417" s="10"/>
      <c r="H417" s="10"/>
      <c r="I417" s="7"/>
      <c r="J417" s="12"/>
      <c r="K417" s="13"/>
      <c r="L417" s="14"/>
      <c r="M417" s="15"/>
      <c r="N417" s="15"/>
      <c r="O417" s="16"/>
      <c r="Q417" s="16"/>
    </row>
    <row r="418" spans="1:17" x14ac:dyDescent="0.3">
      <c r="A418" s="5"/>
      <c r="B418" s="6"/>
      <c r="C418" s="7"/>
      <c r="D418" s="8"/>
      <c r="E418" s="8"/>
      <c r="F418" s="10"/>
      <c r="G418" s="10"/>
      <c r="H418" s="10"/>
      <c r="I418" s="7"/>
      <c r="J418" s="12"/>
      <c r="K418" s="13"/>
      <c r="L418" s="14"/>
      <c r="M418" s="15"/>
      <c r="N418" s="15"/>
      <c r="O418" s="16"/>
      <c r="Q418" s="16"/>
    </row>
    <row r="419" spans="1:17" x14ac:dyDescent="0.3">
      <c r="A419" s="5"/>
      <c r="B419" s="6"/>
      <c r="C419" s="7"/>
      <c r="D419" s="37"/>
      <c r="E419" s="9"/>
      <c r="F419" s="38"/>
      <c r="G419" s="38"/>
      <c r="H419" s="38"/>
      <c r="I419" s="7"/>
      <c r="J419" s="12"/>
      <c r="K419" s="13"/>
      <c r="L419" s="14"/>
      <c r="M419" s="15"/>
      <c r="N419" s="15"/>
      <c r="O419" s="16"/>
      <c r="Q419" s="16"/>
    </row>
    <row r="420" spans="1:17" x14ac:dyDescent="0.3">
      <c r="A420" s="5"/>
      <c r="B420" s="6"/>
      <c r="C420" s="7"/>
      <c r="D420" s="8"/>
      <c r="E420" s="8"/>
      <c r="F420" s="10"/>
      <c r="G420" s="10"/>
      <c r="H420" s="10"/>
      <c r="I420" s="7"/>
      <c r="J420" s="12"/>
      <c r="K420" s="13"/>
      <c r="L420" s="14"/>
      <c r="M420" s="15"/>
      <c r="N420" s="15"/>
      <c r="O420" s="16"/>
      <c r="Q420" s="16"/>
    </row>
    <row r="421" spans="1:17" x14ac:dyDescent="0.3">
      <c r="A421" s="5"/>
      <c r="B421" s="6"/>
      <c r="C421" s="7"/>
      <c r="D421" s="8"/>
      <c r="E421" s="8"/>
      <c r="F421" s="10"/>
      <c r="G421" s="10"/>
      <c r="H421" s="10"/>
      <c r="I421" s="7"/>
      <c r="J421" s="12"/>
      <c r="K421" s="13"/>
      <c r="L421" s="14"/>
      <c r="M421" s="15"/>
      <c r="N421" s="15"/>
      <c r="O421" s="16"/>
      <c r="Q421" s="16"/>
    </row>
    <row r="422" spans="1:17" x14ac:dyDescent="0.3">
      <c r="A422" s="5"/>
      <c r="B422" s="6"/>
      <c r="C422" s="7"/>
      <c r="D422" s="8"/>
      <c r="E422" s="8"/>
      <c r="F422" s="10"/>
      <c r="G422" s="10"/>
      <c r="H422" s="10"/>
      <c r="I422" s="7"/>
      <c r="J422" s="12"/>
      <c r="K422" s="13"/>
      <c r="L422" s="14"/>
      <c r="M422" s="15"/>
      <c r="N422" s="15"/>
      <c r="O422" s="16"/>
      <c r="Q422" s="16"/>
    </row>
    <row r="423" spans="1:17" x14ac:dyDescent="0.3">
      <c r="A423" s="5"/>
      <c r="B423" s="6"/>
      <c r="C423" s="7"/>
      <c r="D423" s="8"/>
      <c r="E423" s="8"/>
      <c r="F423" s="10"/>
      <c r="G423" s="10"/>
      <c r="H423" s="10"/>
      <c r="I423" s="7"/>
      <c r="J423" s="12"/>
      <c r="K423" s="13"/>
      <c r="L423" s="14"/>
      <c r="M423" s="15"/>
      <c r="N423" s="15"/>
      <c r="O423" s="16"/>
      <c r="Q423" s="16"/>
    </row>
    <row r="424" spans="1:17" x14ac:dyDescent="0.3">
      <c r="A424" s="5"/>
      <c r="B424" s="6"/>
      <c r="C424" s="7"/>
      <c r="D424" s="8"/>
      <c r="E424" s="8"/>
      <c r="F424" s="10"/>
      <c r="G424" s="10"/>
      <c r="H424" s="10"/>
      <c r="I424" s="7"/>
      <c r="J424" s="12"/>
      <c r="K424" s="13"/>
      <c r="L424" s="14"/>
      <c r="M424" s="15"/>
      <c r="N424" s="15"/>
      <c r="O424" s="16"/>
      <c r="Q424" s="16"/>
    </row>
    <row r="425" spans="1:17" x14ac:dyDescent="0.3">
      <c r="A425" s="5"/>
      <c r="B425" s="6"/>
      <c r="C425" s="7"/>
      <c r="D425" s="8"/>
      <c r="E425" s="8"/>
      <c r="F425" s="10"/>
      <c r="G425" s="10"/>
      <c r="H425" s="10"/>
      <c r="I425" s="7"/>
      <c r="J425" s="12"/>
      <c r="K425" s="13"/>
      <c r="L425" s="14"/>
      <c r="M425" s="15"/>
      <c r="N425" s="15"/>
      <c r="O425" s="16"/>
      <c r="Q425" s="16"/>
    </row>
    <row r="426" spans="1:17" x14ac:dyDescent="0.3">
      <c r="A426" s="5"/>
      <c r="B426" s="6"/>
      <c r="C426" s="7"/>
      <c r="D426" s="8"/>
      <c r="E426" s="8"/>
      <c r="F426" s="10"/>
      <c r="G426" s="10"/>
      <c r="H426" s="10"/>
      <c r="I426" s="7"/>
      <c r="J426" s="12"/>
      <c r="K426" s="13"/>
      <c r="L426" s="14"/>
      <c r="M426" s="15"/>
      <c r="N426" s="15"/>
      <c r="O426" s="16"/>
      <c r="Q426" s="16"/>
    </row>
    <row r="427" spans="1:17" x14ac:dyDescent="0.3">
      <c r="A427" s="5"/>
      <c r="B427" s="6"/>
      <c r="C427" s="7"/>
      <c r="D427" s="8"/>
      <c r="E427" s="8"/>
      <c r="F427" s="10"/>
      <c r="G427" s="10"/>
      <c r="H427" s="10"/>
      <c r="I427" s="7"/>
      <c r="J427" s="12"/>
      <c r="K427" s="13"/>
      <c r="L427" s="14"/>
      <c r="M427" s="15"/>
      <c r="N427" s="15"/>
      <c r="O427" s="16"/>
      <c r="Q427" s="16"/>
    </row>
    <row r="428" spans="1:17" x14ac:dyDescent="0.3">
      <c r="A428" s="5"/>
      <c r="B428" s="6"/>
      <c r="C428" s="7"/>
      <c r="D428" s="8"/>
      <c r="E428" s="8"/>
      <c r="F428" s="10"/>
      <c r="G428" s="10"/>
      <c r="H428" s="10"/>
      <c r="I428" s="7"/>
      <c r="J428" s="12"/>
      <c r="K428" s="13"/>
      <c r="L428" s="14"/>
      <c r="M428" s="15"/>
      <c r="N428" s="15"/>
      <c r="O428" s="16"/>
      <c r="Q428" s="16"/>
    </row>
    <row r="429" spans="1:17" x14ac:dyDescent="0.3">
      <c r="A429" s="5"/>
      <c r="B429" s="6"/>
      <c r="C429" s="7"/>
      <c r="D429" s="8"/>
      <c r="E429" s="8"/>
      <c r="F429" s="10"/>
      <c r="G429" s="10"/>
      <c r="H429" s="10"/>
      <c r="I429" s="7"/>
      <c r="J429" s="12"/>
      <c r="K429" s="13"/>
      <c r="L429" s="14"/>
      <c r="M429" s="15"/>
      <c r="N429" s="15"/>
      <c r="O429" s="16"/>
      <c r="Q429" s="16"/>
    </row>
    <row r="430" spans="1:17" x14ac:dyDescent="0.3">
      <c r="A430" s="5"/>
      <c r="B430" s="6"/>
      <c r="C430" s="7"/>
      <c r="D430" s="8"/>
      <c r="E430" s="8"/>
      <c r="F430" s="10"/>
      <c r="G430" s="10"/>
      <c r="H430" s="10"/>
      <c r="I430" s="7"/>
      <c r="J430" s="12"/>
      <c r="K430" s="13"/>
      <c r="L430" s="14"/>
      <c r="M430" s="15"/>
      <c r="N430" s="15"/>
      <c r="O430" s="16"/>
      <c r="Q430" s="16"/>
    </row>
    <row r="431" spans="1:17" x14ac:dyDescent="0.3">
      <c r="A431" s="5"/>
      <c r="B431" s="6"/>
      <c r="C431" s="7"/>
      <c r="D431" s="8"/>
      <c r="E431" s="8"/>
      <c r="F431" s="10"/>
      <c r="G431" s="10"/>
      <c r="H431" s="10"/>
      <c r="I431" s="7"/>
      <c r="J431" s="12"/>
      <c r="K431" s="13"/>
      <c r="L431" s="14"/>
      <c r="M431" s="15"/>
      <c r="N431" s="15"/>
      <c r="O431" s="16"/>
      <c r="Q431" s="16"/>
    </row>
    <row r="432" spans="1:17" x14ac:dyDescent="0.3">
      <c r="A432" s="5"/>
      <c r="B432" s="6"/>
      <c r="C432" s="7"/>
      <c r="D432" s="8"/>
      <c r="E432" s="8"/>
      <c r="F432" s="10"/>
      <c r="G432" s="10"/>
      <c r="H432" s="10"/>
      <c r="I432" s="7"/>
      <c r="J432" s="12"/>
      <c r="K432" s="13"/>
      <c r="L432" s="14"/>
      <c r="M432" s="15"/>
      <c r="N432" s="15"/>
      <c r="O432" s="16"/>
      <c r="Q432" s="16"/>
    </row>
    <row r="433" spans="1:17" x14ac:dyDescent="0.3">
      <c r="A433" s="5"/>
      <c r="B433" s="6"/>
      <c r="C433" s="7"/>
      <c r="D433" s="8"/>
      <c r="E433" s="8"/>
      <c r="F433" s="10"/>
      <c r="G433" s="10"/>
      <c r="H433" s="10"/>
      <c r="I433" s="7"/>
      <c r="J433" s="12"/>
      <c r="K433" s="13"/>
      <c r="L433" s="14"/>
      <c r="M433" s="15"/>
      <c r="N433" s="15"/>
      <c r="O433" s="16"/>
      <c r="Q433" s="16"/>
    </row>
    <row r="434" spans="1:17" x14ac:dyDescent="0.3">
      <c r="A434" s="5"/>
      <c r="B434" s="6"/>
      <c r="C434" s="7"/>
      <c r="D434" s="8"/>
      <c r="E434" s="8"/>
      <c r="F434" s="10"/>
      <c r="G434" s="10"/>
      <c r="H434" s="10"/>
      <c r="I434" s="7"/>
      <c r="J434" s="12"/>
      <c r="K434" s="13"/>
      <c r="L434" s="14"/>
      <c r="M434" s="15"/>
      <c r="N434" s="15"/>
      <c r="O434" s="16"/>
      <c r="Q434" s="16"/>
    </row>
    <row r="435" spans="1:17" x14ac:dyDescent="0.3">
      <c r="A435" s="5"/>
      <c r="B435" s="6"/>
      <c r="C435" s="7"/>
      <c r="D435" s="8"/>
      <c r="E435" s="8"/>
      <c r="F435" s="10"/>
      <c r="G435" s="10"/>
      <c r="H435" s="10"/>
      <c r="I435" s="7"/>
      <c r="J435" s="12"/>
      <c r="K435" s="13"/>
      <c r="L435" s="14"/>
      <c r="M435" s="15"/>
      <c r="N435" s="15"/>
      <c r="O435" s="16"/>
      <c r="Q435" s="16"/>
    </row>
    <row r="436" spans="1:17" x14ac:dyDescent="0.3">
      <c r="A436" s="5"/>
      <c r="B436" s="6"/>
      <c r="C436" s="7"/>
      <c r="D436" s="8"/>
      <c r="E436" s="8"/>
      <c r="F436" s="10"/>
      <c r="G436" s="10"/>
      <c r="H436" s="10"/>
      <c r="I436" s="7"/>
      <c r="J436" s="12"/>
      <c r="K436" s="13"/>
      <c r="L436" s="14"/>
      <c r="M436" s="15"/>
      <c r="N436" s="15"/>
      <c r="O436" s="16"/>
      <c r="Q436" s="16"/>
    </row>
    <row r="437" spans="1:17" x14ac:dyDescent="0.3">
      <c r="A437" s="5"/>
      <c r="B437" s="6"/>
      <c r="C437" s="7"/>
      <c r="D437" s="8"/>
      <c r="E437" s="8"/>
      <c r="F437" s="10"/>
      <c r="G437" s="10"/>
      <c r="H437" s="10"/>
      <c r="I437" s="7"/>
      <c r="J437" s="12"/>
      <c r="K437" s="13"/>
      <c r="L437" s="14"/>
      <c r="M437" s="15"/>
      <c r="N437" s="15"/>
      <c r="O437" s="16"/>
      <c r="Q437" s="16"/>
    </row>
    <row r="438" spans="1:17" x14ac:dyDescent="0.3">
      <c r="A438" s="5"/>
      <c r="B438" s="6"/>
      <c r="C438" s="7"/>
      <c r="D438" s="37"/>
      <c r="E438" s="9"/>
      <c r="F438" s="38"/>
      <c r="G438" s="38"/>
      <c r="H438" s="38"/>
      <c r="I438" s="7"/>
      <c r="J438" s="12"/>
      <c r="K438" s="13"/>
      <c r="L438" s="14"/>
      <c r="M438" s="15"/>
      <c r="N438" s="15"/>
      <c r="O438" s="16"/>
      <c r="Q438" s="16"/>
    </row>
    <row r="439" spans="1:17" x14ac:dyDescent="0.3">
      <c r="A439" s="5"/>
      <c r="B439" s="6"/>
      <c r="C439" s="7"/>
      <c r="D439" s="37"/>
      <c r="E439" s="9"/>
      <c r="F439" s="38"/>
      <c r="G439" s="38"/>
      <c r="H439" s="38"/>
      <c r="I439" s="7"/>
      <c r="J439" s="12"/>
      <c r="K439" s="13"/>
      <c r="L439" s="14"/>
      <c r="M439" s="15"/>
      <c r="N439" s="15"/>
      <c r="O439" s="16"/>
      <c r="Q439" s="16"/>
    </row>
    <row r="440" spans="1:17" x14ac:dyDescent="0.3">
      <c r="A440" s="5"/>
      <c r="B440" s="6"/>
      <c r="C440" s="7"/>
      <c r="D440" s="37"/>
      <c r="E440" s="9"/>
      <c r="F440" s="38"/>
      <c r="G440" s="38"/>
      <c r="H440" s="38"/>
      <c r="I440" s="7"/>
      <c r="J440" s="12"/>
      <c r="K440" s="13"/>
      <c r="L440" s="14"/>
      <c r="M440" s="15"/>
      <c r="N440" s="15"/>
      <c r="O440" s="16"/>
      <c r="Q440" s="16"/>
    </row>
    <row r="441" spans="1:17" x14ac:dyDescent="0.3">
      <c r="A441" s="5"/>
      <c r="B441" s="6"/>
      <c r="C441" s="7"/>
      <c r="D441" s="8"/>
      <c r="E441" s="8"/>
      <c r="F441" s="10"/>
      <c r="G441" s="10"/>
      <c r="H441" s="10"/>
      <c r="I441" s="7"/>
      <c r="J441" s="12"/>
      <c r="K441" s="13"/>
      <c r="L441" s="14"/>
      <c r="M441" s="15"/>
      <c r="N441" s="15"/>
      <c r="O441" s="16"/>
      <c r="Q441" s="16"/>
    </row>
    <row r="442" spans="1:17" x14ac:dyDescent="0.3">
      <c r="A442" s="5"/>
      <c r="B442" s="6"/>
      <c r="C442" s="7"/>
      <c r="D442" s="8"/>
      <c r="E442" s="8"/>
      <c r="F442" s="10"/>
      <c r="G442" s="10"/>
      <c r="H442" s="10"/>
      <c r="I442" s="7"/>
      <c r="J442" s="12"/>
      <c r="K442" s="13"/>
      <c r="L442" s="14"/>
      <c r="M442" s="15"/>
      <c r="N442" s="15"/>
      <c r="O442" s="16"/>
      <c r="Q442" s="16"/>
    </row>
    <row r="443" spans="1:17" x14ac:dyDescent="0.3">
      <c r="A443" s="5"/>
      <c r="B443" s="6"/>
      <c r="C443" s="7"/>
      <c r="D443" s="8"/>
      <c r="E443" s="8"/>
      <c r="F443" s="10"/>
      <c r="G443" s="10"/>
      <c r="H443" s="10"/>
      <c r="I443" s="7"/>
      <c r="J443" s="12"/>
      <c r="K443" s="13"/>
      <c r="L443" s="14"/>
      <c r="M443" s="15"/>
      <c r="N443" s="15"/>
      <c r="O443" s="16"/>
      <c r="Q443" s="16"/>
    </row>
    <row r="444" spans="1:17" x14ac:dyDescent="0.3">
      <c r="A444" s="5"/>
      <c r="B444" s="6"/>
      <c r="C444" s="7"/>
      <c r="D444" s="8"/>
      <c r="E444" s="8"/>
      <c r="F444" s="10"/>
      <c r="G444" s="10"/>
      <c r="H444" s="10"/>
      <c r="I444" s="7"/>
      <c r="J444" s="12"/>
      <c r="K444" s="13"/>
      <c r="L444" s="14"/>
      <c r="M444" s="15"/>
      <c r="N444" s="15"/>
      <c r="O444" s="16"/>
      <c r="Q444" s="16"/>
    </row>
    <row r="445" spans="1:17" x14ac:dyDescent="0.3">
      <c r="A445" s="5"/>
      <c r="B445" s="6"/>
      <c r="C445" s="7"/>
      <c r="D445" s="8"/>
      <c r="E445" s="8"/>
      <c r="F445" s="10"/>
      <c r="G445" s="10"/>
      <c r="H445" s="10"/>
      <c r="I445" s="7"/>
      <c r="J445" s="12"/>
      <c r="K445" s="13"/>
      <c r="L445" s="14"/>
      <c r="M445" s="15"/>
      <c r="N445" s="15"/>
      <c r="O445" s="16"/>
      <c r="Q445" s="16"/>
    </row>
    <row r="446" spans="1:17" x14ac:dyDescent="0.3">
      <c r="A446" s="5"/>
      <c r="B446" s="6"/>
      <c r="C446" s="7"/>
      <c r="D446" s="8"/>
      <c r="E446" s="8"/>
      <c r="F446" s="10"/>
      <c r="G446" s="10"/>
      <c r="H446" s="10"/>
      <c r="I446" s="7"/>
      <c r="J446" s="12"/>
      <c r="K446" s="13"/>
      <c r="L446" s="14"/>
      <c r="M446" s="15"/>
      <c r="N446" s="15"/>
      <c r="O446" s="16"/>
      <c r="Q446" s="16"/>
    </row>
    <row r="447" spans="1:17" x14ac:dyDescent="0.3">
      <c r="A447" s="5"/>
      <c r="B447" s="6"/>
      <c r="C447" s="7"/>
      <c r="D447" s="8"/>
      <c r="E447" s="8"/>
      <c r="F447" s="10"/>
      <c r="G447" s="10"/>
      <c r="H447" s="10"/>
      <c r="I447" s="7"/>
      <c r="J447" s="12"/>
      <c r="K447" s="13"/>
      <c r="L447" s="14"/>
      <c r="M447" s="15"/>
      <c r="N447" s="15"/>
      <c r="O447" s="16"/>
      <c r="Q447" s="16"/>
    </row>
    <row r="448" spans="1:17" x14ac:dyDescent="0.3">
      <c r="A448" s="5"/>
      <c r="B448" s="6"/>
      <c r="C448" s="7"/>
      <c r="D448" s="8"/>
      <c r="E448" s="8"/>
      <c r="F448" s="10"/>
      <c r="G448" s="10"/>
      <c r="H448" s="10"/>
      <c r="I448" s="7"/>
      <c r="J448" s="12"/>
      <c r="K448" s="13"/>
      <c r="L448" s="14"/>
      <c r="M448" s="15"/>
      <c r="N448" s="15"/>
      <c r="O448" s="16"/>
      <c r="Q448" s="16"/>
    </row>
    <row r="449" spans="1:17" x14ac:dyDescent="0.3">
      <c r="A449" s="5"/>
      <c r="B449" s="6"/>
      <c r="C449" s="7"/>
      <c r="D449" s="8"/>
      <c r="E449" s="8"/>
      <c r="F449" s="10"/>
      <c r="G449" s="10"/>
      <c r="H449" s="10"/>
      <c r="I449" s="7"/>
      <c r="J449" s="12"/>
      <c r="K449" s="13"/>
      <c r="L449" s="14"/>
      <c r="M449" s="15"/>
      <c r="N449" s="15"/>
      <c r="O449" s="16"/>
      <c r="Q449" s="16"/>
    </row>
    <row r="450" spans="1:17" x14ac:dyDescent="0.3">
      <c r="A450" s="5"/>
      <c r="B450" s="6"/>
      <c r="C450" s="7"/>
      <c r="D450" s="8"/>
      <c r="E450" s="8"/>
      <c r="F450" s="10"/>
      <c r="G450" s="10"/>
      <c r="H450" s="10"/>
      <c r="I450" s="7"/>
      <c r="J450" s="12"/>
      <c r="K450" s="13"/>
      <c r="L450" s="14"/>
      <c r="M450" s="15"/>
      <c r="N450" s="15"/>
      <c r="O450" s="16"/>
      <c r="Q450" s="16"/>
    </row>
    <row r="451" spans="1:17" x14ac:dyDescent="0.3">
      <c r="A451" s="5"/>
      <c r="B451" s="6"/>
      <c r="C451" s="7"/>
      <c r="D451" s="8"/>
      <c r="E451" s="8"/>
      <c r="F451" s="10"/>
      <c r="G451" s="10"/>
      <c r="H451" s="10"/>
      <c r="I451" s="7"/>
      <c r="J451" s="12"/>
      <c r="K451" s="13"/>
      <c r="L451" s="14"/>
      <c r="M451" s="15"/>
      <c r="N451" s="15"/>
      <c r="O451" s="16"/>
      <c r="Q451" s="16"/>
    </row>
    <row r="452" spans="1:17" x14ac:dyDescent="0.3">
      <c r="A452" s="5"/>
      <c r="B452" s="6"/>
      <c r="C452" s="7"/>
      <c r="D452" s="8"/>
      <c r="E452" s="8"/>
      <c r="F452" s="10"/>
      <c r="G452" s="10"/>
      <c r="H452" s="10"/>
      <c r="I452" s="7"/>
      <c r="J452" s="12"/>
      <c r="K452" s="13"/>
      <c r="L452" s="14"/>
      <c r="M452" s="15"/>
      <c r="N452" s="15"/>
      <c r="O452" s="16"/>
      <c r="Q452" s="16"/>
    </row>
    <row r="453" spans="1:17" x14ac:dyDescent="0.3">
      <c r="A453" s="5"/>
      <c r="B453" s="6"/>
      <c r="C453" s="7"/>
      <c r="D453" s="8"/>
      <c r="E453" s="8"/>
      <c r="F453" s="10"/>
      <c r="G453" s="10"/>
      <c r="H453" s="10"/>
      <c r="I453" s="7"/>
      <c r="J453" s="12"/>
      <c r="K453" s="13"/>
      <c r="L453" s="14"/>
      <c r="M453" s="15"/>
      <c r="N453" s="15"/>
      <c r="O453" s="16"/>
      <c r="Q453" s="16"/>
    </row>
    <row r="454" spans="1:17" x14ac:dyDescent="0.3">
      <c r="A454" s="5"/>
      <c r="B454" s="6"/>
      <c r="C454" s="7"/>
      <c r="D454" s="8"/>
      <c r="E454" s="8"/>
      <c r="F454" s="10"/>
      <c r="G454" s="10"/>
      <c r="H454" s="10"/>
      <c r="I454" s="7"/>
      <c r="J454" s="12"/>
      <c r="K454" s="13"/>
      <c r="L454" s="14"/>
      <c r="M454" s="15"/>
      <c r="N454" s="15"/>
      <c r="O454" s="16"/>
      <c r="Q454" s="16"/>
    </row>
    <row r="455" spans="1:17" x14ac:dyDescent="0.3">
      <c r="A455" s="5"/>
      <c r="B455" s="6"/>
      <c r="C455" s="7"/>
      <c r="D455" s="8"/>
      <c r="E455" s="8"/>
      <c r="F455" s="10"/>
      <c r="G455" s="10"/>
      <c r="H455" s="10"/>
      <c r="I455" s="7"/>
      <c r="J455" s="12"/>
      <c r="K455" s="13"/>
      <c r="L455" s="14"/>
      <c r="M455" s="15"/>
      <c r="N455" s="15"/>
      <c r="O455" s="16"/>
      <c r="Q455" s="16"/>
    </row>
    <row r="456" spans="1:17" x14ac:dyDescent="0.3">
      <c r="A456" s="5"/>
      <c r="B456" s="6"/>
      <c r="C456" s="7"/>
      <c r="D456" s="8"/>
      <c r="E456" s="8"/>
      <c r="F456" s="10"/>
      <c r="G456" s="10"/>
      <c r="H456" s="10"/>
      <c r="I456" s="7"/>
      <c r="J456" s="12"/>
      <c r="K456" s="13"/>
      <c r="L456" s="14"/>
      <c r="M456" s="15"/>
      <c r="N456" s="15"/>
      <c r="O456" s="16"/>
      <c r="Q456" s="16"/>
    </row>
    <row r="457" spans="1:17" x14ac:dyDescent="0.3">
      <c r="A457" s="5"/>
      <c r="B457" s="6"/>
      <c r="C457" s="7"/>
      <c r="D457" s="8"/>
      <c r="E457" s="8"/>
      <c r="F457" s="10"/>
      <c r="G457" s="10"/>
      <c r="H457" s="10"/>
      <c r="I457" s="7"/>
      <c r="J457" s="12"/>
      <c r="K457" s="13"/>
      <c r="L457" s="14"/>
      <c r="M457" s="15"/>
      <c r="N457" s="15"/>
      <c r="O457" s="16"/>
      <c r="Q457" s="16"/>
    </row>
    <row r="458" spans="1:17" x14ac:dyDescent="0.3">
      <c r="A458" s="5"/>
      <c r="B458" s="6"/>
      <c r="C458" s="7"/>
      <c r="D458" s="8"/>
      <c r="E458" s="8"/>
      <c r="F458" s="10"/>
      <c r="G458" s="10"/>
      <c r="H458" s="10"/>
      <c r="I458" s="7"/>
      <c r="J458" s="12"/>
      <c r="K458" s="13"/>
      <c r="L458" s="14"/>
      <c r="M458" s="15"/>
      <c r="N458" s="15"/>
      <c r="O458" s="16"/>
      <c r="Q458" s="16"/>
    </row>
    <row r="459" spans="1:17" x14ac:dyDescent="0.3">
      <c r="A459" s="5"/>
      <c r="B459" s="6"/>
      <c r="C459" s="7"/>
      <c r="D459" s="8"/>
      <c r="E459" s="8"/>
      <c r="F459" s="10"/>
      <c r="G459" s="10"/>
      <c r="H459" s="10"/>
      <c r="I459" s="7"/>
      <c r="J459" s="12"/>
      <c r="K459" s="13"/>
      <c r="L459" s="14"/>
      <c r="M459" s="15"/>
      <c r="N459" s="15"/>
      <c r="O459" s="16"/>
      <c r="Q459" s="16"/>
    </row>
    <row r="460" spans="1:17" x14ac:dyDescent="0.3">
      <c r="A460" s="5"/>
      <c r="B460" s="6"/>
      <c r="C460" s="7"/>
      <c r="D460" s="8"/>
      <c r="E460" s="8"/>
      <c r="F460" s="10"/>
      <c r="G460" s="10"/>
      <c r="H460" s="10"/>
      <c r="I460" s="7"/>
      <c r="J460" s="12"/>
      <c r="K460" s="13"/>
      <c r="L460" s="14"/>
      <c r="M460" s="15"/>
      <c r="N460" s="15"/>
      <c r="O460" s="16"/>
      <c r="Q460" s="16"/>
    </row>
    <row r="461" spans="1:17" x14ac:dyDescent="0.3">
      <c r="A461" s="5"/>
      <c r="B461" s="6"/>
      <c r="C461" s="7"/>
      <c r="D461" s="37"/>
      <c r="E461" s="9"/>
      <c r="F461" s="38"/>
      <c r="G461" s="38"/>
      <c r="H461" s="38"/>
      <c r="I461" s="7"/>
      <c r="J461" s="12"/>
      <c r="K461" s="13"/>
      <c r="L461" s="14"/>
      <c r="M461" s="15"/>
      <c r="N461" s="15"/>
      <c r="O461" s="16"/>
      <c r="Q461" s="16"/>
    </row>
    <row r="462" spans="1:17" x14ac:dyDescent="0.3">
      <c r="A462" s="5"/>
      <c r="B462" s="6"/>
      <c r="C462" s="7"/>
      <c r="D462" s="37"/>
      <c r="E462" s="9"/>
      <c r="F462" s="38"/>
      <c r="G462" s="38"/>
      <c r="H462" s="38"/>
      <c r="I462" s="7"/>
      <c r="J462" s="12"/>
      <c r="K462" s="13"/>
      <c r="L462" s="14"/>
      <c r="M462" s="15"/>
      <c r="N462" s="15"/>
      <c r="O462" s="16"/>
      <c r="Q462" s="16"/>
    </row>
    <row r="463" spans="1:17" x14ac:dyDescent="0.3">
      <c r="A463" s="5"/>
      <c r="B463" s="6"/>
      <c r="C463" s="7"/>
      <c r="D463" s="37"/>
      <c r="E463" s="9"/>
      <c r="F463" s="38"/>
      <c r="G463" s="38"/>
      <c r="H463" s="38"/>
      <c r="I463" s="7"/>
      <c r="J463" s="12"/>
      <c r="K463" s="13"/>
      <c r="L463" s="14"/>
      <c r="M463" s="15"/>
      <c r="N463" s="15"/>
      <c r="O463" s="16"/>
      <c r="Q463" s="16"/>
    </row>
    <row r="464" spans="1:17" x14ac:dyDescent="0.3">
      <c r="A464" s="5"/>
      <c r="B464" s="6"/>
      <c r="C464" s="7"/>
      <c r="D464" s="8"/>
      <c r="E464" s="8"/>
      <c r="F464" s="10"/>
      <c r="G464" s="10"/>
      <c r="H464" s="10"/>
      <c r="I464" s="7"/>
      <c r="J464" s="12"/>
      <c r="K464" s="13"/>
      <c r="L464" s="14"/>
      <c r="M464" s="15"/>
      <c r="N464" s="15"/>
      <c r="O464" s="16"/>
      <c r="Q464" s="16"/>
    </row>
    <row r="465" spans="1:17" x14ac:dyDescent="0.3">
      <c r="A465" s="5"/>
      <c r="B465" s="6"/>
      <c r="C465" s="7"/>
      <c r="D465" s="37"/>
      <c r="E465" s="9"/>
      <c r="F465" s="38"/>
      <c r="G465" s="38"/>
      <c r="H465" s="38"/>
      <c r="I465" s="7"/>
      <c r="J465" s="12"/>
      <c r="K465" s="13"/>
      <c r="L465" s="14"/>
      <c r="M465" s="15"/>
      <c r="N465" s="15"/>
      <c r="O465" s="16"/>
      <c r="Q465" s="16"/>
    </row>
    <row r="466" spans="1:17" x14ac:dyDescent="0.3">
      <c r="A466" s="5"/>
      <c r="B466" s="6"/>
      <c r="C466" s="7"/>
      <c r="D466" s="37"/>
      <c r="E466" s="9"/>
      <c r="F466" s="38"/>
      <c r="G466" s="38"/>
      <c r="H466" s="38"/>
      <c r="I466" s="7"/>
      <c r="J466" s="12"/>
      <c r="K466" s="13"/>
      <c r="L466" s="14"/>
      <c r="M466" s="15"/>
      <c r="N466" s="15"/>
      <c r="O466" s="16"/>
      <c r="Q466" s="16"/>
    </row>
    <row r="467" spans="1:17" x14ac:dyDescent="0.3">
      <c r="A467" s="5"/>
      <c r="B467" s="6"/>
      <c r="C467" s="7"/>
      <c r="D467" s="37"/>
      <c r="E467" s="9"/>
      <c r="F467" s="38"/>
      <c r="G467" s="38"/>
      <c r="H467" s="38"/>
      <c r="I467" s="7"/>
      <c r="J467" s="12"/>
      <c r="K467" s="13"/>
      <c r="L467" s="14"/>
      <c r="M467" s="15"/>
      <c r="N467" s="15"/>
      <c r="O467" s="16"/>
      <c r="Q467" s="16"/>
    </row>
    <row r="468" spans="1:17" x14ac:dyDescent="0.3">
      <c r="A468" s="5"/>
      <c r="B468" s="6"/>
      <c r="C468" s="7"/>
      <c r="D468" s="37"/>
      <c r="E468" s="9"/>
      <c r="F468" s="38"/>
      <c r="G468" s="38"/>
      <c r="H468" s="38"/>
      <c r="I468" s="7"/>
      <c r="J468" s="12"/>
      <c r="K468" s="13"/>
      <c r="L468" s="14"/>
      <c r="M468" s="15"/>
      <c r="N468" s="15"/>
      <c r="O468" s="16"/>
      <c r="Q468" s="16"/>
    </row>
    <row r="469" spans="1:17" x14ac:dyDescent="0.3">
      <c r="A469" s="5"/>
      <c r="B469" s="6"/>
      <c r="C469" s="7"/>
      <c r="D469" s="37"/>
      <c r="E469" s="8"/>
      <c r="F469" s="38"/>
      <c r="G469" s="38"/>
      <c r="H469" s="38"/>
      <c r="I469" s="7"/>
      <c r="J469" s="12"/>
      <c r="K469" s="13"/>
      <c r="L469" s="14"/>
      <c r="M469" s="15"/>
      <c r="N469" s="15"/>
      <c r="O469" s="16"/>
      <c r="Q469" s="16"/>
    </row>
    <row r="470" spans="1:17" x14ac:dyDescent="0.3">
      <c r="A470" s="5"/>
      <c r="B470" s="6"/>
      <c r="C470" s="7"/>
      <c r="D470" s="8"/>
      <c r="E470" s="8"/>
      <c r="F470" s="10"/>
      <c r="G470" s="10"/>
      <c r="H470" s="10"/>
      <c r="I470" s="7"/>
      <c r="J470" s="12"/>
      <c r="K470" s="13"/>
      <c r="L470" s="14"/>
      <c r="M470" s="15"/>
      <c r="N470" s="15"/>
      <c r="O470" s="16"/>
      <c r="Q470" s="16"/>
    </row>
    <row r="471" spans="1:17" x14ac:dyDescent="0.3">
      <c r="A471" s="5"/>
      <c r="B471" s="6"/>
      <c r="C471" s="7"/>
      <c r="D471" s="37"/>
      <c r="E471" s="9"/>
      <c r="F471" s="38"/>
      <c r="G471" s="38"/>
      <c r="H471" s="38"/>
      <c r="I471" s="7"/>
      <c r="J471" s="12"/>
      <c r="K471" s="13"/>
      <c r="L471" s="14"/>
      <c r="M471" s="15"/>
      <c r="N471" s="15"/>
      <c r="O471" s="16"/>
      <c r="Q471" s="16"/>
    </row>
    <row r="472" spans="1:17" x14ac:dyDescent="0.3">
      <c r="A472" s="5"/>
      <c r="B472" s="6"/>
      <c r="C472" s="7"/>
      <c r="D472" s="8"/>
      <c r="E472" s="8"/>
      <c r="F472" s="10"/>
      <c r="G472" s="10"/>
      <c r="H472" s="10"/>
      <c r="I472" s="7"/>
      <c r="J472" s="12"/>
      <c r="K472" s="13"/>
      <c r="L472" s="14"/>
      <c r="M472" s="15"/>
      <c r="N472" s="15"/>
      <c r="O472" s="16"/>
      <c r="Q472" s="16"/>
    </row>
    <row r="473" spans="1:17" x14ac:dyDescent="0.3">
      <c r="A473" s="5"/>
      <c r="B473" s="6"/>
      <c r="C473" s="7"/>
      <c r="D473" s="8"/>
      <c r="E473" s="8"/>
      <c r="F473" s="10"/>
      <c r="G473" s="10"/>
      <c r="H473" s="10"/>
      <c r="I473" s="7"/>
      <c r="J473" s="12"/>
      <c r="K473" s="13"/>
      <c r="L473" s="14"/>
      <c r="M473" s="15"/>
      <c r="N473" s="15"/>
      <c r="O473" s="16"/>
      <c r="Q473" s="16"/>
    </row>
    <row r="474" spans="1:17" x14ac:dyDescent="0.3">
      <c r="A474" s="5"/>
      <c r="B474" s="6"/>
      <c r="C474" s="7"/>
      <c r="D474" s="8"/>
      <c r="E474" s="8"/>
      <c r="F474" s="10"/>
      <c r="G474" s="10"/>
      <c r="H474" s="10"/>
      <c r="I474" s="7"/>
      <c r="J474" s="12"/>
      <c r="K474" s="13"/>
      <c r="L474" s="14"/>
      <c r="M474" s="15"/>
      <c r="N474" s="15"/>
      <c r="O474" s="16"/>
      <c r="Q474" s="16"/>
    </row>
    <row r="475" spans="1:17" x14ac:dyDescent="0.3">
      <c r="A475" s="5"/>
      <c r="B475" s="6"/>
      <c r="C475" s="7"/>
      <c r="D475" s="8"/>
      <c r="E475" s="8"/>
      <c r="F475" s="10"/>
      <c r="G475" s="10"/>
      <c r="H475" s="10"/>
      <c r="I475" s="7"/>
      <c r="J475" s="12"/>
      <c r="K475" s="13"/>
      <c r="L475" s="14"/>
      <c r="M475" s="15"/>
      <c r="N475" s="15"/>
      <c r="O475" s="16"/>
      <c r="Q475" s="16"/>
    </row>
    <row r="476" spans="1:17" x14ac:dyDescent="0.3">
      <c r="A476" s="5"/>
      <c r="B476" s="6"/>
      <c r="C476" s="7"/>
      <c r="D476" s="8"/>
      <c r="E476" s="8"/>
      <c r="F476" s="10"/>
      <c r="G476" s="10"/>
      <c r="H476" s="10"/>
      <c r="I476" s="7"/>
      <c r="J476" s="12"/>
      <c r="K476" s="13"/>
      <c r="L476" s="14"/>
      <c r="M476" s="15"/>
      <c r="N476" s="15"/>
      <c r="O476" s="16"/>
      <c r="Q476" s="16"/>
    </row>
    <row r="477" spans="1:17" x14ac:dyDescent="0.3">
      <c r="A477" s="5"/>
      <c r="B477" s="6"/>
      <c r="C477" s="7"/>
      <c r="D477" s="8"/>
      <c r="E477" s="8"/>
      <c r="F477" s="10"/>
      <c r="G477" s="10"/>
      <c r="H477" s="10"/>
      <c r="I477" s="7"/>
      <c r="J477" s="12"/>
      <c r="K477" s="13"/>
      <c r="L477" s="14"/>
      <c r="M477" s="15"/>
      <c r="N477" s="15"/>
      <c r="O477" s="16"/>
      <c r="Q477" s="16"/>
    </row>
    <row r="478" spans="1:17" x14ac:dyDescent="0.3">
      <c r="A478" s="5"/>
      <c r="B478" s="6"/>
      <c r="C478" s="7"/>
      <c r="D478" s="8"/>
      <c r="E478" s="8"/>
      <c r="F478" s="10"/>
      <c r="G478" s="10"/>
      <c r="H478" s="10"/>
      <c r="I478" s="7"/>
      <c r="J478" s="12"/>
      <c r="K478" s="13"/>
      <c r="L478" s="14"/>
      <c r="M478" s="15"/>
      <c r="N478" s="15"/>
      <c r="O478" s="16"/>
      <c r="Q478" s="16"/>
    </row>
    <row r="479" spans="1:17" x14ac:dyDescent="0.3">
      <c r="A479" s="5"/>
      <c r="B479" s="6"/>
      <c r="C479" s="7"/>
      <c r="D479" s="8"/>
      <c r="E479" s="8"/>
      <c r="F479" s="10"/>
      <c r="G479" s="10"/>
      <c r="H479" s="10"/>
      <c r="I479" s="7"/>
      <c r="J479" s="12"/>
      <c r="K479" s="13"/>
      <c r="L479" s="14"/>
      <c r="M479" s="15"/>
      <c r="N479" s="15"/>
      <c r="O479" s="16"/>
      <c r="Q479" s="16"/>
    </row>
    <row r="480" spans="1:17" x14ac:dyDescent="0.3">
      <c r="A480" s="5"/>
      <c r="B480" s="6"/>
      <c r="C480" s="7"/>
      <c r="D480" s="8"/>
      <c r="E480" s="8"/>
      <c r="F480" s="10"/>
      <c r="G480" s="10"/>
      <c r="H480" s="10"/>
      <c r="I480" s="7"/>
      <c r="J480" s="12"/>
      <c r="K480" s="13"/>
      <c r="L480" s="14"/>
      <c r="M480" s="15"/>
      <c r="N480" s="15"/>
      <c r="O480" s="16"/>
      <c r="Q480" s="16"/>
    </row>
    <row r="481" spans="1:17" x14ac:dyDescent="0.3">
      <c r="A481" s="5"/>
      <c r="B481" s="6"/>
      <c r="C481" s="7"/>
      <c r="D481" s="8"/>
      <c r="E481" s="8"/>
      <c r="F481" s="10"/>
      <c r="G481" s="10"/>
      <c r="H481" s="10"/>
      <c r="I481" s="7"/>
      <c r="J481" s="12"/>
      <c r="K481" s="13"/>
      <c r="L481" s="14"/>
      <c r="M481" s="15"/>
      <c r="N481" s="15"/>
      <c r="O481" s="16"/>
      <c r="Q481" s="16"/>
    </row>
    <row r="482" spans="1:17" x14ac:dyDescent="0.3">
      <c r="A482" s="5"/>
      <c r="B482" s="6"/>
      <c r="C482" s="7"/>
      <c r="D482" s="8"/>
      <c r="E482" s="8"/>
      <c r="F482" s="10"/>
      <c r="G482" s="10"/>
      <c r="H482" s="10"/>
      <c r="I482" s="7"/>
      <c r="J482" s="12"/>
      <c r="K482" s="13"/>
      <c r="L482" s="14"/>
      <c r="M482" s="15"/>
      <c r="N482" s="15"/>
      <c r="O482" s="16"/>
      <c r="Q482" s="16"/>
    </row>
    <row r="483" spans="1:17" x14ac:dyDescent="0.3">
      <c r="A483" s="5"/>
      <c r="B483" s="6"/>
      <c r="C483" s="7"/>
      <c r="D483" s="8"/>
      <c r="E483" s="8"/>
      <c r="F483" s="10"/>
      <c r="G483" s="10"/>
      <c r="H483" s="10"/>
      <c r="I483" s="7"/>
      <c r="J483" s="12"/>
      <c r="K483" s="13"/>
      <c r="L483" s="14"/>
      <c r="M483" s="15"/>
      <c r="N483" s="15"/>
      <c r="O483" s="16"/>
      <c r="Q483" s="16"/>
    </row>
    <row r="484" spans="1:17" x14ac:dyDescent="0.3">
      <c r="A484" s="5"/>
      <c r="B484" s="6"/>
      <c r="C484" s="7"/>
      <c r="D484" s="8"/>
      <c r="E484" s="8"/>
      <c r="F484" s="10"/>
      <c r="G484" s="10"/>
      <c r="H484" s="10"/>
      <c r="I484" s="7"/>
      <c r="J484" s="12"/>
      <c r="K484" s="13"/>
      <c r="L484" s="14"/>
      <c r="M484" s="15"/>
      <c r="N484" s="15"/>
      <c r="O484" s="16"/>
      <c r="Q484" s="16"/>
    </row>
    <row r="485" spans="1:17" x14ac:dyDescent="0.3">
      <c r="A485" s="5"/>
      <c r="B485" s="6"/>
      <c r="C485" s="7"/>
      <c r="D485" s="8"/>
      <c r="E485" s="8"/>
      <c r="F485" s="10"/>
      <c r="G485" s="10"/>
      <c r="H485" s="10"/>
      <c r="I485" s="7"/>
      <c r="J485" s="12"/>
      <c r="K485" s="13"/>
      <c r="L485" s="14"/>
      <c r="M485" s="15"/>
      <c r="N485" s="15"/>
      <c r="O485" s="16"/>
      <c r="Q485" s="16"/>
    </row>
    <row r="486" spans="1:17" x14ac:dyDescent="0.3">
      <c r="A486" s="5"/>
      <c r="B486" s="6"/>
      <c r="C486" s="7"/>
      <c r="D486" s="8"/>
      <c r="E486" s="8"/>
      <c r="F486" s="10"/>
      <c r="G486" s="10"/>
      <c r="H486" s="10"/>
      <c r="I486" s="7"/>
      <c r="J486" s="12"/>
      <c r="K486" s="13"/>
      <c r="L486" s="14"/>
      <c r="M486" s="15"/>
      <c r="N486" s="15"/>
      <c r="O486" s="16"/>
      <c r="Q486" s="16"/>
    </row>
    <row r="487" spans="1:17" x14ac:dyDescent="0.3">
      <c r="A487" s="5"/>
      <c r="B487" s="6"/>
      <c r="C487" s="7"/>
      <c r="D487" s="8"/>
      <c r="E487" s="8"/>
      <c r="F487" s="10"/>
      <c r="G487" s="10"/>
      <c r="H487" s="10"/>
      <c r="I487" s="7"/>
      <c r="J487" s="12"/>
      <c r="K487" s="13"/>
      <c r="L487" s="14"/>
      <c r="M487" s="15"/>
      <c r="N487" s="15"/>
      <c r="O487" s="16"/>
      <c r="Q487" s="16"/>
    </row>
    <row r="488" spans="1:17" x14ac:dyDescent="0.3">
      <c r="A488" s="5"/>
      <c r="B488" s="6"/>
      <c r="C488" s="7"/>
      <c r="D488" s="8"/>
      <c r="E488" s="8"/>
      <c r="F488" s="10"/>
      <c r="G488" s="10"/>
      <c r="H488" s="10"/>
      <c r="I488" s="7"/>
      <c r="J488" s="12"/>
      <c r="K488" s="13"/>
      <c r="L488" s="14"/>
      <c r="M488" s="15"/>
      <c r="N488" s="15"/>
      <c r="O488" s="16"/>
      <c r="Q488" s="16"/>
    </row>
    <row r="489" spans="1:17" x14ac:dyDescent="0.3">
      <c r="A489" s="5"/>
      <c r="B489" s="6"/>
      <c r="C489" s="7"/>
      <c r="D489" s="8"/>
      <c r="E489" s="8"/>
      <c r="F489" s="10"/>
      <c r="G489" s="10"/>
      <c r="H489" s="10"/>
      <c r="I489" s="7"/>
      <c r="J489" s="12"/>
      <c r="K489" s="13"/>
      <c r="L489" s="14"/>
      <c r="M489" s="15"/>
      <c r="N489" s="15"/>
      <c r="O489" s="16"/>
      <c r="Q489" s="16"/>
    </row>
    <row r="490" spans="1:17" x14ac:dyDescent="0.3">
      <c r="A490" s="5"/>
      <c r="B490" s="6"/>
      <c r="C490" s="7"/>
      <c r="D490" s="8"/>
      <c r="E490" s="8"/>
      <c r="F490" s="10"/>
      <c r="G490" s="10"/>
      <c r="H490" s="10"/>
      <c r="I490" s="7"/>
      <c r="J490" s="12"/>
      <c r="K490" s="13"/>
      <c r="L490" s="14"/>
      <c r="M490" s="15"/>
      <c r="N490" s="15"/>
      <c r="O490" s="16"/>
      <c r="Q490" s="16"/>
    </row>
    <row r="491" spans="1:17" x14ac:dyDescent="0.3">
      <c r="A491" s="5"/>
      <c r="B491" s="6"/>
      <c r="C491" s="7"/>
      <c r="D491" s="8"/>
      <c r="E491" s="8"/>
      <c r="F491" s="10"/>
      <c r="G491" s="10"/>
      <c r="H491" s="10"/>
      <c r="I491" s="7"/>
      <c r="J491" s="12"/>
      <c r="K491" s="13"/>
      <c r="L491" s="14"/>
      <c r="M491" s="15"/>
      <c r="N491" s="15"/>
      <c r="O491" s="16"/>
      <c r="Q491" s="16"/>
    </row>
    <row r="492" spans="1:17" x14ac:dyDescent="0.3">
      <c r="A492" s="5"/>
      <c r="B492" s="6"/>
      <c r="C492" s="7"/>
      <c r="D492" s="8"/>
      <c r="E492" s="8"/>
      <c r="F492" s="10"/>
      <c r="G492" s="10"/>
      <c r="H492" s="10"/>
      <c r="I492" s="7"/>
      <c r="J492" s="12"/>
      <c r="K492" s="13"/>
      <c r="L492" s="14"/>
      <c r="M492" s="15"/>
      <c r="N492" s="15"/>
      <c r="O492" s="16"/>
      <c r="Q492" s="16"/>
    </row>
    <row r="493" spans="1:17" x14ac:dyDescent="0.3">
      <c r="A493" s="5"/>
      <c r="B493" s="6"/>
      <c r="C493" s="7"/>
      <c r="D493" s="8"/>
      <c r="E493" s="8"/>
      <c r="F493" s="10"/>
      <c r="G493" s="10"/>
      <c r="H493" s="10"/>
      <c r="I493" s="7"/>
      <c r="J493" s="12"/>
      <c r="K493" s="13"/>
      <c r="L493" s="14"/>
      <c r="M493" s="15"/>
      <c r="N493" s="15"/>
      <c r="O493" s="16"/>
      <c r="Q493" s="16"/>
    </row>
    <row r="494" spans="1:17" x14ac:dyDescent="0.3">
      <c r="A494" s="5"/>
      <c r="B494" s="6"/>
      <c r="C494" s="7"/>
      <c r="D494" s="8"/>
      <c r="E494" s="8"/>
      <c r="F494" s="10"/>
      <c r="G494" s="10"/>
      <c r="H494" s="10"/>
      <c r="I494" s="7"/>
      <c r="J494" s="12"/>
      <c r="K494" s="13"/>
      <c r="L494" s="14"/>
      <c r="M494" s="15"/>
      <c r="N494" s="15"/>
      <c r="O494" s="16"/>
      <c r="Q494" s="16"/>
    </row>
    <row r="495" spans="1:17" x14ac:dyDescent="0.3">
      <c r="A495" s="5"/>
      <c r="B495" s="6"/>
      <c r="C495" s="7"/>
      <c r="D495" s="8"/>
      <c r="E495" s="8"/>
      <c r="F495" s="10"/>
      <c r="G495" s="10"/>
      <c r="H495" s="10"/>
      <c r="I495" s="7"/>
      <c r="J495" s="12"/>
      <c r="K495" s="13"/>
      <c r="L495" s="14"/>
      <c r="M495" s="15"/>
      <c r="N495" s="15"/>
      <c r="O495" s="16"/>
      <c r="Q495" s="16"/>
    </row>
    <row r="496" spans="1:17" x14ac:dyDescent="0.3">
      <c r="A496" s="5"/>
      <c r="B496" s="6"/>
      <c r="C496" s="7"/>
      <c r="D496" s="8"/>
      <c r="E496" s="8"/>
      <c r="F496" s="10"/>
      <c r="G496" s="10"/>
      <c r="H496" s="10"/>
      <c r="I496" s="7"/>
      <c r="J496" s="12"/>
      <c r="K496" s="13"/>
      <c r="L496" s="14"/>
      <c r="M496" s="15"/>
      <c r="N496" s="15"/>
      <c r="O496" s="16"/>
      <c r="Q496" s="16"/>
    </row>
    <row r="497" spans="1:17" x14ac:dyDescent="0.3">
      <c r="A497" s="5"/>
      <c r="B497" s="6"/>
      <c r="C497" s="7"/>
      <c r="D497" s="8"/>
      <c r="E497" s="8"/>
      <c r="F497" s="10"/>
      <c r="G497" s="10"/>
      <c r="H497" s="10"/>
      <c r="I497" s="7"/>
      <c r="J497" s="12"/>
      <c r="K497" s="13"/>
      <c r="L497" s="14"/>
      <c r="M497" s="15"/>
      <c r="N497" s="15"/>
      <c r="O497" s="16"/>
      <c r="Q497" s="16"/>
    </row>
    <row r="498" spans="1:17" x14ac:dyDescent="0.3">
      <c r="A498" s="5"/>
      <c r="B498" s="6"/>
      <c r="C498" s="7"/>
      <c r="D498" s="8"/>
      <c r="E498" s="8"/>
      <c r="F498" s="10"/>
      <c r="G498" s="10"/>
      <c r="H498" s="10"/>
      <c r="I498" s="7"/>
      <c r="J498" s="12"/>
      <c r="K498" s="13"/>
      <c r="L498" s="14"/>
      <c r="M498" s="15"/>
      <c r="N498" s="15"/>
      <c r="O498" s="16"/>
      <c r="Q498" s="16"/>
    </row>
    <row r="499" spans="1:17" x14ac:dyDescent="0.3">
      <c r="A499" s="5"/>
      <c r="B499" s="6"/>
      <c r="C499" s="7"/>
      <c r="D499" s="8"/>
      <c r="E499" s="8"/>
      <c r="F499" s="10"/>
      <c r="G499" s="10"/>
      <c r="H499" s="10"/>
      <c r="I499" s="7"/>
      <c r="J499" s="12"/>
      <c r="K499" s="13"/>
      <c r="L499" s="14"/>
      <c r="M499" s="15"/>
      <c r="N499" s="15"/>
      <c r="O499" s="16"/>
      <c r="Q499" s="16"/>
    </row>
    <row r="500" spans="1:17" x14ac:dyDescent="0.3">
      <c r="A500" s="5"/>
      <c r="B500" s="6"/>
      <c r="C500" s="7"/>
      <c r="D500" s="8"/>
      <c r="E500" s="8"/>
      <c r="F500" s="10"/>
      <c r="G500" s="10"/>
      <c r="H500" s="10"/>
      <c r="I500" s="7"/>
      <c r="J500" s="12"/>
      <c r="K500" s="13"/>
      <c r="L500" s="14"/>
      <c r="M500" s="15"/>
      <c r="N500" s="15"/>
      <c r="O500" s="16"/>
      <c r="Q500" s="16"/>
    </row>
    <row r="501" spans="1:17" x14ac:dyDescent="0.3">
      <c r="A501" s="5"/>
      <c r="B501" s="6"/>
      <c r="C501" s="7"/>
      <c r="D501" s="8"/>
      <c r="E501" s="8"/>
      <c r="F501" s="10"/>
      <c r="G501" s="10"/>
      <c r="H501" s="10"/>
      <c r="I501" s="7"/>
      <c r="J501" s="12"/>
      <c r="K501" s="13"/>
      <c r="L501" s="14"/>
      <c r="M501" s="15"/>
      <c r="N501" s="15"/>
      <c r="O501" s="16"/>
      <c r="Q501" s="16"/>
    </row>
    <row r="502" spans="1:17" x14ac:dyDescent="0.3">
      <c r="A502" s="5"/>
      <c r="B502" s="6"/>
      <c r="C502" s="7"/>
      <c r="D502" s="8"/>
      <c r="E502" s="8"/>
      <c r="F502" s="10"/>
      <c r="G502" s="10"/>
      <c r="H502" s="10"/>
      <c r="I502" s="7"/>
      <c r="J502" s="12"/>
      <c r="K502" s="13"/>
      <c r="L502" s="14"/>
      <c r="M502" s="15"/>
      <c r="N502" s="15"/>
      <c r="O502" s="16"/>
      <c r="Q502" s="16"/>
    </row>
    <row r="503" spans="1:17" x14ac:dyDescent="0.3">
      <c r="A503" s="5"/>
      <c r="B503" s="6"/>
      <c r="C503" s="7"/>
      <c r="D503" s="8"/>
      <c r="E503" s="8"/>
      <c r="F503" s="10"/>
      <c r="G503" s="10"/>
      <c r="H503" s="10"/>
      <c r="I503" s="7"/>
      <c r="J503" s="12"/>
      <c r="K503" s="13"/>
      <c r="L503" s="14"/>
      <c r="M503" s="15"/>
      <c r="N503" s="15"/>
      <c r="O503" s="16"/>
      <c r="Q503" s="16"/>
    </row>
    <row r="504" spans="1:17" x14ac:dyDescent="0.3">
      <c r="A504" s="5"/>
      <c r="B504" s="6"/>
      <c r="C504" s="7"/>
      <c r="D504" s="8"/>
      <c r="E504" s="8"/>
      <c r="F504" s="10"/>
      <c r="G504" s="10"/>
      <c r="H504" s="10"/>
      <c r="I504" s="7"/>
      <c r="J504" s="12"/>
      <c r="K504" s="13"/>
      <c r="L504" s="14"/>
      <c r="M504" s="15"/>
      <c r="N504" s="15"/>
      <c r="O504" s="16"/>
      <c r="Q504" s="16"/>
    </row>
    <row r="505" spans="1:17" x14ac:dyDescent="0.3">
      <c r="A505" s="5"/>
      <c r="B505" s="6"/>
      <c r="C505" s="7"/>
      <c r="D505" s="8"/>
      <c r="E505" s="8"/>
      <c r="F505" s="10"/>
      <c r="G505" s="10"/>
      <c r="H505" s="10"/>
      <c r="I505" s="7"/>
      <c r="J505" s="12"/>
      <c r="K505" s="13"/>
      <c r="L505" s="14"/>
      <c r="M505" s="15"/>
      <c r="N505" s="15"/>
      <c r="O505" s="16"/>
      <c r="Q505" s="16"/>
    </row>
    <row r="506" spans="1:17" x14ac:dyDescent="0.3">
      <c r="A506" s="5"/>
      <c r="B506" s="6"/>
      <c r="C506" s="7"/>
      <c r="D506" s="8"/>
      <c r="E506" s="8"/>
      <c r="F506" s="10"/>
      <c r="G506" s="10"/>
      <c r="H506" s="10"/>
      <c r="I506" s="7"/>
      <c r="J506" s="12"/>
      <c r="K506" s="13"/>
      <c r="L506" s="14"/>
      <c r="M506" s="15"/>
      <c r="N506" s="15"/>
      <c r="O506" s="16"/>
      <c r="Q506" s="16"/>
    </row>
    <row r="507" spans="1:17" x14ac:dyDescent="0.3">
      <c r="A507" s="5"/>
      <c r="B507" s="6"/>
      <c r="C507" s="7"/>
      <c r="D507" s="8"/>
      <c r="E507" s="8"/>
      <c r="F507" s="10"/>
      <c r="G507" s="10"/>
      <c r="H507" s="10"/>
      <c r="I507" s="7"/>
      <c r="J507" s="12"/>
      <c r="K507" s="13"/>
      <c r="L507" s="14"/>
      <c r="M507" s="15"/>
      <c r="N507" s="15"/>
      <c r="O507" s="16"/>
      <c r="Q507" s="16"/>
    </row>
    <row r="508" spans="1:17" x14ac:dyDescent="0.3">
      <c r="A508" s="5"/>
      <c r="B508" s="6"/>
      <c r="C508" s="7"/>
      <c r="D508" s="8"/>
      <c r="E508" s="8"/>
      <c r="F508" s="10"/>
      <c r="G508" s="10"/>
      <c r="H508" s="10"/>
      <c r="I508" s="7"/>
      <c r="J508" s="12"/>
      <c r="K508" s="13"/>
      <c r="L508" s="14"/>
      <c r="M508" s="15"/>
      <c r="N508" s="15"/>
      <c r="O508" s="16"/>
      <c r="Q508" s="16"/>
    </row>
    <row r="509" spans="1:17" x14ac:dyDescent="0.3">
      <c r="A509" s="5"/>
      <c r="B509" s="6"/>
      <c r="C509" s="7"/>
      <c r="D509" s="8"/>
      <c r="E509" s="8"/>
      <c r="F509" s="10"/>
      <c r="G509" s="10"/>
      <c r="H509" s="10"/>
      <c r="I509" s="7"/>
      <c r="J509" s="12"/>
      <c r="K509" s="13"/>
      <c r="L509" s="14"/>
      <c r="M509" s="15"/>
      <c r="N509" s="15"/>
      <c r="O509" s="16"/>
      <c r="Q509" s="16"/>
    </row>
    <row r="510" spans="1:17" x14ac:dyDescent="0.3">
      <c r="A510" s="5"/>
      <c r="B510" s="6"/>
      <c r="C510" s="7"/>
      <c r="D510" s="8"/>
      <c r="E510" s="8"/>
      <c r="F510" s="10"/>
      <c r="G510" s="10"/>
      <c r="H510" s="10"/>
      <c r="I510" s="7"/>
      <c r="J510" s="12"/>
      <c r="K510" s="13"/>
      <c r="L510" s="14"/>
      <c r="M510" s="15"/>
      <c r="N510" s="15"/>
      <c r="O510" s="16"/>
      <c r="Q510" s="16"/>
    </row>
    <row r="511" spans="1:17" x14ac:dyDescent="0.3">
      <c r="A511" s="5"/>
      <c r="B511" s="6"/>
      <c r="C511" s="7"/>
      <c r="D511" s="8"/>
      <c r="E511" s="8"/>
      <c r="F511" s="10"/>
      <c r="G511" s="10"/>
      <c r="H511" s="10"/>
      <c r="I511" s="7"/>
      <c r="J511" s="12"/>
      <c r="K511" s="13"/>
      <c r="L511" s="14"/>
      <c r="M511" s="15"/>
      <c r="N511" s="15"/>
      <c r="O511" s="16"/>
      <c r="Q511" s="16"/>
    </row>
    <row r="512" spans="1:17" x14ac:dyDescent="0.3">
      <c r="A512" s="5"/>
      <c r="B512" s="6"/>
      <c r="C512" s="7"/>
      <c r="D512" s="8"/>
      <c r="E512" s="8"/>
      <c r="F512" s="10"/>
      <c r="G512" s="10"/>
      <c r="H512" s="10"/>
      <c r="I512" s="7"/>
      <c r="J512" s="12"/>
      <c r="K512" s="13"/>
      <c r="L512" s="14"/>
      <c r="M512" s="15"/>
      <c r="N512" s="15"/>
      <c r="O512" s="16"/>
      <c r="Q512" s="16"/>
    </row>
    <row r="513" spans="1:17" x14ac:dyDescent="0.3">
      <c r="A513" s="5"/>
      <c r="B513" s="6"/>
      <c r="C513" s="7"/>
      <c r="D513" s="8"/>
      <c r="E513" s="8"/>
      <c r="F513" s="10"/>
      <c r="G513" s="10"/>
      <c r="H513" s="10"/>
      <c r="I513" s="7"/>
      <c r="J513" s="12"/>
      <c r="K513" s="13"/>
      <c r="L513" s="14"/>
      <c r="M513" s="15"/>
      <c r="N513" s="15"/>
      <c r="O513" s="16"/>
      <c r="Q513" s="16"/>
    </row>
    <row r="514" spans="1:17" x14ac:dyDescent="0.3">
      <c r="A514" s="5"/>
      <c r="B514" s="6"/>
      <c r="C514" s="7"/>
      <c r="D514" s="8"/>
      <c r="E514" s="8"/>
      <c r="F514" s="10"/>
      <c r="G514" s="10"/>
      <c r="H514" s="10"/>
      <c r="I514" s="7"/>
      <c r="J514" s="12"/>
      <c r="K514" s="13"/>
      <c r="L514" s="14"/>
      <c r="M514" s="15"/>
      <c r="N514" s="15"/>
      <c r="O514" s="16"/>
      <c r="Q514" s="16"/>
    </row>
    <row r="515" spans="1:17" x14ac:dyDescent="0.3">
      <c r="A515" s="5"/>
      <c r="B515" s="6"/>
      <c r="C515" s="7"/>
      <c r="D515" s="8"/>
      <c r="E515" s="8"/>
      <c r="F515" s="10"/>
      <c r="G515" s="10"/>
      <c r="H515" s="10"/>
      <c r="I515" s="7"/>
      <c r="J515" s="12"/>
      <c r="K515" s="13"/>
      <c r="L515" s="14"/>
      <c r="M515" s="15"/>
      <c r="N515" s="15"/>
      <c r="O515" s="16"/>
      <c r="Q515" s="16"/>
    </row>
    <row r="516" spans="1:17" x14ac:dyDescent="0.3">
      <c r="A516" s="5"/>
      <c r="B516" s="6"/>
      <c r="C516" s="7"/>
      <c r="D516" s="37"/>
      <c r="E516" s="9"/>
      <c r="F516" s="38"/>
      <c r="G516" s="38"/>
      <c r="H516" s="38"/>
      <c r="I516" s="7"/>
      <c r="J516" s="12"/>
      <c r="K516" s="13"/>
      <c r="L516" s="14"/>
      <c r="M516" s="15"/>
      <c r="N516" s="15"/>
      <c r="O516" s="16"/>
      <c r="Q516" s="16"/>
    </row>
    <row r="517" spans="1:17" x14ac:dyDescent="0.3">
      <c r="A517" s="5"/>
      <c r="B517" s="6"/>
      <c r="C517" s="7"/>
      <c r="D517" s="37"/>
      <c r="E517" s="9"/>
      <c r="F517" s="38"/>
      <c r="G517" s="38"/>
      <c r="H517" s="38"/>
      <c r="I517" s="7"/>
      <c r="J517" s="12"/>
      <c r="K517" s="13"/>
      <c r="L517" s="14"/>
      <c r="M517" s="15"/>
      <c r="N517" s="15"/>
      <c r="O517" s="16"/>
      <c r="Q517" s="16"/>
    </row>
    <row r="518" spans="1:17" x14ac:dyDescent="0.3">
      <c r="A518" s="5"/>
      <c r="B518" s="6"/>
      <c r="C518" s="7"/>
      <c r="D518" s="37"/>
      <c r="E518" s="9"/>
      <c r="F518" s="38"/>
      <c r="G518" s="38"/>
      <c r="H518" s="38"/>
      <c r="I518" s="7"/>
      <c r="J518" s="12"/>
      <c r="K518" s="13"/>
      <c r="L518" s="14"/>
      <c r="M518" s="15"/>
      <c r="N518" s="15"/>
      <c r="O518" s="16"/>
      <c r="Q518" s="16"/>
    </row>
    <row r="519" spans="1:17" x14ac:dyDescent="0.3">
      <c r="A519" s="5"/>
      <c r="B519" s="6"/>
      <c r="C519" s="7"/>
      <c r="D519" s="37"/>
      <c r="E519" s="9"/>
      <c r="F519" s="38"/>
      <c r="G519" s="38"/>
      <c r="H519" s="38"/>
      <c r="I519" s="7"/>
      <c r="J519" s="12"/>
      <c r="K519" s="13"/>
      <c r="L519" s="14"/>
      <c r="M519" s="15"/>
      <c r="N519" s="15"/>
      <c r="O519" s="16"/>
      <c r="Q519" s="16"/>
    </row>
    <row r="520" spans="1:17" x14ac:dyDescent="0.3">
      <c r="A520" s="5"/>
      <c r="B520" s="6"/>
      <c r="C520" s="7"/>
      <c r="D520" s="37"/>
      <c r="E520" s="9"/>
      <c r="F520" s="38"/>
      <c r="G520" s="38"/>
      <c r="H520" s="38"/>
      <c r="I520" s="7"/>
      <c r="J520" s="12"/>
      <c r="K520" s="13"/>
      <c r="L520" s="14"/>
      <c r="M520" s="15"/>
      <c r="N520" s="15"/>
      <c r="O520" s="16"/>
      <c r="Q520" s="16"/>
    </row>
    <row r="521" spans="1:17" x14ac:dyDescent="0.3">
      <c r="A521" s="5"/>
      <c r="B521" s="6"/>
      <c r="C521" s="7"/>
      <c r="D521" s="37"/>
      <c r="E521" s="9"/>
      <c r="F521" s="38"/>
      <c r="G521" s="38"/>
      <c r="H521" s="38"/>
      <c r="I521" s="7"/>
      <c r="J521" s="12"/>
      <c r="K521" s="13"/>
      <c r="L521" s="14"/>
      <c r="M521" s="15"/>
      <c r="N521" s="15"/>
      <c r="O521" s="16"/>
      <c r="Q521" s="16"/>
    </row>
    <row r="522" spans="1:17" x14ac:dyDescent="0.3">
      <c r="A522" s="5"/>
      <c r="B522" s="6"/>
      <c r="C522" s="7"/>
      <c r="D522" s="37"/>
      <c r="E522" s="9"/>
      <c r="F522" s="38"/>
      <c r="G522" s="38"/>
      <c r="H522" s="38"/>
      <c r="I522" s="7"/>
      <c r="J522" s="12"/>
      <c r="K522" s="13"/>
      <c r="L522" s="14"/>
      <c r="M522" s="15"/>
      <c r="N522" s="15"/>
      <c r="O522" s="16"/>
      <c r="Q522" s="16"/>
    </row>
    <row r="523" spans="1:17" x14ac:dyDescent="0.3">
      <c r="A523" s="5"/>
      <c r="B523" s="6"/>
      <c r="C523" s="7"/>
      <c r="D523" s="37"/>
      <c r="E523" s="9"/>
      <c r="F523" s="38"/>
      <c r="G523" s="38"/>
      <c r="H523" s="38"/>
      <c r="I523" s="7"/>
      <c r="J523" s="12"/>
      <c r="K523" s="13"/>
      <c r="L523" s="14"/>
      <c r="M523" s="15"/>
      <c r="N523" s="15"/>
      <c r="O523" s="16"/>
      <c r="Q523" s="16"/>
    </row>
    <row r="524" spans="1:17" x14ac:dyDescent="0.3">
      <c r="A524" s="5"/>
      <c r="B524" s="6"/>
      <c r="C524" s="7"/>
      <c r="D524" s="8"/>
      <c r="E524" s="8"/>
      <c r="F524" s="10"/>
      <c r="G524" s="10"/>
      <c r="H524" s="10"/>
      <c r="I524" s="7"/>
      <c r="J524" s="12"/>
      <c r="K524" s="13"/>
      <c r="L524" s="14"/>
      <c r="M524" s="15"/>
      <c r="N524" s="15"/>
      <c r="O524" s="16"/>
      <c r="Q524" s="16"/>
    </row>
    <row r="525" spans="1:17" x14ac:dyDescent="0.3">
      <c r="A525" s="5"/>
      <c r="B525" s="6"/>
      <c r="C525" s="7"/>
      <c r="D525" s="37"/>
      <c r="E525" s="9"/>
      <c r="F525" s="38"/>
      <c r="G525" s="38"/>
      <c r="H525" s="38"/>
      <c r="I525" s="7"/>
      <c r="J525" s="12"/>
      <c r="K525" s="13"/>
      <c r="L525" s="14"/>
      <c r="M525" s="15"/>
      <c r="N525" s="15"/>
      <c r="O525" s="16"/>
      <c r="Q525" s="16"/>
    </row>
    <row r="526" spans="1:17" x14ac:dyDescent="0.3">
      <c r="A526" s="5"/>
      <c r="B526" s="6"/>
      <c r="C526" s="7"/>
      <c r="D526" s="8"/>
      <c r="E526" s="9"/>
      <c r="F526" s="10"/>
      <c r="G526" s="10"/>
      <c r="H526" s="10"/>
      <c r="I526" s="7"/>
      <c r="J526" s="12"/>
      <c r="K526" s="13"/>
      <c r="L526" s="14"/>
      <c r="M526" s="15"/>
      <c r="N526" s="15"/>
      <c r="O526" s="16"/>
      <c r="Q526" s="16"/>
    </row>
    <row r="527" spans="1:17" x14ac:dyDescent="0.3">
      <c r="A527" s="5"/>
      <c r="B527" s="6"/>
      <c r="C527" s="7"/>
      <c r="D527" s="8"/>
      <c r="E527" s="8"/>
      <c r="F527" s="10"/>
      <c r="G527" s="10"/>
      <c r="H527" s="10"/>
      <c r="I527" s="7"/>
      <c r="J527" s="12"/>
      <c r="K527" s="13"/>
      <c r="L527" s="14"/>
      <c r="M527" s="15"/>
      <c r="N527" s="15"/>
      <c r="O527" s="16"/>
      <c r="Q527" s="16"/>
    </row>
    <row r="528" spans="1:17" x14ac:dyDescent="0.3">
      <c r="A528" s="5"/>
      <c r="B528" s="6"/>
      <c r="C528" s="7"/>
      <c r="D528" s="8"/>
      <c r="E528" s="8"/>
      <c r="F528" s="10"/>
      <c r="G528" s="10"/>
      <c r="H528" s="10"/>
      <c r="I528" s="7"/>
      <c r="J528" s="12"/>
      <c r="K528" s="13"/>
      <c r="L528" s="14"/>
      <c r="M528" s="15"/>
      <c r="N528" s="15"/>
      <c r="O528" s="16"/>
      <c r="Q528" s="16"/>
    </row>
    <row r="529" spans="1:17" x14ac:dyDescent="0.3">
      <c r="A529" s="5"/>
      <c r="B529" s="6"/>
      <c r="C529" s="7"/>
      <c r="D529" s="8"/>
      <c r="E529" s="9"/>
      <c r="F529" s="38"/>
      <c r="G529" s="38"/>
      <c r="H529" s="38"/>
      <c r="I529" s="7"/>
      <c r="J529" s="12"/>
      <c r="K529" s="13"/>
      <c r="L529" s="14"/>
      <c r="M529" s="15"/>
      <c r="N529" s="15"/>
      <c r="O529" s="16"/>
      <c r="Q529" s="16"/>
    </row>
    <row r="530" spans="1:17" x14ac:dyDescent="0.3">
      <c r="A530" s="5"/>
      <c r="B530" s="6"/>
      <c r="C530" s="7"/>
      <c r="D530" s="37"/>
      <c r="E530" s="9"/>
      <c r="F530" s="38"/>
      <c r="G530" s="38"/>
      <c r="H530" s="38"/>
      <c r="I530" s="7"/>
      <c r="J530" s="12"/>
      <c r="K530" s="13"/>
      <c r="L530" s="14"/>
      <c r="M530" s="15"/>
      <c r="N530" s="15"/>
      <c r="O530" s="16"/>
      <c r="Q530" s="16"/>
    </row>
    <row r="531" spans="1:17" x14ac:dyDescent="0.3">
      <c r="A531" s="5"/>
      <c r="B531" s="6"/>
      <c r="C531" s="7"/>
      <c r="D531" s="37"/>
      <c r="E531" s="9"/>
      <c r="F531" s="38"/>
      <c r="G531" s="38"/>
      <c r="H531" s="38"/>
      <c r="I531" s="7"/>
      <c r="J531" s="12"/>
      <c r="K531" s="13"/>
      <c r="L531" s="14"/>
      <c r="M531" s="15"/>
      <c r="N531" s="15"/>
      <c r="O531" s="16"/>
      <c r="Q531" s="16"/>
    </row>
    <row r="532" spans="1:17" x14ac:dyDescent="0.3">
      <c r="A532" s="5"/>
      <c r="B532" s="6"/>
      <c r="C532" s="7"/>
      <c r="D532" s="37"/>
      <c r="E532" s="9"/>
      <c r="F532" s="38"/>
      <c r="G532" s="38"/>
      <c r="H532" s="38"/>
      <c r="I532" s="7"/>
      <c r="J532" s="12"/>
      <c r="K532" s="13"/>
      <c r="L532" s="14"/>
      <c r="M532" s="15"/>
      <c r="N532" s="15"/>
      <c r="O532" s="16"/>
      <c r="Q532" s="16"/>
    </row>
    <row r="533" spans="1:17" x14ac:dyDescent="0.3">
      <c r="A533" s="5"/>
      <c r="B533" s="6"/>
      <c r="C533" s="7"/>
      <c r="D533" s="37"/>
      <c r="E533" s="9"/>
      <c r="F533" s="38"/>
      <c r="G533" s="38"/>
      <c r="H533" s="38"/>
      <c r="I533" s="7"/>
      <c r="J533" s="12"/>
      <c r="K533" s="13"/>
      <c r="L533" s="14"/>
      <c r="M533" s="15"/>
      <c r="N533" s="15"/>
      <c r="O533" s="16"/>
      <c r="Q533" s="16"/>
    </row>
    <row r="534" spans="1:17" x14ac:dyDescent="0.3">
      <c r="A534" s="5"/>
      <c r="B534" s="6"/>
      <c r="C534" s="7"/>
      <c r="D534" s="37"/>
      <c r="E534" s="9"/>
      <c r="F534" s="38"/>
      <c r="G534" s="38"/>
      <c r="H534" s="38"/>
      <c r="I534" s="7"/>
      <c r="J534" s="12"/>
      <c r="K534" s="13"/>
      <c r="L534" s="14"/>
      <c r="M534" s="15"/>
      <c r="N534" s="15"/>
      <c r="O534" s="16"/>
      <c r="Q534" s="16"/>
    </row>
    <row r="535" spans="1:17" x14ac:dyDescent="0.3">
      <c r="A535" s="5"/>
      <c r="B535" s="6"/>
      <c r="C535" s="7"/>
      <c r="D535" s="37"/>
      <c r="E535" s="9"/>
      <c r="F535" s="38"/>
      <c r="G535" s="38"/>
      <c r="H535" s="38"/>
      <c r="I535" s="7"/>
      <c r="J535" s="12"/>
      <c r="K535" s="13"/>
      <c r="L535" s="14"/>
      <c r="M535" s="15"/>
      <c r="N535" s="15"/>
      <c r="O535" s="16"/>
      <c r="Q535" s="16"/>
    </row>
    <row r="536" spans="1:17" x14ac:dyDescent="0.3">
      <c r="A536" s="5"/>
      <c r="B536" s="6"/>
      <c r="C536" s="7"/>
      <c r="D536" s="37"/>
      <c r="E536" s="9"/>
      <c r="F536" s="38"/>
      <c r="G536" s="38"/>
      <c r="H536" s="38"/>
      <c r="I536" s="7"/>
      <c r="J536" s="12"/>
      <c r="K536" s="13"/>
      <c r="L536" s="14"/>
      <c r="M536" s="15"/>
      <c r="N536" s="15"/>
      <c r="O536" s="16"/>
      <c r="Q536" s="16"/>
    </row>
    <row r="537" spans="1:17" x14ac:dyDescent="0.3">
      <c r="A537" s="5"/>
      <c r="B537" s="6"/>
      <c r="C537" s="7"/>
      <c r="D537" s="37"/>
      <c r="E537" s="9"/>
      <c r="F537" s="38"/>
      <c r="G537" s="38"/>
      <c r="H537" s="38"/>
      <c r="I537" s="7"/>
      <c r="J537" s="12"/>
      <c r="K537" s="13"/>
      <c r="L537" s="14"/>
      <c r="M537" s="15"/>
      <c r="N537" s="15"/>
      <c r="O537" s="16"/>
      <c r="Q537" s="16"/>
    </row>
    <row r="538" spans="1:17" x14ac:dyDescent="0.3">
      <c r="A538" s="5"/>
      <c r="B538" s="6"/>
      <c r="C538" s="7"/>
      <c r="D538" s="37"/>
      <c r="E538" s="9"/>
      <c r="F538" s="38"/>
      <c r="G538" s="38"/>
      <c r="H538" s="38"/>
      <c r="I538" s="7"/>
      <c r="J538" s="12"/>
      <c r="K538" s="13"/>
      <c r="L538" s="14"/>
      <c r="M538" s="15"/>
      <c r="N538" s="15"/>
      <c r="O538" s="16"/>
      <c r="Q538" s="16"/>
    </row>
    <row r="539" spans="1:17" x14ac:dyDescent="0.3">
      <c r="A539" s="5"/>
      <c r="B539" s="6"/>
      <c r="C539" s="7"/>
      <c r="D539" s="37"/>
      <c r="E539" s="9"/>
      <c r="F539" s="38"/>
      <c r="G539" s="38"/>
      <c r="H539" s="38"/>
      <c r="I539" s="7"/>
      <c r="J539" s="12"/>
      <c r="K539" s="13"/>
      <c r="L539" s="14"/>
      <c r="M539" s="15"/>
      <c r="N539" s="15"/>
      <c r="O539" s="16"/>
      <c r="Q539" s="16"/>
    </row>
    <row r="540" spans="1:17" x14ac:dyDescent="0.3">
      <c r="A540" s="5"/>
      <c r="B540" s="6"/>
      <c r="C540" s="7"/>
      <c r="D540" s="37"/>
      <c r="E540" s="9"/>
      <c r="F540" s="38"/>
      <c r="G540" s="38"/>
      <c r="H540" s="38"/>
      <c r="I540" s="7"/>
      <c r="J540" s="12"/>
      <c r="K540" s="13"/>
      <c r="L540" s="14"/>
      <c r="M540" s="15"/>
      <c r="N540" s="15"/>
      <c r="O540" s="16"/>
      <c r="Q540" s="16"/>
    </row>
    <row r="541" spans="1:17" x14ac:dyDescent="0.3">
      <c r="A541" s="5"/>
      <c r="B541" s="6"/>
      <c r="C541" s="7"/>
      <c r="D541" s="37"/>
      <c r="E541" s="9"/>
      <c r="F541" s="38"/>
      <c r="G541" s="38"/>
      <c r="H541" s="38"/>
      <c r="I541" s="7"/>
      <c r="J541" s="12"/>
      <c r="K541" s="13"/>
      <c r="L541" s="14"/>
      <c r="M541" s="15"/>
      <c r="N541" s="15"/>
      <c r="O541" s="16"/>
      <c r="Q541" s="16"/>
    </row>
    <row r="542" spans="1:17" x14ac:dyDescent="0.3">
      <c r="A542" s="5"/>
      <c r="B542" s="6"/>
      <c r="C542" s="7"/>
      <c r="D542" s="37"/>
      <c r="E542" s="9"/>
      <c r="F542" s="38"/>
      <c r="G542" s="38"/>
      <c r="H542" s="38"/>
      <c r="I542" s="7"/>
      <c r="J542" s="12"/>
      <c r="K542" s="13"/>
      <c r="L542" s="14"/>
      <c r="M542" s="15"/>
      <c r="N542" s="15"/>
      <c r="O542" s="16"/>
      <c r="Q542" s="16"/>
    </row>
    <row r="543" spans="1:17" x14ac:dyDescent="0.3">
      <c r="A543" s="5"/>
      <c r="B543" s="6"/>
      <c r="C543" s="7"/>
      <c r="D543" s="37"/>
      <c r="E543" s="9"/>
      <c r="F543" s="38"/>
      <c r="G543" s="38"/>
      <c r="H543" s="38"/>
      <c r="I543" s="7"/>
      <c r="J543" s="12"/>
      <c r="K543" s="13"/>
      <c r="L543" s="14"/>
      <c r="M543" s="15"/>
      <c r="N543" s="15"/>
      <c r="O543" s="16"/>
      <c r="Q543" s="16"/>
    </row>
    <row r="544" spans="1:17" x14ac:dyDescent="0.3">
      <c r="A544" s="5"/>
      <c r="B544" s="6"/>
      <c r="C544" s="7"/>
      <c r="D544" s="37"/>
      <c r="E544" s="9"/>
      <c r="F544" s="38"/>
      <c r="G544" s="38"/>
      <c r="H544" s="38"/>
      <c r="I544" s="7"/>
      <c r="J544" s="12"/>
      <c r="K544" s="13"/>
      <c r="L544" s="14"/>
      <c r="M544" s="15"/>
      <c r="N544" s="15"/>
      <c r="O544" s="16"/>
      <c r="Q544" s="16"/>
    </row>
    <row r="545" spans="1:17" x14ac:dyDescent="0.3">
      <c r="A545" s="5"/>
      <c r="B545" s="6"/>
      <c r="C545" s="7"/>
      <c r="D545" s="37"/>
      <c r="E545" s="9"/>
      <c r="F545" s="38"/>
      <c r="G545" s="38"/>
      <c r="H545" s="38"/>
      <c r="I545" s="7"/>
      <c r="J545" s="12"/>
      <c r="K545" s="13"/>
      <c r="L545" s="14"/>
      <c r="M545" s="15"/>
      <c r="N545" s="15"/>
      <c r="O545" s="16"/>
      <c r="Q545" s="16"/>
    </row>
    <row r="546" spans="1:17" x14ac:dyDescent="0.3">
      <c r="A546" s="5"/>
      <c r="B546" s="6"/>
      <c r="C546" s="7"/>
      <c r="D546" s="37"/>
      <c r="E546" s="9"/>
      <c r="F546" s="38"/>
      <c r="G546" s="38"/>
      <c r="H546" s="38"/>
      <c r="I546" s="7"/>
      <c r="J546" s="12"/>
      <c r="K546" s="13"/>
      <c r="L546" s="14"/>
      <c r="M546" s="15"/>
      <c r="N546" s="15"/>
      <c r="O546" s="16"/>
      <c r="Q546" s="16"/>
    </row>
    <row r="547" spans="1:17" x14ac:dyDescent="0.3">
      <c r="A547" s="5"/>
      <c r="B547" s="6"/>
      <c r="C547" s="7"/>
      <c r="D547" s="37"/>
      <c r="E547" s="9"/>
      <c r="F547" s="38"/>
      <c r="G547" s="38"/>
      <c r="H547" s="38"/>
      <c r="I547" s="7"/>
      <c r="J547" s="12"/>
      <c r="K547" s="13"/>
      <c r="L547" s="14"/>
      <c r="M547" s="15"/>
      <c r="N547" s="15"/>
      <c r="O547" s="16"/>
      <c r="Q547" s="16"/>
    </row>
    <row r="548" spans="1:17" x14ac:dyDescent="0.3">
      <c r="A548" s="5"/>
      <c r="B548" s="6"/>
      <c r="C548" s="7"/>
      <c r="D548" s="37"/>
      <c r="E548" s="9"/>
      <c r="F548" s="38"/>
      <c r="G548" s="38"/>
      <c r="H548" s="38"/>
      <c r="I548" s="7"/>
      <c r="J548" s="12"/>
      <c r="K548" s="13"/>
      <c r="L548" s="14"/>
      <c r="M548" s="15"/>
      <c r="N548" s="15"/>
      <c r="O548" s="16"/>
      <c r="Q548" s="16"/>
    </row>
    <row r="549" spans="1:17" x14ac:dyDescent="0.3">
      <c r="A549" s="5"/>
      <c r="B549" s="6"/>
      <c r="C549" s="7"/>
      <c r="D549" s="37"/>
      <c r="E549" s="9"/>
      <c r="F549" s="38"/>
      <c r="G549" s="38"/>
      <c r="H549" s="38"/>
      <c r="I549" s="7"/>
      <c r="J549" s="12"/>
      <c r="K549" s="13"/>
      <c r="L549" s="14"/>
      <c r="M549" s="15"/>
      <c r="N549" s="15"/>
      <c r="O549" s="16"/>
      <c r="Q549" s="16"/>
    </row>
    <row r="550" spans="1:17" x14ac:dyDescent="0.3">
      <c r="A550" s="5"/>
      <c r="B550" s="6"/>
      <c r="C550" s="7"/>
      <c r="D550" s="37"/>
      <c r="E550" s="9"/>
      <c r="F550" s="38"/>
      <c r="G550" s="38"/>
      <c r="H550" s="38"/>
      <c r="I550" s="7"/>
      <c r="J550" s="12"/>
      <c r="K550" s="13"/>
      <c r="L550" s="14"/>
      <c r="M550" s="15"/>
      <c r="N550" s="15"/>
      <c r="O550" s="16"/>
      <c r="Q550" s="16"/>
    </row>
    <row r="551" spans="1:17" x14ac:dyDescent="0.3">
      <c r="A551" s="5"/>
      <c r="B551" s="6"/>
      <c r="C551" s="7"/>
      <c r="D551" s="37"/>
      <c r="E551" s="9"/>
      <c r="F551" s="38"/>
      <c r="G551" s="38"/>
      <c r="H551" s="38"/>
      <c r="I551" s="7"/>
      <c r="J551" s="12"/>
      <c r="K551" s="13"/>
      <c r="L551" s="14"/>
      <c r="M551" s="15"/>
      <c r="N551" s="15"/>
      <c r="O551" s="16"/>
      <c r="Q551" s="16"/>
    </row>
    <row r="552" spans="1:17" x14ac:dyDescent="0.3">
      <c r="A552" s="5"/>
      <c r="B552" s="6"/>
      <c r="C552" s="7"/>
      <c r="D552" s="37"/>
      <c r="E552" s="9"/>
      <c r="F552" s="38"/>
      <c r="G552" s="38"/>
      <c r="H552" s="38"/>
      <c r="I552" s="7"/>
      <c r="J552" s="12"/>
      <c r="K552" s="13"/>
      <c r="L552" s="14"/>
      <c r="M552" s="15"/>
      <c r="N552" s="15"/>
      <c r="O552" s="16"/>
      <c r="Q552" s="16"/>
    </row>
    <row r="553" spans="1:17" x14ac:dyDescent="0.3">
      <c r="A553" s="5"/>
      <c r="B553" s="6"/>
      <c r="C553" s="7"/>
      <c r="D553" s="37"/>
      <c r="E553" s="9"/>
      <c r="F553" s="38"/>
      <c r="G553" s="38"/>
      <c r="H553" s="38"/>
      <c r="I553" s="7"/>
      <c r="J553" s="12"/>
      <c r="K553" s="13"/>
      <c r="L553" s="14"/>
      <c r="M553" s="15"/>
      <c r="N553" s="15"/>
      <c r="O553" s="16"/>
      <c r="Q553" s="16"/>
    </row>
    <row r="554" spans="1:17" x14ac:dyDescent="0.3">
      <c r="A554" s="5"/>
      <c r="B554" s="6"/>
      <c r="C554" s="7"/>
      <c r="D554" s="37"/>
      <c r="E554" s="9"/>
      <c r="F554" s="38"/>
      <c r="G554" s="38"/>
      <c r="H554" s="38"/>
      <c r="I554" s="7"/>
      <c r="J554" s="12"/>
      <c r="K554" s="13"/>
      <c r="L554" s="14"/>
      <c r="M554" s="15"/>
      <c r="N554" s="15"/>
      <c r="O554" s="16"/>
      <c r="Q554" s="16"/>
    </row>
    <row r="555" spans="1:17" x14ac:dyDescent="0.3">
      <c r="A555" s="5"/>
      <c r="B555" s="6"/>
      <c r="C555" s="7"/>
      <c r="D555" s="37"/>
      <c r="E555" s="9"/>
      <c r="F555" s="38"/>
      <c r="G555" s="38"/>
      <c r="H555" s="38"/>
      <c r="I555" s="7"/>
      <c r="J555" s="12"/>
      <c r="K555" s="13"/>
      <c r="L555" s="14"/>
      <c r="M555" s="15"/>
      <c r="N555" s="15"/>
      <c r="O555" s="16"/>
      <c r="Q555" s="16"/>
    </row>
    <row r="556" spans="1:17" x14ac:dyDescent="0.3">
      <c r="A556" s="5"/>
      <c r="B556" s="6"/>
      <c r="C556" s="7"/>
      <c r="D556" s="8"/>
      <c r="E556" s="8"/>
      <c r="F556" s="10"/>
      <c r="G556" s="10"/>
      <c r="H556" s="10"/>
      <c r="I556" s="7"/>
      <c r="J556" s="12"/>
      <c r="K556" s="13"/>
      <c r="L556" s="14"/>
      <c r="M556" s="15"/>
      <c r="N556" s="15"/>
      <c r="O556" s="16"/>
      <c r="Q556" s="16"/>
    </row>
    <row r="557" spans="1:17" x14ac:dyDescent="0.3">
      <c r="A557" s="5"/>
      <c r="B557" s="6"/>
      <c r="C557" s="7"/>
      <c r="D557" s="8"/>
      <c r="E557" s="8"/>
      <c r="F557" s="10"/>
      <c r="G557" s="10"/>
      <c r="H557" s="10"/>
      <c r="I557" s="7"/>
      <c r="J557" s="12"/>
      <c r="K557" s="13"/>
      <c r="L557" s="14"/>
      <c r="M557" s="15"/>
      <c r="N557" s="15"/>
      <c r="O557" s="16"/>
      <c r="Q557" s="16"/>
    </row>
    <row r="558" spans="1:17" x14ac:dyDescent="0.3">
      <c r="A558" s="5"/>
      <c r="B558" s="6"/>
      <c r="C558" s="7"/>
      <c r="D558" s="8"/>
      <c r="E558" s="8"/>
      <c r="F558" s="10"/>
      <c r="G558" s="10"/>
      <c r="H558" s="10"/>
      <c r="I558" s="7"/>
      <c r="J558" s="12"/>
      <c r="K558" s="13"/>
      <c r="L558" s="14"/>
      <c r="M558" s="15"/>
      <c r="N558" s="15"/>
      <c r="O558" s="16"/>
      <c r="Q558" s="16"/>
    </row>
    <row r="559" spans="1:17" x14ac:dyDescent="0.3">
      <c r="A559" s="5"/>
      <c r="B559" s="6"/>
      <c r="C559" s="7"/>
      <c r="D559" s="8"/>
      <c r="E559" s="8"/>
      <c r="F559" s="10"/>
      <c r="G559" s="10"/>
      <c r="H559" s="10"/>
      <c r="I559" s="7"/>
      <c r="J559" s="12"/>
      <c r="K559" s="13"/>
      <c r="L559" s="14"/>
      <c r="M559" s="15"/>
      <c r="N559" s="15"/>
      <c r="O559" s="16"/>
      <c r="Q559" s="16"/>
    </row>
    <row r="560" spans="1:17" x14ac:dyDescent="0.3">
      <c r="A560" s="5"/>
      <c r="B560" s="6"/>
      <c r="C560" s="7"/>
      <c r="D560" s="8"/>
      <c r="E560" s="8"/>
      <c r="F560" s="10"/>
      <c r="G560" s="10"/>
      <c r="H560" s="10"/>
      <c r="I560" s="7"/>
      <c r="J560" s="12"/>
      <c r="K560" s="13"/>
      <c r="L560" s="14"/>
      <c r="M560" s="15"/>
      <c r="N560" s="15"/>
      <c r="O560" s="16"/>
      <c r="Q560" s="16"/>
    </row>
    <row r="561" spans="1:17" x14ac:dyDescent="0.3">
      <c r="A561" s="5"/>
      <c r="B561" s="6"/>
      <c r="C561" s="7"/>
      <c r="D561" s="8"/>
      <c r="E561" s="8"/>
      <c r="F561" s="10"/>
      <c r="G561" s="10"/>
      <c r="H561" s="10"/>
      <c r="I561" s="7"/>
      <c r="J561" s="12"/>
      <c r="K561" s="13"/>
      <c r="L561" s="14"/>
      <c r="M561" s="15"/>
      <c r="N561" s="15"/>
      <c r="O561" s="16"/>
      <c r="Q561" s="16"/>
    </row>
    <row r="562" spans="1:17" x14ac:dyDescent="0.3">
      <c r="A562" s="5"/>
      <c r="B562" s="6"/>
      <c r="C562" s="7"/>
      <c r="D562" s="8"/>
      <c r="E562" s="8"/>
      <c r="F562" s="10"/>
      <c r="G562" s="10"/>
      <c r="H562" s="10"/>
      <c r="I562" s="7"/>
      <c r="J562" s="12"/>
      <c r="K562" s="13"/>
      <c r="L562" s="14"/>
      <c r="M562" s="15"/>
      <c r="N562" s="15"/>
      <c r="O562" s="16"/>
      <c r="Q562" s="16"/>
    </row>
    <row r="563" spans="1:17" x14ac:dyDescent="0.3">
      <c r="A563" s="5"/>
      <c r="B563" s="6"/>
      <c r="C563" s="7"/>
      <c r="D563" s="8"/>
      <c r="E563" s="8"/>
      <c r="F563" s="10"/>
      <c r="G563" s="10"/>
      <c r="H563" s="10"/>
      <c r="I563" s="7"/>
      <c r="J563" s="12"/>
      <c r="K563" s="13"/>
      <c r="L563" s="14"/>
      <c r="M563" s="15"/>
      <c r="N563" s="15"/>
      <c r="O563" s="16"/>
      <c r="Q563" s="16"/>
    </row>
    <row r="564" spans="1:17" x14ac:dyDescent="0.3">
      <c r="A564" s="5"/>
      <c r="B564" s="6"/>
      <c r="C564" s="7"/>
      <c r="D564" s="8"/>
      <c r="E564" s="8"/>
      <c r="F564" s="10"/>
      <c r="G564" s="10"/>
      <c r="H564" s="10"/>
      <c r="I564" s="7"/>
      <c r="J564" s="12"/>
      <c r="K564" s="13"/>
      <c r="L564" s="14"/>
      <c r="M564" s="15"/>
      <c r="N564" s="15"/>
      <c r="O564" s="16"/>
      <c r="Q564" s="16"/>
    </row>
    <row r="565" spans="1:17" x14ac:dyDescent="0.3">
      <c r="A565" s="5"/>
      <c r="B565" s="6"/>
      <c r="C565" s="7"/>
      <c r="D565" s="8"/>
      <c r="E565" s="8"/>
      <c r="F565" s="10"/>
      <c r="G565" s="10"/>
      <c r="H565" s="10"/>
      <c r="I565" s="7"/>
      <c r="J565" s="12"/>
      <c r="K565" s="13"/>
      <c r="L565" s="14"/>
      <c r="M565" s="15"/>
      <c r="N565" s="15"/>
      <c r="O565" s="16"/>
      <c r="Q565" s="16"/>
    </row>
    <row r="566" spans="1:17" x14ac:dyDescent="0.3">
      <c r="A566" s="5"/>
      <c r="B566" s="6"/>
      <c r="C566" s="7"/>
      <c r="D566" s="8"/>
      <c r="E566" s="8"/>
      <c r="F566" s="10"/>
      <c r="G566" s="10"/>
      <c r="H566" s="10"/>
      <c r="I566" s="7"/>
      <c r="J566" s="12"/>
      <c r="K566" s="13"/>
      <c r="L566" s="14"/>
      <c r="M566" s="15"/>
      <c r="N566" s="15"/>
      <c r="O566" s="16"/>
      <c r="Q566" s="16"/>
    </row>
    <row r="567" spans="1:17" x14ac:dyDescent="0.3">
      <c r="A567" s="5"/>
      <c r="B567" s="6"/>
      <c r="C567" s="7"/>
      <c r="D567" s="8"/>
      <c r="E567" s="8"/>
      <c r="F567" s="10"/>
      <c r="G567" s="10"/>
      <c r="H567" s="10"/>
      <c r="I567" s="7"/>
      <c r="J567" s="12"/>
      <c r="K567" s="13"/>
      <c r="L567" s="14"/>
      <c r="M567" s="15"/>
      <c r="N567" s="15"/>
      <c r="O567" s="16"/>
      <c r="Q567" s="16"/>
    </row>
    <row r="568" spans="1:17" x14ac:dyDescent="0.3">
      <c r="A568" s="5"/>
      <c r="B568" s="6"/>
      <c r="C568" s="7"/>
      <c r="D568" s="8"/>
      <c r="E568" s="8"/>
      <c r="F568" s="10"/>
      <c r="G568" s="10"/>
      <c r="H568" s="10"/>
      <c r="I568" s="7"/>
      <c r="J568" s="12"/>
      <c r="K568" s="13"/>
      <c r="L568" s="14"/>
      <c r="M568" s="15"/>
      <c r="N568" s="15"/>
      <c r="O568" s="16"/>
      <c r="Q568" s="16"/>
    </row>
    <row r="569" spans="1:17" x14ac:dyDescent="0.3">
      <c r="A569" s="5"/>
      <c r="B569" s="6"/>
      <c r="C569" s="7"/>
      <c r="D569" s="8"/>
      <c r="E569" s="8"/>
      <c r="F569" s="10"/>
      <c r="G569" s="10"/>
      <c r="H569" s="10"/>
      <c r="I569" s="7"/>
      <c r="J569" s="12"/>
      <c r="K569" s="13"/>
      <c r="L569" s="14"/>
      <c r="M569" s="15"/>
      <c r="N569" s="15"/>
      <c r="O569" s="16"/>
      <c r="Q569" s="16"/>
    </row>
    <row r="570" spans="1:17" x14ac:dyDescent="0.3">
      <c r="A570" s="5"/>
      <c r="B570" s="6"/>
      <c r="C570" s="7"/>
      <c r="D570" s="8"/>
      <c r="E570" s="8"/>
      <c r="F570" s="10"/>
      <c r="G570" s="10"/>
      <c r="H570" s="10"/>
      <c r="I570" s="7"/>
      <c r="J570" s="12"/>
      <c r="K570" s="13"/>
      <c r="L570" s="14"/>
      <c r="M570" s="15"/>
      <c r="N570" s="15"/>
      <c r="O570" s="16"/>
      <c r="Q570" s="16"/>
    </row>
    <row r="571" spans="1:17" x14ac:dyDescent="0.3">
      <c r="A571" s="5"/>
      <c r="B571" s="6"/>
      <c r="C571" s="7"/>
      <c r="D571" s="8"/>
      <c r="E571" s="8"/>
      <c r="F571" s="10"/>
      <c r="G571" s="10"/>
      <c r="H571" s="10"/>
      <c r="I571" s="7"/>
      <c r="J571" s="12"/>
      <c r="K571" s="13"/>
      <c r="L571" s="14"/>
      <c r="M571" s="15"/>
      <c r="N571" s="15"/>
      <c r="O571" s="16"/>
      <c r="Q571" s="16"/>
    </row>
    <row r="572" spans="1:17" x14ac:dyDescent="0.3">
      <c r="A572" s="5"/>
      <c r="B572" s="6"/>
      <c r="C572" s="7"/>
      <c r="D572" s="8"/>
      <c r="E572" s="8"/>
      <c r="F572" s="10"/>
      <c r="G572" s="10"/>
      <c r="H572" s="10"/>
      <c r="I572" s="7"/>
      <c r="J572" s="12"/>
      <c r="K572" s="13"/>
      <c r="L572" s="14"/>
      <c r="M572" s="15"/>
      <c r="N572" s="15"/>
      <c r="O572" s="16"/>
      <c r="Q572" s="16"/>
    </row>
    <row r="573" spans="1:17" x14ac:dyDescent="0.3">
      <c r="A573" s="5"/>
      <c r="B573" s="6"/>
      <c r="C573" s="7"/>
      <c r="D573" s="8"/>
      <c r="E573" s="8"/>
      <c r="F573" s="10"/>
      <c r="G573" s="10"/>
      <c r="H573" s="10"/>
      <c r="I573" s="7"/>
      <c r="J573" s="12"/>
      <c r="K573" s="13"/>
      <c r="L573" s="14"/>
      <c r="M573" s="15"/>
      <c r="N573" s="15"/>
      <c r="O573" s="16"/>
      <c r="Q573" s="16"/>
    </row>
    <row r="574" spans="1:17" x14ac:dyDescent="0.3">
      <c r="A574" s="5"/>
      <c r="B574" s="6"/>
      <c r="C574" s="7"/>
      <c r="D574" s="8"/>
      <c r="E574" s="8"/>
      <c r="F574" s="10"/>
      <c r="G574" s="10"/>
      <c r="H574" s="10"/>
      <c r="I574" s="7"/>
      <c r="J574" s="12"/>
      <c r="K574" s="13"/>
      <c r="L574" s="14"/>
      <c r="M574" s="15"/>
      <c r="N574" s="15"/>
      <c r="O574" s="16"/>
      <c r="Q574" s="16"/>
    </row>
    <row r="575" spans="1:17" x14ac:dyDescent="0.3">
      <c r="A575" s="5"/>
      <c r="B575" s="6"/>
      <c r="C575" s="7"/>
      <c r="D575" s="8"/>
      <c r="E575" s="8"/>
      <c r="F575" s="10"/>
      <c r="G575" s="10"/>
      <c r="H575" s="10"/>
      <c r="I575" s="7"/>
      <c r="J575" s="12"/>
      <c r="K575" s="13"/>
      <c r="L575" s="14"/>
      <c r="M575" s="15"/>
      <c r="N575" s="15"/>
      <c r="O575" s="16"/>
      <c r="Q575" s="16"/>
    </row>
    <row r="576" spans="1:17" x14ac:dyDescent="0.3">
      <c r="A576" s="5"/>
      <c r="B576" s="6"/>
      <c r="C576" s="7"/>
      <c r="D576" s="8"/>
      <c r="E576" s="8"/>
      <c r="F576" s="10"/>
      <c r="G576" s="10"/>
      <c r="H576" s="10"/>
      <c r="I576" s="7"/>
      <c r="J576" s="12"/>
      <c r="K576" s="13"/>
      <c r="L576" s="14"/>
      <c r="M576" s="15"/>
      <c r="N576" s="15"/>
      <c r="O576" s="16"/>
      <c r="Q576" s="16"/>
    </row>
    <row r="577" spans="1:17" x14ac:dyDescent="0.3">
      <c r="A577" s="5"/>
      <c r="B577" s="6"/>
      <c r="C577" s="7"/>
      <c r="D577" s="8"/>
      <c r="E577" s="8"/>
      <c r="F577" s="10"/>
      <c r="G577" s="10"/>
      <c r="H577" s="10"/>
      <c r="I577" s="7"/>
      <c r="J577" s="12"/>
      <c r="K577" s="13"/>
      <c r="L577" s="14"/>
      <c r="M577" s="15"/>
      <c r="N577" s="15"/>
      <c r="O577" s="16"/>
      <c r="Q577" s="16"/>
    </row>
    <row r="578" spans="1:17" x14ac:dyDescent="0.3">
      <c r="A578" s="5"/>
      <c r="B578" s="6"/>
      <c r="C578" s="7"/>
      <c r="D578" s="8"/>
      <c r="E578" s="8"/>
      <c r="F578" s="10"/>
      <c r="G578" s="10"/>
      <c r="H578" s="10"/>
      <c r="I578" s="7"/>
      <c r="J578" s="12"/>
      <c r="K578" s="13"/>
      <c r="L578" s="14"/>
      <c r="M578" s="15"/>
      <c r="N578" s="15"/>
      <c r="O578" s="16"/>
      <c r="Q578" s="16"/>
    </row>
    <row r="579" spans="1:17" x14ac:dyDescent="0.3">
      <c r="A579" s="5"/>
      <c r="B579" s="6"/>
      <c r="C579" s="7"/>
      <c r="D579" s="8"/>
      <c r="E579" s="8"/>
      <c r="F579" s="10"/>
      <c r="G579" s="10"/>
      <c r="H579" s="10"/>
      <c r="I579" s="7"/>
      <c r="J579" s="12"/>
      <c r="K579" s="13"/>
      <c r="L579" s="14"/>
      <c r="M579" s="15"/>
      <c r="N579" s="15"/>
      <c r="O579" s="16"/>
      <c r="Q579" s="16"/>
    </row>
    <row r="580" spans="1:17" x14ac:dyDescent="0.3">
      <c r="A580" s="5"/>
      <c r="B580" s="6"/>
      <c r="C580" s="7"/>
      <c r="D580" s="8"/>
      <c r="E580" s="8"/>
      <c r="F580" s="10"/>
      <c r="G580" s="10"/>
      <c r="H580" s="10"/>
      <c r="I580" s="7"/>
      <c r="J580" s="12"/>
      <c r="K580" s="13"/>
      <c r="L580" s="14"/>
      <c r="M580" s="15"/>
      <c r="N580" s="15"/>
      <c r="O580" s="16"/>
      <c r="Q580" s="16"/>
    </row>
    <row r="581" spans="1:17" x14ac:dyDescent="0.3">
      <c r="A581" s="5"/>
      <c r="B581" s="6"/>
      <c r="C581" s="7"/>
      <c r="D581" s="8"/>
      <c r="E581" s="8"/>
      <c r="F581" s="10"/>
      <c r="G581" s="10"/>
      <c r="H581" s="10"/>
      <c r="I581" s="7"/>
      <c r="J581" s="12"/>
      <c r="K581" s="13"/>
      <c r="L581" s="14"/>
      <c r="M581" s="15"/>
      <c r="N581" s="15"/>
      <c r="O581" s="16"/>
      <c r="Q581" s="16"/>
    </row>
    <row r="582" spans="1:17" x14ac:dyDescent="0.3">
      <c r="A582" s="5"/>
      <c r="B582" s="6"/>
      <c r="C582" s="7"/>
      <c r="D582" s="8"/>
      <c r="E582" s="8"/>
      <c r="F582" s="10"/>
      <c r="G582" s="10"/>
      <c r="H582" s="10"/>
      <c r="I582" s="7"/>
      <c r="J582" s="12"/>
      <c r="K582" s="13"/>
      <c r="L582" s="14"/>
      <c r="M582" s="15"/>
      <c r="N582" s="15"/>
      <c r="O582" s="16"/>
      <c r="Q582" s="16"/>
    </row>
    <row r="583" spans="1:17" x14ac:dyDescent="0.3">
      <c r="A583" s="5"/>
      <c r="B583" s="6"/>
      <c r="C583" s="7"/>
      <c r="D583" s="8"/>
      <c r="E583" s="8"/>
      <c r="F583" s="10"/>
      <c r="G583" s="10"/>
      <c r="H583" s="10"/>
      <c r="I583" s="7"/>
      <c r="J583" s="12"/>
      <c r="K583" s="13"/>
      <c r="L583" s="14"/>
      <c r="M583" s="15"/>
      <c r="N583" s="15"/>
      <c r="O583" s="16"/>
      <c r="Q583" s="16"/>
    </row>
    <row r="584" spans="1:17" x14ac:dyDescent="0.3">
      <c r="A584" s="5"/>
      <c r="B584" s="6"/>
      <c r="C584" s="7"/>
      <c r="D584" s="8"/>
      <c r="E584" s="8"/>
      <c r="F584" s="10"/>
      <c r="G584" s="10"/>
      <c r="H584" s="10"/>
      <c r="I584" s="7"/>
      <c r="J584" s="12"/>
      <c r="K584" s="13"/>
      <c r="L584" s="14"/>
      <c r="M584" s="15"/>
      <c r="N584" s="15"/>
      <c r="O584" s="16"/>
      <c r="Q584" s="16"/>
    </row>
    <row r="585" spans="1:17" x14ac:dyDescent="0.3">
      <c r="A585" s="5"/>
      <c r="B585" s="6"/>
      <c r="C585" s="7"/>
      <c r="D585" s="8"/>
      <c r="E585" s="8"/>
      <c r="F585" s="10"/>
      <c r="G585" s="10"/>
      <c r="H585" s="10"/>
      <c r="I585" s="7"/>
      <c r="J585" s="12"/>
      <c r="K585" s="13"/>
      <c r="L585" s="14"/>
      <c r="M585" s="15"/>
      <c r="N585" s="15"/>
      <c r="O585" s="16"/>
      <c r="Q585" s="16"/>
    </row>
    <row r="586" spans="1:17" x14ac:dyDescent="0.3">
      <c r="A586" s="5"/>
      <c r="B586" s="6"/>
      <c r="C586" s="7"/>
      <c r="D586" s="8"/>
      <c r="E586" s="8"/>
      <c r="F586" s="10"/>
      <c r="G586" s="10"/>
      <c r="H586" s="10"/>
      <c r="I586" s="7"/>
      <c r="J586" s="12"/>
      <c r="K586" s="13"/>
      <c r="L586" s="14"/>
      <c r="M586" s="15"/>
      <c r="N586" s="15"/>
      <c r="O586" s="16"/>
      <c r="Q586" s="16"/>
    </row>
    <row r="587" spans="1:17" x14ac:dyDescent="0.3">
      <c r="A587" s="5"/>
      <c r="B587" s="6"/>
      <c r="C587" s="7"/>
      <c r="D587" s="8"/>
      <c r="E587" s="8"/>
      <c r="F587" s="10"/>
      <c r="G587" s="10"/>
      <c r="H587" s="10"/>
      <c r="I587" s="7"/>
      <c r="J587" s="12"/>
      <c r="K587" s="13"/>
      <c r="L587" s="14"/>
      <c r="M587" s="15"/>
      <c r="N587" s="15"/>
      <c r="O587" s="16"/>
      <c r="Q587" s="16"/>
    </row>
    <row r="588" spans="1:17" x14ac:dyDescent="0.3">
      <c r="A588" s="5"/>
      <c r="B588" s="6"/>
      <c r="C588" s="7"/>
      <c r="D588" s="8"/>
      <c r="E588" s="8"/>
      <c r="F588" s="10"/>
      <c r="G588" s="10"/>
      <c r="H588" s="10"/>
      <c r="I588" s="7"/>
      <c r="J588" s="12"/>
      <c r="K588" s="13"/>
      <c r="L588" s="14"/>
      <c r="M588" s="15"/>
      <c r="N588" s="15"/>
      <c r="O588" s="16"/>
      <c r="Q588" s="16"/>
    </row>
    <row r="589" spans="1:17" x14ac:dyDescent="0.3">
      <c r="A589" s="5"/>
      <c r="B589" s="6"/>
      <c r="C589" s="7"/>
      <c r="D589" s="8"/>
      <c r="E589" s="8"/>
      <c r="F589" s="10"/>
      <c r="G589" s="10"/>
      <c r="H589" s="10"/>
      <c r="I589" s="7"/>
      <c r="J589" s="12"/>
      <c r="K589" s="13"/>
      <c r="L589" s="14"/>
      <c r="M589" s="15"/>
      <c r="N589" s="15"/>
      <c r="O589" s="16"/>
      <c r="Q589" s="16"/>
    </row>
    <row r="590" spans="1:17" x14ac:dyDescent="0.3">
      <c r="A590" s="5"/>
      <c r="B590" s="6"/>
      <c r="C590" s="7"/>
      <c r="D590" s="8"/>
      <c r="E590" s="8"/>
      <c r="F590" s="10"/>
      <c r="G590" s="10"/>
      <c r="H590" s="10"/>
      <c r="I590" s="7"/>
      <c r="J590" s="12"/>
      <c r="K590" s="13"/>
      <c r="L590" s="14"/>
      <c r="M590" s="15"/>
      <c r="N590" s="15"/>
      <c r="O590" s="16"/>
      <c r="Q590" s="16"/>
    </row>
    <row r="591" spans="1:17" x14ac:dyDescent="0.3">
      <c r="A591" s="5"/>
      <c r="B591" s="6"/>
      <c r="C591" s="7"/>
      <c r="D591" s="8"/>
      <c r="E591" s="8"/>
      <c r="F591" s="10"/>
      <c r="G591" s="10"/>
      <c r="H591" s="10"/>
      <c r="I591" s="7"/>
      <c r="J591" s="12"/>
      <c r="K591" s="13"/>
      <c r="L591" s="14"/>
      <c r="M591" s="15"/>
      <c r="N591" s="15"/>
      <c r="O591" s="16"/>
      <c r="Q591" s="16"/>
    </row>
    <row r="592" spans="1:17" x14ac:dyDescent="0.3">
      <c r="A592" s="5"/>
      <c r="B592" s="6"/>
      <c r="C592" s="7"/>
      <c r="D592" s="8"/>
      <c r="E592" s="8"/>
      <c r="F592" s="10"/>
      <c r="G592" s="10"/>
      <c r="H592" s="10"/>
      <c r="I592" s="7"/>
      <c r="J592" s="12"/>
      <c r="K592" s="13"/>
      <c r="L592" s="14"/>
      <c r="M592" s="15"/>
      <c r="N592" s="15"/>
      <c r="O592" s="16"/>
      <c r="Q592" s="16"/>
    </row>
    <row r="593" spans="1:17" x14ac:dyDescent="0.3">
      <c r="A593" s="5"/>
      <c r="B593" s="6"/>
      <c r="C593" s="7"/>
      <c r="D593" s="8"/>
      <c r="E593" s="8"/>
      <c r="F593" s="10"/>
      <c r="G593" s="10"/>
      <c r="H593" s="10"/>
      <c r="I593" s="7"/>
      <c r="J593" s="12"/>
      <c r="K593" s="13"/>
      <c r="L593" s="14"/>
      <c r="M593" s="15"/>
      <c r="N593" s="15"/>
      <c r="O593" s="16"/>
      <c r="Q593" s="16"/>
    </row>
    <row r="594" spans="1:17" x14ac:dyDescent="0.3">
      <c r="A594" s="5"/>
      <c r="B594" s="6"/>
      <c r="C594" s="7"/>
      <c r="D594" s="8"/>
      <c r="E594" s="8"/>
      <c r="F594" s="10"/>
      <c r="G594" s="10"/>
      <c r="H594" s="10"/>
      <c r="I594" s="7"/>
      <c r="J594" s="12"/>
      <c r="K594" s="13"/>
      <c r="L594" s="14"/>
      <c r="M594" s="15"/>
      <c r="N594" s="15"/>
      <c r="O594" s="16"/>
      <c r="Q594" s="16"/>
    </row>
    <row r="595" spans="1:17" x14ac:dyDescent="0.3">
      <c r="A595" s="5"/>
      <c r="B595" s="6"/>
      <c r="C595" s="7"/>
      <c r="D595" s="8"/>
      <c r="E595" s="8"/>
      <c r="F595" s="10"/>
      <c r="G595" s="10"/>
      <c r="H595" s="10"/>
      <c r="I595" s="7"/>
      <c r="J595" s="12"/>
      <c r="K595" s="13"/>
      <c r="L595" s="14"/>
      <c r="M595" s="15"/>
      <c r="N595" s="15"/>
      <c r="O595" s="16"/>
      <c r="Q595" s="16"/>
    </row>
    <row r="596" spans="1:17" x14ac:dyDescent="0.3">
      <c r="A596" s="5"/>
      <c r="B596" s="6"/>
      <c r="C596" s="7"/>
      <c r="D596" s="8"/>
      <c r="E596" s="8"/>
      <c r="F596" s="10"/>
      <c r="G596" s="10"/>
      <c r="H596" s="10"/>
      <c r="I596" s="7"/>
      <c r="J596" s="12"/>
      <c r="K596" s="13"/>
      <c r="L596" s="14"/>
      <c r="M596" s="15"/>
      <c r="N596" s="15"/>
      <c r="O596" s="16"/>
      <c r="Q596" s="16"/>
    </row>
    <row r="597" spans="1:17" x14ac:dyDescent="0.3">
      <c r="A597" s="5"/>
      <c r="B597" s="6"/>
      <c r="C597" s="7"/>
      <c r="D597" s="8"/>
      <c r="E597" s="8"/>
      <c r="F597" s="10"/>
      <c r="G597" s="10"/>
      <c r="H597" s="10"/>
      <c r="I597" s="7"/>
      <c r="J597" s="12"/>
      <c r="K597" s="13"/>
      <c r="L597" s="14"/>
      <c r="M597" s="15"/>
      <c r="N597" s="15"/>
      <c r="O597" s="16"/>
      <c r="Q597" s="16"/>
    </row>
    <row r="598" spans="1:17" x14ac:dyDescent="0.3">
      <c r="A598" s="5"/>
      <c r="B598" s="6"/>
      <c r="C598" s="7"/>
      <c r="D598" s="8"/>
      <c r="E598" s="8"/>
      <c r="F598" s="10"/>
      <c r="G598" s="10"/>
      <c r="H598" s="10"/>
      <c r="I598" s="7"/>
      <c r="J598" s="12"/>
      <c r="K598" s="13"/>
      <c r="L598" s="14"/>
      <c r="M598" s="15"/>
      <c r="N598" s="15"/>
      <c r="O598" s="16"/>
      <c r="Q598" s="16"/>
    </row>
    <row r="599" spans="1:17" x14ac:dyDescent="0.3">
      <c r="A599" s="5"/>
      <c r="B599" s="6"/>
      <c r="C599" s="7"/>
      <c r="D599" s="8"/>
      <c r="E599" s="8"/>
      <c r="F599" s="10"/>
      <c r="G599" s="10"/>
      <c r="H599" s="10"/>
      <c r="I599" s="7"/>
      <c r="J599" s="12"/>
      <c r="K599" s="13"/>
      <c r="L599" s="14"/>
      <c r="M599" s="15"/>
      <c r="N599" s="15"/>
      <c r="O599" s="16"/>
      <c r="Q599" s="16"/>
    </row>
    <row r="600" spans="1:17" x14ac:dyDescent="0.3">
      <c r="A600" s="5"/>
      <c r="B600" s="6"/>
      <c r="C600" s="7"/>
      <c r="D600" s="8"/>
      <c r="E600" s="8"/>
      <c r="F600" s="10"/>
      <c r="G600" s="10"/>
      <c r="H600" s="10"/>
      <c r="I600" s="7"/>
      <c r="J600" s="12"/>
      <c r="K600" s="13"/>
      <c r="L600" s="14"/>
      <c r="M600" s="15"/>
      <c r="N600" s="15"/>
      <c r="O600" s="16"/>
      <c r="Q600" s="16"/>
    </row>
    <row r="601" spans="1:17" x14ac:dyDescent="0.3">
      <c r="A601" s="5"/>
      <c r="B601" s="6"/>
      <c r="C601" s="7"/>
      <c r="D601" s="8"/>
      <c r="E601" s="8"/>
      <c r="F601" s="10"/>
      <c r="G601" s="10"/>
      <c r="H601" s="10"/>
      <c r="I601" s="7"/>
      <c r="J601" s="12"/>
      <c r="K601" s="13"/>
      <c r="L601" s="14"/>
      <c r="M601" s="15"/>
      <c r="N601" s="15"/>
      <c r="O601" s="16"/>
      <c r="Q601" s="16"/>
    </row>
    <row r="602" spans="1:17" x14ac:dyDescent="0.3">
      <c r="A602" s="5"/>
      <c r="B602" s="6"/>
      <c r="C602" s="7"/>
      <c r="D602" s="8"/>
      <c r="E602" s="8"/>
      <c r="F602" s="10"/>
      <c r="G602" s="10"/>
      <c r="H602" s="10"/>
      <c r="I602" s="7"/>
      <c r="J602" s="12"/>
      <c r="K602" s="13"/>
      <c r="L602" s="14"/>
      <c r="M602" s="15"/>
      <c r="N602" s="15"/>
      <c r="O602" s="16"/>
      <c r="Q602" s="16"/>
    </row>
    <row r="603" spans="1:17" x14ac:dyDescent="0.3">
      <c r="A603" s="5"/>
      <c r="B603" s="6"/>
      <c r="C603" s="7"/>
      <c r="D603" s="8"/>
      <c r="E603" s="8"/>
      <c r="F603" s="10"/>
      <c r="G603" s="10"/>
      <c r="H603" s="10"/>
      <c r="I603" s="7"/>
      <c r="J603" s="12"/>
      <c r="K603" s="13"/>
      <c r="L603" s="14"/>
      <c r="M603" s="15"/>
      <c r="N603" s="15"/>
      <c r="O603" s="16"/>
      <c r="Q603" s="16"/>
    </row>
    <row r="604" spans="1:17" x14ac:dyDescent="0.3">
      <c r="A604" s="5"/>
      <c r="B604" s="6"/>
      <c r="C604" s="7"/>
      <c r="D604" s="8"/>
      <c r="E604" s="8"/>
      <c r="F604" s="10"/>
      <c r="G604" s="10"/>
      <c r="H604" s="10"/>
      <c r="I604" s="7"/>
      <c r="J604" s="12"/>
      <c r="K604" s="13"/>
      <c r="L604" s="14"/>
      <c r="M604" s="15"/>
      <c r="N604" s="15"/>
      <c r="O604" s="16"/>
      <c r="Q604" s="16"/>
    </row>
    <row r="605" spans="1:17" x14ac:dyDescent="0.3">
      <c r="A605" s="5"/>
      <c r="B605" s="6"/>
      <c r="C605" s="7"/>
      <c r="D605" s="8"/>
      <c r="E605" s="8"/>
      <c r="F605" s="10"/>
      <c r="G605" s="10"/>
      <c r="H605" s="10"/>
      <c r="I605" s="7"/>
      <c r="J605" s="12"/>
      <c r="K605" s="13"/>
      <c r="L605" s="14"/>
      <c r="M605" s="15"/>
      <c r="N605" s="15"/>
      <c r="O605" s="16"/>
      <c r="Q605" s="16"/>
    </row>
    <row r="606" spans="1:17" x14ac:dyDescent="0.3">
      <c r="A606" s="5"/>
      <c r="B606" s="6"/>
      <c r="C606" s="7"/>
      <c r="D606" s="8"/>
      <c r="E606" s="8"/>
      <c r="F606" s="10"/>
      <c r="G606" s="10"/>
      <c r="H606" s="10"/>
      <c r="I606" s="7"/>
      <c r="J606" s="12"/>
      <c r="K606" s="13"/>
      <c r="L606" s="14"/>
      <c r="M606" s="15"/>
      <c r="N606" s="15"/>
      <c r="O606" s="16"/>
      <c r="Q606" s="16"/>
    </row>
    <row r="607" spans="1:17" x14ac:dyDescent="0.3">
      <c r="A607" s="5"/>
      <c r="B607" s="6"/>
      <c r="C607" s="7"/>
      <c r="D607" s="8"/>
      <c r="E607" s="8"/>
      <c r="F607" s="10"/>
      <c r="G607" s="10"/>
      <c r="H607" s="10"/>
      <c r="I607" s="7"/>
      <c r="J607" s="12"/>
      <c r="K607" s="13"/>
      <c r="L607" s="14"/>
      <c r="M607" s="15"/>
      <c r="N607" s="15"/>
      <c r="O607" s="16"/>
      <c r="Q607" s="16"/>
    </row>
    <row r="608" spans="1:17" x14ac:dyDescent="0.3">
      <c r="A608" s="5"/>
      <c r="B608" s="6"/>
      <c r="C608" s="7"/>
      <c r="D608" s="8"/>
      <c r="E608" s="8"/>
      <c r="F608" s="10"/>
      <c r="G608" s="10"/>
      <c r="H608" s="10"/>
      <c r="I608" s="7"/>
      <c r="J608" s="12"/>
      <c r="K608" s="13"/>
      <c r="L608" s="14"/>
      <c r="M608" s="15"/>
      <c r="N608" s="15"/>
      <c r="O608" s="16"/>
      <c r="Q608" s="16"/>
    </row>
    <row r="609" spans="1:17" x14ac:dyDescent="0.3">
      <c r="A609" s="5"/>
      <c r="B609" s="6"/>
      <c r="C609" s="7"/>
      <c r="D609" s="8"/>
      <c r="E609" s="8"/>
      <c r="F609" s="10"/>
      <c r="G609" s="10"/>
      <c r="H609" s="10"/>
      <c r="I609" s="7"/>
      <c r="J609" s="12"/>
      <c r="K609" s="13"/>
      <c r="L609" s="14"/>
      <c r="M609" s="15"/>
      <c r="N609" s="15"/>
      <c r="O609" s="16"/>
      <c r="Q609" s="16"/>
    </row>
    <row r="610" spans="1:17" x14ac:dyDescent="0.3">
      <c r="A610" s="5"/>
      <c r="B610" s="6"/>
      <c r="C610" s="7"/>
      <c r="D610" s="8"/>
      <c r="E610" s="8"/>
      <c r="F610" s="10"/>
      <c r="G610" s="10"/>
      <c r="H610" s="10"/>
      <c r="I610" s="7"/>
      <c r="J610" s="12"/>
      <c r="K610" s="13"/>
      <c r="L610" s="14"/>
      <c r="M610" s="15"/>
      <c r="N610" s="15"/>
      <c r="O610" s="16"/>
      <c r="Q610" s="16"/>
    </row>
    <row r="611" spans="1:17" x14ac:dyDescent="0.3">
      <c r="A611" s="5"/>
      <c r="B611" s="6"/>
      <c r="C611" s="7"/>
      <c r="D611" s="8"/>
      <c r="E611" s="8"/>
      <c r="F611" s="10"/>
      <c r="G611" s="10"/>
      <c r="H611" s="10"/>
      <c r="I611" s="7"/>
      <c r="J611" s="12"/>
      <c r="K611" s="13"/>
      <c r="L611" s="14"/>
      <c r="M611" s="15"/>
      <c r="N611" s="15"/>
      <c r="O611" s="16"/>
      <c r="Q611" s="16"/>
    </row>
    <row r="612" spans="1:17" x14ac:dyDescent="0.3">
      <c r="A612" s="5"/>
      <c r="B612" s="6"/>
      <c r="C612" s="7"/>
      <c r="D612" s="8"/>
      <c r="E612" s="8"/>
      <c r="F612" s="10"/>
      <c r="G612" s="10"/>
      <c r="H612" s="10"/>
      <c r="I612" s="7"/>
      <c r="J612" s="12"/>
      <c r="K612" s="13"/>
      <c r="L612" s="14"/>
      <c r="M612" s="15"/>
      <c r="N612" s="15"/>
      <c r="O612" s="16"/>
      <c r="Q612" s="16"/>
    </row>
    <row r="613" spans="1:17" x14ac:dyDescent="0.3">
      <c r="A613" s="5"/>
      <c r="B613" s="6"/>
      <c r="C613" s="7"/>
      <c r="D613" s="8"/>
      <c r="E613" s="8"/>
      <c r="F613" s="10"/>
      <c r="G613" s="10"/>
      <c r="H613" s="10"/>
      <c r="I613" s="7"/>
      <c r="J613" s="12"/>
      <c r="K613" s="13"/>
      <c r="L613" s="14"/>
      <c r="M613" s="15"/>
      <c r="N613" s="15"/>
      <c r="O613" s="16"/>
      <c r="Q613" s="16"/>
    </row>
    <row r="614" spans="1:17" x14ac:dyDescent="0.3">
      <c r="A614" s="5"/>
      <c r="B614" s="6"/>
      <c r="C614" s="7"/>
      <c r="D614" s="8"/>
      <c r="E614" s="8"/>
      <c r="F614" s="10"/>
      <c r="G614" s="10"/>
      <c r="H614" s="10"/>
      <c r="I614" s="7"/>
      <c r="J614" s="12"/>
      <c r="K614" s="13"/>
      <c r="L614" s="14"/>
      <c r="M614" s="15"/>
      <c r="N614" s="15"/>
      <c r="O614" s="16"/>
      <c r="Q614" s="16"/>
    </row>
    <row r="615" spans="1:17" x14ac:dyDescent="0.3">
      <c r="A615" s="5"/>
      <c r="B615" s="6"/>
      <c r="C615" s="7"/>
      <c r="D615" s="8"/>
      <c r="E615" s="8"/>
      <c r="F615" s="10"/>
      <c r="G615" s="10"/>
      <c r="H615" s="10"/>
      <c r="I615" s="7"/>
      <c r="J615" s="12"/>
      <c r="K615" s="13"/>
      <c r="L615" s="14"/>
      <c r="M615" s="15"/>
      <c r="N615" s="15"/>
      <c r="O615" s="16"/>
      <c r="Q615" s="16"/>
    </row>
    <row r="616" spans="1:17" x14ac:dyDescent="0.3">
      <c r="A616" s="5"/>
      <c r="B616" s="6"/>
      <c r="C616" s="7"/>
      <c r="D616" s="8"/>
      <c r="E616" s="8"/>
      <c r="F616" s="10"/>
      <c r="G616" s="10"/>
      <c r="H616" s="10"/>
      <c r="I616" s="7"/>
      <c r="J616" s="12"/>
      <c r="K616" s="13"/>
      <c r="L616" s="14"/>
      <c r="M616" s="15"/>
      <c r="N616" s="15"/>
      <c r="O616" s="16"/>
      <c r="Q616" s="16"/>
    </row>
    <row r="617" spans="1:17" x14ac:dyDescent="0.3">
      <c r="A617" s="5"/>
      <c r="B617" s="6"/>
      <c r="C617" s="7"/>
      <c r="D617" s="8"/>
      <c r="E617" s="8"/>
      <c r="F617" s="10"/>
      <c r="G617" s="10"/>
      <c r="H617" s="10"/>
      <c r="I617" s="7"/>
      <c r="J617" s="12"/>
      <c r="K617" s="13"/>
      <c r="L617" s="14"/>
      <c r="M617" s="15"/>
      <c r="N617" s="15"/>
      <c r="O617" s="16"/>
      <c r="Q617" s="16"/>
    </row>
    <row r="618" spans="1:17" x14ac:dyDescent="0.3">
      <c r="A618" s="5"/>
      <c r="B618" s="6"/>
      <c r="C618" s="7"/>
      <c r="D618" s="8"/>
      <c r="E618" s="8"/>
      <c r="F618" s="10"/>
      <c r="G618" s="10"/>
      <c r="H618" s="10"/>
      <c r="I618" s="7"/>
      <c r="J618" s="12"/>
      <c r="K618" s="13"/>
      <c r="L618" s="14"/>
      <c r="M618" s="15"/>
      <c r="N618" s="15"/>
      <c r="O618" s="16"/>
      <c r="Q618" s="16"/>
    </row>
    <row r="619" spans="1:17" x14ac:dyDescent="0.3">
      <c r="A619" s="5"/>
      <c r="B619" s="6"/>
      <c r="C619" s="7"/>
      <c r="D619" s="8"/>
      <c r="E619" s="8"/>
      <c r="F619" s="10"/>
      <c r="G619" s="10"/>
      <c r="H619" s="10"/>
      <c r="I619" s="7"/>
      <c r="J619" s="12"/>
      <c r="K619" s="13"/>
      <c r="L619" s="14"/>
      <c r="M619" s="15"/>
      <c r="N619" s="15"/>
      <c r="O619" s="16"/>
      <c r="Q619" s="16"/>
    </row>
    <row r="620" spans="1:17" x14ac:dyDescent="0.3">
      <c r="A620" s="5"/>
      <c r="B620" s="6"/>
      <c r="C620" s="7"/>
      <c r="D620" s="8"/>
      <c r="E620" s="8"/>
      <c r="F620" s="10"/>
      <c r="G620" s="10"/>
      <c r="H620" s="10"/>
      <c r="I620" s="7"/>
      <c r="J620" s="12"/>
      <c r="K620" s="13"/>
      <c r="L620" s="14"/>
      <c r="M620" s="15"/>
      <c r="N620" s="15"/>
      <c r="O620" s="16"/>
      <c r="Q620" s="16"/>
    </row>
    <row r="621" spans="1:17" x14ac:dyDescent="0.3">
      <c r="A621" s="5"/>
      <c r="B621" s="6"/>
      <c r="C621" s="7"/>
      <c r="D621" s="8"/>
      <c r="E621" s="8"/>
      <c r="F621" s="10"/>
      <c r="G621" s="10"/>
      <c r="H621" s="10"/>
      <c r="I621" s="7"/>
      <c r="J621" s="12"/>
      <c r="K621" s="13"/>
      <c r="L621" s="14"/>
      <c r="M621" s="15"/>
      <c r="N621" s="15"/>
      <c r="O621" s="16"/>
      <c r="Q621" s="16"/>
    </row>
    <row r="622" spans="1:17" x14ac:dyDescent="0.3">
      <c r="A622" s="5"/>
      <c r="B622" s="6"/>
      <c r="C622" s="7"/>
      <c r="D622" s="8"/>
      <c r="E622" s="8"/>
      <c r="F622" s="10"/>
      <c r="G622" s="10"/>
      <c r="H622" s="10"/>
      <c r="I622" s="7"/>
      <c r="J622" s="12"/>
      <c r="K622" s="13"/>
      <c r="L622" s="14"/>
      <c r="M622" s="15"/>
      <c r="N622" s="15"/>
      <c r="O622" s="16"/>
      <c r="Q622" s="16"/>
    </row>
    <row r="623" spans="1:17" x14ac:dyDescent="0.3">
      <c r="A623" s="5"/>
      <c r="B623" s="6"/>
      <c r="C623" s="7"/>
      <c r="D623" s="8"/>
      <c r="E623" s="8"/>
      <c r="F623" s="10"/>
      <c r="G623" s="10"/>
      <c r="H623" s="10"/>
      <c r="I623" s="7"/>
      <c r="J623" s="12"/>
      <c r="K623" s="13"/>
      <c r="L623" s="14"/>
      <c r="M623" s="15"/>
      <c r="N623" s="15"/>
      <c r="O623" s="16"/>
      <c r="Q623" s="16"/>
    </row>
    <row r="624" spans="1:17" x14ac:dyDescent="0.3">
      <c r="A624" s="5"/>
      <c r="B624" s="6"/>
      <c r="C624" s="7"/>
      <c r="D624" s="8"/>
      <c r="E624" s="8"/>
      <c r="F624" s="10"/>
      <c r="G624" s="10"/>
      <c r="H624" s="10"/>
      <c r="I624" s="7"/>
      <c r="J624" s="12"/>
      <c r="K624" s="13"/>
      <c r="L624" s="14"/>
      <c r="M624" s="15"/>
      <c r="N624" s="15"/>
      <c r="O624" s="16"/>
      <c r="Q624" s="16"/>
    </row>
    <row r="625" spans="1:17" x14ac:dyDescent="0.3">
      <c r="A625" s="5"/>
      <c r="B625" s="6"/>
      <c r="C625" s="7"/>
      <c r="D625" s="8"/>
      <c r="E625" s="8"/>
      <c r="F625" s="10"/>
      <c r="G625" s="10"/>
      <c r="H625" s="10"/>
      <c r="I625" s="7"/>
      <c r="J625" s="12"/>
      <c r="K625" s="13"/>
      <c r="L625" s="14"/>
      <c r="M625" s="15"/>
      <c r="N625" s="15"/>
      <c r="O625" s="16"/>
      <c r="Q625" s="16"/>
    </row>
    <row r="626" spans="1:17" x14ac:dyDescent="0.3">
      <c r="A626" s="5"/>
      <c r="B626" s="6"/>
      <c r="C626" s="7"/>
      <c r="D626" s="8"/>
      <c r="E626" s="8"/>
      <c r="F626" s="10"/>
      <c r="G626" s="10"/>
      <c r="H626" s="10"/>
      <c r="I626" s="7"/>
      <c r="J626" s="12"/>
      <c r="K626" s="13"/>
      <c r="L626" s="14"/>
      <c r="M626" s="15"/>
      <c r="N626" s="15"/>
      <c r="O626" s="16"/>
      <c r="Q626" s="16"/>
    </row>
    <row r="627" spans="1:17" x14ac:dyDescent="0.3">
      <c r="A627" s="5"/>
      <c r="B627" s="6"/>
      <c r="C627" s="7"/>
      <c r="D627" s="8"/>
      <c r="E627" s="8"/>
      <c r="F627" s="10"/>
      <c r="G627" s="10"/>
      <c r="H627" s="10"/>
      <c r="I627" s="7"/>
      <c r="J627" s="12"/>
      <c r="K627" s="13"/>
      <c r="L627" s="14"/>
      <c r="M627" s="15"/>
      <c r="N627" s="15"/>
      <c r="O627" s="16"/>
      <c r="Q627" s="16"/>
    </row>
    <row r="628" spans="1:17" x14ac:dyDescent="0.3">
      <c r="A628" s="5"/>
      <c r="B628" s="6"/>
      <c r="C628" s="7"/>
      <c r="D628" s="8"/>
      <c r="E628" s="8"/>
      <c r="F628" s="10"/>
      <c r="G628" s="10"/>
      <c r="H628" s="10"/>
      <c r="I628" s="7"/>
      <c r="J628" s="12"/>
      <c r="K628" s="13"/>
      <c r="L628" s="14"/>
      <c r="M628" s="15"/>
      <c r="N628" s="15"/>
      <c r="O628" s="16"/>
      <c r="Q628" s="16"/>
    </row>
    <row r="629" spans="1:17" x14ac:dyDescent="0.3">
      <c r="A629" s="5"/>
      <c r="B629" s="6"/>
      <c r="C629" s="7"/>
      <c r="D629" s="8"/>
      <c r="E629" s="8"/>
      <c r="F629" s="10"/>
      <c r="G629" s="10"/>
      <c r="H629" s="10"/>
      <c r="I629" s="7"/>
      <c r="J629" s="12"/>
      <c r="K629" s="13"/>
      <c r="L629" s="14"/>
      <c r="M629" s="15"/>
      <c r="N629" s="15"/>
      <c r="O629" s="16"/>
      <c r="Q629" s="16"/>
    </row>
    <row r="630" spans="1:17" x14ac:dyDescent="0.3">
      <c r="A630" s="5"/>
      <c r="B630" s="6"/>
      <c r="C630" s="7"/>
      <c r="D630" s="8"/>
      <c r="E630" s="8"/>
      <c r="F630" s="10"/>
      <c r="G630" s="10"/>
      <c r="H630" s="10"/>
      <c r="I630" s="7"/>
      <c r="J630" s="12"/>
      <c r="K630" s="13"/>
      <c r="L630" s="14"/>
      <c r="M630" s="15"/>
      <c r="N630" s="15"/>
      <c r="O630" s="16"/>
      <c r="Q630" s="16"/>
    </row>
    <row r="631" spans="1:17" x14ac:dyDescent="0.3">
      <c r="A631" s="5"/>
      <c r="B631" s="6"/>
      <c r="C631" s="7"/>
      <c r="D631" s="8"/>
      <c r="E631" s="8"/>
      <c r="F631" s="10"/>
      <c r="G631" s="10"/>
      <c r="H631" s="10"/>
      <c r="I631" s="7"/>
      <c r="J631" s="12"/>
      <c r="K631" s="13"/>
      <c r="L631" s="14"/>
      <c r="M631" s="15"/>
      <c r="N631" s="15"/>
      <c r="O631" s="16"/>
      <c r="Q631" s="16"/>
    </row>
    <row r="632" spans="1:17" x14ac:dyDescent="0.3">
      <c r="A632" s="5"/>
      <c r="B632" s="6"/>
      <c r="C632" s="7"/>
      <c r="D632" s="8"/>
      <c r="E632" s="8"/>
      <c r="F632" s="10"/>
      <c r="G632" s="10"/>
      <c r="H632" s="10"/>
      <c r="I632" s="7"/>
      <c r="J632" s="12"/>
      <c r="K632" s="13"/>
      <c r="L632" s="14"/>
      <c r="M632" s="15"/>
      <c r="N632" s="15"/>
      <c r="O632" s="16"/>
      <c r="Q632" s="16"/>
    </row>
    <row r="633" spans="1:17" x14ac:dyDescent="0.3">
      <c r="A633" s="5"/>
      <c r="B633" s="6"/>
      <c r="C633" s="7"/>
      <c r="D633" s="8"/>
      <c r="E633" s="8"/>
      <c r="F633" s="10"/>
      <c r="G633" s="10"/>
      <c r="H633" s="10"/>
      <c r="I633" s="7"/>
      <c r="J633" s="12"/>
      <c r="K633" s="13"/>
      <c r="L633" s="14"/>
      <c r="M633" s="15"/>
      <c r="N633" s="15"/>
      <c r="O633" s="16"/>
      <c r="Q633" s="16"/>
    </row>
    <row r="634" spans="1:17" x14ac:dyDescent="0.3">
      <c r="A634" s="5"/>
      <c r="B634" s="6"/>
      <c r="C634" s="7"/>
      <c r="D634" s="8"/>
      <c r="E634" s="8"/>
      <c r="F634" s="10"/>
      <c r="G634" s="10"/>
      <c r="H634" s="10"/>
      <c r="I634" s="7"/>
      <c r="J634" s="12"/>
      <c r="K634" s="13"/>
      <c r="L634" s="14"/>
      <c r="M634" s="15"/>
      <c r="N634" s="15"/>
      <c r="O634" s="16"/>
      <c r="Q634" s="16"/>
    </row>
    <row r="635" spans="1:17" x14ac:dyDescent="0.3">
      <c r="A635" s="5"/>
      <c r="B635" s="6"/>
      <c r="C635" s="7"/>
      <c r="D635" s="8"/>
      <c r="E635" s="8"/>
      <c r="F635" s="10"/>
      <c r="G635" s="10"/>
      <c r="H635" s="10"/>
      <c r="I635" s="7"/>
      <c r="J635" s="12"/>
      <c r="K635" s="13"/>
      <c r="L635" s="14"/>
      <c r="M635" s="15"/>
      <c r="N635" s="15"/>
      <c r="O635" s="16"/>
      <c r="Q635" s="16"/>
    </row>
    <row r="636" spans="1:17" x14ac:dyDescent="0.3">
      <c r="A636" s="5"/>
      <c r="B636" s="6"/>
      <c r="C636" s="7"/>
      <c r="D636" s="8"/>
      <c r="E636" s="8"/>
      <c r="F636" s="10"/>
      <c r="G636" s="10"/>
      <c r="H636" s="10"/>
      <c r="I636" s="7"/>
      <c r="J636" s="12"/>
      <c r="K636" s="13"/>
      <c r="L636" s="14"/>
      <c r="M636" s="15"/>
      <c r="N636" s="15"/>
      <c r="O636" s="16"/>
      <c r="Q636" s="16"/>
    </row>
    <row r="637" spans="1:17" x14ac:dyDescent="0.3">
      <c r="A637" s="5"/>
      <c r="B637" s="6"/>
      <c r="C637" s="7"/>
      <c r="D637" s="8"/>
      <c r="E637" s="8"/>
      <c r="F637" s="10"/>
      <c r="G637" s="10"/>
      <c r="H637" s="10"/>
      <c r="I637" s="7"/>
      <c r="J637" s="12"/>
      <c r="K637" s="13"/>
      <c r="L637" s="14"/>
      <c r="M637" s="15"/>
      <c r="N637" s="15"/>
      <c r="O637" s="16"/>
      <c r="Q637" s="16"/>
    </row>
    <row r="638" spans="1:17" x14ac:dyDescent="0.3">
      <c r="A638" s="5"/>
      <c r="B638" s="6"/>
      <c r="C638" s="7"/>
      <c r="D638" s="8"/>
      <c r="E638" s="8"/>
      <c r="F638" s="10"/>
      <c r="G638" s="10"/>
      <c r="H638" s="10"/>
      <c r="I638" s="7"/>
      <c r="J638" s="12"/>
      <c r="K638" s="13"/>
      <c r="L638" s="14"/>
      <c r="M638" s="15"/>
      <c r="N638" s="15"/>
      <c r="O638" s="16"/>
      <c r="Q638" s="16"/>
    </row>
    <row r="639" spans="1:17" x14ac:dyDescent="0.3">
      <c r="A639" s="5"/>
      <c r="B639" s="6"/>
      <c r="C639" s="7"/>
      <c r="D639" s="8"/>
      <c r="E639" s="8"/>
      <c r="F639" s="10"/>
      <c r="G639" s="10"/>
      <c r="H639" s="10"/>
      <c r="I639" s="7"/>
      <c r="J639" s="12"/>
      <c r="K639" s="13"/>
      <c r="L639" s="14"/>
      <c r="M639" s="15"/>
      <c r="N639" s="15"/>
      <c r="O639" s="16"/>
      <c r="Q639" s="16"/>
    </row>
    <row r="640" spans="1:17" x14ac:dyDescent="0.3">
      <c r="A640" s="5"/>
      <c r="B640" s="6"/>
      <c r="C640" s="7"/>
      <c r="D640" s="8"/>
      <c r="E640" s="8"/>
      <c r="F640" s="10"/>
      <c r="G640" s="10"/>
      <c r="H640" s="10"/>
      <c r="I640" s="7"/>
      <c r="J640" s="12"/>
      <c r="K640" s="13"/>
      <c r="L640" s="14"/>
      <c r="M640" s="15"/>
      <c r="N640" s="15"/>
      <c r="O640" s="16"/>
      <c r="Q640" s="16"/>
    </row>
    <row r="641" spans="1:17" x14ac:dyDescent="0.3">
      <c r="A641" s="5"/>
      <c r="B641" s="6"/>
      <c r="C641" s="7"/>
      <c r="D641" s="8"/>
      <c r="E641" s="8"/>
      <c r="F641" s="10"/>
      <c r="G641" s="10"/>
      <c r="H641" s="10"/>
      <c r="I641" s="7"/>
      <c r="J641" s="12"/>
      <c r="K641" s="13"/>
      <c r="L641" s="14"/>
      <c r="M641" s="15"/>
      <c r="N641" s="15"/>
      <c r="O641" s="16"/>
      <c r="Q641" s="16"/>
    </row>
    <row r="642" spans="1:17" x14ac:dyDescent="0.3">
      <c r="A642" s="5"/>
      <c r="B642" s="6"/>
      <c r="C642" s="7"/>
      <c r="D642" s="8"/>
      <c r="E642" s="8"/>
      <c r="F642" s="10"/>
      <c r="G642" s="10"/>
      <c r="H642" s="10"/>
      <c r="I642" s="7"/>
      <c r="J642" s="12"/>
      <c r="K642" s="13"/>
      <c r="L642" s="14"/>
      <c r="M642" s="15"/>
      <c r="N642" s="15"/>
      <c r="O642" s="16"/>
      <c r="Q642" s="16"/>
    </row>
    <row r="643" spans="1:17" x14ac:dyDescent="0.3">
      <c r="A643" s="5"/>
      <c r="B643" s="6"/>
      <c r="C643" s="7"/>
      <c r="D643" s="8"/>
      <c r="E643" s="8"/>
      <c r="F643" s="10"/>
      <c r="G643" s="10"/>
      <c r="H643" s="10"/>
      <c r="I643" s="7"/>
      <c r="J643" s="12"/>
      <c r="K643" s="13"/>
      <c r="L643" s="14"/>
      <c r="M643" s="15"/>
      <c r="N643" s="15"/>
      <c r="O643" s="16"/>
      <c r="Q643" s="16"/>
    </row>
    <row r="644" spans="1:17" x14ac:dyDescent="0.3">
      <c r="A644" s="5"/>
      <c r="B644" s="6"/>
      <c r="C644" s="7"/>
      <c r="D644" s="8"/>
      <c r="E644" s="8"/>
      <c r="F644" s="10"/>
      <c r="G644" s="10"/>
      <c r="H644" s="10"/>
      <c r="I644" s="7"/>
      <c r="J644" s="12"/>
      <c r="K644" s="13"/>
      <c r="L644" s="14"/>
      <c r="M644" s="15"/>
      <c r="N644" s="15"/>
      <c r="O644" s="16"/>
      <c r="Q644" s="16"/>
    </row>
    <row r="645" spans="1:17" x14ac:dyDescent="0.3">
      <c r="A645" s="5"/>
      <c r="B645" s="6"/>
      <c r="C645" s="7"/>
      <c r="D645" s="8"/>
      <c r="E645" s="8"/>
      <c r="F645" s="10"/>
      <c r="G645" s="10"/>
      <c r="H645" s="10"/>
      <c r="I645" s="7"/>
      <c r="J645" s="12"/>
      <c r="K645" s="13"/>
      <c r="L645" s="14"/>
      <c r="M645" s="15"/>
      <c r="N645" s="15"/>
      <c r="O645" s="16"/>
      <c r="Q645" s="16"/>
    </row>
    <row r="646" spans="1:17" x14ac:dyDescent="0.3">
      <c r="A646" s="5"/>
      <c r="B646" s="6"/>
      <c r="C646" s="7"/>
      <c r="D646" s="8"/>
      <c r="E646" s="8"/>
      <c r="F646" s="10"/>
      <c r="G646" s="10"/>
      <c r="H646" s="10"/>
      <c r="I646" s="7"/>
      <c r="J646" s="12"/>
      <c r="K646" s="13"/>
      <c r="L646" s="14"/>
      <c r="M646" s="15"/>
      <c r="N646" s="15"/>
      <c r="O646" s="16"/>
      <c r="Q646" s="16"/>
    </row>
    <row r="647" spans="1:17" x14ac:dyDescent="0.3">
      <c r="A647" s="5"/>
      <c r="B647" s="6"/>
      <c r="C647" s="7"/>
      <c r="D647" s="8"/>
      <c r="E647" s="8"/>
      <c r="F647" s="10"/>
      <c r="G647" s="10"/>
      <c r="H647" s="10"/>
      <c r="I647" s="7"/>
      <c r="J647" s="12"/>
      <c r="K647" s="13"/>
      <c r="L647" s="14"/>
      <c r="M647" s="15"/>
      <c r="N647" s="15"/>
      <c r="O647" s="16"/>
      <c r="Q647" s="16"/>
    </row>
    <row r="648" spans="1:17" x14ac:dyDescent="0.3">
      <c r="A648" s="5"/>
      <c r="B648" s="6"/>
      <c r="C648" s="7"/>
      <c r="D648" s="8"/>
      <c r="E648" s="8"/>
      <c r="F648" s="10"/>
      <c r="G648" s="10"/>
      <c r="H648" s="10"/>
      <c r="I648" s="7"/>
      <c r="J648" s="12"/>
      <c r="K648" s="13"/>
      <c r="L648" s="14"/>
      <c r="M648" s="15"/>
      <c r="N648" s="15"/>
      <c r="O648" s="16"/>
      <c r="Q648" s="16"/>
    </row>
    <row r="649" spans="1:17" x14ac:dyDescent="0.3">
      <c r="A649" s="5"/>
      <c r="B649" s="6"/>
      <c r="C649" s="7"/>
      <c r="D649" s="8"/>
      <c r="E649" s="8"/>
      <c r="F649" s="10"/>
      <c r="G649" s="10"/>
      <c r="H649" s="10"/>
      <c r="I649" s="7"/>
      <c r="J649" s="12"/>
      <c r="K649" s="13"/>
      <c r="L649" s="14"/>
      <c r="M649" s="15"/>
      <c r="N649" s="15"/>
      <c r="O649" s="16"/>
      <c r="Q649" s="16"/>
    </row>
    <row r="650" spans="1:17" x14ac:dyDescent="0.3">
      <c r="A650" s="5"/>
      <c r="B650" s="6"/>
      <c r="C650" s="7"/>
      <c r="D650" s="8"/>
      <c r="E650" s="8"/>
      <c r="F650" s="10"/>
      <c r="G650" s="10"/>
      <c r="H650" s="10"/>
      <c r="I650" s="7"/>
      <c r="J650" s="12"/>
      <c r="K650" s="13"/>
      <c r="L650" s="14"/>
      <c r="M650" s="15"/>
      <c r="N650" s="15"/>
      <c r="O650" s="16"/>
      <c r="Q650" s="16"/>
    </row>
    <row r="651" spans="1:17" x14ac:dyDescent="0.3">
      <c r="A651" s="5"/>
      <c r="B651" s="6"/>
      <c r="C651" s="7"/>
      <c r="D651" s="8"/>
      <c r="E651" s="8"/>
      <c r="F651" s="10"/>
      <c r="G651" s="10"/>
      <c r="H651" s="10"/>
      <c r="I651" s="7"/>
      <c r="J651" s="12"/>
      <c r="K651" s="13"/>
      <c r="L651" s="14"/>
      <c r="M651" s="15"/>
      <c r="N651" s="15"/>
      <c r="O651" s="16"/>
      <c r="Q651" s="16"/>
    </row>
    <row r="652" spans="1:17" x14ac:dyDescent="0.3">
      <c r="A652" s="5"/>
      <c r="B652" s="6"/>
      <c r="C652" s="7"/>
      <c r="D652" s="8"/>
      <c r="E652" s="8"/>
      <c r="F652" s="10"/>
      <c r="G652" s="10"/>
      <c r="H652" s="10"/>
      <c r="I652" s="7"/>
      <c r="J652" s="12"/>
      <c r="K652" s="13"/>
      <c r="L652" s="14"/>
      <c r="M652" s="15"/>
      <c r="N652" s="15"/>
      <c r="O652" s="16"/>
      <c r="Q652" s="16"/>
    </row>
    <row r="653" spans="1:17" x14ac:dyDescent="0.3">
      <c r="A653" s="5"/>
      <c r="B653" s="6"/>
      <c r="C653" s="7"/>
      <c r="D653" s="8"/>
      <c r="E653" s="8"/>
      <c r="F653" s="10"/>
      <c r="G653" s="10"/>
      <c r="H653" s="10"/>
      <c r="I653" s="7"/>
      <c r="J653" s="12"/>
      <c r="K653" s="13"/>
      <c r="L653" s="14"/>
      <c r="M653" s="15"/>
      <c r="N653" s="15"/>
      <c r="O653" s="16"/>
      <c r="Q653" s="16"/>
    </row>
    <row r="654" spans="1:17" x14ac:dyDescent="0.3">
      <c r="A654" s="5"/>
      <c r="B654" s="6"/>
      <c r="C654" s="7"/>
      <c r="D654" s="8"/>
      <c r="E654" s="8"/>
      <c r="F654" s="10"/>
      <c r="G654" s="10"/>
      <c r="H654" s="10"/>
      <c r="I654" s="7"/>
      <c r="J654" s="12"/>
      <c r="K654" s="13"/>
      <c r="L654" s="14"/>
      <c r="M654" s="15"/>
      <c r="N654" s="15"/>
      <c r="O654" s="16"/>
      <c r="Q654" s="16"/>
    </row>
    <row r="655" spans="1:17" x14ac:dyDescent="0.3">
      <c r="A655" s="5"/>
      <c r="B655" s="6"/>
      <c r="C655" s="7"/>
      <c r="D655" s="8"/>
      <c r="E655" s="8"/>
      <c r="F655" s="10"/>
      <c r="G655" s="10"/>
      <c r="H655" s="10"/>
      <c r="I655" s="7"/>
      <c r="J655" s="12"/>
      <c r="K655" s="13"/>
      <c r="L655" s="14"/>
      <c r="M655" s="15"/>
      <c r="N655" s="15"/>
      <c r="O655" s="16"/>
      <c r="Q655" s="16"/>
    </row>
    <row r="656" spans="1:17" x14ac:dyDescent="0.3">
      <c r="A656" s="5"/>
      <c r="B656" s="6"/>
      <c r="C656" s="7"/>
      <c r="D656" s="8"/>
      <c r="E656" s="8"/>
      <c r="F656" s="10"/>
      <c r="G656" s="10"/>
      <c r="H656" s="10"/>
      <c r="I656" s="7"/>
      <c r="J656" s="12"/>
      <c r="K656" s="13"/>
      <c r="L656" s="14"/>
      <c r="M656" s="15"/>
      <c r="N656" s="15"/>
      <c r="O656" s="16"/>
      <c r="Q656" s="16"/>
    </row>
    <row r="657" spans="1:17" x14ac:dyDescent="0.3">
      <c r="A657" s="5"/>
      <c r="B657" s="6"/>
      <c r="C657" s="7"/>
      <c r="D657" s="8"/>
      <c r="E657" s="8"/>
      <c r="F657" s="10"/>
      <c r="G657" s="10"/>
      <c r="H657" s="10"/>
      <c r="I657" s="7"/>
      <c r="J657" s="12"/>
      <c r="K657" s="13"/>
      <c r="L657" s="14"/>
      <c r="M657" s="15"/>
      <c r="N657" s="15"/>
      <c r="O657" s="16"/>
      <c r="Q657" s="16"/>
    </row>
    <row r="658" spans="1:17" x14ac:dyDescent="0.3">
      <c r="A658" s="5"/>
      <c r="B658" s="6"/>
      <c r="C658" s="7"/>
      <c r="D658" s="8"/>
      <c r="E658" s="8"/>
      <c r="F658" s="10"/>
      <c r="G658" s="10"/>
      <c r="H658" s="10"/>
      <c r="I658" s="7"/>
      <c r="J658" s="12"/>
      <c r="K658" s="13"/>
      <c r="L658" s="14"/>
      <c r="M658" s="15"/>
      <c r="N658" s="15"/>
      <c r="O658" s="16"/>
      <c r="Q658" s="16"/>
    </row>
    <row r="659" spans="1:17" x14ac:dyDescent="0.3">
      <c r="A659" s="5"/>
      <c r="B659" s="6"/>
      <c r="C659" s="7"/>
      <c r="D659" s="8"/>
      <c r="E659" s="8"/>
      <c r="F659" s="10"/>
      <c r="G659" s="10"/>
      <c r="H659" s="10"/>
      <c r="I659" s="7"/>
      <c r="J659" s="12"/>
      <c r="K659" s="13"/>
      <c r="L659" s="14"/>
      <c r="M659" s="15"/>
      <c r="N659" s="15"/>
      <c r="O659" s="16"/>
      <c r="Q659" s="16"/>
    </row>
    <row r="660" spans="1:17" x14ac:dyDescent="0.3">
      <c r="A660" s="5"/>
      <c r="B660" s="6"/>
      <c r="C660" s="7"/>
      <c r="D660" s="8"/>
      <c r="E660" s="8"/>
      <c r="F660" s="10"/>
      <c r="G660" s="10"/>
      <c r="H660" s="10"/>
      <c r="I660" s="7"/>
      <c r="J660" s="12"/>
      <c r="K660" s="13"/>
      <c r="L660" s="14"/>
      <c r="M660" s="15"/>
      <c r="N660" s="15"/>
      <c r="O660" s="16"/>
      <c r="Q660" s="16"/>
    </row>
    <row r="661" spans="1:17" x14ac:dyDescent="0.3">
      <c r="A661" s="5"/>
      <c r="B661" s="6"/>
      <c r="C661" s="7"/>
      <c r="D661" s="8"/>
      <c r="E661" s="8"/>
      <c r="F661" s="10"/>
      <c r="G661" s="10"/>
      <c r="H661" s="10"/>
      <c r="I661" s="7"/>
      <c r="J661" s="12"/>
      <c r="K661" s="13"/>
      <c r="L661" s="14"/>
      <c r="M661" s="15"/>
      <c r="N661" s="15"/>
      <c r="O661" s="16"/>
      <c r="Q661" s="16"/>
    </row>
    <row r="662" spans="1:17" x14ac:dyDescent="0.3">
      <c r="A662" s="5"/>
      <c r="B662" s="6"/>
      <c r="C662" s="7"/>
      <c r="D662" s="8"/>
      <c r="E662" s="8"/>
      <c r="F662" s="10"/>
      <c r="G662" s="10"/>
      <c r="H662" s="10"/>
      <c r="I662" s="7"/>
      <c r="J662" s="12"/>
      <c r="K662" s="13"/>
      <c r="L662" s="14"/>
      <c r="M662" s="15"/>
      <c r="N662" s="15"/>
      <c r="O662" s="16"/>
      <c r="Q662" s="16"/>
    </row>
    <row r="663" spans="1:17" x14ac:dyDescent="0.3">
      <c r="A663" s="5"/>
      <c r="B663" s="6"/>
      <c r="C663" s="7"/>
      <c r="D663" s="8"/>
      <c r="E663" s="8"/>
      <c r="F663" s="10"/>
      <c r="G663" s="10"/>
      <c r="H663" s="10"/>
      <c r="I663" s="7"/>
      <c r="J663" s="12"/>
      <c r="K663" s="13"/>
      <c r="L663" s="14"/>
      <c r="M663" s="15"/>
      <c r="N663" s="15"/>
      <c r="O663" s="16"/>
      <c r="Q663" s="16"/>
    </row>
    <row r="664" spans="1:17" x14ac:dyDescent="0.3">
      <c r="A664" s="5"/>
      <c r="B664" s="6"/>
      <c r="C664" s="7"/>
      <c r="D664" s="8"/>
      <c r="E664" s="8"/>
      <c r="F664" s="10"/>
      <c r="G664" s="10"/>
      <c r="H664" s="10"/>
      <c r="I664" s="7"/>
      <c r="J664" s="12"/>
      <c r="K664" s="13"/>
      <c r="L664" s="14"/>
      <c r="M664" s="15"/>
      <c r="N664" s="15"/>
      <c r="O664" s="16"/>
      <c r="Q664" s="16"/>
    </row>
    <row r="665" spans="1:17" x14ac:dyDescent="0.3">
      <c r="A665" s="5"/>
      <c r="B665" s="6"/>
      <c r="C665" s="7"/>
      <c r="D665" s="8"/>
      <c r="E665" s="8"/>
      <c r="F665" s="10"/>
      <c r="G665" s="10"/>
      <c r="H665" s="10"/>
      <c r="I665" s="7"/>
      <c r="J665" s="12"/>
      <c r="K665" s="13"/>
      <c r="L665" s="14"/>
      <c r="M665" s="15"/>
      <c r="N665" s="15"/>
      <c r="O665" s="16"/>
      <c r="Q665" s="16"/>
    </row>
    <row r="666" spans="1:17" x14ac:dyDescent="0.3">
      <c r="A666" s="5"/>
      <c r="B666" s="6"/>
      <c r="C666" s="7"/>
      <c r="D666" s="8"/>
      <c r="E666" s="8"/>
      <c r="F666" s="10"/>
      <c r="G666" s="10"/>
      <c r="H666" s="10"/>
      <c r="I666" s="7"/>
      <c r="J666" s="12"/>
      <c r="K666" s="13"/>
      <c r="L666" s="14"/>
      <c r="M666" s="15"/>
      <c r="N666" s="15"/>
      <c r="O666" s="16"/>
      <c r="Q666" s="16"/>
    </row>
    <row r="667" spans="1:17" x14ac:dyDescent="0.3">
      <c r="A667" s="5"/>
      <c r="B667" s="6"/>
      <c r="C667" s="7"/>
      <c r="D667" s="8"/>
      <c r="E667" s="8"/>
      <c r="F667" s="10"/>
      <c r="G667" s="10"/>
      <c r="H667" s="10"/>
      <c r="I667" s="7"/>
      <c r="J667" s="12"/>
      <c r="K667" s="13"/>
      <c r="L667" s="14"/>
      <c r="M667" s="15"/>
      <c r="N667" s="15"/>
      <c r="O667" s="16"/>
      <c r="Q667" s="16"/>
    </row>
    <row r="668" spans="1:17" x14ac:dyDescent="0.3">
      <c r="A668" s="5"/>
      <c r="B668" s="6"/>
      <c r="C668" s="7"/>
      <c r="D668" s="8"/>
      <c r="E668" s="8"/>
      <c r="F668" s="10"/>
      <c r="G668" s="10"/>
      <c r="H668" s="10"/>
      <c r="I668" s="7"/>
      <c r="J668" s="12"/>
      <c r="K668" s="13"/>
      <c r="L668" s="14"/>
      <c r="M668" s="15"/>
      <c r="N668" s="15"/>
      <c r="O668" s="16"/>
      <c r="Q668" s="16"/>
    </row>
    <row r="669" spans="1:17" x14ac:dyDescent="0.3">
      <c r="A669" s="5"/>
      <c r="B669" s="6"/>
      <c r="C669" s="7"/>
      <c r="D669" s="8"/>
      <c r="E669" s="8"/>
      <c r="F669" s="10"/>
      <c r="G669" s="10"/>
      <c r="H669" s="10"/>
      <c r="I669" s="7"/>
      <c r="J669" s="12"/>
      <c r="K669" s="13"/>
      <c r="L669" s="14"/>
      <c r="M669" s="15"/>
      <c r="N669" s="15"/>
      <c r="O669" s="16"/>
      <c r="Q669" s="16"/>
    </row>
    <row r="670" spans="1:17" x14ac:dyDescent="0.3">
      <c r="A670" s="5"/>
      <c r="B670" s="6"/>
      <c r="C670" s="7"/>
      <c r="D670" s="8"/>
      <c r="E670" s="8"/>
      <c r="F670" s="10"/>
      <c r="G670" s="10"/>
      <c r="H670" s="10"/>
      <c r="I670" s="7"/>
      <c r="J670" s="12"/>
      <c r="K670" s="13"/>
      <c r="L670" s="14"/>
      <c r="M670" s="15"/>
      <c r="N670" s="15"/>
      <c r="O670" s="16"/>
      <c r="Q670" s="16"/>
    </row>
    <row r="671" spans="1:17" x14ac:dyDescent="0.3">
      <c r="A671" s="5"/>
      <c r="B671" s="6"/>
      <c r="C671" s="7"/>
      <c r="D671" s="8"/>
      <c r="E671" s="8"/>
      <c r="F671" s="10"/>
      <c r="G671" s="10"/>
      <c r="H671" s="10"/>
      <c r="I671" s="7"/>
      <c r="J671" s="12"/>
      <c r="K671" s="13"/>
      <c r="L671" s="14"/>
      <c r="M671" s="15"/>
      <c r="N671" s="15"/>
      <c r="O671" s="16"/>
      <c r="Q671" s="16"/>
    </row>
    <row r="672" spans="1:17" x14ac:dyDescent="0.3">
      <c r="A672" s="5"/>
      <c r="B672" s="6"/>
      <c r="C672" s="7"/>
      <c r="D672" s="8"/>
      <c r="E672" s="8"/>
      <c r="F672" s="10"/>
      <c r="G672" s="10"/>
      <c r="H672" s="10"/>
      <c r="I672" s="7"/>
      <c r="J672" s="12"/>
      <c r="K672" s="13"/>
      <c r="L672" s="14"/>
      <c r="M672" s="15"/>
      <c r="N672" s="15"/>
      <c r="O672" s="16"/>
      <c r="Q672" s="16"/>
    </row>
    <row r="673" spans="1:17" x14ac:dyDescent="0.3">
      <c r="A673" s="5"/>
      <c r="B673" s="6"/>
      <c r="C673" s="7"/>
      <c r="D673" s="8"/>
      <c r="E673" s="8"/>
      <c r="F673" s="10"/>
      <c r="G673" s="10"/>
      <c r="H673" s="10"/>
      <c r="I673" s="7"/>
      <c r="J673" s="12"/>
      <c r="K673" s="13"/>
      <c r="L673" s="14"/>
      <c r="M673" s="15"/>
      <c r="N673" s="15"/>
      <c r="O673" s="16"/>
      <c r="Q673" s="16"/>
    </row>
    <row r="674" spans="1:17" x14ac:dyDescent="0.3">
      <c r="A674" s="5"/>
      <c r="B674" s="6"/>
      <c r="C674" s="7"/>
      <c r="D674" s="8"/>
      <c r="E674" s="8"/>
      <c r="F674" s="10"/>
      <c r="G674" s="10"/>
      <c r="H674" s="10"/>
      <c r="I674" s="7"/>
      <c r="J674" s="12"/>
      <c r="K674" s="13"/>
      <c r="L674" s="14"/>
      <c r="M674" s="15"/>
      <c r="N674" s="15"/>
      <c r="O674" s="16"/>
      <c r="Q674" s="16"/>
    </row>
    <row r="675" spans="1:17" x14ac:dyDescent="0.3">
      <c r="A675" s="5"/>
      <c r="B675" s="6"/>
      <c r="C675" s="7"/>
      <c r="D675" s="8"/>
      <c r="E675" s="8"/>
      <c r="F675" s="10"/>
      <c r="G675" s="10"/>
      <c r="H675" s="10"/>
      <c r="I675" s="7"/>
      <c r="J675" s="12"/>
      <c r="K675" s="13"/>
      <c r="L675" s="14"/>
      <c r="M675" s="15"/>
      <c r="N675" s="15"/>
      <c r="O675" s="16"/>
      <c r="Q675" s="16"/>
    </row>
    <row r="676" spans="1:17" x14ac:dyDescent="0.3">
      <c r="A676" s="5"/>
      <c r="B676" s="6"/>
      <c r="C676" s="7"/>
      <c r="D676" s="8"/>
      <c r="E676" s="8"/>
      <c r="F676" s="10"/>
      <c r="G676" s="10"/>
      <c r="H676" s="10"/>
      <c r="I676" s="7"/>
      <c r="J676" s="12"/>
      <c r="K676" s="13"/>
      <c r="L676" s="14"/>
      <c r="M676" s="15"/>
      <c r="N676" s="15"/>
      <c r="O676" s="16"/>
      <c r="Q676" s="16"/>
    </row>
    <row r="677" spans="1:17" x14ac:dyDescent="0.3">
      <c r="A677" s="5"/>
      <c r="B677" s="6"/>
      <c r="C677" s="7"/>
      <c r="D677" s="8"/>
      <c r="E677" s="8"/>
      <c r="F677" s="10"/>
      <c r="G677" s="10"/>
      <c r="H677" s="10"/>
      <c r="I677" s="7"/>
      <c r="J677" s="12"/>
      <c r="K677" s="13"/>
      <c r="L677" s="14"/>
      <c r="M677" s="15"/>
      <c r="N677" s="15"/>
      <c r="O677" s="16"/>
      <c r="Q677" s="16"/>
    </row>
    <row r="678" spans="1:17" x14ac:dyDescent="0.3">
      <c r="A678" s="5"/>
      <c r="B678" s="6"/>
      <c r="C678" s="7"/>
      <c r="D678" s="8"/>
      <c r="E678" s="8"/>
      <c r="F678" s="10"/>
      <c r="G678" s="10"/>
      <c r="H678" s="10"/>
      <c r="I678" s="7"/>
      <c r="J678" s="12"/>
      <c r="K678" s="13"/>
      <c r="L678" s="14"/>
      <c r="M678" s="15"/>
      <c r="N678" s="15"/>
      <c r="O678" s="16"/>
      <c r="Q678" s="16"/>
    </row>
    <row r="679" spans="1:17" x14ac:dyDescent="0.3">
      <c r="A679" s="5"/>
      <c r="B679" s="6"/>
      <c r="C679" s="7"/>
      <c r="D679" s="8"/>
      <c r="E679" s="8"/>
      <c r="F679" s="10"/>
      <c r="G679" s="10"/>
      <c r="H679" s="10"/>
      <c r="I679" s="7"/>
      <c r="J679" s="12"/>
      <c r="K679" s="13"/>
      <c r="L679" s="14"/>
      <c r="M679" s="15"/>
      <c r="N679" s="15"/>
      <c r="O679" s="16"/>
      <c r="Q679" s="16"/>
    </row>
    <row r="680" spans="1:17" x14ac:dyDescent="0.3">
      <c r="A680" s="5"/>
      <c r="B680" s="6"/>
      <c r="C680" s="7"/>
      <c r="D680" s="8"/>
      <c r="E680" s="8"/>
      <c r="F680" s="10"/>
      <c r="G680" s="10"/>
      <c r="H680" s="10"/>
      <c r="I680" s="7"/>
      <c r="J680" s="12"/>
      <c r="K680" s="13"/>
      <c r="L680" s="14"/>
      <c r="M680" s="15"/>
      <c r="N680" s="15"/>
      <c r="O680" s="16"/>
      <c r="Q680" s="16"/>
    </row>
    <row r="681" spans="1:17" x14ac:dyDescent="0.3">
      <c r="A681" s="5"/>
      <c r="B681" s="6"/>
      <c r="C681" s="7"/>
      <c r="D681" s="8"/>
      <c r="E681" s="8"/>
      <c r="F681" s="10"/>
      <c r="G681" s="10"/>
      <c r="H681" s="10"/>
      <c r="I681" s="7"/>
      <c r="J681" s="12"/>
      <c r="K681" s="13"/>
      <c r="L681" s="14"/>
      <c r="M681" s="15"/>
      <c r="N681" s="15"/>
      <c r="O681" s="16"/>
      <c r="Q681" s="16"/>
    </row>
    <row r="682" spans="1:17" x14ac:dyDescent="0.3">
      <c r="A682" s="5"/>
      <c r="B682" s="6"/>
      <c r="C682" s="7"/>
      <c r="D682" s="8"/>
      <c r="E682" s="8"/>
      <c r="F682" s="10"/>
      <c r="G682" s="10"/>
      <c r="H682" s="10"/>
      <c r="I682" s="7"/>
      <c r="J682" s="12"/>
      <c r="K682" s="13"/>
      <c r="L682" s="14"/>
      <c r="M682" s="15"/>
      <c r="N682" s="15"/>
      <c r="O682" s="16"/>
      <c r="Q682" s="16"/>
    </row>
    <row r="683" spans="1:17" x14ac:dyDescent="0.3">
      <c r="A683" s="5"/>
      <c r="B683" s="6"/>
      <c r="C683" s="7"/>
      <c r="D683" s="8"/>
      <c r="E683" s="8"/>
      <c r="F683" s="10"/>
      <c r="G683" s="10"/>
      <c r="H683" s="10"/>
      <c r="I683" s="7"/>
      <c r="J683" s="12"/>
      <c r="K683" s="13"/>
      <c r="L683" s="14"/>
      <c r="M683" s="15"/>
      <c r="N683" s="15"/>
      <c r="O683" s="16"/>
      <c r="Q683" s="16"/>
    </row>
    <row r="684" spans="1:17" x14ac:dyDescent="0.3">
      <c r="A684" s="5"/>
      <c r="B684" s="6"/>
      <c r="C684" s="7"/>
      <c r="D684" s="8"/>
      <c r="E684" s="8"/>
      <c r="F684" s="10"/>
      <c r="G684" s="10"/>
      <c r="H684" s="10"/>
      <c r="I684" s="7"/>
      <c r="J684" s="12"/>
      <c r="K684" s="13"/>
      <c r="L684" s="14"/>
      <c r="M684" s="15"/>
      <c r="N684" s="15"/>
      <c r="O684" s="16"/>
      <c r="Q684" s="16"/>
    </row>
    <row r="685" spans="1:17" x14ac:dyDescent="0.3">
      <c r="A685" s="5"/>
      <c r="B685" s="6"/>
      <c r="C685" s="7"/>
      <c r="D685" s="8"/>
      <c r="E685" s="8"/>
      <c r="F685" s="10"/>
      <c r="G685" s="10"/>
      <c r="H685" s="10"/>
      <c r="I685" s="7"/>
      <c r="J685" s="12"/>
      <c r="K685" s="13"/>
      <c r="L685" s="14"/>
      <c r="M685" s="15"/>
      <c r="N685" s="15"/>
      <c r="O685" s="16"/>
      <c r="Q685" s="16"/>
    </row>
    <row r="686" spans="1:17" x14ac:dyDescent="0.3">
      <c r="A686" s="5"/>
      <c r="B686" s="6"/>
      <c r="C686" s="7"/>
      <c r="D686" s="8"/>
      <c r="E686" s="8"/>
      <c r="F686" s="10"/>
      <c r="G686" s="10"/>
      <c r="H686" s="10"/>
      <c r="I686" s="7"/>
      <c r="J686" s="12"/>
      <c r="K686" s="13"/>
      <c r="L686" s="14"/>
      <c r="M686" s="15"/>
      <c r="N686" s="15"/>
      <c r="O686" s="16"/>
      <c r="Q686" s="16"/>
    </row>
    <row r="687" spans="1:17" x14ac:dyDescent="0.3">
      <c r="A687" s="5"/>
      <c r="B687" s="6"/>
      <c r="C687" s="7"/>
      <c r="D687" s="8"/>
      <c r="E687" s="8"/>
      <c r="F687" s="10"/>
      <c r="G687" s="10"/>
      <c r="H687" s="10"/>
      <c r="I687" s="7"/>
      <c r="J687" s="12"/>
      <c r="K687" s="13"/>
      <c r="L687" s="14"/>
      <c r="M687" s="15"/>
      <c r="N687" s="15"/>
      <c r="O687" s="16"/>
      <c r="Q687" s="16"/>
    </row>
    <row r="688" spans="1:17" x14ac:dyDescent="0.3">
      <c r="A688" s="5"/>
      <c r="B688" s="6"/>
      <c r="C688" s="7"/>
      <c r="D688" s="8"/>
      <c r="E688" s="8"/>
      <c r="F688" s="10"/>
      <c r="G688" s="10"/>
      <c r="H688" s="10"/>
      <c r="I688" s="7"/>
      <c r="J688" s="12"/>
      <c r="K688" s="13"/>
      <c r="L688" s="14"/>
      <c r="M688" s="15"/>
      <c r="N688" s="15"/>
      <c r="O688" s="16"/>
      <c r="Q688" s="16"/>
    </row>
    <row r="689" spans="1:17" x14ac:dyDescent="0.3">
      <c r="A689" s="5"/>
      <c r="B689" s="6"/>
      <c r="C689" s="7"/>
      <c r="D689" s="8"/>
      <c r="E689" s="8"/>
      <c r="F689" s="10"/>
      <c r="G689" s="10"/>
      <c r="H689" s="10"/>
      <c r="I689" s="7"/>
      <c r="J689" s="12"/>
      <c r="K689" s="13"/>
      <c r="L689" s="14"/>
      <c r="M689" s="15"/>
      <c r="N689" s="15"/>
      <c r="O689" s="16"/>
      <c r="Q689" s="16"/>
    </row>
    <row r="690" spans="1:17" x14ac:dyDescent="0.3">
      <c r="A690" s="5"/>
      <c r="B690" s="6"/>
      <c r="C690" s="7"/>
      <c r="D690" s="8"/>
      <c r="E690" s="8"/>
      <c r="F690" s="10"/>
      <c r="G690" s="10"/>
      <c r="H690" s="10"/>
      <c r="I690" s="7"/>
      <c r="J690" s="12"/>
      <c r="K690" s="13"/>
      <c r="L690" s="14"/>
      <c r="M690" s="15"/>
      <c r="N690" s="15"/>
      <c r="O690" s="16"/>
      <c r="Q690" s="16"/>
    </row>
    <row r="691" spans="1:17" x14ac:dyDescent="0.3">
      <c r="A691" s="5"/>
      <c r="B691" s="6"/>
      <c r="C691" s="7"/>
      <c r="D691" s="8"/>
      <c r="E691" s="8"/>
      <c r="F691" s="10"/>
      <c r="G691" s="10"/>
      <c r="H691" s="10"/>
      <c r="I691" s="7"/>
      <c r="J691" s="12"/>
      <c r="K691" s="13"/>
      <c r="L691" s="14"/>
      <c r="M691" s="15"/>
      <c r="N691" s="15"/>
      <c r="O691" s="16"/>
      <c r="Q691" s="16"/>
    </row>
    <row r="692" spans="1:17" x14ac:dyDescent="0.3">
      <c r="A692" s="5"/>
      <c r="B692" s="6"/>
      <c r="C692" s="7"/>
      <c r="D692" s="8"/>
      <c r="E692" s="8"/>
      <c r="F692" s="10"/>
      <c r="G692" s="10"/>
      <c r="H692" s="10"/>
      <c r="I692" s="7"/>
      <c r="J692" s="12"/>
      <c r="K692" s="13"/>
      <c r="L692" s="14"/>
      <c r="M692" s="15"/>
      <c r="N692" s="15"/>
      <c r="O692" s="16"/>
      <c r="Q692" s="16"/>
    </row>
    <row r="693" spans="1:17" x14ac:dyDescent="0.3">
      <c r="A693" s="5"/>
      <c r="B693" s="6"/>
      <c r="C693" s="7"/>
      <c r="D693" s="8"/>
      <c r="E693" s="8"/>
      <c r="F693" s="10"/>
      <c r="G693" s="10"/>
      <c r="H693" s="10"/>
      <c r="I693" s="7"/>
      <c r="J693" s="12"/>
      <c r="K693" s="13"/>
      <c r="L693" s="14"/>
      <c r="M693" s="15"/>
      <c r="N693" s="15"/>
      <c r="O693" s="16"/>
      <c r="Q693" s="16"/>
    </row>
    <row r="694" spans="1:17" x14ac:dyDescent="0.3">
      <c r="A694" s="5"/>
      <c r="B694" s="6"/>
      <c r="C694" s="7"/>
      <c r="D694" s="8"/>
      <c r="E694" s="8"/>
      <c r="F694" s="10"/>
      <c r="G694" s="10"/>
      <c r="H694" s="10"/>
      <c r="I694" s="7"/>
      <c r="J694" s="12"/>
      <c r="K694" s="13"/>
      <c r="L694" s="14"/>
      <c r="M694" s="15"/>
      <c r="N694" s="15"/>
      <c r="O694" s="16"/>
      <c r="Q694" s="16"/>
    </row>
    <row r="695" spans="1:17" x14ac:dyDescent="0.3">
      <c r="A695" s="5"/>
      <c r="B695" s="6"/>
      <c r="C695" s="7"/>
      <c r="D695" s="8"/>
      <c r="E695" s="8"/>
      <c r="F695" s="10"/>
      <c r="G695" s="10"/>
      <c r="H695" s="10"/>
      <c r="I695" s="7"/>
      <c r="J695" s="12"/>
      <c r="K695" s="13"/>
      <c r="L695" s="14"/>
      <c r="M695" s="15"/>
      <c r="N695" s="15"/>
      <c r="O695" s="16"/>
      <c r="Q695" s="16"/>
    </row>
    <row r="696" spans="1:17" x14ac:dyDescent="0.3">
      <c r="A696" s="5"/>
      <c r="B696" s="6"/>
      <c r="C696" s="7"/>
      <c r="D696" s="8"/>
      <c r="E696" s="8"/>
      <c r="F696" s="10"/>
      <c r="G696" s="10"/>
      <c r="H696" s="10"/>
      <c r="I696" s="7"/>
      <c r="J696" s="12"/>
      <c r="K696" s="13"/>
      <c r="L696" s="14"/>
      <c r="M696" s="15"/>
      <c r="N696" s="15"/>
      <c r="O696" s="16"/>
      <c r="Q696" s="16"/>
    </row>
    <row r="697" spans="1:17" x14ac:dyDescent="0.3">
      <c r="A697" s="5"/>
      <c r="B697" s="6"/>
      <c r="C697" s="7"/>
      <c r="D697" s="8"/>
      <c r="E697" s="8"/>
      <c r="F697" s="10"/>
      <c r="G697" s="10"/>
      <c r="H697" s="10"/>
      <c r="I697" s="7"/>
      <c r="J697" s="12"/>
      <c r="K697" s="13"/>
      <c r="L697" s="14"/>
      <c r="M697" s="15"/>
      <c r="N697" s="15"/>
      <c r="O697" s="16"/>
      <c r="Q697" s="16"/>
    </row>
    <row r="698" spans="1:17" x14ac:dyDescent="0.3">
      <c r="A698" s="5"/>
      <c r="B698" s="6"/>
      <c r="C698" s="7"/>
      <c r="D698" s="8"/>
      <c r="E698" s="8"/>
      <c r="F698" s="10"/>
      <c r="G698" s="10"/>
      <c r="H698" s="10"/>
      <c r="I698" s="7"/>
      <c r="J698" s="12"/>
      <c r="K698" s="13"/>
      <c r="L698" s="14"/>
      <c r="M698" s="15"/>
      <c r="N698" s="15"/>
      <c r="O698" s="16"/>
      <c r="Q698" s="16"/>
    </row>
    <row r="699" spans="1:17" x14ac:dyDescent="0.3">
      <c r="A699" s="5"/>
      <c r="B699" s="6"/>
      <c r="C699" s="7"/>
      <c r="D699" s="8"/>
      <c r="E699" s="8"/>
      <c r="F699" s="10"/>
      <c r="G699" s="10"/>
      <c r="H699" s="10"/>
      <c r="I699" s="7"/>
      <c r="J699" s="12"/>
      <c r="K699" s="13"/>
      <c r="L699" s="14"/>
      <c r="M699" s="15"/>
      <c r="N699" s="15"/>
      <c r="O699" s="16"/>
      <c r="Q699" s="16"/>
    </row>
    <row r="700" spans="1:17" x14ac:dyDescent="0.3">
      <c r="A700" s="5"/>
      <c r="B700" s="6"/>
      <c r="C700" s="7"/>
      <c r="D700" s="8"/>
      <c r="E700" s="8"/>
      <c r="F700" s="10"/>
      <c r="G700" s="10"/>
      <c r="H700" s="10"/>
      <c r="I700" s="7"/>
      <c r="J700" s="12"/>
      <c r="K700" s="13"/>
      <c r="L700" s="14"/>
      <c r="M700" s="15"/>
      <c r="N700" s="15"/>
      <c r="O700" s="16"/>
      <c r="Q700" s="16"/>
    </row>
    <row r="701" spans="1:17" x14ac:dyDescent="0.3">
      <c r="A701" s="5"/>
      <c r="B701" s="6"/>
      <c r="C701" s="7"/>
      <c r="D701" s="8"/>
      <c r="E701" s="8"/>
      <c r="F701" s="10"/>
      <c r="G701" s="10"/>
      <c r="H701" s="10"/>
      <c r="I701" s="7"/>
      <c r="J701" s="12"/>
      <c r="K701" s="13"/>
      <c r="L701" s="14"/>
      <c r="M701" s="15"/>
      <c r="N701" s="15"/>
      <c r="O701" s="16"/>
      <c r="Q701" s="16"/>
    </row>
    <row r="702" spans="1:17" x14ac:dyDescent="0.3">
      <c r="A702" s="5"/>
      <c r="B702" s="6"/>
      <c r="C702" s="7"/>
      <c r="D702" s="8"/>
      <c r="E702" s="8"/>
      <c r="F702" s="10"/>
      <c r="G702" s="10"/>
      <c r="H702" s="10"/>
      <c r="I702" s="7"/>
      <c r="J702" s="12"/>
      <c r="K702" s="13"/>
      <c r="L702" s="14"/>
      <c r="M702" s="15"/>
      <c r="N702" s="15"/>
      <c r="O702" s="16"/>
      <c r="Q702" s="16"/>
    </row>
    <row r="703" spans="1:17" x14ac:dyDescent="0.3">
      <c r="A703" s="5"/>
      <c r="B703" s="6"/>
      <c r="C703" s="7"/>
      <c r="D703" s="8"/>
      <c r="E703" s="8"/>
      <c r="F703" s="10"/>
      <c r="G703" s="10"/>
      <c r="H703" s="10"/>
      <c r="I703" s="7"/>
      <c r="J703" s="12"/>
      <c r="K703" s="13"/>
      <c r="L703" s="14"/>
      <c r="M703" s="15"/>
      <c r="N703" s="15"/>
      <c r="O703" s="16"/>
      <c r="Q703" s="16"/>
    </row>
    <row r="704" spans="1:17" x14ac:dyDescent="0.3">
      <c r="A704" s="5"/>
      <c r="B704" s="6"/>
      <c r="C704" s="7"/>
      <c r="D704" s="8"/>
      <c r="E704" s="8"/>
      <c r="F704" s="10"/>
      <c r="G704" s="10"/>
      <c r="H704" s="10"/>
      <c r="I704" s="7"/>
      <c r="J704" s="12"/>
      <c r="K704" s="13"/>
      <c r="L704" s="14"/>
      <c r="M704" s="15"/>
      <c r="N704" s="15"/>
      <c r="O704" s="16"/>
      <c r="Q704" s="16"/>
    </row>
    <row r="705" spans="1:17" x14ac:dyDescent="0.3">
      <c r="A705" s="5"/>
      <c r="B705" s="6"/>
      <c r="C705" s="7"/>
      <c r="D705" s="8"/>
      <c r="E705" s="8"/>
      <c r="F705" s="10"/>
      <c r="G705" s="10"/>
      <c r="H705" s="10"/>
      <c r="I705" s="7"/>
      <c r="J705" s="12"/>
      <c r="K705" s="13"/>
      <c r="L705" s="14"/>
      <c r="M705" s="15"/>
      <c r="N705" s="15"/>
      <c r="O705" s="16"/>
      <c r="Q705" s="16"/>
    </row>
    <row r="706" spans="1:17" x14ac:dyDescent="0.3">
      <c r="A706" s="5"/>
      <c r="B706" s="6"/>
      <c r="C706" s="7"/>
      <c r="D706" s="8"/>
      <c r="E706" s="8"/>
      <c r="F706" s="10"/>
      <c r="G706" s="10"/>
      <c r="H706" s="10"/>
      <c r="I706" s="7"/>
      <c r="J706" s="12"/>
      <c r="K706" s="13"/>
      <c r="L706" s="14"/>
      <c r="M706" s="15"/>
      <c r="N706" s="15"/>
      <c r="O706" s="16"/>
      <c r="Q706" s="16"/>
    </row>
    <row r="707" spans="1:17" x14ac:dyDescent="0.3">
      <c r="A707" s="5"/>
      <c r="B707" s="6"/>
      <c r="C707" s="7"/>
      <c r="D707" s="8"/>
      <c r="E707" s="8"/>
      <c r="F707" s="10"/>
      <c r="G707" s="10"/>
      <c r="H707" s="10"/>
      <c r="I707" s="7"/>
      <c r="J707" s="12"/>
      <c r="K707" s="13"/>
      <c r="L707" s="14"/>
      <c r="M707" s="15"/>
      <c r="N707" s="15"/>
      <c r="O707" s="16"/>
      <c r="Q707" s="16"/>
    </row>
    <row r="708" spans="1:17" x14ac:dyDescent="0.3">
      <c r="A708" s="5"/>
      <c r="B708" s="6"/>
      <c r="C708" s="7"/>
      <c r="D708" s="8"/>
      <c r="E708" s="8"/>
      <c r="F708" s="10"/>
      <c r="G708" s="10"/>
      <c r="H708" s="10"/>
      <c r="I708" s="7"/>
      <c r="J708" s="12"/>
      <c r="K708" s="13"/>
      <c r="L708" s="14"/>
      <c r="M708" s="15"/>
      <c r="N708" s="15"/>
      <c r="O708" s="16"/>
      <c r="Q708" s="16"/>
    </row>
    <row r="709" spans="1:17" x14ac:dyDescent="0.3">
      <c r="A709" s="5"/>
      <c r="B709" s="6"/>
      <c r="C709" s="7"/>
      <c r="D709" s="8"/>
      <c r="E709" s="8"/>
      <c r="F709" s="10"/>
      <c r="G709" s="10"/>
      <c r="H709" s="10"/>
      <c r="I709" s="7"/>
      <c r="J709" s="12"/>
      <c r="K709" s="13"/>
      <c r="L709" s="14"/>
      <c r="M709" s="15"/>
      <c r="N709" s="15"/>
      <c r="O709" s="16"/>
      <c r="Q709" s="16"/>
    </row>
    <row r="710" spans="1:17" x14ac:dyDescent="0.3">
      <c r="A710" s="5"/>
      <c r="B710" s="6"/>
      <c r="C710" s="7"/>
      <c r="D710" s="8"/>
      <c r="E710" s="8"/>
      <c r="F710" s="10"/>
      <c r="G710" s="10"/>
      <c r="H710" s="10"/>
      <c r="I710" s="7"/>
      <c r="J710" s="12"/>
      <c r="K710" s="13"/>
      <c r="L710" s="14"/>
      <c r="M710" s="15"/>
      <c r="N710" s="15"/>
      <c r="O710" s="16"/>
      <c r="Q710" s="16"/>
    </row>
    <row r="711" spans="1:17" x14ac:dyDescent="0.3">
      <c r="A711" s="5"/>
      <c r="B711" s="6"/>
      <c r="C711" s="7"/>
      <c r="D711" s="8"/>
      <c r="E711" s="8"/>
      <c r="F711" s="10"/>
      <c r="G711" s="10"/>
      <c r="H711" s="10"/>
      <c r="I711" s="7"/>
      <c r="J711" s="12"/>
      <c r="K711" s="13"/>
      <c r="L711" s="14"/>
      <c r="M711" s="15"/>
      <c r="N711" s="15"/>
      <c r="O711" s="16"/>
      <c r="Q711" s="16"/>
    </row>
    <row r="712" spans="1:17" x14ac:dyDescent="0.3">
      <c r="A712" s="5"/>
      <c r="B712" s="6"/>
      <c r="C712" s="7"/>
      <c r="D712" s="8"/>
      <c r="E712" s="8"/>
      <c r="F712" s="10"/>
      <c r="G712" s="10"/>
      <c r="H712" s="10"/>
      <c r="I712" s="7"/>
      <c r="J712" s="12"/>
      <c r="K712" s="13"/>
      <c r="L712" s="14"/>
      <c r="M712" s="15"/>
      <c r="N712" s="15"/>
      <c r="O712" s="16"/>
      <c r="Q712" s="16"/>
    </row>
    <row r="713" spans="1:17" x14ac:dyDescent="0.3">
      <c r="A713" s="5"/>
      <c r="B713" s="6"/>
      <c r="C713" s="7"/>
      <c r="D713" s="8"/>
      <c r="E713" s="8"/>
      <c r="F713" s="10"/>
      <c r="G713" s="10"/>
      <c r="H713" s="10"/>
      <c r="I713" s="7"/>
      <c r="J713" s="12"/>
      <c r="K713" s="13"/>
      <c r="L713" s="14"/>
      <c r="M713" s="15"/>
      <c r="N713" s="15"/>
      <c r="O713" s="16"/>
      <c r="Q713" s="16"/>
    </row>
    <row r="714" spans="1:17" x14ac:dyDescent="0.3">
      <c r="A714" s="5"/>
      <c r="B714" s="6"/>
      <c r="C714" s="7"/>
      <c r="D714" s="8"/>
      <c r="E714" s="8"/>
      <c r="F714" s="10"/>
      <c r="G714" s="10"/>
      <c r="H714" s="10"/>
      <c r="I714" s="7"/>
      <c r="J714" s="12"/>
      <c r="K714" s="13"/>
      <c r="L714" s="14"/>
      <c r="M714" s="15"/>
      <c r="N714" s="15"/>
      <c r="O714" s="16"/>
      <c r="Q714" s="16"/>
    </row>
    <row r="715" spans="1:17" x14ac:dyDescent="0.3">
      <c r="A715" s="5"/>
      <c r="B715" s="6"/>
      <c r="C715" s="7"/>
      <c r="D715" s="8"/>
      <c r="E715" s="8"/>
      <c r="F715" s="10"/>
      <c r="G715" s="10"/>
      <c r="H715" s="10"/>
      <c r="I715" s="7"/>
      <c r="J715" s="12"/>
      <c r="K715" s="13"/>
      <c r="L715" s="14"/>
      <c r="M715" s="15"/>
      <c r="N715" s="15"/>
      <c r="O715" s="16"/>
      <c r="Q715" s="16"/>
    </row>
    <row r="716" spans="1:17" x14ac:dyDescent="0.3">
      <c r="A716" s="5"/>
      <c r="B716" s="6"/>
      <c r="C716" s="7"/>
      <c r="D716" s="8"/>
      <c r="E716" s="8"/>
      <c r="F716" s="10"/>
      <c r="G716" s="10"/>
      <c r="H716" s="10"/>
      <c r="I716" s="7"/>
      <c r="J716" s="12"/>
      <c r="K716" s="13"/>
      <c r="L716" s="14"/>
      <c r="M716" s="15"/>
      <c r="N716" s="15"/>
      <c r="O716" s="16"/>
      <c r="Q716" s="16"/>
    </row>
    <row r="717" spans="1:17" x14ac:dyDescent="0.3">
      <c r="A717" s="5"/>
      <c r="B717" s="6"/>
      <c r="C717" s="7"/>
      <c r="D717" s="8"/>
      <c r="E717" s="8"/>
      <c r="F717" s="10"/>
      <c r="G717" s="10"/>
      <c r="H717" s="10"/>
      <c r="I717" s="7"/>
      <c r="J717" s="12"/>
      <c r="K717" s="13"/>
      <c r="L717" s="14"/>
      <c r="M717" s="15"/>
      <c r="N717" s="15"/>
      <c r="O717" s="16"/>
      <c r="Q717" s="16"/>
    </row>
    <row r="718" spans="1:17" x14ac:dyDescent="0.3">
      <c r="A718" s="5"/>
      <c r="B718" s="6"/>
      <c r="C718" s="7"/>
      <c r="D718" s="8"/>
      <c r="E718" s="8"/>
      <c r="F718" s="10"/>
      <c r="G718" s="10"/>
      <c r="H718" s="10"/>
      <c r="I718" s="7"/>
      <c r="J718" s="12"/>
      <c r="K718" s="13"/>
      <c r="L718" s="14"/>
      <c r="M718" s="15"/>
      <c r="N718" s="15"/>
      <c r="O718" s="16"/>
      <c r="Q718" s="16"/>
    </row>
    <row r="719" spans="1:17" x14ac:dyDescent="0.3">
      <c r="A719" s="5"/>
      <c r="B719" s="6"/>
      <c r="C719" s="7"/>
      <c r="D719" s="8"/>
      <c r="E719" s="8"/>
      <c r="F719" s="10"/>
      <c r="G719" s="10"/>
      <c r="H719" s="10"/>
      <c r="I719" s="7"/>
      <c r="J719" s="12"/>
      <c r="K719" s="13"/>
      <c r="L719" s="14"/>
      <c r="M719" s="15"/>
      <c r="N719" s="15"/>
      <c r="O719" s="16"/>
      <c r="Q719" s="16"/>
    </row>
    <row r="720" spans="1:17" x14ac:dyDescent="0.3">
      <c r="A720" s="5"/>
      <c r="B720" s="6"/>
      <c r="C720" s="7"/>
      <c r="D720" s="8"/>
      <c r="E720" s="8"/>
      <c r="F720" s="10"/>
      <c r="G720" s="10"/>
      <c r="H720" s="10"/>
      <c r="I720" s="7"/>
      <c r="J720" s="12"/>
      <c r="K720" s="13"/>
      <c r="L720" s="14"/>
      <c r="M720" s="15"/>
      <c r="N720" s="15"/>
      <c r="O720" s="16"/>
      <c r="Q720" s="16"/>
    </row>
    <row r="721" spans="1:17" x14ac:dyDescent="0.3">
      <c r="A721" s="5"/>
      <c r="B721" s="6"/>
      <c r="C721" s="7"/>
      <c r="D721" s="8"/>
      <c r="E721" s="8"/>
      <c r="F721" s="10"/>
      <c r="G721" s="10"/>
      <c r="H721" s="10"/>
      <c r="I721" s="7"/>
      <c r="J721" s="12"/>
      <c r="K721" s="13"/>
      <c r="L721" s="14"/>
      <c r="M721" s="15"/>
      <c r="N721" s="15"/>
      <c r="O721" s="16"/>
      <c r="Q721" s="16"/>
    </row>
    <row r="722" spans="1:17" x14ac:dyDescent="0.3">
      <c r="A722" s="5"/>
      <c r="B722" s="6"/>
      <c r="C722" s="7"/>
      <c r="D722" s="8"/>
      <c r="E722" s="8"/>
      <c r="F722" s="10"/>
      <c r="G722" s="10"/>
      <c r="H722" s="10"/>
      <c r="I722" s="7"/>
      <c r="J722" s="12"/>
      <c r="K722" s="13"/>
      <c r="L722" s="14"/>
      <c r="M722" s="15"/>
      <c r="N722" s="15"/>
      <c r="O722" s="16"/>
      <c r="Q722" s="16"/>
    </row>
    <row r="723" spans="1:17" x14ac:dyDescent="0.3">
      <c r="A723" s="5"/>
      <c r="B723" s="6"/>
      <c r="C723" s="7"/>
      <c r="D723" s="8"/>
      <c r="E723" s="8"/>
      <c r="F723" s="10"/>
      <c r="G723" s="10"/>
      <c r="H723" s="10"/>
      <c r="I723" s="7"/>
      <c r="J723" s="12"/>
      <c r="K723" s="13"/>
      <c r="L723" s="14"/>
      <c r="M723" s="15"/>
      <c r="N723" s="15"/>
      <c r="O723" s="16"/>
      <c r="Q723" s="16"/>
    </row>
    <row r="724" spans="1:17" x14ac:dyDescent="0.3">
      <c r="A724" s="5"/>
      <c r="B724" s="6"/>
      <c r="C724" s="7"/>
      <c r="D724" s="8"/>
      <c r="E724" s="8"/>
      <c r="F724" s="10"/>
      <c r="G724" s="10"/>
      <c r="H724" s="10"/>
      <c r="I724" s="7"/>
      <c r="J724" s="12"/>
      <c r="K724" s="13"/>
      <c r="L724" s="14"/>
      <c r="M724" s="15"/>
      <c r="N724" s="15"/>
      <c r="O724" s="16"/>
      <c r="Q724" s="16"/>
    </row>
    <row r="725" spans="1:17" x14ac:dyDescent="0.3">
      <c r="A725" s="5"/>
      <c r="B725" s="6"/>
      <c r="C725" s="7"/>
      <c r="D725" s="8"/>
      <c r="E725" s="8"/>
      <c r="F725" s="10"/>
      <c r="G725" s="10"/>
      <c r="H725" s="10"/>
      <c r="I725" s="7"/>
      <c r="J725" s="12"/>
      <c r="K725" s="13"/>
      <c r="L725" s="14"/>
      <c r="M725" s="15"/>
      <c r="N725" s="15"/>
      <c r="O725" s="16"/>
      <c r="Q725" s="16"/>
    </row>
    <row r="726" spans="1:17" x14ac:dyDescent="0.3">
      <c r="A726" s="5"/>
      <c r="B726" s="6"/>
      <c r="C726" s="7"/>
      <c r="D726" s="8"/>
      <c r="E726" s="8"/>
      <c r="F726" s="10"/>
      <c r="G726" s="10"/>
      <c r="H726" s="10"/>
      <c r="I726" s="7"/>
      <c r="J726" s="12"/>
      <c r="K726" s="13"/>
      <c r="L726" s="14"/>
      <c r="M726" s="15"/>
      <c r="N726" s="15"/>
      <c r="O726" s="16"/>
      <c r="Q726" s="16"/>
    </row>
    <row r="727" spans="1:17" x14ac:dyDescent="0.3">
      <c r="A727" s="5"/>
      <c r="B727" s="6"/>
      <c r="C727" s="7"/>
      <c r="D727" s="8"/>
      <c r="E727" s="8"/>
      <c r="F727" s="10"/>
      <c r="G727" s="10"/>
      <c r="H727" s="10"/>
      <c r="I727" s="7"/>
      <c r="J727" s="12"/>
      <c r="K727" s="13"/>
      <c r="L727" s="14"/>
      <c r="M727" s="15"/>
      <c r="N727" s="15"/>
      <c r="O727" s="16"/>
      <c r="Q727" s="16"/>
    </row>
    <row r="728" spans="1:17" x14ac:dyDescent="0.3">
      <c r="A728" s="5"/>
      <c r="B728" s="6"/>
      <c r="C728" s="7"/>
      <c r="D728" s="8"/>
      <c r="E728" s="8"/>
      <c r="F728" s="10"/>
      <c r="G728" s="10"/>
      <c r="H728" s="10"/>
      <c r="I728" s="7"/>
      <c r="J728" s="12"/>
      <c r="K728" s="13"/>
      <c r="L728" s="14"/>
      <c r="M728" s="15"/>
      <c r="N728" s="15"/>
      <c r="O728" s="16"/>
      <c r="Q728" s="16"/>
    </row>
    <row r="729" spans="1:17" x14ac:dyDescent="0.3">
      <c r="A729" s="5"/>
      <c r="B729" s="6"/>
      <c r="C729" s="7"/>
      <c r="D729" s="8"/>
      <c r="E729" s="8"/>
      <c r="F729" s="10"/>
      <c r="G729" s="10"/>
      <c r="H729" s="10"/>
      <c r="I729" s="7"/>
      <c r="J729" s="12"/>
      <c r="K729" s="13"/>
      <c r="L729" s="14"/>
      <c r="M729" s="15"/>
      <c r="N729" s="15"/>
      <c r="O729" s="16"/>
      <c r="Q729" s="16"/>
    </row>
    <row r="730" spans="1:17" x14ac:dyDescent="0.3">
      <c r="A730" s="5"/>
      <c r="B730" s="6"/>
      <c r="C730" s="7"/>
      <c r="D730" s="8"/>
      <c r="E730" s="8"/>
      <c r="F730" s="10"/>
      <c r="G730" s="10"/>
      <c r="H730" s="10"/>
      <c r="I730" s="7"/>
      <c r="J730" s="12"/>
      <c r="K730" s="13"/>
      <c r="L730" s="14"/>
      <c r="M730" s="15"/>
      <c r="N730" s="15"/>
      <c r="O730" s="16"/>
      <c r="Q730" s="16"/>
    </row>
    <row r="731" spans="1:17" x14ac:dyDescent="0.3">
      <c r="A731" s="5"/>
      <c r="B731" s="6"/>
      <c r="C731" s="7"/>
      <c r="D731" s="8"/>
      <c r="E731" s="8"/>
      <c r="F731" s="10"/>
      <c r="G731" s="10"/>
      <c r="H731" s="10"/>
      <c r="I731" s="7"/>
      <c r="J731" s="12"/>
      <c r="K731" s="13"/>
      <c r="L731" s="14"/>
      <c r="M731" s="15"/>
      <c r="N731" s="15"/>
      <c r="O731" s="16"/>
      <c r="Q731" s="16"/>
    </row>
    <row r="732" spans="1:17" x14ac:dyDescent="0.3">
      <c r="A732" s="5"/>
      <c r="B732" s="6"/>
      <c r="C732" s="7"/>
      <c r="D732" s="8"/>
      <c r="E732" s="8"/>
      <c r="F732" s="10"/>
      <c r="G732" s="10"/>
      <c r="H732" s="10"/>
      <c r="I732" s="7"/>
      <c r="J732" s="12"/>
      <c r="K732" s="13"/>
      <c r="L732" s="14"/>
      <c r="M732" s="15"/>
      <c r="N732" s="15"/>
      <c r="O732" s="16"/>
      <c r="Q732" s="16"/>
    </row>
    <row r="733" spans="1:17" x14ac:dyDescent="0.3">
      <c r="A733" s="5"/>
      <c r="B733" s="6"/>
      <c r="C733" s="7"/>
      <c r="D733" s="8"/>
      <c r="E733" s="8"/>
      <c r="F733" s="10"/>
      <c r="G733" s="10"/>
      <c r="H733" s="10"/>
      <c r="I733" s="7"/>
      <c r="J733" s="12"/>
      <c r="K733" s="13"/>
      <c r="L733" s="14"/>
      <c r="M733" s="15"/>
      <c r="N733" s="15"/>
      <c r="O733" s="16"/>
      <c r="Q733" s="16"/>
    </row>
    <row r="734" spans="1:17" x14ac:dyDescent="0.3">
      <c r="A734" s="5"/>
      <c r="B734" s="6"/>
      <c r="C734" s="7"/>
      <c r="D734" s="8"/>
      <c r="E734" s="8"/>
      <c r="F734" s="10"/>
      <c r="G734" s="10"/>
      <c r="H734" s="10"/>
      <c r="I734" s="7"/>
      <c r="J734" s="12"/>
      <c r="K734" s="13"/>
      <c r="L734" s="14"/>
      <c r="M734" s="15"/>
      <c r="N734" s="15"/>
      <c r="O734" s="16"/>
      <c r="Q734" s="16"/>
    </row>
    <row r="735" spans="1:17" x14ac:dyDescent="0.3">
      <c r="A735" s="5"/>
      <c r="B735" s="6"/>
      <c r="C735" s="7"/>
      <c r="D735" s="8"/>
      <c r="E735" s="8"/>
      <c r="F735" s="10"/>
      <c r="G735" s="10"/>
      <c r="H735" s="10"/>
      <c r="I735" s="7"/>
      <c r="J735" s="12"/>
      <c r="K735" s="13"/>
      <c r="L735" s="14"/>
      <c r="M735" s="15"/>
      <c r="N735" s="15"/>
      <c r="O735" s="16"/>
      <c r="Q735" s="16"/>
    </row>
    <row r="736" spans="1:17" x14ac:dyDescent="0.3">
      <c r="A736" s="5"/>
      <c r="B736" s="6"/>
      <c r="C736" s="7"/>
      <c r="D736" s="8"/>
      <c r="E736" s="8"/>
      <c r="F736" s="10"/>
      <c r="G736" s="10"/>
      <c r="H736" s="10"/>
      <c r="I736" s="7"/>
      <c r="J736" s="12"/>
      <c r="K736" s="13"/>
      <c r="L736" s="14"/>
      <c r="M736" s="15"/>
      <c r="N736" s="15"/>
      <c r="O736" s="16"/>
      <c r="Q736" s="16"/>
    </row>
    <row r="737" spans="1:17" x14ac:dyDescent="0.3">
      <c r="A737" s="5"/>
      <c r="B737" s="6"/>
      <c r="C737" s="7"/>
      <c r="D737" s="8"/>
      <c r="E737" s="8"/>
      <c r="F737" s="10"/>
      <c r="G737" s="10"/>
      <c r="H737" s="10"/>
      <c r="I737" s="7"/>
      <c r="J737" s="12"/>
      <c r="K737" s="13"/>
      <c r="L737" s="14"/>
      <c r="M737" s="15"/>
      <c r="N737" s="15"/>
      <c r="O737" s="16"/>
      <c r="Q737" s="16"/>
    </row>
    <row r="738" spans="1:17" x14ac:dyDescent="0.3">
      <c r="A738" s="5"/>
      <c r="B738" s="6"/>
      <c r="C738" s="7"/>
      <c r="D738" s="8"/>
      <c r="E738" s="8"/>
      <c r="F738" s="10"/>
      <c r="G738" s="10"/>
      <c r="H738" s="10"/>
      <c r="I738" s="7"/>
      <c r="J738" s="12"/>
      <c r="K738" s="13"/>
      <c r="L738" s="14"/>
      <c r="M738" s="15"/>
      <c r="N738" s="15"/>
      <c r="O738" s="16"/>
      <c r="Q738" s="16"/>
    </row>
    <row r="739" spans="1:17" x14ac:dyDescent="0.3">
      <c r="A739" s="5"/>
      <c r="B739" s="6"/>
      <c r="C739" s="7"/>
      <c r="D739" s="8"/>
      <c r="E739" s="8"/>
      <c r="F739" s="10"/>
      <c r="G739" s="10"/>
      <c r="H739" s="10"/>
      <c r="I739" s="7"/>
      <c r="J739" s="12"/>
      <c r="K739" s="13"/>
      <c r="L739" s="14"/>
      <c r="M739" s="15"/>
      <c r="N739" s="15"/>
      <c r="O739" s="16"/>
      <c r="Q739" s="16"/>
    </row>
    <row r="740" spans="1:17" x14ac:dyDescent="0.3">
      <c r="A740" s="5"/>
      <c r="B740" s="6"/>
      <c r="C740" s="7"/>
      <c r="D740" s="8"/>
      <c r="E740" s="8"/>
      <c r="F740" s="10"/>
      <c r="G740" s="10"/>
      <c r="H740" s="10"/>
      <c r="I740" s="7"/>
      <c r="J740" s="12"/>
      <c r="K740" s="13"/>
      <c r="L740" s="14"/>
      <c r="M740" s="15"/>
      <c r="N740" s="15"/>
      <c r="O740" s="16"/>
      <c r="Q740" s="16"/>
    </row>
    <row r="741" spans="1:17" x14ac:dyDescent="0.3">
      <c r="A741" s="5"/>
      <c r="B741" s="6"/>
      <c r="C741" s="7"/>
      <c r="D741" s="8"/>
      <c r="E741" s="8"/>
      <c r="F741" s="10"/>
      <c r="G741" s="10"/>
      <c r="H741" s="10"/>
      <c r="I741" s="7"/>
      <c r="J741" s="12"/>
      <c r="K741" s="13"/>
      <c r="L741" s="14"/>
      <c r="M741" s="15"/>
      <c r="N741" s="15"/>
      <c r="O741" s="16"/>
      <c r="Q741" s="16"/>
    </row>
    <row r="742" spans="1:17" x14ac:dyDescent="0.3">
      <c r="A742" s="5"/>
      <c r="B742" s="6"/>
      <c r="C742" s="7"/>
      <c r="D742" s="8"/>
      <c r="E742" s="8"/>
      <c r="F742" s="10"/>
      <c r="G742" s="10"/>
      <c r="H742" s="10"/>
      <c r="I742" s="7"/>
      <c r="J742" s="12"/>
      <c r="K742" s="13"/>
      <c r="L742" s="14"/>
      <c r="M742" s="15"/>
      <c r="N742" s="15"/>
      <c r="O742" s="16"/>
      <c r="Q742" s="16"/>
    </row>
    <row r="743" spans="1:17" x14ac:dyDescent="0.3">
      <c r="A743" s="5"/>
      <c r="B743" s="6"/>
      <c r="C743" s="7"/>
      <c r="D743" s="8"/>
      <c r="E743" s="8"/>
      <c r="F743" s="10"/>
      <c r="G743" s="10"/>
      <c r="H743" s="10"/>
      <c r="I743" s="7"/>
      <c r="J743" s="12"/>
      <c r="K743" s="13"/>
      <c r="L743" s="14"/>
      <c r="M743" s="15"/>
      <c r="N743" s="15"/>
      <c r="O743" s="16"/>
      <c r="Q743" s="16"/>
    </row>
    <row r="744" spans="1:17" x14ac:dyDescent="0.3">
      <c r="A744" s="5"/>
      <c r="B744" s="6"/>
      <c r="C744" s="7"/>
      <c r="D744" s="8"/>
      <c r="E744" s="8"/>
      <c r="F744" s="10"/>
      <c r="G744" s="10"/>
      <c r="H744" s="10"/>
      <c r="I744" s="7"/>
      <c r="J744" s="12"/>
      <c r="K744" s="13"/>
      <c r="L744" s="14"/>
      <c r="M744" s="15"/>
      <c r="N744" s="15"/>
      <c r="O744" s="16"/>
      <c r="Q744" s="16"/>
    </row>
    <row r="745" spans="1:17" x14ac:dyDescent="0.3">
      <c r="A745" s="5"/>
      <c r="B745" s="6"/>
      <c r="C745" s="7"/>
      <c r="D745" s="8"/>
      <c r="E745" s="8"/>
      <c r="F745" s="10"/>
      <c r="G745" s="10"/>
      <c r="H745" s="10"/>
      <c r="I745" s="7"/>
      <c r="J745" s="12"/>
      <c r="K745" s="13"/>
      <c r="L745" s="14"/>
      <c r="M745" s="15"/>
      <c r="N745" s="15"/>
      <c r="O745" s="16"/>
      <c r="Q745" s="16"/>
    </row>
    <row r="746" spans="1:17" x14ac:dyDescent="0.3">
      <c r="A746" s="5"/>
      <c r="B746" s="6"/>
      <c r="C746" s="7"/>
      <c r="D746" s="8"/>
      <c r="E746" s="8"/>
      <c r="F746" s="10"/>
      <c r="G746" s="10"/>
      <c r="H746" s="10"/>
      <c r="I746" s="7"/>
      <c r="J746" s="12"/>
      <c r="K746" s="13"/>
      <c r="L746" s="14"/>
      <c r="M746" s="15"/>
      <c r="N746" s="15"/>
      <c r="O746" s="16"/>
      <c r="Q746" s="16"/>
    </row>
    <row r="747" spans="1:17" x14ac:dyDescent="0.3">
      <c r="A747" s="5"/>
      <c r="B747" s="6"/>
      <c r="C747" s="7"/>
      <c r="D747" s="8"/>
      <c r="E747" s="8"/>
      <c r="F747" s="10"/>
      <c r="G747" s="10"/>
      <c r="H747" s="10"/>
      <c r="I747" s="7"/>
      <c r="J747" s="12"/>
      <c r="K747" s="13"/>
      <c r="L747" s="14"/>
      <c r="M747" s="15"/>
      <c r="N747" s="15"/>
      <c r="O747" s="16"/>
      <c r="Q747" s="16"/>
    </row>
    <row r="748" spans="1:17" x14ac:dyDescent="0.3">
      <c r="A748" s="5"/>
      <c r="B748" s="6"/>
      <c r="C748" s="7"/>
      <c r="D748" s="8"/>
      <c r="E748" s="8"/>
      <c r="F748" s="10"/>
      <c r="G748" s="10"/>
      <c r="H748" s="10"/>
      <c r="I748" s="7"/>
      <c r="J748" s="12"/>
      <c r="K748" s="13"/>
      <c r="L748" s="14"/>
      <c r="M748" s="15"/>
      <c r="N748" s="15"/>
      <c r="O748" s="16"/>
      <c r="Q748" s="16"/>
    </row>
    <row r="749" spans="1:17" x14ac:dyDescent="0.3">
      <c r="A749" s="5"/>
      <c r="B749" s="6"/>
      <c r="C749" s="7"/>
      <c r="D749" s="8"/>
      <c r="E749" s="8"/>
      <c r="F749" s="10"/>
      <c r="G749" s="10"/>
      <c r="H749" s="10"/>
      <c r="I749" s="7"/>
      <c r="J749" s="12"/>
      <c r="K749" s="13"/>
      <c r="L749" s="14"/>
      <c r="M749" s="15"/>
      <c r="N749" s="15"/>
      <c r="O749" s="16"/>
      <c r="Q749" s="16"/>
    </row>
    <row r="750" spans="1:17" x14ac:dyDescent="0.3">
      <c r="A750" s="5"/>
      <c r="B750" s="6"/>
      <c r="C750" s="7"/>
      <c r="D750" s="8"/>
      <c r="E750" s="8"/>
      <c r="F750" s="10"/>
      <c r="G750" s="10"/>
      <c r="H750" s="10"/>
      <c r="I750" s="7"/>
      <c r="J750" s="12"/>
      <c r="K750" s="13"/>
      <c r="L750" s="14"/>
      <c r="M750" s="15"/>
      <c r="N750" s="15"/>
      <c r="O750" s="16"/>
      <c r="Q750" s="16"/>
    </row>
    <row r="751" spans="1:17" x14ac:dyDescent="0.3">
      <c r="A751" s="5"/>
      <c r="B751" s="6"/>
      <c r="C751" s="7"/>
      <c r="D751" s="8"/>
      <c r="E751" s="8"/>
      <c r="F751" s="10"/>
      <c r="G751" s="10"/>
      <c r="H751" s="10"/>
      <c r="I751" s="7"/>
      <c r="J751" s="12"/>
      <c r="K751" s="13"/>
      <c r="L751" s="14"/>
      <c r="M751" s="15"/>
      <c r="N751" s="15"/>
      <c r="O751" s="16"/>
      <c r="Q751" s="16"/>
    </row>
    <row r="752" spans="1:17" x14ac:dyDescent="0.3">
      <c r="A752" s="5"/>
      <c r="B752" s="6"/>
      <c r="C752" s="7"/>
      <c r="D752" s="8"/>
      <c r="E752" s="8"/>
      <c r="F752" s="10"/>
      <c r="G752" s="10"/>
      <c r="H752" s="10"/>
      <c r="I752" s="7"/>
      <c r="J752" s="12"/>
      <c r="K752" s="13"/>
      <c r="L752" s="14"/>
      <c r="M752" s="15"/>
      <c r="N752" s="15"/>
      <c r="O752" s="16"/>
      <c r="Q752" s="16"/>
    </row>
    <row r="753" spans="1:17" x14ac:dyDescent="0.3">
      <c r="A753" s="5"/>
      <c r="B753" s="6"/>
      <c r="C753" s="7"/>
      <c r="D753" s="8"/>
      <c r="E753" s="8"/>
      <c r="F753" s="10"/>
      <c r="G753" s="10"/>
      <c r="H753" s="10"/>
      <c r="I753" s="7"/>
      <c r="J753" s="12"/>
      <c r="K753" s="13"/>
      <c r="L753" s="14"/>
      <c r="M753" s="15"/>
      <c r="N753" s="15"/>
      <c r="O753" s="16"/>
      <c r="Q753" s="16"/>
    </row>
    <row r="754" spans="1:17" x14ac:dyDescent="0.3">
      <c r="A754" s="5"/>
      <c r="B754" s="6"/>
      <c r="C754" s="7"/>
      <c r="D754" s="8"/>
      <c r="E754" s="8"/>
      <c r="F754" s="10"/>
      <c r="G754" s="10"/>
      <c r="H754" s="10"/>
      <c r="I754" s="7"/>
      <c r="J754" s="12"/>
      <c r="K754" s="13"/>
      <c r="L754" s="14"/>
      <c r="M754" s="15"/>
      <c r="N754" s="15"/>
      <c r="O754" s="16"/>
      <c r="Q754" s="16"/>
    </row>
    <row r="755" spans="1:17" x14ac:dyDescent="0.3">
      <c r="A755" s="5"/>
      <c r="B755" s="6"/>
      <c r="C755" s="7"/>
      <c r="D755" s="8"/>
      <c r="E755" s="8"/>
      <c r="F755" s="10"/>
      <c r="G755" s="10"/>
      <c r="H755" s="10"/>
      <c r="I755" s="7"/>
      <c r="J755" s="12"/>
      <c r="K755" s="13"/>
      <c r="L755" s="14"/>
      <c r="M755" s="15"/>
      <c r="N755" s="15"/>
      <c r="O755" s="16"/>
      <c r="Q755" s="16"/>
    </row>
    <row r="756" spans="1:17" x14ac:dyDescent="0.3">
      <c r="A756" s="5"/>
      <c r="B756" s="6"/>
      <c r="C756" s="7"/>
      <c r="D756" s="8"/>
      <c r="E756" s="8"/>
      <c r="F756" s="10"/>
      <c r="G756" s="10"/>
      <c r="H756" s="10"/>
      <c r="I756" s="7"/>
      <c r="J756" s="12"/>
      <c r="K756" s="13"/>
      <c r="L756" s="14"/>
      <c r="M756" s="15"/>
      <c r="N756" s="15"/>
      <c r="O756" s="16"/>
      <c r="Q756" s="16"/>
    </row>
    <row r="757" spans="1:17" x14ac:dyDescent="0.3">
      <c r="A757" s="5"/>
      <c r="B757" s="6"/>
      <c r="C757" s="7"/>
      <c r="D757" s="8"/>
      <c r="E757" s="8"/>
      <c r="F757" s="10"/>
      <c r="G757" s="10"/>
      <c r="H757" s="10"/>
      <c r="I757" s="7"/>
      <c r="J757" s="12"/>
      <c r="K757" s="13"/>
      <c r="L757" s="14"/>
      <c r="M757" s="15"/>
      <c r="N757" s="15"/>
      <c r="O757" s="16"/>
      <c r="Q757" s="16"/>
    </row>
    <row r="758" spans="1:17" x14ac:dyDescent="0.3">
      <c r="A758" s="5"/>
      <c r="B758" s="6"/>
      <c r="C758" s="7"/>
      <c r="D758" s="8"/>
      <c r="E758" s="8"/>
      <c r="F758" s="10"/>
      <c r="G758" s="10"/>
      <c r="H758" s="10"/>
      <c r="I758" s="7"/>
      <c r="J758" s="12"/>
      <c r="K758" s="13"/>
      <c r="L758" s="14"/>
      <c r="M758" s="15"/>
      <c r="N758" s="15"/>
      <c r="O758" s="16"/>
      <c r="Q758" s="16"/>
    </row>
    <row r="759" spans="1:17" x14ac:dyDescent="0.3">
      <c r="A759" s="5"/>
      <c r="B759" s="6"/>
      <c r="C759" s="7"/>
      <c r="D759" s="8"/>
      <c r="E759" s="8"/>
      <c r="F759" s="10"/>
      <c r="G759" s="10"/>
      <c r="H759" s="10"/>
      <c r="I759" s="7"/>
      <c r="J759" s="12"/>
      <c r="K759" s="13"/>
      <c r="L759" s="14"/>
      <c r="M759" s="15"/>
      <c r="N759" s="15"/>
      <c r="O759" s="16"/>
      <c r="Q759" s="16"/>
    </row>
    <row r="760" spans="1:17" x14ac:dyDescent="0.3">
      <c r="A760" s="5"/>
      <c r="B760" s="6"/>
      <c r="C760" s="7"/>
      <c r="D760" s="8"/>
      <c r="E760" s="8"/>
      <c r="F760" s="10"/>
      <c r="G760" s="10"/>
      <c r="H760" s="10"/>
      <c r="I760" s="7"/>
      <c r="J760" s="12"/>
      <c r="K760" s="13"/>
      <c r="L760" s="14"/>
      <c r="M760" s="15"/>
      <c r="N760" s="15"/>
      <c r="O760" s="16"/>
      <c r="Q760" s="16"/>
    </row>
    <row r="761" spans="1:17" x14ac:dyDescent="0.3">
      <c r="A761" s="5"/>
      <c r="B761" s="6"/>
      <c r="C761" s="7"/>
      <c r="D761" s="8"/>
      <c r="E761" s="8"/>
      <c r="F761" s="10"/>
      <c r="G761" s="10"/>
      <c r="H761" s="10"/>
      <c r="I761" s="7"/>
      <c r="J761" s="12"/>
      <c r="K761" s="13"/>
      <c r="L761" s="14"/>
      <c r="M761" s="15"/>
      <c r="N761" s="15"/>
      <c r="O761" s="16"/>
      <c r="Q761" s="16"/>
    </row>
    <row r="762" spans="1:17" x14ac:dyDescent="0.3">
      <c r="A762" s="5"/>
      <c r="B762" s="6"/>
      <c r="C762" s="7"/>
      <c r="D762" s="8"/>
      <c r="E762" s="8"/>
      <c r="F762" s="10"/>
      <c r="G762" s="10"/>
      <c r="H762" s="10"/>
      <c r="I762" s="7"/>
      <c r="J762" s="12"/>
      <c r="K762" s="13"/>
      <c r="L762" s="14"/>
      <c r="M762" s="15"/>
      <c r="N762" s="15"/>
      <c r="O762" s="16"/>
      <c r="Q762" s="16"/>
    </row>
    <row r="763" spans="1:17" x14ac:dyDescent="0.3">
      <c r="A763" s="5"/>
      <c r="B763" s="6"/>
      <c r="C763" s="7"/>
      <c r="D763" s="8"/>
      <c r="E763" s="8"/>
      <c r="F763" s="10"/>
      <c r="G763" s="10"/>
      <c r="H763" s="10"/>
      <c r="I763" s="7"/>
      <c r="J763" s="12"/>
      <c r="K763" s="13"/>
      <c r="L763" s="14"/>
      <c r="M763" s="15"/>
      <c r="N763" s="15"/>
      <c r="O763" s="16"/>
      <c r="Q763" s="16"/>
    </row>
    <row r="764" spans="1:17" x14ac:dyDescent="0.3">
      <c r="A764" s="5"/>
      <c r="B764" s="6"/>
      <c r="C764" s="7"/>
      <c r="D764" s="8"/>
      <c r="E764" s="8"/>
      <c r="F764" s="10"/>
      <c r="G764" s="10"/>
      <c r="H764" s="10"/>
      <c r="I764" s="7"/>
      <c r="J764" s="12"/>
      <c r="K764" s="13"/>
      <c r="L764" s="14"/>
      <c r="M764" s="15"/>
      <c r="N764" s="15"/>
      <c r="O764" s="16"/>
      <c r="Q764" s="16"/>
    </row>
    <row r="765" spans="1:17" x14ac:dyDescent="0.3">
      <c r="A765" s="5"/>
      <c r="B765" s="6"/>
      <c r="C765" s="7"/>
      <c r="D765" s="8"/>
      <c r="E765" s="8"/>
      <c r="F765" s="10"/>
      <c r="G765" s="10"/>
      <c r="H765" s="10"/>
      <c r="I765" s="7"/>
      <c r="J765" s="12"/>
      <c r="K765" s="13"/>
      <c r="L765" s="14"/>
      <c r="M765" s="15"/>
      <c r="N765" s="15"/>
      <c r="O765" s="16"/>
      <c r="Q765" s="16"/>
    </row>
    <row r="766" spans="1:17" x14ac:dyDescent="0.3">
      <c r="A766" s="5"/>
      <c r="B766" s="6"/>
      <c r="C766" s="7"/>
      <c r="D766" s="8"/>
      <c r="E766" s="8"/>
      <c r="F766" s="10"/>
      <c r="G766" s="10"/>
      <c r="H766" s="10"/>
      <c r="I766" s="7"/>
      <c r="J766" s="12"/>
      <c r="K766" s="13"/>
      <c r="L766" s="14"/>
      <c r="M766" s="15"/>
      <c r="N766" s="15"/>
      <c r="O766" s="16"/>
      <c r="Q766" s="16"/>
    </row>
    <row r="767" spans="1:17" x14ac:dyDescent="0.3">
      <c r="A767" s="5"/>
      <c r="B767" s="6"/>
      <c r="C767" s="7"/>
      <c r="D767" s="8"/>
      <c r="E767" s="8"/>
      <c r="F767" s="10"/>
      <c r="G767" s="10"/>
      <c r="H767" s="10"/>
      <c r="I767" s="7"/>
      <c r="J767" s="12"/>
      <c r="K767" s="13"/>
      <c r="L767" s="14"/>
      <c r="M767" s="15"/>
      <c r="N767" s="15"/>
      <c r="O767" s="16"/>
      <c r="Q767" s="16"/>
    </row>
    <row r="768" spans="1:17" x14ac:dyDescent="0.3">
      <c r="A768" s="5"/>
      <c r="B768" s="6"/>
      <c r="C768" s="7"/>
      <c r="D768" s="8"/>
      <c r="E768" s="8"/>
      <c r="F768" s="10"/>
      <c r="G768" s="10"/>
      <c r="H768" s="10"/>
      <c r="I768" s="7"/>
      <c r="J768" s="12"/>
      <c r="K768" s="13"/>
      <c r="L768" s="14"/>
      <c r="M768" s="15"/>
      <c r="N768" s="15"/>
      <c r="O768" s="16"/>
      <c r="Q768" s="16"/>
    </row>
    <row r="769" spans="1:17" x14ac:dyDescent="0.3">
      <c r="A769" s="5"/>
      <c r="B769" s="6"/>
      <c r="C769" s="7"/>
      <c r="D769" s="8"/>
      <c r="E769" s="8"/>
      <c r="F769" s="10"/>
      <c r="G769" s="10"/>
      <c r="H769" s="10"/>
      <c r="I769" s="7"/>
      <c r="J769" s="12"/>
      <c r="K769" s="13"/>
      <c r="L769" s="14"/>
      <c r="M769" s="15"/>
      <c r="N769" s="15"/>
      <c r="O769" s="16"/>
      <c r="Q769" s="16"/>
    </row>
    <row r="770" spans="1:17" x14ac:dyDescent="0.3">
      <c r="A770" s="5"/>
      <c r="B770" s="6"/>
      <c r="C770" s="7"/>
      <c r="D770" s="8"/>
      <c r="E770" s="8"/>
      <c r="F770" s="10"/>
      <c r="G770" s="10"/>
      <c r="H770" s="10"/>
      <c r="I770" s="7"/>
      <c r="J770" s="12"/>
      <c r="K770" s="13"/>
      <c r="L770" s="14"/>
      <c r="M770" s="15"/>
      <c r="N770" s="15"/>
      <c r="O770" s="16"/>
      <c r="Q770" s="16"/>
    </row>
    <row r="771" spans="1:17" x14ac:dyDescent="0.3">
      <c r="A771" s="5"/>
      <c r="B771" s="6"/>
      <c r="C771" s="7"/>
      <c r="D771" s="8"/>
      <c r="E771" s="8"/>
      <c r="F771" s="10"/>
      <c r="G771" s="10"/>
      <c r="H771" s="10"/>
      <c r="I771" s="7"/>
      <c r="J771" s="12"/>
      <c r="K771" s="13"/>
      <c r="L771" s="14"/>
      <c r="M771" s="15"/>
      <c r="N771" s="15"/>
      <c r="O771" s="16"/>
      <c r="Q771" s="16"/>
    </row>
    <row r="772" spans="1:17" x14ac:dyDescent="0.3">
      <c r="A772" s="5"/>
      <c r="B772" s="6"/>
      <c r="C772" s="7"/>
      <c r="D772" s="8"/>
      <c r="E772" s="8"/>
      <c r="F772" s="10"/>
      <c r="G772" s="10"/>
      <c r="H772" s="10"/>
      <c r="I772" s="7"/>
      <c r="J772" s="12"/>
      <c r="K772" s="13"/>
      <c r="L772" s="14"/>
      <c r="M772" s="15"/>
      <c r="N772" s="15"/>
      <c r="O772" s="16"/>
      <c r="Q772" s="16"/>
    </row>
    <row r="773" spans="1:17" x14ac:dyDescent="0.3">
      <c r="A773" s="5"/>
      <c r="B773" s="6"/>
      <c r="C773" s="7"/>
      <c r="D773" s="8"/>
      <c r="E773" s="8"/>
      <c r="F773" s="10"/>
      <c r="G773" s="10"/>
      <c r="H773" s="10"/>
      <c r="I773" s="7"/>
      <c r="J773" s="12"/>
      <c r="K773" s="13"/>
      <c r="L773" s="14"/>
      <c r="M773" s="15"/>
      <c r="N773" s="15"/>
      <c r="O773" s="16"/>
      <c r="Q773" s="16"/>
    </row>
    <row r="774" spans="1:17" x14ac:dyDescent="0.3">
      <c r="A774" s="5"/>
      <c r="B774" s="6"/>
      <c r="C774" s="7"/>
      <c r="D774" s="8"/>
      <c r="E774" s="8"/>
      <c r="F774" s="10"/>
      <c r="G774" s="10"/>
      <c r="H774" s="10"/>
      <c r="I774" s="7"/>
      <c r="J774" s="12"/>
      <c r="K774" s="13"/>
      <c r="L774" s="14"/>
      <c r="M774" s="15"/>
      <c r="N774" s="15"/>
      <c r="O774" s="16"/>
      <c r="Q774" s="16"/>
    </row>
    <row r="775" spans="1:17" x14ac:dyDescent="0.3">
      <c r="A775" s="5"/>
      <c r="B775" s="6"/>
      <c r="C775" s="7"/>
      <c r="D775" s="8"/>
      <c r="E775" s="8"/>
      <c r="F775" s="10"/>
      <c r="G775" s="10"/>
      <c r="H775" s="10"/>
      <c r="I775" s="7"/>
      <c r="J775" s="12"/>
      <c r="K775" s="13"/>
      <c r="L775" s="14"/>
      <c r="M775" s="15"/>
      <c r="N775" s="15"/>
      <c r="O775" s="16"/>
      <c r="Q775" s="16"/>
    </row>
    <row r="776" spans="1:17" x14ac:dyDescent="0.3">
      <c r="A776" s="5"/>
      <c r="B776" s="6"/>
      <c r="C776" s="7"/>
      <c r="D776" s="8"/>
      <c r="E776" s="8"/>
      <c r="F776" s="10"/>
      <c r="G776" s="10"/>
      <c r="H776" s="10"/>
      <c r="I776" s="7"/>
      <c r="J776" s="12"/>
      <c r="K776" s="13"/>
      <c r="L776" s="14"/>
      <c r="M776" s="15"/>
      <c r="N776" s="15"/>
      <c r="O776" s="16"/>
      <c r="Q776" s="16"/>
    </row>
    <row r="777" spans="1:17" x14ac:dyDescent="0.3">
      <c r="A777" s="5"/>
      <c r="B777" s="6"/>
      <c r="C777" s="7"/>
      <c r="D777" s="8"/>
      <c r="E777" s="8"/>
      <c r="F777" s="10"/>
      <c r="G777" s="10"/>
      <c r="H777" s="10"/>
      <c r="I777" s="7"/>
      <c r="J777" s="12"/>
      <c r="K777" s="13"/>
      <c r="L777" s="14"/>
      <c r="M777" s="15"/>
      <c r="N777" s="15"/>
      <c r="O777" s="16"/>
      <c r="Q777" s="16"/>
    </row>
    <row r="778" spans="1:17" x14ac:dyDescent="0.3">
      <c r="A778" s="5"/>
      <c r="B778" s="6"/>
      <c r="C778" s="7"/>
      <c r="D778" s="8"/>
      <c r="E778" s="8"/>
      <c r="F778" s="10"/>
      <c r="G778" s="10"/>
      <c r="H778" s="10"/>
      <c r="I778" s="7"/>
      <c r="J778" s="12"/>
      <c r="K778" s="13"/>
      <c r="L778" s="14"/>
      <c r="M778" s="15"/>
      <c r="N778" s="15"/>
      <c r="O778" s="16"/>
      <c r="Q778" s="16"/>
    </row>
    <row r="779" spans="1:17" x14ac:dyDescent="0.3">
      <c r="A779" s="5"/>
      <c r="B779" s="6"/>
      <c r="C779" s="7"/>
      <c r="D779" s="8"/>
      <c r="E779" s="8"/>
      <c r="F779" s="10"/>
      <c r="G779" s="10"/>
      <c r="H779" s="10"/>
      <c r="I779" s="7"/>
      <c r="J779" s="12"/>
      <c r="K779" s="13"/>
      <c r="L779" s="14"/>
      <c r="M779" s="15"/>
      <c r="N779" s="15"/>
      <c r="O779" s="16"/>
      <c r="Q779" s="16"/>
    </row>
    <row r="780" spans="1:17" x14ac:dyDescent="0.3">
      <c r="A780" s="5"/>
      <c r="B780" s="6"/>
      <c r="C780" s="7"/>
      <c r="D780" s="8"/>
      <c r="E780" s="8"/>
      <c r="F780" s="10"/>
      <c r="G780" s="10"/>
      <c r="H780" s="10"/>
      <c r="I780" s="7"/>
      <c r="J780" s="12"/>
      <c r="K780" s="13"/>
      <c r="L780" s="14"/>
      <c r="M780" s="15"/>
      <c r="N780" s="15"/>
      <c r="O780" s="16"/>
      <c r="Q780" s="16"/>
    </row>
    <row r="781" spans="1:17" x14ac:dyDescent="0.3">
      <c r="A781" s="5"/>
      <c r="B781" s="6"/>
      <c r="C781" s="7"/>
      <c r="D781" s="8"/>
      <c r="E781" s="8"/>
      <c r="F781" s="10"/>
      <c r="G781" s="10"/>
      <c r="H781" s="10"/>
      <c r="I781" s="7"/>
      <c r="J781" s="12"/>
      <c r="K781" s="13"/>
      <c r="L781" s="14"/>
      <c r="M781" s="15"/>
      <c r="N781" s="15"/>
      <c r="O781" s="16"/>
      <c r="Q781" s="16"/>
    </row>
    <row r="782" spans="1:17" x14ac:dyDescent="0.3">
      <c r="A782" s="5"/>
      <c r="B782" s="6"/>
      <c r="C782" s="7"/>
      <c r="D782" s="8"/>
      <c r="E782" s="8"/>
      <c r="F782" s="10"/>
      <c r="G782" s="10"/>
      <c r="H782" s="10"/>
      <c r="I782" s="7"/>
      <c r="J782" s="12"/>
      <c r="K782" s="13"/>
      <c r="L782" s="14"/>
      <c r="M782" s="15"/>
      <c r="N782" s="15"/>
      <c r="O782" s="16"/>
      <c r="Q782" s="16"/>
    </row>
    <row r="783" spans="1:17" x14ac:dyDescent="0.3">
      <c r="A783" s="5"/>
      <c r="B783" s="6"/>
      <c r="C783" s="7"/>
      <c r="D783" s="8"/>
      <c r="E783" s="8"/>
      <c r="F783" s="10"/>
      <c r="G783" s="10"/>
      <c r="H783" s="10"/>
      <c r="I783" s="7"/>
      <c r="J783" s="12"/>
      <c r="K783" s="13"/>
      <c r="L783" s="14"/>
      <c r="M783" s="15"/>
      <c r="N783" s="15"/>
      <c r="O783" s="16"/>
      <c r="Q783" s="16"/>
    </row>
    <row r="784" spans="1:17" x14ac:dyDescent="0.3">
      <c r="A784" s="5"/>
      <c r="B784" s="6"/>
      <c r="C784" s="7"/>
      <c r="D784" s="8"/>
      <c r="E784" s="8"/>
      <c r="F784" s="10"/>
      <c r="G784" s="10"/>
      <c r="H784" s="10"/>
      <c r="I784" s="7"/>
      <c r="J784" s="12"/>
      <c r="K784" s="13"/>
      <c r="L784" s="14"/>
      <c r="M784" s="15"/>
      <c r="N784" s="15"/>
      <c r="O784" s="16"/>
      <c r="Q784" s="16"/>
    </row>
    <row r="785" spans="1:17" x14ac:dyDescent="0.3">
      <c r="A785" s="5"/>
      <c r="B785" s="6"/>
      <c r="C785" s="7"/>
      <c r="D785" s="8"/>
      <c r="E785" s="8"/>
      <c r="F785" s="10"/>
      <c r="G785" s="10"/>
      <c r="H785" s="10"/>
      <c r="I785" s="7"/>
      <c r="J785" s="12"/>
      <c r="K785" s="13"/>
      <c r="L785" s="14"/>
      <c r="M785" s="15"/>
      <c r="N785" s="15"/>
      <c r="O785" s="16"/>
      <c r="Q785" s="16"/>
    </row>
    <row r="786" spans="1:17" x14ac:dyDescent="0.3">
      <c r="A786" s="5"/>
      <c r="B786" s="6"/>
      <c r="C786" s="7"/>
      <c r="D786" s="8"/>
      <c r="E786" s="8"/>
      <c r="F786" s="10"/>
      <c r="G786" s="10"/>
      <c r="H786" s="10"/>
      <c r="I786" s="7"/>
      <c r="J786" s="12"/>
      <c r="K786" s="13"/>
      <c r="L786" s="14"/>
      <c r="M786" s="15"/>
      <c r="N786" s="15"/>
      <c r="O786" s="16"/>
      <c r="Q786" s="16"/>
    </row>
    <row r="787" spans="1:17" x14ac:dyDescent="0.3">
      <c r="A787" s="5"/>
      <c r="B787" s="6"/>
      <c r="C787" s="7"/>
      <c r="D787" s="8"/>
      <c r="E787" s="8"/>
      <c r="F787" s="10"/>
      <c r="G787" s="10"/>
      <c r="H787" s="10"/>
      <c r="I787" s="7"/>
      <c r="J787" s="12"/>
      <c r="K787" s="13"/>
      <c r="L787" s="14"/>
      <c r="M787" s="15"/>
      <c r="N787" s="15"/>
      <c r="O787" s="16"/>
      <c r="Q787" s="16"/>
    </row>
    <row r="788" spans="1:17" x14ac:dyDescent="0.3">
      <c r="A788" s="5"/>
      <c r="B788" s="6"/>
      <c r="C788" s="7"/>
      <c r="D788" s="8"/>
      <c r="E788" s="8"/>
      <c r="F788" s="10"/>
      <c r="G788" s="10"/>
      <c r="H788" s="10"/>
      <c r="I788" s="7"/>
      <c r="J788" s="12"/>
      <c r="K788" s="13"/>
      <c r="L788" s="14"/>
      <c r="M788" s="15"/>
      <c r="N788" s="15"/>
      <c r="O788" s="16"/>
      <c r="Q788" s="16"/>
    </row>
    <row r="789" spans="1:17" x14ac:dyDescent="0.3">
      <c r="A789" s="5"/>
      <c r="B789" s="6"/>
      <c r="C789" s="7"/>
      <c r="D789" s="8"/>
      <c r="E789" s="8"/>
      <c r="F789" s="10"/>
      <c r="G789" s="10"/>
      <c r="H789" s="10"/>
      <c r="I789" s="7"/>
      <c r="J789" s="12"/>
      <c r="K789" s="13"/>
      <c r="L789" s="14"/>
      <c r="M789" s="15"/>
      <c r="N789" s="15"/>
      <c r="O789" s="16"/>
      <c r="Q789" s="16"/>
    </row>
    <row r="790" spans="1:17" x14ac:dyDescent="0.3">
      <c r="A790" s="5"/>
      <c r="B790" s="6"/>
      <c r="C790" s="7"/>
      <c r="D790" s="8"/>
      <c r="E790" s="8"/>
      <c r="F790" s="10"/>
      <c r="G790" s="10"/>
      <c r="H790" s="10"/>
      <c r="I790" s="7"/>
      <c r="J790" s="12"/>
      <c r="K790" s="13"/>
      <c r="L790" s="14"/>
      <c r="M790" s="15"/>
      <c r="N790" s="15"/>
      <c r="O790" s="16"/>
      <c r="Q790" s="16"/>
    </row>
    <row r="791" spans="1:17" x14ac:dyDescent="0.3">
      <c r="A791" s="5"/>
      <c r="B791" s="6"/>
      <c r="C791" s="7"/>
      <c r="D791" s="8"/>
      <c r="E791" s="8"/>
      <c r="F791" s="10"/>
      <c r="G791" s="10"/>
      <c r="H791" s="10"/>
      <c r="I791" s="7"/>
      <c r="J791" s="12"/>
      <c r="K791" s="13"/>
      <c r="L791" s="14"/>
      <c r="M791" s="15"/>
      <c r="N791" s="15"/>
      <c r="O791" s="16"/>
      <c r="Q791" s="16"/>
    </row>
    <row r="792" spans="1:17" x14ac:dyDescent="0.3">
      <c r="A792" s="5"/>
      <c r="B792" s="6"/>
      <c r="C792" s="7"/>
      <c r="D792" s="8"/>
      <c r="E792" s="8"/>
      <c r="F792" s="10"/>
      <c r="G792" s="10"/>
      <c r="H792" s="10"/>
      <c r="I792" s="7"/>
      <c r="J792" s="12"/>
      <c r="K792" s="13"/>
      <c r="L792" s="14"/>
      <c r="M792" s="15"/>
      <c r="N792" s="15"/>
      <c r="O792" s="16"/>
      <c r="Q792" s="16"/>
    </row>
    <row r="793" spans="1:17" x14ac:dyDescent="0.3">
      <c r="A793" s="5"/>
      <c r="B793" s="6"/>
      <c r="C793" s="7"/>
      <c r="D793" s="8"/>
      <c r="E793" s="8"/>
      <c r="F793" s="10"/>
      <c r="G793" s="10"/>
      <c r="H793" s="10"/>
      <c r="I793" s="7"/>
      <c r="J793" s="12"/>
      <c r="K793" s="13"/>
      <c r="L793" s="14"/>
      <c r="M793" s="15"/>
      <c r="N793" s="15"/>
      <c r="O793" s="16"/>
      <c r="Q793" s="16"/>
    </row>
    <row r="794" spans="1:17" x14ac:dyDescent="0.3">
      <c r="A794" s="5"/>
      <c r="B794" s="6"/>
      <c r="C794" s="7"/>
      <c r="D794" s="8"/>
      <c r="E794" s="8"/>
      <c r="F794" s="10"/>
      <c r="G794" s="10"/>
      <c r="H794" s="10"/>
      <c r="I794" s="7"/>
      <c r="J794" s="12"/>
      <c r="K794" s="13"/>
      <c r="L794" s="14"/>
      <c r="M794" s="15"/>
      <c r="N794" s="15"/>
      <c r="O794" s="16"/>
      <c r="Q794" s="16"/>
    </row>
    <row r="795" spans="1:17" x14ac:dyDescent="0.3">
      <c r="A795" s="5"/>
      <c r="B795" s="6"/>
      <c r="C795" s="7"/>
      <c r="D795" s="8"/>
      <c r="E795" s="8"/>
      <c r="F795" s="10"/>
      <c r="G795" s="10"/>
      <c r="H795" s="10"/>
      <c r="I795" s="7"/>
      <c r="J795" s="12"/>
      <c r="K795" s="13"/>
      <c r="L795" s="14"/>
      <c r="M795" s="15"/>
      <c r="N795" s="15"/>
      <c r="O795" s="16"/>
      <c r="Q795" s="16"/>
    </row>
    <row r="796" spans="1:17" x14ac:dyDescent="0.3">
      <c r="A796" s="5"/>
      <c r="B796" s="6"/>
      <c r="C796" s="7"/>
      <c r="D796" s="8"/>
      <c r="E796" s="8"/>
      <c r="F796" s="10"/>
      <c r="G796" s="10"/>
      <c r="H796" s="10"/>
      <c r="I796" s="7"/>
      <c r="J796" s="12"/>
      <c r="K796" s="13"/>
      <c r="L796" s="14"/>
      <c r="M796" s="15"/>
      <c r="N796" s="15"/>
      <c r="O796" s="16"/>
      <c r="Q796" s="16"/>
    </row>
    <row r="797" spans="1:17" x14ac:dyDescent="0.3">
      <c r="A797" s="5"/>
      <c r="B797" s="6"/>
      <c r="C797" s="7"/>
      <c r="D797" s="8"/>
      <c r="E797" s="8"/>
      <c r="F797" s="10"/>
      <c r="G797" s="10"/>
      <c r="H797" s="10"/>
      <c r="I797" s="7"/>
      <c r="J797" s="12"/>
      <c r="K797" s="13"/>
      <c r="L797" s="14"/>
      <c r="M797" s="15"/>
      <c r="N797" s="15"/>
      <c r="O797" s="16"/>
      <c r="Q797" s="16"/>
    </row>
    <row r="798" spans="1:17" x14ac:dyDescent="0.3">
      <c r="A798" s="5"/>
      <c r="B798" s="6"/>
      <c r="C798" s="7"/>
      <c r="D798" s="8"/>
      <c r="E798" s="8"/>
      <c r="F798" s="10"/>
      <c r="G798" s="10"/>
      <c r="H798" s="10"/>
      <c r="I798" s="7"/>
      <c r="J798" s="12"/>
      <c r="K798" s="13"/>
      <c r="L798" s="14"/>
      <c r="M798" s="15"/>
      <c r="N798" s="15"/>
      <c r="O798" s="16"/>
      <c r="Q798" s="16"/>
    </row>
    <row r="799" spans="1:17" x14ac:dyDescent="0.3">
      <c r="A799" s="5"/>
      <c r="B799" s="6"/>
      <c r="C799" s="7"/>
      <c r="D799" s="8"/>
      <c r="E799" s="8"/>
      <c r="F799" s="10"/>
      <c r="G799" s="10"/>
      <c r="H799" s="10"/>
      <c r="I799" s="7"/>
      <c r="J799" s="12"/>
      <c r="K799" s="13"/>
      <c r="L799" s="14"/>
      <c r="M799" s="15"/>
      <c r="N799" s="15"/>
      <c r="O799" s="16"/>
      <c r="Q799" s="16"/>
    </row>
    <row r="800" spans="1:17" x14ac:dyDescent="0.3">
      <c r="A800" s="5"/>
      <c r="B800" s="6"/>
      <c r="C800" s="7"/>
      <c r="D800" s="8"/>
      <c r="E800" s="8"/>
      <c r="F800" s="10"/>
      <c r="G800" s="10"/>
      <c r="H800" s="10"/>
      <c r="I800" s="7"/>
      <c r="J800" s="12"/>
      <c r="K800" s="13"/>
      <c r="L800" s="14"/>
      <c r="M800" s="15"/>
      <c r="N800" s="15"/>
      <c r="O800" s="16"/>
      <c r="Q800" s="16"/>
    </row>
    <row r="801" spans="1:17" x14ac:dyDescent="0.3">
      <c r="A801" s="5"/>
      <c r="B801" s="6"/>
      <c r="C801" s="7"/>
      <c r="D801" s="8"/>
      <c r="E801" s="8"/>
      <c r="F801" s="10"/>
      <c r="G801" s="10"/>
      <c r="H801" s="10"/>
      <c r="I801" s="7"/>
      <c r="J801" s="12"/>
      <c r="K801" s="13"/>
      <c r="L801" s="14"/>
      <c r="M801" s="15"/>
      <c r="N801" s="15"/>
      <c r="O801" s="16"/>
      <c r="Q801" s="16"/>
    </row>
    <row r="802" spans="1:17" x14ac:dyDescent="0.3">
      <c r="A802" s="5"/>
      <c r="B802" s="6"/>
      <c r="C802" s="7"/>
      <c r="D802" s="8"/>
      <c r="E802" s="8"/>
      <c r="F802" s="10"/>
      <c r="G802" s="10"/>
      <c r="H802" s="10"/>
      <c r="I802" s="7"/>
      <c r="J802" s="12"/>
      <c r="K802" s="13"/>
      <c r="L802" s="14"/>
      <c r="M802" s="15"/>
      <c r="N802" s="15"/>
      <c r="O802" s="16"/>
      <c r="Q802" s="16"/>
    </row>
    <row r="803" spans="1:17" x14ac:dyDescent="0.3">
      <c r="A803" s="5"/>
      <c r="B803" s="6"/>
      <c r="C803" s="7"/>
      <c r="D803" s="8"/>
      <c r="E803" s="8"/>
      <c r="F803" s="10"/>
      <c r="G803" s="10"/>
      <c r="H803" s="10"/>
      <c r="I803" s="7"/>
      <c r="J803" s="12"/>
      <c r="K803" s="13"/>
      <c r="L803" s="14"/>
      <c r="M803" s="15"/>
      <c r="N803" s="15"/>
      <c r="O803" s="16"/>
      <c r="Q803" s="16"/>
    </row>
    <row r="804" spans="1:17" x14ac:dyDescent="0.3">
      <c r="A804" s="5"/>
      <c r="B804" s="6"/>
      <c r="C804" s="7"/>
      <c r="D804" s="8"/>
      <c r="E804" s="8"/>
      <c r="F804" s="10"/>
      <c r="G804" s="10"/>
      <c r="H804" s="10"/>
      <c r="I804" s="7"/>
      <c r="J804" s="12"/>
      <c r="K804" s="13"/>
      <c r="L804" s="14"/>
      <c r="M804" s="15"/>
      <c r="N804" s="15"/>
      <c r="O804" s="16"/>
      <c r="Q804" s="16"/>
    </row>
    <row r="805" spans="1:17" x14ac:dyDescent="0.3">
      <c r="A805" s="5"/>
      <c r="B805" s="6"/>
      <c r="C805" s="7"/>
      <c r="D805" s="8"/>
      <c r="E805" s="8"/>
      <c r="F805" s="10"/>
      <c r="G805" s="10"/>
      <c r="H805" s="10"/>
      <c r="I805" s="7"/>
      <c r="J805" s="12"/>
      <c r="K805" s="13"/>
      <c r="L805" s="14"/>
      <c r="M805" s="15"/>
      <c r="N805" s="15"/>
      <c r="O805" s="16"/>
      <c r="Q805" s="16"/>
    </row>
    <row r="806" spans="1:17" x14ac:dyDescent="0.3">
      <c r="A806" s="5"/>
      <c r="B806" s="6"/>
      <c r="C806" s="7"/>
      <c r="D806" s="8"/>
      <c r="E806" s="8"/>
      <c r="F806" s="10"/>
      <c r="G806" s="10"/>
      <c r="H806" s="10"/>
      <c r="I806" s="7"/>
      <c r="J806" s="12"/>
      <c r="K806" s="13"/>
      <c r="L806" s="14"/>
      <c r="M806" s="15"/>
      <c r="N806" s="15"/>
      <c r="O806" s="16"/>
      <c r="Q806" s="16"/>
    </row>
    <row r="807" spans="1:17" x14ac:dyDescent="0.3">
      <c r="A807" s="5"/>
      <c r="B807" s="6"/>
      <c r="C807" s="7"/>
      <c r="D807" s="8"/>
      <c r="E807" s="8"/>
      <c r="F807" s="10"/>
      <c r="G807" s="10"/>
      <c r="H807" s="10"/>
      <c r="I807" s="7"/>
      <c r="J807" s="12"/>
      <c r="K807" s="13"/>
      <c r="L807" s="14"/>
      <c r="M807" s="15"/>
      <c r="N807" s="15"/>
      <c r="O807" s="16"/>
      <c r="Q807" s="16"/>
    </row>
    <row r="808" spans="1:17" x14ac:dyDescent="0.3">
      <c r="A808" s="5"/>
      <c r="B808" s="6"/>
      <c r="C808" s="7"/>
      <c r="D808" s="8"/>
      <c r="E808" s="8"/>
      <c r="F808" s="10"/>
      <c r="G808" s="10"/>
      <c r="H808" s="10"/>
      <c r="I808" s="7"/>
      <c r="J808" s="12"/>
      <c r="K808" s="13"/>
      <c r="L808" s="14"/>
      <c r="M808" s="15"/>
      <c r="N808" s="15"/>
      <c r="O808" s="16"/>
      <c r="Q808" s="16"/>
    </row>
    <row r="809" spans="1:17" x14ac:dyDescent="0.3">
      <c r="A809" s="5"/>
      <c r="B809" s="6"/>
      <c r="C809" s="7"/>
      <c r="D809" s="8"/>
      <c r="E809" s="8"/>
      <c r="F809" s="10"/>
      <c r="G809" s="10"/>
      <c r="H809" s="10"/>
      <c r="I809" s="7"/>
      <c r="J809" s="12"/>
      <c r="K809" s="13"/>
      <c r="L809" s="14"/>
      <c r="M809" s="15"/>
      <c r="N809" s="15"/>
      <c r="O809" s="16"/>
      <c r="Q809" s="16"/>
    </row>
    <row r="810" spans="1:17" x14ac:dyDescent="0.3">
      <c r="A810" s="5"/>
      <c r="B810" s="6"/>
      <c r="C810" s="7"/>
      <c r="D810" s="8"/>
      <c r="E810" s="8"/>
      <c r="F810" s="10"/>
      <c r="G810" s="10"/>
      <c r="H810" s="10"/>
      <c r="I810" s="7"/>
      <c r="J810" s="12"/>
      <c r="K810" s="13"/>
      <c r="L810" s="14"/>
      <c r="M810" s="15"/>
      <c r="N810" s="15"/>
      <c r="O810" s="16"/>
      <c r="Q810" s="16"/>
    </row>
    <row r="811" spans="1:17" x14ac:dyDescent="0.3">
      <c r="A811" s="5"/>
      <c r="B811" s="6"/>
      <c r="C811" s="7"/>
      <c r="D811" s="8"/>
      <c r="E811" s="8"/>
      <c r="F811" s="10"/>
      <c r="G811" s="10"/>
      <c r="H811" s="10"/>
      <c r="I811" s="7"/>
      <c r="J811" s="12"/>
      <c r="K811" s="13"/>
      <c r="L811" s="14"/>
      <c r="M811" s="15"/>
      <c r="N811" s="15"/>
      <c r="O811" s="16"/>
      <c r="Q811" s="16"/>
    </row>
    <row r="812" spans="1:17" x14ac:dyDescent="0.3">
      <c r="A812" s="5"/>
      <c r="B812" s="6"/>
      <c r="C812" s="7"/>
      <c r="D812" s="8"/>
      <c r="E812" s="8"/>
      <c r="F812" s="10"/>
      <c r="G812" s="10"/>
      <c r="H812" s="10"/>
      <c r="I812" s="7"/>
      <c r="J812" s="12"/>
      <c r="K812" s="13"/>
      <c r="L812" s="14"/>
      <c r="M812" s="15"/>
      <c r="N812" s="15"/>
      <c r="O812" s="16"/>
      <c r="Q812" s="16"/>
    </row>
    <row r="813" spans="1:17" x14ac:dyDescent="0.3">
      <c r="A813" s="5"/>
      <c r="B813" s="6"/>
      <c r="C813" s="7"/>
      <c r="D813" s="8"/>
      <c r="E813" s="8"/>
      <c r="F813" s="10"/>
      <c r="G813" s="10"/>
      <c r="H813" s="10"/>
      <c r="I813" s="7"/>
      <c r="J813" s="12"/>
      <c r="K813" s="13"/>
      <c r="L813" s="14"/>
      <c r="M813" s="15"/>
      <c r="N813" s="15"/>
      <c r="O813" s="16"/>
      <c r="Q813" s="16"/>
    </row>
    <row r="814" spans="1:17" x14ac:dyDescent="0.3">
      <c r="A814" s="5"/>
      <c r="B814" s="6"/>
      <c r="C814" s="7"/>
      <c r="D814" s="8"/>
      <c r="E814" s="8"/>
      <c r="F814" s="10"/>
      <c r="G814" s="10"/>
      <c r="H814" s="10"/>
      <c r="I814" s="7"/>
      <c r="J814" s="12"/>
      <c r="K814" s="13"/>
      <c r="L814" s="14"/>
      <c r="M814" s="15"/>
      <c r="N814" s="15"/>
      <c r="O814" s="16"/>
      <c r="Q814" s="16"/>
    </row>
    <row r="815" spans="1:17" x14ac:dyDescent="0.3">
      <c r="A815" s="5"/>
      <c r="B815" s="6"/>
      <c r="C815" s="7"/>
      <c r="D815" s="8"/>
      <c r="E815" s="8"/>
      <c r="F815" s="10"/>
      <c r="G815" s="10"/>
      <c r="H815" s="10"/>
      <c r="I815" s="7"/>
      <c r="J815" s="12"/>
      <c r="K815" s="13"/>
      <c r="L815" s="14"/>
      <c r="M815" s="15"/>
      <c r="N815" s="15"/>
      <c r="O815" s="16"/>
      <c r="Q815" s="16"/>
    </row>
    <row r="816" spans="1:17" x14ac:dyDescent="0.3">
      <c r="A816" s="5"/>
      <c r="B816" s="6"/>
      <c r="C816" s="7"/>
      <c r="D816" s="8"/>
      <c r="E816" s="8"/>
      <c r="F816" s="10"/>
      <c r="G816" s="10"/>
      <c r="H816" s="10"/>
      <c r="I816" s="7"/>
      <c r="J816" s="12"/>
      <c r="K816" s="13"/>
      <c r="L816" s="14"/>
      <c r="M816" s="15"/>
      <c r="N816" s="15"/>
      <c r="O816" s="16"/>
      <c r="Q816" s="16"/>
    </row>
    <row r="817" spans="1:17" x14ac:dyDescent="0.3">
      <c r="A817" s="5"/>
      <c r="B817" s="6"/>
      <c r="C817" s="7"/>
      <c r="D817" s="8"/>
      <c r="E817" s="8"/>
      <c r="F817" s="10"/>
      <c r="G817" s="10"/>
      <c r="H817" s="10"/>
      <c r="I817" s="7"/>
      <c r="J817" s="12"/>
      <c r="K817" s="13"/>
      <c r="L817" s="14"/>
      <c r="M817" s="15"/>
      <c r="N817" s="15"/>
      <c r="O817" s="16"/>
      <c r="Q817" s="16"/>
    </row>
    <row r="818" spans="1:17" x14ac:dyDescent="0.3">
      <c r="A818" s="5"/>
      <c r="B818" s="6"/>
      <c r="C818" s="7"/>
      <c r="D818" s="8"/>
      <c r="E818" s="8"/>
      <c r="F818" s="10"/>
      <c r="G818" s="10"/>
      <c r="H818" s="10"/>
      <c r="I818" s="7"/>
      <c r="J818" s="12"/>
      <c r="K818" s="13"/>
      <c r="L818" s="14"/>
      <c r="M818" s="15"/>
      <c r="N818" s="15"/>
      <c r="O818" s="16"/>
      <c r="Q818" s="16"/>
    </row>
    <row r="819" spans="1:17" x14ac:dyDescent="0.3">
      <c r="A819" s="5"/>
      <c r="B819" s="6"/>
      <c r="C819" s="7"/>
      <c r="D819" s="8"/>
      <c r="E819" s="8"/>
      <c r="F819" s="10"/>
      <c r="G819" s="10"/>
      <c r="H819" s="10"/>
      <c r="I819" s="7"/>
      <c r="J819" s="12"/>
      <c r="K819" s="13"/>
      <c r="L819" s="14"/>
      <c r="M819" s="15"/>
      <c r="N819" s="15"/>
      <c r="O819" s="16"/>
      <c r="Q819" s="16"/>
    </row>
    <row r="820" spans="1:17" x14ac:dyDescent="0.3">
      <c r="A820" s="5"/>
      <c r="B820" s="6"/>
      <c r="C820" s="7"/>
      <c r="D820" s="8"/>
      <c r="E820" s="8"/>
      <c r="F820" s="10"/>
      <c r="G820" s="10"/>
      <c r="H820" s="10"/>
      <c r="I820" s="7"/>
      <c r="J820" s="12"/>
      <c r="K820" s="13"/>
      <c r="L820" s="14"/>
      <c r="M820" s="15"/>
      <c r="N820" s="15"/>
      <c r="O820" s="16"/>
      <c r="Q820" s="16"/>
    </row>
    <row r="821" spans="1:17" x14ac:dyDescent="0.3">
      <c r="A821" s="5"/>
      <c r="B821" s="6"/>
      <c r="C821" s="7"/>
      <c r="D821" s="8"/>
      <c r="E821" s="8"/>
      <c r="F821" s="10"/>
      <c r="G821" s="10"/>
      <c r="H821" s="10"/>
      <c r="I821" s="7"/>
      <c r="J821" s="12"/>
      <c r="K821" s="13"/>
      <c r="L821" s="14"/>
      <c r="M821" s="15"/>
      <c r="N821" s="15"/>
      <c r="O821" s="16"/>
      <c r="Q821" s="16"/>
    </row>
    <row r="822" spans="1:17" x14ac:dyDescent="0.3">
      <c r="A822" s="5"/>
      <c r="B822" s="6"/>
      <c r="C822" s="7"/>
      <c r="D822" s="8"/>
      <c r="E822" s="8"/>
      <c r="F822" s="10"/>
      <c r="G822" s="10"/>
      <c r="H822" s="10"/>
      <c r="I822" s="7"/>
      <c r="J822" s="12"/>
      <c r="K822" s="13"/>
      <c r="L822" s="14"/>
      <c r="M822" s="15"/>
      <c r="N822" s="15"/>
      <c r="O822" s="16"/>
      <c r="Q822" s="16"/>
    </row>
    <row r="823" spans="1:17" x14ac:dyDescent="0.3">
      <c r="A823" s="5"/>
      <c r="B823" s="6"/>
      <c r="C823" s="7"/>
      <c r="D823" s="8"/>
      <c r="E823" s="8"/>
      <c r="F823" s="10"/>
      <c r="G823" s="10"/>
      <c r="H823" s="10"/>
      <c r="I823" s="7"/>
      <c r="J823" s="12"/>
      <c r="K823" s="13"/>
      <c r="L823" s="14"/>
      <c r="M823" s="15"/>
      <c r="N823" s="15"/>
      <c r="O823" s="16"/>
      <c r="Q823" s="16"/>
    </row>
    <row r="824" spans="1:17" x14ac:dyDescent="0.3">
      <c r="A824" s="5"/>
      <c r="B824" s="6"/>
      <c r="C824" s="7"/>
      <c r="D824" s="8"/>
      <c r="E824" s="8"/>
      <c r="F824" s="10"/>
      <c r="G824" s="10"/>
      <c r="H824" s="10"/>
      <c r="I824" s="7"/>
      <c r="J824" s="12"/>
      <c r="K824" s="13"/>
      <c r="L824" s="14"/>
      <c r="M824" s="15"/>
      <c r="N824" s="15"/>
      <c r="O824" s="16"/>
      <c r="Q824" s="16"/>
    </row>
    <row r="825" spans="1:17" x14ac:dyDescent="0.3">
      <c r="A825" s="5"/>
      <c r="B825" s="6"/>
      <c r="C825" s="7"/>
      <c r="D825" s="8"/>
      <c r="E825" s="8"/>
      <c r="F825" s="10"/>
      <c r="G825" s="10"/>
      <c r="H825" s="10"/>
      <c r="I825" s="7"/>
      <c r="J825" s="12"/>
      <c r="K825" s="13"/>
      <c r="L825" s="14"/>
      <c r="M825" s="15"/>
      <c r="N825" s="15"/>
      <c r="O825" s="16"/>
      <c r="Q825" s="16"/>
    </row>
    <row r="826" spans="1:17" x14ac:dyDescent="0.3">
      <c r="A826" s="5"/>
      <c r="B826" s="6"/>
      <c r="C826" s="7"/>
      <c r="D826" s="8"/>
      <c r="E826" s="8"/>
      <c r="F826" s="10"/>
      <c r="G826" s="10"/>
      <c r="H826" s="10"/>
      <c r="I826" s="7"/>
      <c r="J826" s="12"/>
      <c r="K826" s="13"/>
      <c r="L826" s="14"/>
      <c r="M826" s="15"/>
      <c r="N826" s="15"/>
      <c r="O826" s="16"/>
      <c r="Q826" s="16"/>
    </row>
    <row r="827" spans="1:17" x14ac:dyDescent="0.3">
      <c r="A827" s="5"/>
      <c r="B827" s="6"/>
      <c r="C827" s="7"/>
      <c r="D827" s="8"/>
      <c r="E827" s="8"/>
      <c r="F827" s="10"/>
      <c r="G827" s="10"/>
      <c r="H827" s="10"/>
      <c r="I827" s="7"/>
      <c r="J827" s="12"/>
      <c r="K827" s="13"/>
      <c r="L827" s="14"/>
      <c r="M827" s="15"/>
      <c r="N827" s="15"/>
      <c r="O827" s="16"/>
      <c r="Q827" s="16"/>
    </row>
    <row r="828" spans="1:17" x14ac:dyDescent="0.3">
      <c r="A828" s="5"/>
      <c r="B828" s="6"/>
      <c r="C828" s="7"/>
      <c r="D828" s="8"/>
      <c r="E828" s="8"/>
      <c r="F828" s="10"/>
      <c r="G828" s="10"/>
      <c r="H828" s="10"/>
      <c r="I828" s="7"/>
      <c r="J828" s="12"/>
      <c r="K828" s="13"/>
      <c r="L828" s="14"/>
      <c r="M828" s="15"/>
      <c r="N828" s="15"/>
      <c r="O828" s="16"/>
      <c r="Q828" s="16"/>
    </row>
    <row r="829" spans="1:17" x14ac:dyDescent="0.3">
      <c r="A829" s="5"/>
      <c r="B829" s="6"/>
      <c r="C829" s="7"/>
      <c r="D829" s="8"/>
      <c r="E829" s="8"/>
      <c r="F829" s="10"/>
      <c r="G829" s="10"/>
      <c r="H829" s="10"/>
      <c r="I829" s="7"/>
      <c r="J829" s="12"/>
      <c r="K829" s="13"/>
      <c r="L829" s="14"/>
      <c r="M829" s="15"/>
      <c r="N829" s="15"/>
      <c r="O829" s="16"/>
      <c r="Q829" s="16"/>
    </row>
    <row r="830" spans="1:17" x14ac:dyDescent="0.3">
      <c r="A830" s="5"/>
      <c r="B830" s="6"/>
      <c r="C830" s="7"/>
      <c r="D830" s="8"/>
      <c r="E830" s="8"/>
      <c r="F830" s="10"/>
      <c r="G830" s="10"/>
      <c r="H830" s="10"/>
      <c r="I830" s="7"/>
      <c r="J830" s="12"/>
      <c r="K830" s="13"/>
      <c r="L830" s="14"/>
      <c r="M830" s="15"/>
      <c r="N830" s="15"/>
      <c r="O830" s="16"/>
      <c r="Q830" s="16"/>
    </row>
    <row r="831" spans="1:17" x14ac:dyDescent="0.3">
      <c r="A831" s="5"/>
      <c r="B831" s="6"/>
      <c r="C831" s="7"/>
      <c r="D831" s="8"/>
      <c r="E831" s="8"/>
      <c r="F831" s="10"/>
      <c r="G831" s="10"/>
      <c r="H831" s="10"/>
      <c r="I831" s="7"/>
      <c r="J831" s="12"/>
      <c r="K831" s="13"/>
      <c r="L831" s="14"/>
      <c r="M831" s="15"/>
      <c r="N831" s="15"/>
      <c r="O831" s="16"/>
      <c r="Q831" s="16"/>
    </row>
    <row r="832" spans="1:17" x14ac:dyDescent="0.3">
      <c r="A832" s="5"/>
      <c r="B832" s="6"/>
      <c r="C832" s="7"/>
      <c r="D832" s="8"/>
      <c r="E832" s="8"/>
      <c r="F832" s="10"/>
      <c r="G832" s="10"/>
      <c r="H832" s="10"/>
      <c r="I832" s="7"/>
      <c r="J832" s="12"/>
      <c r="K832" s="13"/>
      <c r="L832" s="14"/>
      <c r="M832" s="15"/>
      <c r="N832" s="15"/>
      <c r="O832" s="16"/>
      <c r="Q832" s="16"/>
    </row>
    <row r="833" spans="1:17" x14ac:dyDescent="0.3">
      <c r="A833" s="5"/>
      <c r="B833" s="6"/>
      <c r="C833" s="7"/>
      <c r="D833" s="8"/>
      <c r="E833" s="8"/>
      <c r="F833" s="10"/>
      <c r="G833" s="10"/>
      <c r="H833" s="10"/>
      <c r="I833" s="7"/>
      <c r="J833" s="12"/>
      <c r="K833" s="13"/>
      <c r="L833" s="14"/>
      <c r="M833" s="15"/>
      <c r="N833" s="15"/>
      <c r="O833" s="16"/>
      <c r="Q833" s="16"/>
    </row>
    <row r="834" spans="1:17" x14ac:dyDescent="0.3">
      <c r="A834" s="5"/>
      <c r="B834" s="6"/>
      <c r="C834" s="7"/>
      <c r="D834" s="8"/>
      <c r="E834" s="8"/>
      <c r="F834" s="10"/>
      <c r="G834" s="10"/>
      <c r="H834" s="10"/>
      <c r="I834" s="7"/>
      <c r="J834" s="12"/>
      <c r="K834" s="13"/>
      <c r="L834" s="14"/>
      <c r="M834" s="15"/>
      <c r="N834" s="15"/>
      <c r="O834" s="16"/>
      <c r="Q834" s="16"/>
    </row>
    <row r="835" spans="1:17" x14ac:dyDescent="0.3">
      <c r="A835" s="5"/>
      <c r="B835" s="6"/>
      <c r="C835" s="7"/>
      <c r="D835" s="8"/>
      <c r="E835" s="8"/>
      <c r="F835" s="10"/>
      <c r="G835" s="10"/>
      <c r="H835" s="10"/>
      <c r="I835" s="7"/>
      <c r="J835" s="12"/>
      <c r="K835" s="13"/>
      <c r="L835" s="14"/>
      <c r="M835" s="15"/>
      <c r="N835" s="15"/>
      <c r="O835" s="16"/>
      <c r="Q835" s="16"/>
    </row>
    <row r="836" spans="1:17" x14ac:dyDescent="0.3">
      <c r="A836" s="5"/>
      <c r="B836" s="6"/>
      <c r="C836" s="7"/>
      <c r="D836" s="8"/>
      <c r="E836" s="8"/>
      <c r="F836" s="10"/>
      <c r="G836" s="10"/>
      <c r="H836" s="10"/>
      <c r="I836" s="7"/>
      <c r="J836" s="12"/>
      <c r="K836" s="13"/>
      <c r="L836" s="14"/>
      <c r="M836" s="15"/>
      <c r="N836" s="15"/>
      <c r="O836" s="16"/>
      <c r="Q836" s="16"/>
    </row>
    <row r="837" spans="1:17" x14ac:dyDescent="0.3">
      <c r="A837" s="5"/>
      <c r="B837" s="6"/>
      <c r="C837" s="7"/>
      <c r="D837" s="8"/>
      <c r="E837" s="8"/>
      <c r="F837" s="10"/>
      <c r="G837" s="10"/>
      <c r="H837" s="10"/>
      <c r="I837" s="7"/>
      <c r="J837" s="12"/>
      <c r="K837" s="13"/>
      <c r="L837" s="14"/>
      <c r="M837" s="15"/>
      <c r="N837" s="15"/>
      <c r="O837" s="16"/>
      <c r="Q837" s="16"/>
    </row>
    <row r="838" spans="1:17" x14ac:dyDescent="0.3">
      <c r="A838" s="5"/>
      <c r="B838" s="6"/>
      <c r="C838" s="7"/>
      <c r="D838" s="8"/>
      <c r="E838" s="8"/>
      <c r="F838" s="10"/>
      <c r="G838" s="10"/>
      <c r="H838" s="10"/>
      <c r="I838" s="7"/>
      <c r="J838" s="12"/>
      <c r="K838" s="13"/>
      <c r="L838" s="14"/>
      <c r="M838" s="15"/>
      <c r="N838" s="15"/>
      <c r="O838" s="16"/>
      <c r="Q838" s="16"/>
    </row>
    <row r="839" spans="1:17" x14ac:dyDescent="0.3">
      <c r="A839" s="5"/>
      <c r="B839" s="6"/>
      <c r="C839" s="7"/>
      <c r="D839" s="8"/>
      <c r="E839" s="8"/>
      <c r="F839" s="10"/>
      <c r="G839" s="10"/>
      <c r="H839" s="10"/>
      <c r="I839" s="7"/>
      <c r="J839" s="12"/>
      <c r="K839" s="13"/>
      <c r="L839" s="14"/>
      <c r="M839" s="15"/>
      <c r="N839" s="15"/>
      <c r="O839" s="16"/>
      <c r="Q839" s="16"/>
    </row>
    <row r="840" spans="1:17" x14ac:dyDescent="0.3">
      <c r="A840" s="5"/>
      <c r="B840" s="6"/>
      <c r="C840" s="7"/>
      <c r="D840" s="8"/>
      <c r="E840" s="8"/>
      <c r="F840" s="10"/>
      <c r="G840" s="10"/>
      <c r="H840" s="10"/>
      <c r="I840" s="7"/>
      <c r="J840" s="12"/>
      <c r="K840" s="13"/>
      <c r="L840" s="14"/>
      <c r="M840" s="15"/>
      <c r="N840" s="15"/>
      <c r="O840" s="16"/>
      <c r="Q840" s="16"/>
    </row>
    <row r="841" spans="1:17" x14ac:dyDescent="0.3">
      <c r="A841" s="5"/>
      <c r="B841" s="6"/>
      <c r="C841" s="7"/>
      <c r="D841" s="8"/>
      <c r="E841" s="8"/>
      <c r="F841" s="10"/>
      <c r="G841" s="10"/>
      <c r="H841" s="10"/>
      <c r="I841" s="7"/>
      <c r="J841" s="12"/>
      <c r="K841" s="13"/>
      <c r="L841" s="14"/>
      <c r="M841" s="15"/>
      <c r="N841" s="15"/>
      <c r="O841" s="16"/>
      <c r="Q841" s="16"/>
    </row>
    <row r="842" spans="1:17" x14ac:dyDescent="0.3">
      <c r="A842" s="5"/>
      <c r="B842" s="6"/>
      <c r="C842" s="7"/>
      <c r="D842" s="8"/>
      <c r="E842" s="8"/>
      <c r="F842" s="10"/>
      <c r="G842" s="10"/>
      <c r="H842" s="10"/>
      <c r="I842" s="7"/>
      <c r="J842" s="12"/>
      <c r="K842" s="13"/>
      <c r="L842" s="14"/>
      <c r="M842" s="15"/>
      <c r="N842" s="15"/>
      <c r="O842" s="16"/>
      <c r="Q842" s="16"/>
    </row>
    <row r="843" spans="1:17" x14ac:dyDescent="0.3">
      <c r="A843" s="5"/>
      <c r="B843" s="6"/>
      <c r="C843" s="7"/>
      <c r="D843" s="8"/>
      <c r="E843" s="8"/>
      <c r="F843" s="10"/>
      <c r="G843" s="10"/>
      <c r="H843" s="10"/>
      <c r="I843" s="7"/>
      <c r="J843" s="12"/>
      <c r="K843" s="13"/>
      <c r="L843" s="14"/>
      <c r="M843" s="15"/>
      <c r="N843" s="15"/>
      <c r="O843" s="16"/>
      <c r="Q843" s="16"/>
    </row>
    <row r="844" spans="1:17" x14ac:dyDescent="0.3">
      <c r="A844" s="5"/>
      <c r="B844" s="6"/>
      <c r="C844" s="7"/>
      <c r="D844" s="8"/>
      <c r="E844" s="8"/>
      <c r="F844" s="10"/>
      <c r="G844" s="10"/>
      <c r="H844" s="10"/>
      <c r="I844" s="7"/>
      <c r="J844" s="12"/>
      <c r="K844" s="13"/>
      <c r="L844" s="14"/>
      <c r="M844" s="15"/>
      <c r="N844" s="15"/>
      <c r="O844" s="16"/>
      <c r="Q844" s="16"/>
    </row>
    <row r="845" spans="1:17" x14ac:dyDescent="0.3">
      <c r="A845" s="5"/>
      <c r="B845" s="6"/>
      <c r="C845" s="7"/>
      <c r="D845" s="8"/>
      <c r="E845" s="8"/>
      <c r="F845" s="10"/>
      <c r="G845" s="10"/>
      <c r="H845" s="10"/>
      <c r="I845" s="7"/>
      <c r="J845" s="12"/>
      <c r="K845" s="13"/>
      <c r="L845" s="14"/>
      <c r="M845" s="15"/>
      <c r="N845" s="15"/>
      <c r="O845" s="16"/>
      <c r="Q845" s="16"/>
    </row>
    <row r="846" spans="1:17" x14ac:dyDescent="0.3">
      <c r="A846" s="5"/>
      <c r="B846" s="6"/>
      <c r="C846" s="7"/>
      <c r="D846" s="8"/>
      <c r="E846" s="8"/>
      <c r="F846" s="10"/>
      <c r="G846" s="10"/>
      <c r="H846" s="10"/>
      <c r="I846" s="7"/>
      <c r="J846" s="12"/>
      <c r="K846" s="13"/>
      <c r="L846" s="14"/>
      <c r="M846" s="15"/>
      <c r="N846" s="15"/>
      <c r="O846" s="16"/>
      <c r="Q846" s="16"/>
    </row>
    <row r="847" spans="1:17" x14ac:dyDescent="0.3">
      <c r="A847" s="5"/>
      <c r="B847" s="6"/>
      <c r="C847" s="7"/>
      <c r="D847" s="8"/>
      <c r="E847" s="8"/>
      <c r="F847" s="10"/>
      <c r="G847" s="10"/>
      <c r="H847" s="10"/>
      <c r="I847" s="7"/>
      <c r="J847" s="12"/>
      <c r="K847" s="13"/>
      <c r="L847" s="14"/>
      <c r="M847" s="15"/>
      <c r="N847" s="15"/>
      <c r="O847" s="16"/>
      <c r="Q847" s="16"/>
    </row>
    <row r="848" spans="1:17" x14ac:dyDescent="0.3">
      <c r="A848" s="5"/>
      <c r="B848" s="6"/>
      <c r="C848" s="7"/>
      <c r="D848" s="8"/>
      <c r="E848" s="8"/>
      <c r="F848" s="10"/>
      <c r="G848" s="10"/>
      <c r="H848" s="10"/>
      <c r="I848" s="7"/>
      <c r="J848" s="12"/>
      <c r="K848" s="13"/>
      <c r="L848" s="14"/>
      <c r="M848" s="15"/>
      <c r="N848" s="15"/>
      <c r="O848" s="16"/>
      <c r="Q848" s="16"/>
    </row>
    <row r="849" spans="1:17" x14ac:dyDescent="0.3">
      <c r="A849" s="5"/>
      <c r="B849" s="6"/>
      <c r="C849" s="7"/>
      <c r="D849" s="8"/>
      <c r="E849" s="8"/>
      <c r="F849" s="10"/>
      <c r="G849" s="10"/>
      <c r="H849" s="10"/>
      <c r="I849" s="7"/>
      <c r="J849" s="12"/>
      <c r="K849" s="13"/>
      <c r="L849" s="14"/>
      <c r="M849" s="15"/>
      <c r="N849" s="15"/>
      <c r="O849" s="16"/>
      <c r="Q849" s="16"/>
    </row>
    <row r="850" spans="1:17" x14ac:dyDescent="0.3">
      <c r="A850" s="5"/>
      <c r="B850" s="6"/>
      <c r="C850" s="7"/>
      <c r="D850" s="8"/>
      <c r="E850" s="8"/>
      <c r="F850" s="10"/>
      <c r="G850" s="10"/>
      <c r="H850" s="10"/>
      <c r="I850" s="7"/>
      <c r="J850" s="12"/>
      <c r="K850" s="13"/>
      <c r="L850" s="14"/>
      <c r="M850" s="15"/>
      <c r="N850" s="15"/>
      <c r="O850" s="16"/>
      <c r="Q850" s="16"/>
    </row>
    <row r="851" spans="1:17" x14ac:dyDescent="0.3">
      <c r="A851" s="5"/>
      <c r="B851" s="6"/>
      <c r="C851" s="7"/>
      <c r="D851" s="8"/>
      <c r="E851" s="8"/>
      <c r="F851" s="10"/>
      <c r="G851" s="10"/>
      <c r="H851" s="10"/>
      <c r="I851" s="7"/>
      <c r="J851" s="12"/>
      <c r="K851" s="13"/>
      <c r="L851" s="14"/>
      <c r="M851" s="15"/>
      <c r="N851" s="15"/>
      <c r="O851" s="16"/>
      <c r="Q851" s="16"/>
    </row>
    <row r="852" spans="1:17" x14ac:dyDescent="0.3">
      <c r="A852" s="5"/>
      <c r="B852" s="6"/>
      <c r="C852" s="7"/>
      <c r="D852" s="8"/>
      <c r="E852" s="8"/>
      <c r="F852" s="10"/>
      <c r="G852" s="10"/>
      <c r="H852" s="10"/>
      <c r="I852" s="7"/>
      <c r="J852" s="12"/>
      <c r="K852" s="13"/>
      <c r="L852" s="14"/>
      <c r="M852" s="15"/>
      <c r="N852" s="15"/>
      <c r="O852" s="16"/>
      <c r="Q852" s="16"/>
    </row>
    <row r="853" spans="1:17" x14ac:dyDescent="0.3">
      <c r="A853" s="5"/>
      <c r="B853" s="6"/>
      <c r="C853" s="7"/>
      <c r="D853" s="8"/>
      <c r="E853" s="8"/>
      <c r="F853" s="10"/>
      <c r="G853" s="10"/>
      <c r="H853" s="10"/>
      <c r="I853" s="7"/>
      <c r="J853" s="12"/>
      <c r="K853" s="13"/>
      <c r="L853" s="14"/>
      <c r="M853" s="15"/>
      <c r="N853" s="15"/>
      <c r="O853" s="16"/>
      <c r="Q853" s="16"/>
    </row>
    <row r="854" spans="1:17" x14ac:dyDescent="0.3">
      <c r="A854" s="5"/>
      <c r="B854" s="6"/>
      <c r="C854" s="7"/>
      <c r="D854" s="8"/>
      <c r="E854" s="8"/>
      <c r="F854" s="10"/>
      <c r="G854" s="10"/>
      <c r="H854" s="10"/>
      <c r="I854" s="7"/>
      <c r="J854" s="12"/>
      <c r="K854" s="13"/>
      <c r="L854" s="14"/>
      <c r="M854" s="15"/>
      <c r="N854" s="15"/>
      <c r="O854" s="16"/>
      <c r="Q854" s="16"/>
    </row>
    <row r="855" spans="1:17" x14ac:dyDescent="0.3">
      <c r="A855" s="5"/>
      <c r="B855" s="6"/>
      <c r="C855" s="7"/>
      <c r="D855" s="8"/>
      <c r="E855" s="8"/>
      <c r="F855" s="10"/>
      <c r="G855" s="10"/>
      <c r="H855" s="10"/>
      <c r="I855" s="7"/>
      <c r="J855" s="12"/>
      <c r="K855" s="13"/>
      <c r="L855" s="14"/>
      <c r="M855" s="15"/>
      <c r="N855" s="15"/>
      <c r="O855" s="16"/>
      <c r="Q855" s="16"/>
    </row>
    <row r="856" spans="1:17" x14ac:dyDescent="0.3">
      <c r="A856" s="5"/>
      <c r="B856" s="6"/>
      <c r="C856" s="7"/>
      <c r="D856" s="8"/>
      <c r="E856" s="8"/>
      <c r="F856" s="10"/>
      <c r="G856" s="10"/>
      <c r="H856" s="10"/>
      <c r="I856" s="7"/>
      <c r="J856" s="12"/>
      <c r="K856" s="13"/>
      <c r="L856" s="14"/>
      <c r="M856" s="15"/>
      <c r="N856" s="15"/>
      <c r="O856" s="16"/>
      <c r="Q856" s="16"/>
    </row>
    <row r="857" spans="1:17" x14ac:dyDescent="0.3">
      <c r="A857" s="5"/>
      <c r="B857" s="6"/>
      <c r="C857" s="7"/>
      <c r="D857" s="8"/>
      <c r="E857" s="8"/>
      <c r="F857" s="10"/>
      <c r="G857" s="10"/>
      <c r="H857" s="10"/>
      <c r="I857" s="7"/>
      <c r="J857" s="12"/>
      <c r="K857" s="13"/>
      <c r="L857" s="14"/>
      <c r="M857" s="15"/>
      <c r="N857" s="15"/>
      <c r="O857" s="16"/>
      <c r="Q857" s="16"/>
    </row>
    <row r="858" spans="1:17" x14ac:dyDescent="0.3">
      <c r="A858" s="5"/>
      <c r="B858" s="6"/>
      <c r="C858" s="7"/>
      <c r="D858" s="8"/>
      <c r="E858" s="8"/>
      <c r="F858" s="10"/>
      <c r="G858" s="10"/>
      <c r="H858" s="10"/>
      <c r="I858" s="7"/>
      <c r="J858" s="12"/>
      <c r="K858" s="13"/>
      <c r="L858" s="14"/>
      <c r="M858" s="15"/>
      <c r="N858" s="15"/>
      <c r="O858" s="16"/>
      <c r="Q858" s="16"/>
    </row>
    <row r="859" spans="1:17" x14ac:dyDescent="0.3">
      <c r="A859" s="5"/>
      <c r="B859" s="6"/>
      <c r="C859" s="7"/>
      <c r="D859" s="8"/>
      <c r="E859" s="8"/>
      <c r="F859" s="10"/>
      <c r="G859" s="10"/>
      <c r="H859" s="10"/>
      <c r="I859" s="7"/>
      <c r="J859" s="12"/>
      <c r="K859" s="13"/>
      <c r="L859" s="14"/>
      <c r="M859" s="15"/>
      <c r="N859" s="15"/>
      <c r="O859" s="16"/>
      <c r="Q859" s="16"/>
    </row>
    <row r="860" spans="1:17" x14ac:dyDescent="0.3">
      <c r="A860" s="5"/>
      <c r="B860" s="6"/>
      <c r="C860" s="7"/>
      <c r="D860" s="8"/>
      <c r="E860" s="8"/>
      <c r="F860" s="10"/>
      <c r="G860" s="10"/>
      <c r="H860" s="10"/>
      <c r="I860" s="7"/>
      <c r="J860" s="12"/>
      <c r="K860" s="13"/>
      <c r="L860" s="14"/>
      <c r="M860" s="15"/>
      <c r="N860" s="15"/>
      <c r="O860" s="16"/>
      <c r="Q860" s="16"/>
    </row>
    <row r="861" spans="1:17" x14ac:dyDescent="0.3">
      <c r="A861" s="5"/>
      <c r="B861" s="6"/>
      <c r="C861" s="7"/>
      <c r="D861" s="8"/>
      <c r="E861" s="8"/>
      <c r="F861" s="10"/>
      <c r="G861" s="10"/>
      <c r="H861" s="10"/>
      <c r="I861" s="7"/>
      <c r="J861" s="12"/>
      <c r="K861" s="13"/>
      <c r="L861" s="14"/>
      <c r="M861" s="15"/>
      <c r="N861" s="15"/>
      <c r="O861" s="16"/>
      <c r="Q861" s="16"/>
    </row>
    <row r="862" spans="1:17" x14ac:dyDescent="0.3">
      <c r="A862" s="5"/>
      <c r="B862" s="6"/>
      <c r="C862" s="7"/>
      <c r="D862" s="8"/>
      <c r="E862" s="8"/>
      <c r="F862" s="10"/>
      <c r="G862" s="10"/>
      <c r="H862" s="10"/>
      <c r="I862" s="7"/>
      <c r="J862" s="12"/>
      <c r="K862" s="13"/>
      <c r="L862" s="14"/>
      <c r="M862" s="15"/>
      <c r="N862" s="15"/>
      <c r="O862" s="16"/>
      <c r="Q862" s="16"/>
    </row>
    <row r="863" spans="1:17" x14ac:dyDescent="0.3">
      <c r="A863" s="5"/>
      <c r="B863" s="6"/>
      <c r="C863" s="7"/>
      <c r="D863" s="8"/>
      <c r="E863" s="8"/>
      <c r="F863" s="10"/>
      <c r="G863" s="10"/>
      <c r="H863" s="10"/>
      <c r="I863" s="7"/>
      <c r="J863" s="12"/>
      <c r="K863" s="13"/>
      <c r="L863" s="14"/>
      <c r="M863" s="15"/>
      <c r="N863" s="15"/>
      <c r="O863" s="16"/>
      <c r="Q863" s="16"/>
    </row>
    <row r="864" spans="1:17" x14ac:dyDescent="0.3">
      <c r="A864" s="5"/>
      <c r="B864" s="6"/>
      <c r="C864" s="7"/>
      <c r="D864" s="8"/>
      <c r="E864" s="8"/>
      <c r="F864" s="10"/>
      <c r="G864" s="10"/>
      <c r="H864" s="10"/>
      <c r="I864" s="7"/>
      <c r="J864" s="12"/>
      <c r="K864" s="13"/>
      <c r="L864" s="14"/>
      <c r="M864" s="15"/>
      <c r="N864" s="15"/>
      <c r="O864" s="16"/>
      <c r="Q864" s="16"/>
    </row>
    <row r="865" spans="1:17" x14ac:dyDescent="0.3">
      <c r="A865" s="5"/>
      <c r="B865" s="6"/>
      <c r="C865" s="7"/>
      <c r="D865" s="8"/>
      <c r="E865" s="8"/>
      <c r="F865" s="10"/>
      <c r="G865" s="10"/>
      <c r="H865" s="10"/>
      <c r="I865" s="7"/>
      <c r="J865" s="12"/>
      <c r="K865" s="13"/>
      <c r="L865" s="14"/>
      <c r="M865" s="15"/>
      <c r="N865" s="15"/>
      <c r="O865" s="16"/>
      <c r="Q865" s="16"/>
    </row>
    <row r="866" spans="1:17" x14ac:dyDescent="0.3">
      <c r="A866" s="5"/>
      <c r="B866" s="6"/>
      <c r="C866" s="7"/>
      <c r="D866" s="8"/>
      <c r="E866" s="8"/>
      <c r="F866" s="10"/>
      <c r="G866" s="10"/>
      <c r="H866" s="10"/>
      <c r="I866" s="7"/>
      <c r="J866" s="12"/>
      <c r="K866" s="13"/>
      <c r="L866" s="14"/>
      <c r="M866" s="15"/>
      <c r="N866" s="15"/>
      <c r="O866" s="16"/>
      <c r="Q866" s="16"/>
    </row>
    <row r="867" spans="1:17" x14ac:dyDescent="0.3">
      <c r="A867" s="5"/>
      <c r="B867" s="6"/>
      <c r="C867" s="7"/>
      <c r="D867" s="8"/>
      <c r="E867" s="8"/>
      <c r="F867" s="10"/>
      <c r="G867" s="10"/>
      <c r="H867" s="10"/>
      <c r="I867" s="7"/>
      <c r="J867" s="12"/>
      <c r="K867" s="13"/>
      <c r="L867" s="14"/>
      <c r="M867" s="15"/>
      <c r="N867" s="15"/>
      <c r="O867" s="16"/>
      <c r="Q867" s="16"/>
    </row>
    <row r="868" spans="1:17" x14ac:dyDescent="0.3">
      <c r="A868" s="5"/>
      <c r="B868" s="6"/>
      <c r="C868" s="7"/>
      <c r="D868" s="8"/>
      <c r="E868" s="8"/>
      <c r="F868" s="10"/>
      <c r="G868" s="10"/>
      <c r="H868" s="10"/>
      <c r="I868" s="7"/>
      <c r="J868" s="12"/>
      <c r="K868" s="13"/>
      <c r="L868" s="14"/>
      <c r="M868" s="15"/>
      <c r="N868" s="15"/>
      <c r="O868" s="16"/>
      <c r="Q868" s="16"/>
    </row>
    <row r="869" spans="1:17" x14ac:dyDescent="0.3">
      <c r="A869" s="5"/>
      <c r="B869" s="6"/>
      <c r="C869" s="7"/>
      <c r="D869" s="8"/>
      <c r="E869" s="8"/>
      <c r="F869" s="10"/>
      <c r="G869" s="10"/>
      <c r="H869" s="10"/>
      <c r="I869" s="7"/>
      <c r="J869" s="12"/>
      <c r="K869" s="13"/>
      <c r="L869" s="14"/>
      <c r="M869" s="15"/>
      <c r="N869" s="15"/>
      <c r="O869" s="16"/>
      <c r="Q869" s="16"/>
    </row>
    <row r="870" spans="1:17" x14ac:dyDescent="0.3">
      <c r="A870" s="5"/>
      <c r="B870" s="6"/>
      <c r="C870" s="7"/>
      <c r="D870" s="8"/>
      <c r="E870" s="8"/>
      <c r="F870" s="10"/>
      <c r="G870" s="10"/>
      <c r="H870" s="10"/>
      <c r="I870" s="7"/>
      <c r="J870" s="12"/>
      <c r="K870" s="13"/>
      <c r="L870" s="14"/>
      <c r="M870" s="15"/>
      <c r="N870" s="15"/>
      <c r="O870" s="16"/>
      <c r="Q870" s="16"/>
    </row>
    <row r="871" spans="1:17" x14ac:dyDescent="0.3">
      <c r="A871" s="5"/>
      <c r="B871" s="6"/>
      <c r="C871" s="7"/>
      <c r="D871" s="8"/>
      <c r="E871" s="8"/>
      <c r="F871" s="10"/>
      <c r="G871" s="10"/>
      <c r="H871" s="10"/>
      <c r="I871" s="7"/>
      <c r="J871" s="12"/>
      <c r="K871" s="13"/>
      <c r="L871" s="14"/>
      <c r="M871" s="15"/>
      <c r="N871" s="15"/>
      <c r="O871" s="16"/>
      <c r="Q871" s="16"/>
    </row>
    <row r="872" spans="1:17" x14ac:dyDescent="0.3">
      <c r="A872" s="5"/>
      <c r="B872" s="6"/>
      <c r="C872" s="7"/>
      <c r="D872" s="8"/>
      <c r="E872" s="8"/>
      <c r="F872" s="10"/>
      <c r="G872" s="10"/>
      <c r="H872" s="10"/>
      <c r="I872" s="7"/>
      <c r="J872" s="12"/>
      <c r="K872" s="13"/>
      <c r="L872" s="14"/>
      <c r="M872" s="15"/>
      <c r="N872" s="15"/>
      <c r="O872" s="16"/>
      <c r="Q872" s="16"/>
    </row>
    <row r="873" spans="1:17" x14ac:dyDescent="0.3">
      <c r="A873" s="5"/>
      <c r="B873" s="6"/>
      <c r="C873" s="7"/>
      <c r="D873" s="8"/>
      <c r="E873" s="8"/>
      <c r="F873" s="10"/>
      <c r="G873" s="10"/>
      <c r="H873" s="10"/>
      <c r="I873" s="7"/>
      <c r="J873" s="12"/>
      <c r="K873" s="13"/>
      <c r="L873" s="14"/>
      <c r="M873" s="15"/>
      <c r="N873" s="15"/>
      <c r="O873" s="16"/>
      <c r="Q873" s="16"/>
    </row>
    <row r="874" spans="1:17" x14ac:dyDescent="0.3">
      <c r="A874" s="5"/>
      <c r="B874" s="6"/>
      <c r="C874" s="7"/>
      <c r="D874" s="8"/>
      <c r="E874" s="8"/>
      <c r="F874" s="10"/>
      <c r="G874" s="10"/>
      <c r="H874" s="10"/>
      <c r="I874" s="7"/>
      <c r="J874" s="12"/>
      <c r="K874" s="13"/>
      <c r="L874" s="14"/>
      <c r="M874" s="15"/>
      <c r="N874" s="15"/>
      <c r="O874" s="16"/>
      <c r="Q874" s="16"/>
    </row>
    <row r="875" spans="1:17" x14ac:dyDescent="0.3">
      <c r="A875" s="5"/>
      <c r="B875" s="6"/>
      <c r="C875" s="7"/>
      <c r="D875" s="8"/>
      <c r="E875" s="8"/>
      <c r="F875" s="10"/>
      <c r="G875" s="10"/>
      <c r="H875" s="10"/>
      <c r="I875" s="7"/>
      <c r="J875" s="12"/>
      <c r="K875" s="13"/>
      <c r="L875" s="14"/>
      <c r="M875" s="15"/>
      <c r="N875" s="15"/>
      <c r="O875" s="16"/>
      <c r="Q875" s="16"/>
    </row>
    <row r="876" spans="1:17" x14ac:dyDescent="0.3">
      <c r="A876" s="5"/>
      <c r="B876" s="6"/>
      <c r="C876" s="7"/>
      <c r="D876" s="8"/>
      <c r="E876" s="8"/>
      <c r="F876" s="10"/>
      <c r="G876" s="10"/>
      <c r="H876" s="10"/>
      <c r="I876" s="7"/>
      <c r="J876" s="12"/>
      <c r="K876" s="13"/>
      <c r="L876" s="14"/>
      <c r="M876" s="15"/>
      <c r="N876" s="15"/>
      <c r="O876" s="16"/>
      <c r="Q876" s="16"/>
    </row>
    <row r="877" spans="1:17" x14ac:dyDescent="0.3">
      <c r="A877" s="5"/>
      <c r="B877" s="6"/>
      <c r="C877" s="7"/>
      <c r="D877" s="8"/>
      <c r="E877" s="8"/>
      <c r="F877" s="10"/>
      <c r="G877" s="10"/>
      <c r="H877" s="10"/>
      <c r="I877" s="7"/>
      <c r="J877" s="12"/>
      <c r="K877" s="13"/>
      <c r="L877" s="14"/>
      <c r="M877" s="15"/>
      <c r="N877" s="15"/>
      <c r="O877" s="16"/>
      <c r="Q877" s="16"/>
    </row>
    <row r="878" spans="1:17" x14ac:dyDescent="0.3">
      <c r="A878" s="5"/>
      <c r="B878" s="6"/>
      <c r="C878" s="7"/>
      <c r="D878" s="8"/>
      <c r="E878" s="8"/>
      <c r="F878" s="10"/>
      <c r="G878" s="10"/>
      <c r="H878" s="10"/>
      <c r="I878" s="7"/>
      <c r="J878" s="12"/>
      <c r="K878" s="13"/>
      <c r="L878" s="14"/>
      <c r="M878" s="15"/>
      <c r="N878" s="15"/>
      <c r="O878" s="16"/>
      <c r="Q878" s="16"/>
    </row>
    <row r="879" spans="1:17" x14ac:dyDescent="0.3">
      <c r="A879" s="5"/>
      <c r="B879" s="6"/>
      <c r="C879" s="7"/>
      <c r="D879" s="8"/>
      <c r="E879" s="8"/>
      <c r="F879" s="10"/>
      <c r="G879" s="10"/>
      <c r="H879" s="10"/>
      <c r="I879" s="7"/>
      <c r="J879" s="12"/>
      <c r="K879" s="13"/>
      <c r="L879" s="14"/>
      <c r="M879" s="15"/>
      <c r="N879" s="15"/>
      <c r="O879" s="16"/>
      <c r="Q879" s="16"/>
    </row>
    <row r="880" spans="1:17" x14ac:dyDescent="0.3">
      <c r="A880" s="5"/>
      <c r="B880" s="6"/>
      <c r="C880" s="7"/>
      <c r="D880" s="8"/>
      <c r="E880" s="8"/>
      <c r="F880" s="10"/>
      <c r="G880" s="10"/>
      <c r="H880" s="10"/>
      <c r="I880" s="7"/>
      <c r="J880" s="12"/>
      <c r="K880" s="13"/>
      <c r="L880" s="14"/>
      <c r="M880" s="15"/>
      <c r="N880" s="15"/>
      <c r="O880" s="16"/>
      <c r="Q880" s="16"/>
    </row>
    <row r="881" spans="1:17" x14ac:dyDescent="0.3">
      <c r="A881" s="5"/>
      <c r="B881" s="6"/>
      <c r="C881" s="7"/>
      <c r="D881" s="8"/>
      <c r="E881" s="8"/>
      <c r="F881" s="10"/>
      <c r="G881" s="10"/>
      <c r="H881" s="10"/>
      <c r="I881" s="7"/>
      <c r="J881" s="12"/>
      <c r="K881" s="13"/>
      <c r="L881" s="14"/>
      <c r="M881" s="15"/>
      <c r="N881" s="15"/>
      <c r="O881" s="16"/>
      <c r="Q881" s="16"/>
    </row>
    <row r="882" spans="1:17" x14ac:dyDescent="0.3">
      <c r="A882" s="5"/>
      <c r="B882" s="6"/>
      <c r="C882" s="7"/>
      <c r="D882" s="8"/>
      <c r="E882" s="8"/>
      <c r="F882" s="10"/>
      <c r="G882" s="10"/>
      <c r="H882" s="10"/>
      <c r="I882" s="7"/>
      <c r="J882" s="12"/>
      <c r="K882" s="13"/>
      <c r="L882" s="14"/>
      <c r="M882" s="15"/>
      <c r="N882" s="15"/>
      <c r="O882" s="16"/>
      <c r="Q882" s="16"/>
    </row>
    <row r="883" spans="1:17" x14ac:dyDescent="0.3">
      <c r="A883" s="5"/>
      <c r="B883" s="6"/>
      <c r="C883" s="7"/>
      <c r="D883" s="8"/>
      <c r="E883" s="8"/>
      <c r="F883" s="10"/>
      <c r="G883" s="10"/>
      <c r="H883" s="10"/>
      <c r="I883" s="7"/>
      <c r="J883" s="12"/>
      <c r="K883" s="13"/>
      <c r="L883" s="14"/>
      <c r="M883" s="15"/>
      <c r="N883" s="15"/>
      <c r="O883" s="16"/>
      <c r="Q883" s="16"/>
    </row>
    <row r="884" spans="1:17" x14ac:dyDescent="0.3">
      <c r="A884" s="5"/>
      <c r="B884" s="6"/>
      <c r="C884" s="7"/>
      <c r="D884" s="8"/>
      <c r="E884" s="8"/>
      <c r="F884" s="10"/>
      <c r="G884" s="10"/>
      <c r="H884" s="10"/>
      <c r="I884" s="7"/>
      <c r="J884" s="12"/>
      <c r="K884" s="13"/>
      <c r="L884" s="14"/>
      <c r="M884" s="15"/>
      <c r="N884" s="15"/>
      <c r="O884" s="16"/>
      <c r="Q884" s="16"/>
    </row>
    <row r="885" spans="1:17" x14ac:dyDescent="0.3">
      <c r="A885" s="5"/>
      <c r="B885" s="6"/>
      <c r="C885" s="7"/>
      <c r="D885" s="8"/>
      <c r="E885" s="8"/>
      <c r="F885" s="10"/>
      <c r="G885" s="10"/>
      <c r="H885" s="10"/>
      <c r="I885" s="7"/>
      <c r="J885" s="12"/>
      <c r="K885" s="13"/>
      <c r="L885" s="14"/>
      <c r="M885" s="15"/>
      <c r="N885" s="15"/>
      <c r="O885" s="16"/>
      <c r="Q885" s="16"/>
    </row>
    <row r="886" spans="1:17" x14ac:dyDescent="0.3">
      <c r="A886" s="5"/>
      <c r="B886" s="6"/>
      <c r="C886" s="7"/>
      <c r="D886" s="8"/>
      <c r="E886" s="8"/>
      <c r="F886" s="10"/>
      <c r="G886" s="10"/>
      <c r="H886" s="10"/>
      <c r="I886" s="7"/>
      <c r="J886" s="12"/>
      <c r="K886" s="13"/>
      <c r="L886" s="14"/>
      <c r="M886" s="15"/>
      <c r="N886" s="15"/>
      <c r="O886" s="16"/>
      <c r="Q886" s="16"/>
    </row>
    <row r="887" spans="1:17" x14ac:dyDescent="0.3">
      <c r="A887" s="5"/>
      <c r="B887" s="6"/>
      <c r="C887" s="7"/>
      <c r="D887" s="8"/>
      <c r="E887" s="8"/>
      <c r="F887" s="10"/>
      <c r="G887" s="10"/>
      <c r="H887" s="10"/>
      <c r="I887" s="7"/>
      <c r="J887" s="12"/>
      <c r="K887" s="13"/>
      <c r="L887" s="14"/>
      <c r="M887" s="15"/>
      <c r="N887" s="15"/>
      <c r="O887" s="16"/>
      <c r="Q887" s="16"/>
    </row>
    <row r="888" spans="1:17" x14ac:dyDescent="0.3">
      <c r="A888" s="5"/>
      <c r="B888" s="6"/>
      <c r="C888" s="7"/>
      <c r="D888" s="8"/>
      <c r="E888" s="8"/>
      <c r="F888" s="10"/>
      <c r="G888" s="10"/>
      <c r="H888" s="10"/>
      <c r="I888" s="7"/>
      <c r="J888" s="12"/>
      <c r="K888" s="13"/>
      <c r="L888" s="14"/>
      <c r="M888" s="15"/>
      <c r="N888" s="15"/>
      <c r="O888" s="16"/>
      <c r="Q888" s="16"/>
    </row>
    <row r="889" spans="1:17" x14ac:dyDescent="0.3">
      <c r="A889" s="5"/>
      <c r="B889" s="6"/>
      <c r="C889" s="7"/>
      <c r="D889" s="8"/>
      <c r="E889" s="8"/>
      <c r="F889" s="10"/>
      <c r="G889" s="10"/>
      <c r="H889" s="10"/>
      <c r="I889" s="7"/>
      <c r="J889" s="12"/>
      <c r="K889" s="13"/>
      <c r="L889" s="14"/>
      <c r="M889" s="15"/>
      <c r="N889" s="15"/>
      <c r="O889" s="16"/>
      <c r="Q889" s="16"/>
    </row>
    <row r="890" spans="1:17" x14ac:dyDescent="0.3">
      <c r="A890" s="5"/>
      <c r="B890" s="6"/>
      <c r="C890" s="7"/>
      <c r="D890" s="8"/>
      <c r="E890" s="8"/>
      <c r="F890" s="10"/>
      <c r="G890" s="10"/>
      <c r="H890" s="10"/>
      <c r="I890" s="7"/>
      <c r="J890" s="12"/>
      <c r="K890" s="13"/>
      <c r="L890" s="14"/>
      <c r="M890" s="15"/>
      <c r="N890" s="15"/>
      <c r="O890" s="16"/>
      <c r="Q890" s="16"/>
    </row>
    <row r="891" spans="1:17" x14ac:dyDescent="0.3">
      <c r="A891" s="5"/>
      <c r="B891" s="6"/>
      <c r="C891" s="7"/>
      <c r="D891" s="8"/>
      <c r="E891" s="8"/>
      <c r="F891" s="10"/>
      <c r="G891" s="10"/>
      <c r="H891" s="10"/>
      <c r="I891" s="7"/>
      <c r="J891" s="12"/>
      <c r="K891" s="13"/>
      <c r="L891" s="14"/>
      <c r="M891" s="15"/>
      <c r="N891" s="15"/>
      <c r="O891" s="16"/>
      <c r="Q891" s="16"/>
    </row>
    <row r="892" spans="1:17" x14ac:dyDescent="0.3">
      <c r="A892" s="5"/>
      <c r="B892" s="6"/>
      <c r="C892" s="7"/>
      <c r="D892" s="8"/>
      <c r="E892" s="8"/>
      <c r="F892" s="10"/>
      <c r="G892" s="10"/>
      <c r="H892" s="10"/>
      <c r="I892" s="7"/>
      <c r="J892" s="12"/>
      <c r="K892" s="13"/>
      <c r="L892" s="14"/>
      <c r="M892" s="15"/>
      <c r="N892" s="15"/>
      <c r="O892" s="16"/>
      <c r="Q892" s="16"/>
    </row>
    <row r="893" spans="1:17" x14ac:dyDescent="0.3">
      <c r="A893" s="5"/>
      <c r="B893" s="6"/>
      <c r="C893" s="7"/>
      <c r="D893" s="8"/>
      <c r="E893" s="8"/>
      <c r="F893" s="10"/>
      <c r="G893" s="10"/>
      <c r="H893" s="10"/>
      <c r="I893" s="7"/>
      <c r="J893" s="12"/>
      <c r="K893" s="13"/>
      <c r="L893" s="14"/>
      <c r="M893" s="15"/>
      <c r="N893" s="15"/>
      <c r="O893" s="16"/>
      <c r="Q893" s="16"/>
    </row>
    <row r="894" spans="1:17" x14ac:dyDescent="0.3">
      <c r="A894" s="5"/>
      <c r="B894" s="6"/>
      <c r="C894" s="7"/>
      <c r="D894" s="8"/>
      <c r="E894" s="8"/>
      <c r="F894" s="10"/>
      <c r="G894" s="10"/>
      <c r="H894" s="10"/>
      <c r="I894" s="7"/>
      <c r="J894" s="12"/>
      <c r="K894" s="13"/>
      <c r="L894" s="14"/>
      <c r="M894" s="15"/>
      <c r="N894" s="15"/>
      <c r="O894" s="16"/>
      <c r="Q894" s="16"/>
    </row>
    <row r="895" spans="1:17" x14ac:dyDescent="0.3">
      <c r="A895" s="5"/>
      <c r="B895" s="6"/>
      <c r="C895" s="7"/>
      <c r="D895" s="8"/>
      <c r="E895" s="8"/>
      <c r="F895" s="10"/>
      <c r="G895" s="10"/>
      <c r="H895" s="10"/>
      <c r="I895" s="7"/>
      <c r="J895" s="12"/>
      <c r="K895" s="13"/>
      <c r="L895" s="14"/>
      <c r="M895" s="15"/>
      <c r="N895" s="15"/>
      <c r="O895" s="16"/>
      <c r="Q895" s="16"/>
    </row>
    <row r="896" spans="1:17" x14ac:dyDescent="0.3">
      <c r="A896" s="5"/>
      <c r="B896" s="6"/>
      <c r="C896" s="7"/>
      <c r="D896" s="8"/>
      <c r="E896" s="8"/>
      <c r="F896" s="10"/>
      <c r="G896" s="10"/>
      <c r="H896" s="10"/>
      <c r="I896" s="7"/>
      <c r="J896" s="12"/>
      <c r="K896" s="13"/>
      <c r="L896" s="14"/>
      <c r="M896" s="15"/>
      <c r="N896" s="15"/>
      <c r="O896" s="16"/>
      <c r="Q896" s="16"/>
    </row>
    <row r="897" spans="1:17" x14ac:dyDescent="0.3">
      <c r="A897" s="5"/>
      <c r="B897" s="6"/>
      <c r="C897" s="7"/>
      <c r="D897" s="8"/>
      <c r="E897" s="8"/>
      <c r="F897" s="10"/>
      <c r="G897" s="10"/>
      <c r="H897" s="10"/>
      <c r="I897" s="7"/>
      <c r="J897" s="12"/>
      <c r="K897" s="13"/>
      <c r="L897" s="14"/>
      <c r="M897" s="15"/>
      <c r="N897" s="15"/>
      <c r="O897" s="16"/>
      <c r="Q897" s="16"/>
    </row>
    <row r="898" spans="1:17" x14ac:dyDescent="0.3">
      <c r="A898" s="5"/>
      <c r="B898" s="6"/>
      <c r="C898" s="7"/>
      <c r="D898" s="8"/>
      <c r="E898" s="8"/>
      <c r="F898" s="10"/>
      <c r="G898" s="10"/>
      <c r="H898" s="10"/>
      <c r="I898" s="7"/>
      <c r="J898" s="12"/>
      <c r="K898" s="13"/>
      <c r="L898" s="14"/>
      <c r="M898" s="15"/>
      <c r="N898" s="15"/>
      <c r="O898" s="16"/>
      <c r="Q898" s="16"/>
    </row>
    <row r="899" spans="1:17" x14ac:dyDescent="0.3">
      <c r="A899" s="5"/>
      <c r="B899" s="6"/>
      <c r="C899" s="7"/>
      <c r="D899" s="8"/>
      <c r="E899" s="8"/>
      <c r="F899" s="10"/>
      <c r="G899" s="10"/>
      <c r="H899" s="10"/>
      <c r="I899" s="7"/>
      <c r="J899" s="12"/>
      <c r="K899" s="13"/>
      <c r="L899" s="14"/>
      <c r="M899" s="15"/>
      <c r="N899" s="15"/>
      <c r="O899" s="16"/>
      <c r="Q899" s="16"/>
    </row>
    <row r="900" spans="1:17" x14ac:dyDescent="0.3">
      <c r="A900" s="5"/>
      <c r="B900" s="6"/>
      <c r="C900" s="7"/>
      <c r="D900" s="8"/>
      <c r="E900" s="8"/>
      <c r="F900" s="10"/>
      <c r="G900" s="10"/>
      <c r="H900" s="10"/>
      <c r="I900" s="7"/>
      <c r="J900" s="12"/>
      <c r="K900" s="13"/>
      <c r="L900" s="14"/>
      <c r="M900" s="15"/>
      <c r="N900" s="15"/>
      <c r="O900" s="16"/>
      <c r="Q900" s="16"/>
    </row>
    <row r="901" spans="1:17" x14ac:dyDescent="0.3">
      <c r="A901" s="5"/>
      <c r="B901" s="6"/>
      <c r="C901" s="7"/>
      <c r="D901" s="8"/>
      <c r="E901" s="8"/>
      <c r="F901" s="10"/>
      <c r="G901" s="10"/>
      <c r="H901" s="10"/>
      <c r="I901" s="7"/>
      <c r="J901" s="12"/>
      <c r="K901" s="13"/>
      <c r="L901" s="14"/>
      <c r="M901" s="15"/>
      <c r="N901" s="15"/>
      <c r="O901" s="16"/>
      <c r="Q901" s="16"/>
    </row>
    <row r="902" spans="1:17" x14ac:dyDescent="0.3">
      <c r="A902" s="5"/>
      <c r="B902" s="6"/>
      <c r="C902" s="7"/>
      <c r="D902" s="8"/>
      <c r="E902" s="8"/>
      <c r="F902" s="10"/>
      <c r="G902" s="10"/>
      <c r="H902" s="10"/>
      <c r="I902" s="7"/>
      <c r="J902" s="12"/>
      <c r="K902" s="13"/>
      <c r="L902" s="14"/>
      <c r="M902" s="15"/>
      <c r="N902" s="15"/>
      <c r="O902" s="16"/>
      <c r="Q902" s="16"/>
    </row>
    <row r="903" spans="1:17" x14ac:dyDescent="0.3">
      <c r="A903" s="5"/>
      <c r="B903" s="6"/>
      <c r="C903" s="7"/>
      <c r="D903" s="8"/>
      <c r="E903" s="8"/>
      <c r="F903" s="10"/>
      <c r="G903" s="10"/>
      <c r="H903" s="10"/>
      <c r="I903" s="7"/>
      <c r="J903" s="12"/>
      <c r="K903" s="13"/>
      <c r="L903" s="14"/>
      <c r="M903" s="15"/>
      <c r="N903" s="15"/>
      <c r="O903" s="16"/>
      <c r="Q903" s="16"/>
    </row>
    <row r="904" spans="1:17" x14ac:dyDescent="0.3">
      <c r="A904" s="5"/>
      <c r="B904" s="6"/>
      <c r="C904" s="7"/>
      <c r="D904" s="8"/>
      <c r="E904" s="8"/>
      <c r="F904" s="10"/>
      <c r="G904" s="10"/>
      <c r="H904" s="10"/>
      <c r="I904" s="7"/>
      <c r="J904" s="12"/>
      <c r="K904" s="13"/>
      <c r="L904" s="14"/>
      <c r="M904" s="15"/>
      <c r="N904" s="15"/>
      <c r="O904" s="16"/>
      <c r="Q904" s="16"/>
    </row>
    <row r="905" spans="1:17" x14ac:dyDescent="0.3">
      <c r="A905" s="5"/>
      <c r="B905" s="6"/>
      <c r="C905" s="7"/>
      <c r="D905" s="8"/>
      <c r="E905" s="8"/>
      <c r="F905" s="10"/>
      <c r="G905" s="10"/>
      <c r="H905" s="10"/>
      <c r="I905" s="7"/>
      <c r="J905" s="12"/>
      <c r="K905" s="13"/>
      <c r="L905" s="14"/>
      <c r="M905" s="15"/>
      <c r="N905" s="15"/>
      <c r="O905" s="16"/>
      <c r="Q905" s="16"/>
    </row>
    <row r="906" spans="1:17" x14ac:dyDescent="0.3">
      <c r="A906" s="5"/>
      <c r="B906" s="6"/>
      <c r="C906" s="7"/>
      <c r="D906" s="8"/>
      <c r="E906" s="8"/>
      <c r="F906" s="10"/>
      <c r="G906" s="10"/>
      <c r="H906" s="10"/>
      <c r="I906" s="7"/>
      <c r="J906" s="12"/>
      <c r="K906" s="13"/>
      <c r="L906" s="14"/>
      <c r="M906" s="15"/>
      <c r="N906" s="15"/>
      <c r="O906" s="16"/>
      <c r="Q906" s="16"/>
    </row>
    <row r="907" spans="1:17" x14ac:dyDescent="0.3">
      <c r="A907" s="5"/>
      <c r="B907" s="6"/>
      <c r="C907" s="7"/>
      <c r="D907" s="8"/>
      <c r="E907" s="8"/>
      <c r="F907" s="10"/>
      <c r="G907" s="10"/>
      <c r="H907" s="10"/>
      <c r="I907" s="7"/>
      <c r="J907" s="12"/>
      <c r="K907" s="13"/>
      <c r="L907" s="14"/>
      <c r="M907" s="15"/>
      <c r="N907" s="15"/>
      <c r="O907" s="16"/>
      <c r="Q907" s="16"/>
    </row>
    <row r="908" spans="1:17" x14ac:dyDescent="0.3">
      <c r="A908" s="5"/>
      <c r="B908" s="6"/>
      <c r="C908" s="7"/>
      <c r="D908" s="8"/>
      <c r="E908" s="8"/>
      <c r="F908" s="10"/>
      <c r="G908" s="10"/>
      <c r="H908" s="10"/>
      <c r="I908" s="7"/>
      <c r="J908" s="12"/>
      <c r="K908" s="13"/>
      <c r="L908" s="14"/>
      <c r="M908" s="15"/>
      <c r="N908" s="15"/>
      <c r="O908" s="16"/>
      <c r="Q908" s="16"/>
    </row>
    <row r="909" spans="1:17" x14ac:dyDescent="0.3">
      <c r="A909" s="5"/>
      <c r="B909" s="6"/>
      <c r="C909" s="7"/>
      <c r="D909" s="8"/>
      <c r="E909" s="8"/>
      <c r="F909" s="10"/>
      <c r="G909" s="10"/>
      <c r="H909" s="10"/>
      <c r="I909" s="7"/>
      <c r="J909" s="12"/>
      <c r="K909" s="13"/>
      <c r="L909" s="14"/>
      <c r="M909" s="15"/>
      <c r="N909" s="15"/>
      <c r="O909" s="16"/>
      <c r="Q909" s="16"/>
    </row>
    <row r="910" spans="1:17" x14ac:dyDescent="0.3">
      <c r="A910" s="5"/>
      <c r="B910" s="6"/>
      <c r="C910" s="7"/>
      <c r="D910" s="8"/>
      <c r="E910" s="8"/>
      <c r="F910" s="10"/>
      <c r="G910" s="10"/>
      <c r="H910" s="10"/>
      <c r="I910" s="7"/>
      <c r="J910" s="12"/>
      <c r="K910" s="13"/>
      <c r="L910" s="14"/>
      <c r="M910" s="15"/>
      <c r="N910" s="15"/>
      <c r="O910" s="16"/>
      <c r="Q910" s="16"/>
    </row>
    <row r="911" spans="1:17" x14ac:dyDescent="0.3">
      <c r="A911" s="5"/>
      <c r="B911" s="6"/>
      <c r="C911" s="7"/>
      <c r="D911" s="8"/>
      <c r="E911" s="8"/>
      <c r="F911" s="10"/>
      <c r="G911" s="10"/>
      <c r="H911" s="10"/>
      <c r="I911" s="7"/>
      <c r="J911" s="12"/>
      <c r="K911" s="13"/>
      <c r="L911" s="14"/>
      <c r="M911" s="15"/>
      <c r="N911" s="15"/>
      <c r="O911" s="16"/>
      <c r="Q911" s="16"/>
    </row>
    <row r="912" spans="1:17" x14ac:dyDescent="0.3">
      <c r="A912" s="5"/>
      <c r="B912" s="6"/>
      <c r="C912" s="7"/>
      <c r="D912" s="8"/>
      <c r="E912" s="8"/>
      <c r="F912" s="10"/>
      <c r="G912" s="10"/>
      <c r="H912" s="10"/>
      <c r="I912" s="7"/>
      <c r="J912" s="12"/>
      <c r="K912" s="13"/>
      <c r="L912" s="14"/>
      <c r="M912" s="15"/>
      <c r="N912" s="15"/>
      <c r="O912" s="16"/>
      <c r="Q912" s="16"/>
    </row>
    <row r="913" spans="1:17" x14ac:dyDescent="0.3">
      <c r="A913" s="5"/>
      <c r="B913" s="6"/>
      <c r="C913" s="7"/>
      <c r="D913" s="8"/>
      <c r="E913" s="8"/>
      <c r="F913" s="10"/>
      <c r="G913" s="10"/>
      <c r="H913" s="10"/>
      <c r="I913" s="7"/>
      <c r="J913" s="12"/>
      <c r="K913" s="13"/>
      <c r="L913" s="14"/>
      <c r="M913" s="15"/>
      <c r="N913" s="15"/>
      <c r="O913" s="16"/>
      <c r="Q913" s="16"/>
    </row>
    <row r="914" spans="1:17" x14ac:dyDescent="0.3">
      <c r="A914" s="5"/>
      <c r="B914" s="6"/>
      <c r="C914" s="7"/>
      <c r="D914" s="8"/>
      <c r="E914" s="8"/>
      <c r="F914" s="10"/>
      <c r="G914" s="10"/>
      <c r="H914" s="10"/>
      <c r="I914" s="7"/>
      <c r="J914" s="12"/>
      <c r="K914" s="13"/>
      <c r="L914" s="14"/>
      <c r="M914" s="15"/>
      <c r="N914" s="15"/>
      <c r="O914" s="16"/>
      <c r="Q914" s="16"/>
    </row>
    <row r="915" spans="1:17" x14ac:dyDescent="0.3">
      <c r="A915" s="5"/>
      <c r="B915" s="6"/>
      <c r="C915" s="7"/>
      <c r="D915" s="8"/>
      <c r="E915" s="8"/>
      <c r="F915" s="10"/>
      <c r="G915" s="10"/>
      <c r="H915" s="10"/>
      <c r="I915" s="7"/>
      <c r="J915" s="12"/>
      <c r="K915" s="13"/>
      <c r="L915" s="14"/>
      <c r="M915" s="15"/>
      <c r="N915" s="15"/>
      <c r="O915" s="16"/>
      <c r="Q915" s="16"/>
    </row>
    <row r="916" spans="1:17" x14ac:dyDescent="0.3">
      <c r="A916" s="5"/>
      <c r="B916" s="6"/>
      <c r="C916" s="7"/>
      <c r="D916" s="8"/>
      <c r="E916" s="8"/>
      <c r="F916" s="10"/>
      <c r="G916" s="10"/>
      <c r="H916" s="10"/>
      <c r="I916" s="7"/>
      <c r="J916" s="12"/>
      <c r="K916" s="13"/>
      <c r="L916" s="14"/>
      <c r="M916" s="15"/>
      <c r="N916" s="15"/>
      <c r="O916" s="16"/>
      <c r="Q916" s="16"/>
    </row>
    <row r="917" spans="1:17" x14ac:dyDescent="0.3">
      <c r="A917" s="5"/>
      <c r="B917" s="6"/>
      <c r="C917" s="7"/>
      <c r="D917" s="8"/>
      <c r="E917" s="8"/>
      <c r="F917" s="10"/>
      <c r="G917" s="10"/>
      <c r="H917" s="10"/>
      <c r="I917" s="7"/>
      <c r="J917" s="12"/>
      <c r="K917" s="13"/>
      <c r="L917" s="14"/>
      <c r="M917" s="15"/>
      <c r="N917" s="15"/>
      <c r="O917" s="16"/>
      <c r="Q917" s="16"/>
    </row>
    <row r="918" spans="1:17" x14ac:dyDescent="0.3">
      <c r="A918" s="5"/>
      <c r="B918" s="6"/>
      <c r="C918" s="7"/>
      <c r="D918" s="8"/>
      <c r="E918" s="8"/>
      <c r="F918" s="10"/>
      <c r="G918" s="10"/>
      <c r="H918" s="10"/>
      <c r="I918" s="7"/>
      <c r="J918" s="12"/>
      <c r="K918" s="13"/>
      <c r="L918" s="14"/>
      <c r="M918" s="15"/>
      <c r="N918" s="15"/>
      <c r="O918" s="16"/>
      <c r="Q918" s="16"/>
    </row>
    <row r="919" spans="1:17" x14ac:dyDescent="0.3">
      <c r="A919" s="5"/>
      <c r="B919" s="6"/>
      <c r="C919" s="7"/>
      <c r="D919" s="8"/>
      <c r="E919" s="8"/>
      <c r="F919" s="10"/>
      <c r="G919" s="10"/>
      <c r="H919" s="10"/>
      <c r="I919" s="7"/>
      <c r="J919" s="12"/>
      <c r="K919" s="13"/>
      <c r="L919" s="14"/>
      <c r="M919" s="15"/>
      <c r="N919" s="15"/>
      <c r="O919" s="16"/>
      <c r="Q919" s="16"/>
    </row>
    <row r="920" spans="1:17" x14ac:dyDescent="0.3">
      <c r="A920" s="5"/>
      <c r="B920" s="6"/>
      <c r="C920" s="7"/>
      <c r="D920" s="8"/>
      <c r="E920" s="8"/>
      <c r="F920" s="10"/>
      <c r="G920" s="10"/>
      <c r="H920" s="10"/>
      <c r="I920" s="7"/>
      <c r="J920" s="12"/>
      <c r="K920" s="13"/>
      <c r="L920" s="14"/>
      <c r="M920" s="15"/>
      <c r="N920" s="15"/>
      <c r="O920" s="16"/>
      <c r="Q920" s="16"/>
    </row>
    <row r="921" spans="1:17" x14ac:dyDescent="0.3">
      <c r="A921" s="5"/>
      <c r="B921" s="6"/>
      <c r="C921" s="7"/>
      <c r="D921" s="8"/>
      <c r="E921" s="8"/>
      <c r="F921" s="10"/>
      <c r="G921" s="10"/>
      <c r="H921" s="10"/>
      <c r="I921" s="7"/>
      <c r="J921" s="12"/>
      <c r="K921" s="13"/>
      <c r="L921" s="14"/>
      <c r="M921" s="15"/>
      <c r="N921" s="15"/>
      <c r="O921" s="16"/>
      <c r="Q921" s="16"/>
    </row>
    <row r="922" spans="1:17" x14ac:dyDescent="0.3">
      <c r="A922" s="5"/>
      <c r="B922" s="6"/>
      <c r="C922" s="7"/>
      <c r="D922" s="8"/>
      <c r="E922" s="8"/>
      <c r="F922" s="10"/>
      <c r="G922" s="10"/>
      <c r="H922" s="10"/>
      <c r="I922" s="7"/>
      <c r="J922" s="12"/>
      <c r="K922" s="13"/>
      <c r="L922" s="14"/>
      <c r="M922" s="15"/>
      <c r="N922" s="15"/>
      <c r="O922" s="16"/>
      <c r="Q922" s="16"/>
    </row>
    <row r="923" spans="1:17" x14ac:dyDescent="0.3">
      <c r="A923" s="5"/>
      <c r="B923" s="6"/>
      <c r="C923" s="7"/>
      <c r="D923" s="8"/>
      <c r="E923" s="8"/>
      <c r="F923" s="10"/>
      <c r="G923" s="10"/>
      <c r="H923" s="10"/>
      <c r="I923" s="7"/>
      <c r="J923" s="12"/>
      <c r="K923" s="13"/>
      <c r="L923" s="14"/>
      <c r="M923" s="15"/>
      <c r="N923" s="15"/>
      <c r="O923" s="16"/>
      <c r="Q923" s="16"/>
    </row>
    <row r="924" spans="1:17" x14ac:dyDescent="0.3">
      <c r="A924" s="5"/>
      <c r="B924" s="6"/>
      <c r="C924" s="7"/>
      <c r="D924" s="8"/>
      <c r="E924" s="8"/>
      <c r="F924" s="10"/>
      <c r="G924" s="10"/>
      <c r="H924" s="10"/>
      <c r="I924" s="7"/>
      <c r="J924" s="12"/>
      <c r="K924" s="13"/>
      <c r="L924" s="14"/>
      <c r="M924" s="15"/>
      <c r="N924" s="15"/>
      <c r="O924" s="16"/>
      <c r="Q924" s="16"/>
    </row>
    <row r="925" spans="1:17" x14ac:dyDescent="0.3">
      <c r="A925" s="5"/>
      <c r="B925" s="6"/>
      <c r="C925" s="7"/>
      <c r="D925" s="8"/>
      <c r="E925" s="8"/>
      <c r="F925" s="10"/>
      <c r="G925" s="10"/>
      <c r="H925" s="10"/>
      <c r="I925" s="7"/>
      <c r="J925" s="12"/>
      <c r="K925" s="13"/>
      <c r="L925" s="14"/>
      <c r="M925" s="15"/>
      <c r="N925" s="15"/>
      <c r="O925" s="16"/>
      <c r="Q925" s="16"/>
    </row>
    <row r="926" spans="1:17" x14ac:dyDescent="0.3">
      <c r="A926" s="5"/>
      <c r="B926" s="6"/>
      <c r="C926" s="7"/>
      <c r="D926" s="8"/>
      <c r="E926" s="8"/>
      <c r="F926" s="10"/>
      <c r="G926" s="10"/>
      <c r="H926" s="10"/>
      <c r="I926" s="7"/>
      <c r="J926" s="12"/>
      <c r="K926" s="13"/>
      <c r="L926" s="14"/>
      <c r="M926" s="15"/>
      <c r="N926" s="15"/>
      <c r="O926" s="16"/>
      <c r="Q926" s="16"/>
    </row>
    <row r="927" spans="1:17" x14ac:dyDescent="0.3">
      <c r="A927" s="5"/>
      <c r="B927" s="6"/>
      <c r="C927" s="7"/>
      <c r="D927" s="8"/>
      <c r="E927" s="8"/>
      <c r="F927" s="10"/>
      <c r="G927" s="10"/>
      <c r="H927" s="10"/>
      <c r="I927" s="7"/>
      <c r="J927" s="12"/>
      <c r="K927" s="13"/>
      <c r="L927" s="14"/>
      <c r="M927" s="15"/>
      <c r="N927" s="15"/>
      <c r="O927" s="16"/>
      <c r="Q927" s="16"/>
    </row>
    <row r="928" spans="1:17" x14ac:dyDescent="0.3">
      <c r="A928" s="5"/>
      <c r="B928" s="6"/>
      <c r="C928" s="7"/>
      <c r="D928" s="8"/>
      <c r="E928" s="8"/>
      <c r="F928" s="10"/>
      <c r="G928" s="10"/>
      <c r="H928" s="10"/>
      <c r="I928" s="7"/>
      <c r="J928" s="12"/>
      <c r="K928" s="13"/>
      <c r="L928" s="14"/>
      <c r="M928" s="15"/>
      <c r="N928" s="15"/>
      <c r="O928" s="16"/>
      <c r="Q928" s="16"/>
    </row>
    <row r="929" spans="1:17" x14ac:dyDescent="0.3">
      <c r="A929" s="5"/>
      <c r="B929" s="6"/>
      <c r="C929" s="7"/>
      <c r="D929" s="8"/>
      <c r="E929" s="8"/>
      <c r="F929" s="10"/>
      <c r="G929" s="10"/>
      <c r="H929" s="10"/>
      <c r="I929" s="7"/>
      <c r="J929" s="12"/>
      <c r="K929" s="13"/>
      <c r="L929" s="14"/>
      <c r="M929" s="15"/>
      <c r="N929" s="15"/>
      <c r="O929" s="16"/>
      <c r="Q929" s="16"/>
    </row>
    <row r="930" spans="1:17" x14ac:dyDescent="0.3">
      <c r="A930" s="5"/>
      <c r="B930" s="6"/>
      <c r="C930" s="7"/>
      <c r="D930" s="8"/>
      <c r="E930" s="8"/>
      <c r="F930" s="10"/>
      <c r="G930" s="10"/>
      <c r="H930" s="10"/>
      <c r="I930" s="7"/>
      <c r="J930" s="12"/>
      <c r="K930" s="13"/>
      <c r="L930" s="14"/>
      <c r="M930" s="15"/>
      <c r="N930" s="15"/>
      <c r="O930" s="16"/>
      <c r="Q930" s="16"/>
    </row>
    <row r="931" spans="1:17" x14ac:dyDescent="0.3">
      <c r="A931" s="5"/>
      <c r="B931" s="6"/>
      <c r="C931" s="7"/>
      <c r="D931" s="8"/>
      <c r="E931" s="8"/>
      <c r="F931" s="10"/>
      <c r="G931" s="10"/>
      <c r="H931" s="10"/>
      <c r="I931" s="7"/>
      <c r="J931" s="12"/>
      <c r="K931" s="13"/>
      <c r="L931" s="14"/>
      <c r="M931" s="15"/>
      <c r="N931" s="15"/>
      <c r="O931" s="16"/>
      <c r="Q931" s="16"/>
    </row>
    <row r="932" spans="1:17" x14ac:dyDescent="0.3">
      <c r="A932" s="5"/>
      <c r="B932" s="6"/>
      <c r="C932" s="7"/>
      <c r="D932" s="8"/>
      <c r="E932" s="8"/>
      <c r="F932" s="10"/>
      <c r="G932" s="10"/>
      <c r="H932" s="10"/>
      <c r="I932" s="7"/>
      <c r="J932" s="12"/>
      <c r="K932" s="13"/>
      <c r="L932" s="14"/>
      <c r="M932" s="15"/>
      <c r="N932" s="15"/>
      <c r="O932" s="16"/>
      <c r="Q932" s="16"/>
    </row>
    <row r="933" spans="1:17" x14ac:dyDescent="0.3">
      <c r="A933" s="5"/>
      <c r="B933" s="6"/>
      <c r="C933" s="7"/>
      <c r="D933" s="8"/>
      <c r="E933" s="8"/>
      <c r="F933" s="10"/>
      <c r="G933" s="10"/>
      <c r="H933" s="10"/>
      <c r="I933" s="7"/>
      <c r="J933" s="12"/>
      <c r="K933" s="13"/>
      <c r="L933" s="14"/>
      <c r="M933" s="15"/>
      <c r="N933" s="15"/>
      <c r="O933" s="16"/>
      <c r="Q933" s="16"/>
    </row>
    <row r="934" spans="1:17" x14ac:dyDescent="0.3">
      <c r="A934" s="5"/>
      <c r="B934" s="6"/>
      <c r="C934" s="7"/>
      <c r="D934" s="8"/>
      <c r="E934" s="8"/>
      <c r="F934" s="10"/>
      <c r="G934" s="10"/>
      <c r="H934" s="10"/>
      <c r="I934" s="7"/>
      <c r="J934" s="12"/>
      <c r="K934" s="13"/>
      <c r="L934" s="14"/>
      <c r="M934" s="15"/>
      <c r="N934" s="15"/>
      <c r="O934" s="16"/>
      <c r="Q934" s="16"/>
    </row>
    <row r="935" spans="1:17" x14ac:dyDescent="0.3">
      <c r="A935" s="5"/>
      <c r="B935" s="6"/>
      <c r="C935" s="7"/>
      <c r="D935" s="8"/>
      <c r="E935" s="8"/>
      <c r="F935" s="10"/>
      <c r="G935" s="10"/>
      <c r="H935" s="10"/>
      <c r="I935" s="7"/>
      <c r="J935" s="12"/>
      <c r="K935" s="13"/>
      <c r="L935" s="14"/>
      <c r="M935" s="15"/>
      <c r="N935" s="15"/>
      <c r="O935" s="16"/>
      <c r="Q935" s="16"/>
    </row>
    <row r="936" spans="1:17" x14ac:dyDescent="0.3">
      <c r="A936" s="5"/>
      <c r="B936" s="6"/>
      <c r="C936" s="7"/>
      <c r="D936" s="8"/>
      <c r="E936" s="8"/>
      <c r="F936" s="10"/>
      <c r="G936" s="10"/>
      <c r="H936" s="10"/>
      <c r="I936" s="7"/>
      <c r="J936" s="12"/>
      <c r="K936" s="13"/>
      <c r="L936" s="14"/>
      <c r="M936" s="15"/>
      <c r="N936" s="15"/>
      <c r="O936" s="16"/>
      <c r="Q936" s="16"/>
    </row>
    <row r="937" spans="1:17" x14ac:dyDescent="0.3">
      <c r="A937" s="5"/>
      <c r="B937" s="6"/>
      <c r="C937" s="7"/>
      <c r="D937" s="8"/>
      <c r="E937" s="8"/>
      <c r="F937" s="10"/>
      <c r="G937" s="10"/>
      <c r="H937" s="10"/>
      <c r="I937" s="7"/>
      <c r="J937" s="12"/>
      <c r="K937" s="13"/>
      <c r="L937" s="14"/>
      <c r="M937" s="15"/>
      <c r="N937" s="15"/>
      <c r="O937" s="16"/>
      <c r="Q937" s="16"/>
    </row>
    <row r="938" spans="1:17" x14ac:dyDescent="0.3">
      <c r="A938" s="5"/>
      <c r="B938" s="6"/>
      <c r="C938" s="7"/>
      <c r="D938" s="8"/>
      <c r="E938" s="8"/>
      <c r="F938" s="10"/>
      <c r="G938" s="10"/>
      <c r="H938" s="10"/>
      <c r="I938" s="7"/>
      <c r="J938" s="12"/>
      <c r="K938" s="13"/>
      <c r="L938" s="14"/>
      <c r="M938" s="15"/>
      <c r="N938" s="15"/>
      <c r="O938" s="16"/>
      <c r="Q938" s="16"/>
    </row>
    <row r="939" spans="1:17" x14ac:dyDescent="0.3">
      <c r="A939" s="5"/>
      <c r="B939" s="6"/>
      <c r="C939" s="7"/>
      <c r="D939" s="8"/>
      <c r="E939" s="8"/>
      <c r="F939" s="10"/>
      <c r="G939" s="10"/>
      <c r="H939" s="10"/>
      <c r="I939" s="7"/>
      <c r="J939" s="12"/>
      <c r="K939" s="13"/>
      <c r="L939" s="14"/>
      <c r="M939" s="15"/>
      <c r="N939" s="15"/>
      <c r="O939" s="16"/>
      <c r="Q939" s="16"/>
    </row>
    <row r="940" spans="1:17" x14ac:dyDescent="0.3">
      <c r="A940" s="5"/>
      <c r="B940" s="6"/>
      <c r="C940" s="7"/>
      <c r="D940" s="8"/>
      <c r="E940" s="8"/>
      <c r="F940" s="10"/>
      <c r="G940" s="10"/>
      <c r="H940" s="10"/>
      <c r="I940" s="7"/>
      <c r="J940" s="12"/>
      <c r="K940" s="13"/>
      <c r="L940" s="14"/>
      <c r="M940" s="15"/>
      <c r="N940" s="15"/>
      <c r="O940" s="16"/>
      <c r="Q940" s="16"/>
    </row>
    <row r="941" spans="1:17" x14ac:dyDescent="0.3">
      <c r="A941" s="5"/>
      <c r="B941" s="6"/>
      <c r="C941" s="7"/>
      <c r="D941" s="8"/>
      <c r="E941" s="8"/>
      <c r="F941" s="10"/>
      <c r="G941" s="10"/>
      <c r="H941" s="10"/>
      <c r="I941" s="7"/>
      <c r="J941" s="12"/>
      <c r="K941" s="13"/>
      <c r="L941" s="14"/>
      <c r="M941" s="15"/>
      <c r="N941" s="15"/>
      <c r="O941" s="16"/>
      <c r="Q941" s="16"/>
    </row>
    <row r="942" spans="1:17" x14ac:dyDescent="0.3">
      <c r="A942" s="5"/>
      <c r="B942" s="6"/>
      <c r="C942" s="7"/>
      <c r="D942" s="8"/>
      <c r="E942" s="8"/>
      <c r="F942" s="10"/>
      <c r="G942" s="10"/>
      <c r="H942" s="10"/>
      <c r="I942" s="7"/>
      <c r="J942" s="12"/>
      <c r="K942" s="13"/>
      <c r="L942" s="14"/>
      <c r="M942" s="15"/>
      <c r="N942" s="15"/>
      <c r="O942" s="16"/>
      <c r="Q942" s="16"/>
    </row>
    <row r="943" spans="1:17" x14ac:dyDescent="0.3">
      <c r="A943" s="5"/>
      <c r="B943" s="6"/>
      <c r="C943" s="7"/>
      <c r="D943" s="8"/>
      <c r="E943" s="8"/>
      <c r="F943" s="10"/>
      <c r="G943" s="10"/>
      <c r="H943" s="10"/>
      <c r="I943" s="7"/>
      <c r="J943" s="12"/>
      <c r="K943" s="13"/>
      <c r="L943" s="14"/>
      <c r="M943" s="15"/>
      <c r="N943" s="15"/>
      <c r="O943" s="16"/>
      <c r="Q943" s="16"/>
    </row>
    <row r="944" spans="1:17" x14ac:dyDescent="0.3">
      <c r="A944" s="5"/>
      <c r="B944" s="6"/>
      <c r="C944" s="7"/>
      <c r="D944" s="8"/>
      <c r="E944" s="8"/>
      <c r="F944" s="10"/>
      <c r="G944" s="10"/>
      <c r="H944" s="10"/>
      <c r="I944" s="7"/>
      <c r="J944" s="12"/>
      <c r="K944" s="13"/>
      <c r="L944" s="14"/>
      <c r="M944" s="15"/>
      <c r="N944" s="15"/>
      <c r="O944" s="16"/>
      <c r="Q944" s="16"/>
    </row>
    <row r="945" spans="1:17" x14ac:dyDescent="0.3">
      <c r="A945" s="5"/>
      <c r="B945" s="6"/>
      <c r="C945" s="7"/>
      <c r="D945" s="8"/>
      <c r="E945" s="8"/>
      <c r="F945" s="10"/>
      <c r="G945" s="10"/>
      <c r="H945" s="10"/>
      <c r="I945" s="7"/>
      <c r="J945" s="12"/>
      <c r="K945" s="13"/>
      <c r="L945" s="14"/>
      <c r="M945" s="15"/>
      <c r="N945" s="15"/>
      <c r="O945" s="16"/>
      <c r="Q945" s="16"/>
    </row>
    <row r="946" spans="1:17" x14ac:dyDescent="0.3">
      <c r="A946" s="5"/>
      <c r="B946" s="6"/>
      <c r="C946" s="7"/>
      <c r="D946" s="8"/>
      <c r="E946" s="8"/>
      <c r="F946" s="10"/>
      <c r="G946" s="10"/>
      <c r="H946" s="10"/>
      <c r="I946" s="7"/>
      <c r="J946" s="12"/>
      <c r="K946" s="13"/>
      <c r="L946" s="14"/>
      <c r="M946" s="15"/>
      <c r="N946" s="15"/>
      <c r="O946" s="16"/>
      <c r="Q946" s="16"/>
    </row>
    <row r="947" spans="1:17" x14ac:dyDescent="0.3">
      <c r="A947" s="5"/>
      <c r="B947" s="6"/>
      <c r="C947" s="7"/>
      <c r="D947" s="8"/>
      <c r="E947" s="8"/>
      <c r="F947" s="10"/>
      <c r="G947" s="10"/>
      <c r="H947" s="10"/>
      <c r="I947" s="7"/>
      <c r="J947" s="12"/>
      <c r="K947" s="13"/>
      <c r="L947" s="14"/>
      <c r="M947" s="15"/>
      <c r="N947" s="15"/>
      <c r="O947" s="16"/>
      <c r="Q947" s="16"/>
    </row>
    <row r="948" spans="1:17" x14ac:dyDescent="0.3">
      <c r="A948" s="5"/>
      <c r="B948" s="6"/>
      <c r="C948" s="7"/>
      <c r="D948" s="8"/>
      <c r="E948" s="8"/>
      <c r="F948" s="10"/>
      <c r="G948" s="10"/>
      <c r="H948" s="10"/>
      <c r="I948" s="7"/>
      <c r="J948" s="12"/>
      <c r="K948" s="13"/>
      <c r="L948" s="14"/>
      <c r="M948" s="15"/>
      <c r="N948" s="15"/>
      <c r="O948" s="16"/>
      <c r="Q948" s="16"/>
    </row>
    <row r="949" spans="1:17" x14ac:dyDescent="0.3">
      <c r="A949" s="5"/>
      <c r="B949" s="6"/>
      <c r="C949" s="7"/>
      <c r="D949" s="8"/>
      <c r="E949" s="8"/>
      <c r="F949" s="10"/>
      <c r="G949" s="10"/>
      <c r="H949" s="10"/>
      <c r="I949" s="7"/>
      <c r="J949" s="12"/>
      <c r="K949" s="13"/>
      <c r="L949" s="14"/>
      <c r="M949" s="15"/>
      <c r="N949" s="15"/>
      <c r="O949" s="16"/>
      <c r="Q949" s="16"/>
    </row>
    <row r="950" spans="1:17" x14ac:dyDescent="0.3">
      <c r="A950" s="5"/>
      <c r="B950" s="6"/>
      <c r="C950" s="7"/>
      <c r="D950" s="8"/>
      <c r="E950" s="8"/>
      <c r="F950" s="10"/>
      <c r="G950" s="10"/>
      <c r="H950" s="10"/>
      <c r="I950" s="7"/>
      <c r="J950" s="12"/>
      <c r="K950" s="13"/>
      <c r="L950" s="14"/>
      <c r="M950" s="15"/>
      <c r="N950" s="15"/>
      <c r="O950" s="16"/>
      <c r="Q950" s="16"/>
    </row>
    <row r="951" spans="1:17" x14ac:dyDescent="0.3">
      <c r="A951" s="5"/>
      <c r="B951" s="6"/>
      <c r="C951" s="7"/>
      <c r="D951" s="8"/>
      <c r="E951" s="8"/>
      <c r="F951" s="10"/>
      <c r="G951" s="10"/>
      <c r="H951" s="10"/>
      <c r="I951" s="7"/>
      <c r="J951" s="12"/>
      <c r="K951" s="13"/>
      <c r="L951" s="14"/>
      <c r="M951" s="15"/>
      <c r="N951" s="15"/>
      <c r="O951" s="16"/>
      <c r="Q951" s="16"/>
    </row>
    <row r="952" spans="1:17" x14ac:dyDescent="0.3">
      <c r="A952" s="5"/>
      <c r="B952" s="6"/>
      <c r="C952" s="7"/>
      <c r="D952" s="8"/>
      <c r="E952" s="8"/>
      <c r="F952" s="10"/>
      <c r="G952" s="10"/>
      <c r="H952" s="10"/>
      <c r="I952" s="7"/>
      <c r="J952" s="12"/>
      <c r="K952" s="13"/>
      <c r="L952" s="14"/>
      <c r="M952" s="15"/>
      <c r="N952" s="15"/>
      <c r="O952" s="16"/>
      <c r="Q952" s="16"/>
    </row>
    <row r="953" spans="1:17" x14ac:dyDescent="0.3">
      <c r="A953" s="5"/>
      <c r="B953" s="6"/>
      <c r="C953" s="7"/>
      <c r="D953" s="8"/>
      <c r="E953" s="8"/>
      <c r="F953" s="10"/>
      <c r="G953" s="10"/>
      <c r="H953" s="10"/>
      <c r="I953" s="7"/>
      <c r="J953" s="12"/>
      <c r="K953" s="13"/>
      <c r="L953" s="14"/>
      <c r="M953" s="15"/>
      <c r="N953" s="15"/>
      <c r="O953" s="16"/>
      <c r="Q953" s="16"/>
    </row>
    <row r="954" spans="1:17" x14ac:dyDescent="0.3">
      <c r="A954" s="5"/>
      <c r="B954" s="6"/>
      <c r="C954" s="7"/>
      <c r="D954" s="8"/>
      <c r="E954" s="8"/>
      <c r="F954" s="10"/>
      <c r="G954" s="10"/>
      <c r="H954" s="10"/>
      <c r="I954" s="7"/>
      <c r="J954" s="12"/>
      <c r="K954" s="13"/>
      <c r="L954" s="14"/>
      <c r="M954" s="15"/>
      <c r="N954" s="15"/>
      <c r="O954" s="16"/>
      <c r="Q954" s="16"/>
    </row>
    <row r="955" spans="1:17" x14ac:dyDescent="0.3">
      <c r="A955" s="5"/>
      <c r="B955" s="6"/>
      <c r="C955" s="7"/>
      <c r="D955" s="8"/>
      <c r="E955" s="8"/>
      <c r="F955" s="10"/>
      <c r="G955" s="10"/>
      <c r="H955" s="10"/>
      <c r="I955" s="7"/>
      <c r="J955" s="12"/>
      <c r="K955" s="13"/>
      <c r="L955" s="14"/>
      <c r="M955" s="15"/>
      <c r="N955" s="15"/>
      <c r="O955" s="16"/>
      <c r="Q955" s="16"/>
    </row>
    <row r="956" spans="1:17" x14ac:dyDescent="0.3">
      <c r="A956" s="5"/>
      <c r="B956" s="6"/>
      <c r="C956" s="7"/>
      <c r="D956" s="8"/>
      <c r="E956" s="8"/>
      <c r="F956" s="10"/>
      <c r="G956" s="10"/>
      <c r="H956" s="10"/>
      <c r="I956" s="7"/>
      <c r="J956" s="12"/>
      <c r="K956" s="13"/>
      <c r="L956" s="14"/>
      <c r="M956" s="15"/>
      <c r="N956" s="15"/>
      <c r="O956" s="16"/>
      <c r="Q956" s="16"/>
    </row>
    <row r="957" spans="1:17" x14ac:dyDescent="0.3">
      <c r="A957" s="5"/>
      <c r="B957" s="6"/>
      <c r="C957" s="7"/>
      <c r="D957" s="8"/>
      <c r="E957" s="8"/>
      <c r="F957" s="10"/>
      <c r="G957" s="10"/>
      <c r="H957" s="10"/>
      <c r="I957" s="7"/>
      <c r="J957" s="12"/>
      <c r="K957" s="13"/>
      <c r="L957" s="14"/>
      <c r="M957" s="15"/>
      <c r="N957" s="15"/>
      <c r="O957" s="16"/>
      <c r="Q957" s="16"/>
    </row>
    <row r="958" spans="1:17" x14ac:dyDescent="0.3">
      <c r="A958" s="5"/>
      <c r="B958" s="6"/>
      <c r="C958" s="7"/>
      <c r="D958" s="8"/>
      <c r="E958" s="8"/>
      <c r="F958" s="10"/>
      <c r="G958" s="10"/>
      <c r="H958" s="10"/>
      <c r="I958" s="7"/>
      <c r="J958" s="12"/>
      <c r="K958" s="13"/>
      <c r="L958" s="14"/>
      <c r="M958" s="15"/>
      <c r="N958" s="15"/>
      <c r="O958" s="16"/>
      <c r="Q958" s="16"/>
    </row>
    <row r="959" spans="1:17" x14ac:dyDescent="0.3">
      <c r="A959" s="5"/>
      <c r="B959" s="6"/>
      <c r="C959" s="7"/>
      <c r="D959" s="8"/>
      <c r="E959" s="8"/>
      <c r="F959" s="10"/>
      <c r="G959" s="10"/>
      <c r="H959" s="10"/>
      <c r="I959" s="7"/>
      <c r="J959" s="12"/>
      <c r="K959" s="13"/>
      <c r="L959" s="14"/>
      <c r="M959" s="15"/>
      <c r="N959" s="15"/>
      <c r="O959" s="16"/>
      <c r="Q959" s="16"/>
    </row>
    <row r="960" spans="1:17" x14ac:dyDescent="0.3">
      <c r="A960" s="5"/>
      <c r="B960" s="6"/>
      <c r="C960" s="7"/>
      <c r="D960" s="8"/>
      <c r="E960" s="8"/>
      <c r="F960" s="10"/>
      <c r="G960" s="10"/>
      <c r="H960" s="10"/>
      <c r="I960" s="7"/>
      <c r="J960" s="12"/>
      <c r="K960" s="13"/>
      <c r="L960" s="14"/>
      <c r="M960" s="15"/>
      <c r="N960" s="15"/>
      <c r="O960" s="16"/>
      <c r="Q960" s="16"/>
    </row>
    <row r="961" spans="1:17" x14ac:dyDescent="0.3">
      <c r="A961" s="5"/>
      <c r="B961" s="6"/>
      <c r="C961" s="7"/>
      <c r="D961" s="8"/>
      <c r="E961" s="8"/>
      <c r="F961" s="10"/>
      <c r="G961" s="10"/>
      <c r="H961" s="10"/>
      <c r="I961" s="7"/>
      <c r="J961" s="12"/>
      <c r="K961" s="13"/>
      <c r="L961" s="14"/>
      <c r="M961" s="15"/>
      <c r="N961" s="15"/>
      <c r="O961" s="16"/>
      <c r="Q961" s="16"/>
    </row>
    <row r="962" spans="1:17" x14ac:dyDescent="0.3">
      <c r="A962" s="5"/>
      <c r="B962" s="6"/>
      <c r="C962" s="7"/>
      <c r="D962" s="8"/>
      <c r="E962" s="8"/>
      <c r="F962" s="10"/>
      <c r="G962" s="10"/>
      <c r="H962" s="10"/>
      <c r="I962" s="7"/>
      <c r="J962" s="12"/>
      <c r="K962" s="13"/>
      <c r="L962" s="14"/>
      <c r="M962" s="15"/>
      <c r="N962" s="15"/>
      <c r="O962" s="16"/>
      <c r="Q962" s="16"/>
    </row>
    <row r="963" spans="1:17" x14ac:dyDescent="0.3">
      <c r="A963" s="5"/>
      <c r="B963" s="6"/>
      <c r="C963" s="7"/>
      <c r="D963" s="8"/>
      <c r="E963" s="8"/>
      <c r="F963" s="10"/>
      <c r="G963" s="10"/>
      <c r="H963" s="10"/>
      <c r="I963" s="7"/>
      <c r="J963" s="12"/>
      <c r="K963" s="13"/>
      <c r="L963" s="14"/>
      <c r="M963" s="15"/>
      <c r="N963" s="15"/>
      <c r="O963" s="16"/>
      <c r="Q963" s="16"/>
    </row>
    <row r="964" spans="1:17" x14ac:dyDescent="0.3">
      <c r="A964" s="5"/>
      <c r="B964" s="6"/>
      <c r="C964" s="7"/>
      <c r="D964" s="8"/>
      <c r="E964" s="8"/>
      <c r="F964" s="10"/>
      <c r="G964" s="10"/>
      <c r="H964" s="10"/>
      <c r="I964" s="7"/>
      <c r="J964" s="12"/>
      <c r="K964" s="13"/>
      <c r="L964" s="14"/>
      <c r="M964" s="15"/>
      <c r="N964" s="15"/>
      <c r="O964" s="16"/>
      <c r="Q964" s="16"/>
    </row>
    <row r="965" spans="1:17" x14ac:dyDescent="0.3">
      <c r="A965" s="5"/>
      <c r="B965" s="6"/>
      <c r="C965" s="7"/>
      <c r="D965" s="8"/>
      <c r="E965" s="8"/>
      <c r="F965" s="10"/>
      <c r="G965" s="10"/>
      <c r="H965" s="10"/>
      <c r="I965" s="7"/>
      <c r="J965" s="12"/>
      <c r="K965" s="13"/>
      <c r="L965" s="14"/>
      <c r="M965" s="15"/>
      <c r="N965" s="15"/>
      <c r="O965" s="16"/>
      <c r="Q965" s="16"/>
    </row>
    <row r="966" spans="1:17" x14ac:dyDescent="0.3">
      <c r="A966" s="5"/>
      <c r="B966" s="6"/>
      <c r="C966" s="7"/>
      <c r="D966" s="8"/>
      <c r="E966" s="8"/>
      <c r="F966" s="10"/>
      <c r="G966" s="10"/>
      <c r="H966" s="10"/>
      <c r="I966" s="7"/>
      <c r="J966" s="12"/>
      <c r="K966" s="13"/>
      <c r="L966" s="14"/>
      <c r="M966" s="15"/>
      <c r="N966" s="15"/>
      <c r="O966" s="16"/>
      <c r="Q966" s="16"/>
    </row>
    <row r="967" spans="1:17" x14ac:dyDescent="0.3">
      <c r="A967" s="5"/>
      <c r="B967" s="6"/>
      <c r="C967" s="7"/>
      <c r="D967" s="8"/>
      <c r="E967" s="8"/>
      <c r="F967" s="10"/>
      <c r="G967" s="10"/>
      <c r="H967" s="10"/>
      <c r="I967" s="7"/>
      <c r="J967" s="12"/>
      <c r="K967" s="13"/>
      <c r="L967" s="14"/>
      <c r="M967" s="15"/>
      <c r="N967" s="15"/>
      <c r="O967" s="16"/>
      <c r="Q967" s="16"/>
    </row>
    <row r="968" spans="1:17" x14ac:dyDescent="0.3">
      <c r="A968" s="5"/>
      <c r="B968" s="6"/>
      <c r="C968" s="7"/>
      <c r="D968" s="8"/>
      <c r="E968" s="8"/>
      <c r="F968" s="10"/>
      <c r="G968" s="10"/>
      <c r="H968" s="10"/>
      <c r="I968" s="7"/>
      <c r="J968" s="12"/>
      <c r="K968" s="13"/>
      <c r="L968" s="14"/>
      <c r="M968" s="15"/>
      <c r="N968" s="15"/>
      <c r="O968" s="16"/>
      <c r="Q968" s="16"/>
    </row>
    <row r="969" spans="1:17" x14ac:dyDescent="0.3">
      <c r="A969" s="5"/>
      <c r="B969" s="6"/>
      <c r="C969" s="7"/>
      <c r="D969" s="8"/>
      <c r="E969" s="8"/>
      <c r="F969" s="10"/>
      <c r="G969" s="10"/>
      <c r="H969" s="10"/>
      <c r="I969" s="7"/>
      <c r="J969" s="12"/>
      <c r="K969" s="13"/>
      <c r="L969" s="14"/>
      <c r="M969" s="15"/>
      <c r="N969" s="15"/>
      <c r="O969" s="16"/>
      <c r="Q969" s="16"/>
    </row>
    <row r="970" spans="1:17" x14ac:dyDescent="0.3">
      <c r="A970" s="5"/>
      <c r="B970" s="6"/>
      <c r="C970" s="7"/>
      <c r="D970" s="8"/>
      <c r="E970" s="8"/>
      <c r="F970" s="10"/>
      <c r="G970" s="10"/>
      <c r="H970" s="10"/>
      <c r="I970" s="7"/>
      <c r="J970" s="12"/>
      <c r="K970" s="13"/>
      <c r="L970" s="14"/>
      <c r="M970" s="15"/>
      <c r="N970" s="15"/>
      <c r="O970" s="16"/>
      <c r="Q970" s="16"/>
    </row>
    <row r="971" spans="1:17" x14ac:dyDescent="0.3">
      <c r="A971" s="5"/>
      <c r="B971" s="6"/>
      <c r="C971" s="7"/>
      <c r="D971" s="8"/>
      <c r="E971" s="8"/>
      <c r="F971" s="10"/>
      <c r="G971" s="10"/>
      <c r="H971" s="10"/>
      <c r="I971" s="7"/>
      <c r="J971" s="12"/>
      <c r="K971" s="13"/>
      <c r="L971" s="14"/>
      <c r="M971" s="15"/>
      <c r="N971" s="15"/>
      <c r="O971" s="16"/>
      <c r="Q971" s="16"/>
    </row>
    <row r="972" spans="1:17" x14ac:dyDescent="0.3">
      <c r="A972" s="5"/>
      <c r="B972" s="6"/>
      <c r="C972" s="7"/>
      <c r="D972" s="8"/>
      <c r="E972" s="8"/>
      <c r="F972" s="10"/>
      <c r="G972" s="10"/>
      <c r="H972" s="10"/>
      <c r="I972" s="7"/>
      <c r="J972" s="12"/>
      <c r="K972" s="13"/>
      <c r="L972" s="14"/>
      <c r="M972" s="15"/>
      <c r="N972" s="15"/>
      <c r="O972" s="16"/>
      <c r="Q972" s="16"/>
    </row>
    <row r="973" spans="1:17" x14ac:dyDescent="0.3">
      <c r="A973" s="5"/>
      <c r="B973" s="6"/>
      <c r="C973" s="7"/>
      <c r="D973" s="8"/>
      <c r="E973" s="8"/>
      <c r="F973" s="10"/>
      <c r="G973" s="10"/>
      <c r="H973" s="10"/>
      <c r="I973" s="7"/>
      <c r="J973" s="12"/>
      <c r="K973" s="13"/>
      <c r="L973" s="14"/>
      <c r="M973" s="15"/>
      <c r="N973" s="15"/>
      <c r="O973" s="16"/>
      <c r="Q973" s="16"/>
    </row>
    <row r="974" spans="1:17" x14ac:dyDescent="0.3">
      <c r="A974" s="5"/>
      <c r="B974" s="6"/>
      <c r="C974" s="7"/>
      <c r="D974" s="8"/>
      <c r="E974" s="8"/>
      <c r="F974" s="10"/>
      <c r="G974" s="10"/>
      <c r="H974" s="10"/>
      <c r="I974" s="7"/>
      <c r="J974" s="12"/>
      <c r="K974" s="13"/>
      <c r="L974" s="14"/>
      <c r="M974" s="15"/>
      <c r="N974" s="15"/>
      <c r="O974" s="16"/>
      <c r="Q974" s="16"/>
    </row>
    <row r="975" spans="1:17" x14ac:dyDescent="0.3">
      <c r="A975" s="5"/>
      <c r="B975" s="6"/>
      <c r="C975" s="7"/>
      <c r="D975" s="8"/>
      <c r="E975" s="8"/>
      <c r="F975" s="10"/>
      <c r="G975" s="10"/>
      <c r="H975" s="10"/>
      <c r="I975" s="7"/>
      <c r="J975" s="12"/>
      <c r="K975" s="13"/>
      <c r="L975" s="14"/>
      <c r="M975" s="15"/>
      <c r="N975" s="15"/>
      <c r="O975" s="16"/>
      <c r="Q975" s="16"/>
    </row>
    <row r="976" spans="1:17" x14ac:dyDescent="0.3">
      <c r="A976" s="5"/>
      <c r="B976" s="6"/>
      <c r="C976" s="7"/>
      <c r="D976" s="8"/>
      <c r="E976" s="8"/>
      <c r="F976" s="10"/>
      <c r="G976" s="10"/>
      <c r="H976" s="10"/>
      <c r="I976" s="7"/>
      <c r="J976" s="12"/>
      <c r="K976" s="13"/>
      <c r="L976" s="14"/>
      <c r="M976" s="15"/>
      <c r="N976" s="15"/>
      <c r="O976" s="16"/>
      <c r="Q976" s="16"/>
    </row>
    <row r="977" spans="1:17" x14ac:dyDescent="0.3">
      <c r="A977" s="5"/>
      <c r="B977" s="6"/>
      <c r="C977" s="7"/>
      <c r="D977" s="8"/>
      <c r="E977" s="8"/>
      <c r="F977" s="10"/>
      <c r="G977" s="10"/>
      <c r="H977" s="10"/>
      <c r="I977" s="7"/>
      <c r="J977" s="12"/>
      <c r="K977" s="13"/>
      <c r="L977" s="14"/>
      <c r="M977" s="15"/>
      <c r="N977" s="15"/>
      <c r="O977" s="16"/>
      <c r="Q977" s="16"/>
    </row>
    <row r="978" spans="1:17" x14ac:dyDescent="0.3">
      <c r="A978" s="5"/>
      <c r="B978" s="6"/>
      <c r="C978" s="7"/>
      <c r="D978" s="8"/>
      <c r="E978" s="8"/>
      <c r="F978" s="10"/>
      <c r="G978" s="10"/>
      <c r="H978" s="10"/>
      <c r="I978" s="7"/>
      <c r="J978" s="12"/>
      <c r="K978" s="13"/>
      <c r="L978" s="14"/>
      <c r="M978" s="15"/>
      <c r="N978" s="15"/>
      <c r="O978" s="16"/>
      <c r="Q978" s="16"/>
    </row>
    <row r="979" spans="1:17" x14ac:dyDescent="0.3">
      <c r="A979" s="5"/>
      <c r="B979" s="6"/>
      <c r="C979" s="7"/>
      <c r="D979" s="8"/>
      <c r="E979" s="8"/>
      <c r="F979" s="10"/>
      <c r="G979" s="10"/>
      <c r="H979" s="10"/>
      <c r="I979" s="7"/>
      <c r="J979" s="12"/>
      <c r="K979" s="13"/>
      <c r="L979" s="14"/>
      <c r="M979" s="15"/>
      <c r="N979" s="15"/>
      <c r="O979" s="16"/>
      <c r="Q979" s="16"/>
    </row>
    <row r="980" spans="1:17" x14ac:dyDescent="0.3">
      <c r="A980" s="5"/>
      <c r="B980" s="6"/>
      <c r="C980" s="7"/>
      <c r="D980" s="8"/>
      <c r="E980" s="8"/>
      <c r="F980" s="10"/>
      <c r="G980" s="10"/>
      <c r="H980" s="10"/>
      <c r="I980" s="7"/>
      <c r="J980" s="12"/>
      <c r="K980" s="13"/>
      <c r="L980" s="14"/>
      <c r="M980" s="15"/>
      <c r="N980" s="15"/>
      <c r="O980" s="16"/>
      <c r="Q980" s="16"/>
    </row>
    <row r="981" spans="1:17" x14ac:dyDescent="0.3">
      <c r="A981" s="5"/>
      <c r="B981" s="6"/>
      <c r="C981" s="7"/>
      <c r="D981" s="8"/>
      <c r="E981" s="8"/>
      <c r="F981" s="10"/>
      <c r="G981" s="10"/>
      <c r="H981" s="10"/>
      <c r="I981" s="7"/>
      <c r="J981" s="12"/>
      <c r="K981" s="13"/>
      <c r="L981" s="14"/>
      <c r="M981" s="15"/>
      <c r="N981" s="15"/>
      <c r="O981" s="16"/>
      <c r="Q981" s="16"/>
    </row>
    <row r="982" spans="1:17" x14ac:dyDescent="0.3">
      <c r="A982" s="5"/>
      <c r="B982" s="6"/>
      <c r="C982" s="7"/>
      <c r="D982" s="10"/>
      <c r="E982" s="8"/>
      <c r="F982" s="10"/>
      <c r="G982" s="10"/>
      <c r="H982" s="10"/>
      <c r="I982" s="7"/>
      <c r="J982" s="12"/>
      <c r="K982" s="13"/>
      <c r="L982" s="14"/>
      <c r="M982" s="15"/>
      <c r="N982" s="15"/>
      <c r="O982" s="16"/>
      <c r="Q982" s="16"/>
    </row>
    <row r="983" spans="1:17" x14ac:dyDescent="0.3">
      <c r="A983" s="5"/>
      <c r="B983" s="6"/>
      <c r="C983" s="7"/>
      <c r="D983" s="8"/>
      <c r="E983" s="8"/>
      <c r="F983" s="10"/>
      <c r="G983" s="10"/>
      <c r="H983" s="10"/>
      <c r="I983" s="7"/>
      <c r="J983" s="12"/>
      <c r="K983" s="13"/>
      <c r="L983" s="14"/>
      <c r="M983" s="15"/>
      <c r="N983" s="15"/>
      <c r="O983" s="16"/>
      <c r="Q983" s="16"/>
    </row>
    <row r="984" spans="1:17" x14ac:dyDescent="0.3">
      <c r="A984" s="5"/>
      <c r="B984" s="6"/>
      <c r="C984" s="7"/>
      <c r="D984" s="8"/>
      <c r="E984" s="8"/>
      <c r="F984" s="10"/>
      <c r="G984" s="10"/>
      <c r="H984" s="10"/>
      <c r="I984" s="7"/>
      <c r="J984" s="12"/>
      <c r="K984" s="13"/>
      <c r="L984" s="14"/>
      <c r="M984" s="15"/>
      <c r="N984" s="15"/>
      <c r="O984" s="16"/>
      <c r="Q984" s="16"/>
    </row>
    <row r="985" spans="1:17" x14ac:dyDescent="0.3">
      <c r="A985" s="5"/>
      <c r="B985" s="6"/>
      <c r="C985" s="7"/>
      <c r="D985" s="8"/>
      <c r="E985" s="8"/>
      <c r="F985" s="10"/>
      <c r="G985" s="10"/>
      <c r="H985" s="10"/>
      <c r="I985" s="7"/>
      <c r="J985" s="12"/>
      <c r="K985" s="13"/>
      <c r="L985" s="14"/>
      <c r="M985" s="15"/>
      <c r="N985" s="15"/>
      <c r="O985" s="16"/>
      <c r="Q985" s="16"/>
    </row>
    <row r="986" spans="1:17" x14ac:dyDescent="0.3">
      <c r="A986" s="5"/>
      <c r="B986" s="6"/>
      <c r="C986" s="7"/>
      <c r="D986" s="8"/>
      <c r="E986" s="8"/>
      <c r="F986" s="10"/>
      <c r="G986" s="10"/>
      <c r="H986" s="10"/>
      <c r="I986" s="7"/>
      <c r="J986" s="12"/>
      <c r="K986" s="13"/>
      <c r="L986" s="14"/>
      <c r="M986" s="15"/>
      <c r="N986" s="15"/>
      <c r="O986" s="16"/>
      <c r="Q986" s="16"/>
    </row>
    <row r="987" spans="1:17" x14ac:dyDescent="0.3">
      <c r="A987" s="5"/>
      <c r="B987" s="6"/>
      <c r="C987" s="7"/>
      <c r="D987" s="8"/>
      <c r="E987" s="8"/>
      <c r="F987" s="10"/>
      <c r="G987" s="10"/>
      <c r="H987" s="10"/>
      <c r="I987" s="7"/>
      <c r="J987" s="12"/>
      <c r="K987" s="13"/>
      <c r="L987" s="14"/>
      <c r="M987" s="15"/>
      <c r="N987" s="15"/>
      <c r="O987" s="16"/>
      <c r="Q987" s="16"/>
    </row>
    <row r="988" spans="1:17" x14ac:dyDescent="0.3">
      <c r="A988" s="5"/>
      <c r="B988" s="6"/>
      <c r="C988" s="7"/>
      <c r="D988" s="8"/>
      <c r="E988" s="8"/>
      <c r="F988" s="10"/>
      <c r="G988" s="10"/>
      <c r="H988" s="10"/>
      <c r="I988" s="7"/>
      <c r="J988" s="12"/>
      <c r="K988" s="13"/>
      <c r="L988" s="14"/>
      <c r="M988" s="15"/>
      <c r="N988" s="15"/>
      <c r="O988" s="16"/>
      <c r="Q988" s="16"/>
    </row>
    <row r="989" spans="1:17" x14ac:dyDescent="0.3">
      <c r="A989" s="5"/>
      <c r="B989" s="6"/>
      <c r="C989" s="7"/>
      <c r="D989" s="8"/>
      <c r="E989" s="8"/>
      <c r="F989" s="10"/>
      <c r="G989" s="10"/>
      <c r="H989" s="10"/>
      <c r="I989" s="7"/>
      <c r="J989" s="12"/>
      <c r="K989" s="13"/>
      <c r="L989" s="14"/>
      <c r="M989" s="15"/>
      <c r="N989" s="15"/>
      <c r="O989" s="16"/>
      <c r="Q989" s="16"/>
    </row>
    <row r="990" spans="1:17" x14ac:dyDescent="0.3">
      <c r="A990" s="5"/>
      <c r="B990" s="6"/>
      <c r="C990" s="7"/>
      <c r="D990" s="8"/>
      <c r="E990" s="8"/>
      <c r="F990" s="10"/>
      <c r="G990" s="10"/>
      <c r="H990" s="10"/>
      <c r="I990" s="7"/>
      <c r="J990" s="12"/>
      <c r="K990" s="13"/>
      <c r="L990" s="14"/>
      <c r="M990" s="15"/>
      <c r="N990" s="15"/>
      <c r="O990" s="16"/>
      <c r="Q990" s="16"/>
    </row>
    <row r="991" spans="1:17" x14ac:dyDescent="0.3">
      <c r="A991" s="5"/>
      <c r="B991" s="6"/>
      <c r="C991" s="7"/>
      <c r="D991" s="8"/>
      <c r="E991" s="8"/>
      <c r="F991" s="10"/>
      <c r="G991" s="10"/>
      <c r="H991" s="10"/>
      <c r="I991" s="7"/>
      <c r="J991" s="12"/>
      <c r="K991" s="13"/>
      <c r="L991" s="14"/>
      <c r="M991" s="15"/>
      <c r="N991" s="15"/>
      <c r="O991" s="16"/>
      <c r="Q991" s="16"/>
    </row>
    <row r="992" spans="1:17" x14ac:dyDescent="0.3">
      <c r="A992" s="5"/>
      <c r="B992" s="6"/>
      <c r="C992" s="7"/>
      <c r="D992" s="8"/>
      <c r="E992" s="8"/>
      <c r="F992" s="10"/>
      <c r="G992" s="10"/>
      <c r="H992" s="10"/>
      <c r="I992" s="7"/>
      <c r="J992" s="12"/>
      <c r="K992" s="13"/>
      <c r="L992" s="14"/>
      <c r="M992" s="15"/>
      <c r="N992" s="15"/>
      <c r="O992" s="16"/>
      <c r="Q992" s="16"/>
    </row>
    <row r="993" spans="1:17" x14ac:dyDescent="0.3">
      <c r="A993" s="5"/>
      <c r="B993" s="6"/>
      <c r="C993" s="7"/>
      <c r="D993" s="8"/>
      <c r="E993" s="8"/>
      <c r="F993" s="10"/>
      <c r="G993" s="10"/>
      <c r="H993" s="10"/>
      <c r="I993" s="7"/>
      <c r="J993" s="12"/>
      <c r="K993" s="13"/>
      <c r="L993" s="14"/>
      <c r="M993" s="15"/>
      <c r="N993" s="15"/>
      <c r="O993" s="16"/>
      <c r="Q993" s="16"/>
    </row>
    <row r="994" spans="1:17" x14ac:dyDescent="0.3">
      <c r="A994" s="5"/>
      <c r="B994" s="6"/>
      <c r="C994" s="7"/>
      <c r="D994" s="8"/>
      <c r="E994" s="8"/>
      <c r="F994" s="10"/>
      <c r="G994" s="10"/>
      <c r="H994" s="10"/>
      <c r="I994" s="7"/>
      <c r="J994" s="12"/>
      <c r="K994" s="13"/>
      <c r="L994" s="14"/>
      <c r="M994" s="15"/>
      <c r="N994" s="15"/>
      <c r="O994" s="16"/>
      <c r="Q994" s="16"/>
    </row>
    <row r="995" spans="1:17" x14ac:dyDescent="0.3">
      <c r="A995" s="5"/>
      <c r="B995" s="6"/>
      <c r="C995" s="7"/>
      <c r="D995" s="8"/>
      <c r="E995" s="8"/>
      <c r="F995" s="10"/>
      <c r="G995" s="10"/>
      <c r="H995" s="10"/>
      <c r="I995" s="7"/>
      <c r="J995" s="12"/>
      <c r="K995" s="13"/>
      <c r="L995" s="14"/>
      <c r="M995" s="15"/>
      <c r="N995" s="15"/>
      <c r="O995" s="16"/>
      <c r="Q995" s="16"/>
    </row>
    <row r="996" spans="1:17" x14ac:dyDescent="0.3">
      <c r="A996" s="5"/>
      <c r="B996" s="6"/>
      <c r="C996" s="7"/>
      <c r="D996" s="8"/>
      <c r="E996" s="8"/>
      <c r="F996" s="10"/>
      <c r="G996" s="10"/>
      <c r="H996" s="10"/>
      <c r="I996" s="7"/>
      <c r="J996" s="12"/>
      <c r="K996" s="13"/>
      <c r="L996" s="14"/>
      <c r="M996" s="15"/>
      <c r="N996" s="15"/>
      <c r="O996" s="16"/>
      <c r="Q996" s="16"/>
    </row>
    <row r="997" spans="1:17" x14ac:dyDescent="0.3">
      <c r="A997" s="5"/>
      <c r="B997" s="6"/>
      <c r="C997" s="7"/>
      <c r="D997" s="8"/>
      <c r="E997" s="8"/>
      <c r="F997" s="10"/>
      <c r="G997" s="10"/>
      <c r="H997" s="10"/>
      <c r="I997" s="7"/>
      <c r="J997" s="12"/>
      <c r="K997" s="13"/>
      <c r="L997" s="14"/>
      <c r="M997" s="15"/>
      <c r="N997" s="15"/>
      <c r="O997" s="16"/>
      <c r="Q997" s="16"/>
    </row>
    <row r="998" spans="1:17" x14ac:dyDescent="0.3">
      <c r="A998" s="5"/>
      <c r="B998" s="6"/>
      <c r="C998" s="7"/>
      <c r="D998" s="8"/>
      <c r="E998" s="8"/>
      <c r="F998" s="10"/>
      <c r="G998" s="10"/>
      <c r="H998" s="10"/>
      <c r="I998" s="7"/>
      <c r="J998" s="12"/>
      <c r="K998" s="13"/>
      <c r="L998" s="14"/>
      <c r="M998" s="15"/>
      <c r="N998" s="15"/>
      <c r="O998" s="16"/>
      <c r="Q998" s="16"/>
    </row>
    <row r="999" spans="1:17" x14ac:dyDescent="0.3">
      <c r="A999" s="5"/>
      <c r="B999" s="6"/>
      <c r="C999" s="7"/>
      <c r="D999" s="8"/>
      <c r="E999" s="8"/>
      <c r="F999" s="10"/>
      <c r="G999" s="10"/>
      <c r="H999" s="10"/>
      <c r="I999" s="7"/>
      <c r="J999" s="12"/>
      <c r="K999" s="13"/>
      <c r="L999" s="14"/>
      <c r="M999" s="15"/>
      <c r="N999" s="15"/>
      <c r="O999" s="16"/>
      <c r="Q999" s="16"/>
    </row>
    <row r="1000" spans="1:17" x14ac:dyDescent="0.3">
      <c r="A1000" s="5"/>
      <c r="B1000" s="6"/>
      <c r="C1000" s="7"/>
      <c r="D1000" s="8"/>
      <c r="E1000" s="8"/>
      <c r="F1000" s="10"/>
      <c r="G1000" s="10"/>
      <c r="H1000" s="10"/>
      <c r="I1000" s="7"/>
      <c r="J1000" s="12"/>
      <c r="K1000" s="13"/>
      <c r="L1000" s="14"/>
      <c r="M1000" s="15"/>
      <c r="N1000" s="15"/>
      <c r="O1000" s="16"/>
      <c r="Q1000" s="16"/>
    </row>
    <row r="1001" spans="1:17" x14ac:dyDescent="0.3">
      <c r="A1001" s="5"/>
      <c r="B1001" s="6"/>
      <c r="C1001" s="7"/>
      <c r="D1001" s="8"/>
      <c r="E1001" s="8"/>
      <c r="F1001" s="10"/>
      <c r="G1001" s="10"/>
      <c r="H1001" s="10"/>
      <c r="I1001" s="7"/>
      <c r="J1001" s="12"/>
      <c r="K1001" s="13"/>
      <c r="L1001" s="14"/>
      <c r="M1001" s="15"/>
      <c r="N1001" s="15"/>
      <c r="O1001" s="16"/>
      <c r="Q1001" s="16"/>
    </row>
    <row r="1002" spans="1:17" x14ac:dyDescent="0.3">
      <c r="A1002" s="5"/>
      <c r="B1002" s="6"/>
      <c r="C1002" s="7"/>
      <c r="D1002" s="8"/>
      <c r="E1002" s="8"/>
      <c r="F1002" s="10"/>
      <c r="G1002" s="10"/>
      <c r="H1002" s="10"/>
      <c r="I1002" s="7"/>
      <c r="J1002" s="12"/>
      <c r="K1002" s="13"/>
      <c r="L1002" s="14"/>
      <c r="M1002" s="15"/>
      <c r="N1002" s="15"/>
      <c r="O1002" s="16"/>
      <c r="Q1002" s="16"/>
    </row>
    <row r="1003" spans="1:17" x14ac:dyDescent="0.3">
      <c r="A1003" s="5"/>
      <c r="B1003" s="6"/>
      <c r="C1003" s="7"/>
      <c r="D1003" s="8"/>
      <c r="E1003" s="8"/>
      <c r="F1003" s="10"/>
      <c r="G1003" s="10"/>
      <c r="H1003" s="10"/>
      <c r="I1003" s="7"/>
      <c r="J1003" s="12"/>
      <c r="K1003" s="13"/>
      <c r="L1003" s="14"/>
      <c r="M1003" s="15"/>
      <c r="N1003" s="15"/>
      <c r="O1003" s="16"/>
      <c r="Q1003" s="16"/>
    </row>
    <row r="1004" spans="1:17" x14ac:dyDescent="0.3">
      <c r="A1004" s="5"/>
      <c r="B1004" s="6"/>
      <c r="C1004" s="7"/>
      <c r="D1004" s="8"/>
      <c r="E1004" s="8"/>
      <c r="F1004" s="10"/>
      <c r="G1004" s="10"/>
      <c r="H1004" s="10"/>
      <c r="I1004" s="7"/>
      <c r="J1004" s="12"/>
      <c r="K1004" s="13"/>
      <c r="L1004" s="14"/>
      <c r="M1004" s="15"/>
      <c r="N1004" s="15"/>
      <c r="O1004" s="16"/>
      <c r="Q1004" s="16"/>
    </row>
    <row r="1005" spans="1:17" x14ac:dyDescent="0.3">
      <c r="A1005" s="5"/>
      <c r="B1005" s="6"/>
      <c r="C1005" s="7"/>
      <c r="D1005" s="8"/>
      <c r="E1005" s="8"/>
      <c r="F1005" s="10"/>
      <c r="G1005" s="10"/>
      <c r="H1005" s="10"/>
      <c r="I1005" s="7"/>
      <c r="J1005" s="12"/>
      <c r="K1005" s="13"/>
      <c r="L1005" s="14"/>
      <c r="M1005" s="15"/>
      <c r="N1005" s="15"/>
      <c r="O1005" s="16"/>
      <c r="Q1005" s="16"/>
    </row>
    <row r="1006" spans="1:17" x14ac:dyDescent="0.3">
      <c r="A1006" s="5"/>
      <c r="B1006" s="6"/>
      <c r="C1006" s="7"/>
      <c r="D1006" s="8"/>
      <c r="E1006" s="8"/>
      <c r="F1006" s="10"/>
      <c r="G1006" s="10"/>
      <c r="H1006" s="10"/>
      <c r="I1006" s="7"/>
      <c r="J1006" s="12"/>
      <c r="K1006" s="13"/>
      <c r="L1006" s="14"/>
      <c r="M1006" s="15"/>
      <c r="N1006" s="15"/>
      <c r="O1006" s="16"/>
      <c r="Q1006" s="16"/>
    </row>
    <row r="1007" spans="1:17" x14ac:dyDescent="0.3">
      <c r="A1007" s="5"/>
      <c r="B1007" s="6"/>
      <c r="C1007" s="7"/>
      <c r="D1007" s="8"/>
      <c r="E1007" s="8"/>
      <c r="F1007" s="10"/>
      <c r="G1007" s="10"/>
      <c r="H1007" s="10"/>
      <c r="I1007" s="7"/>
      <c r="J1007" s="12"/>
      <c r="K1007" s="13"/>
      <c r="L1007" s="14"/>
      <c r="M1007" s="15"/>
      <c r="N1007" s="15"/>
      <c r="O1007" s="16"/>
      <c r="Q1007" s="16"/>
    </row>
    <row r="1008" spans="1:17" x14ac:dyDescent="0.3">
      <c r="A1008" s="5"/>
      <c r="B1008" s="6"/>
      <c r="C1008" s="7"/>
      <c r="D1008" s="8"/>
      <c r="E1008" s="8"/>
      <c r="F1008" s="10"/>
      <c r="G1008" s="10"/>
      <c r="H1008" s="10"/>
      <c r="I1008" s="7"/>
      <c r="J1008" s="12"/>
      <c r="K1008" s="13"/>
      <c r="L1008" s="14"/>
      <c r="M1008" s="15"/>
      <c r="N1008" s="15"/>
      <c r="O1008" s="16"/>
      <c r="Q1008" s="16"/>
    </row>
    <row r="1009" spans="1:17" x14ac:dyDescent="0.3">
      <c r="A1009" s="5"/>
      <c r="B1009" s="6"/>
      <c r="C1009" s="7"/>
      <c r="D1009" s="8"/>
      <c r="E1009" s="8"/>
      <c r="F1009" s="10"/>
      <c r="G1009" s="10"/>
      <c r="H1009" s="10"/>
      <c r="I1009" s="7"/>
      <c r="J1009" s="12"/>
      <c r="K1009" s="13"/>
      <c r="L1009" s="14"/>
      <c r="M1009" s="15"/>
      <c r="N1009" s="15"/>
      <c r="O1009" s="16"/>
      <c r="Q1009" s="16"/>
    </row>
    <row r="1010" spans="1:17" x14ac:dyDescent="0.3">
      <c r="A1010" s="5"/>
      <c r="B1010" s="6"/>
      <c r="C1010" s="7"/>
      <c r="D1010" s="8"/>
      <c r="E1010" s="8"/>
      <c r="F1010" s="10"/>
      <c r="G1010" s="10"/>
      <c r="H1010" s="10"/>
      <c r="I1010" s="7"/>
      <c r="J1010" s="12"/>
      <c r="K1010" s="13"/>
      <c r="L1010" s="14"/>
      <c r="M1010" s="15"/>
      <c r="N1010" s="15"/>
      <c r="O1010" s="16"/>
      <c r="Q1010" s="16"/>
    </row>
    <row r="1011" spans="1:17" x14ac:dyDescent="0.3">
      <c r="A1011" s="5"/>
      <c r="B1011" s="6"/>
      <c r="C1011" s="7"/>
      <c r="D1011" s="8"/>
      <c r="E1011" s="8"/>
      <c r="F1011" s="10"/>
      <c r="G1011" s="10"/>
      <c r="H1011" s="10"/>
      <c r="I1011" s="7"/>
      <c r="J1011" s="12"/>
      <c r="K1011" s="13"/>
      <c r="L1011" s="14"/>
      <c r="M1011" s="15"/>
      <c r="N1011" s="15"/>
      <c r="O1011" s="16"/>
      <c r="Q1011" s="16"/>
    </row>
    <row r="1012" spans="1:17" x14ac:dyDescent="0.3">
      <c r="A1012" s="5"/>
      <c r="B1012" s="6"/>
      <c r="C1012" s="7"/>
      <c r="D1012" s="8"/>
      <c r="E1012" s="8"/>
      <c r="F1012" s="10"/>
      <c r="G1012" s="10"/>
      <c r="H1012" s="10"/>
      <c r="I1012" s="7"/>
      <c r="J1012" s="12"/>
      <c r="K1012" s="13"/>
      <c r="L1012" s="14"/>
      <c r="M1012" s="15"/>
      <c r="N1012" s="15"/>
      <c r="O1012" s="16"/>
      <c r="Q1012" s="16"/>
    </row>
    <row r="1013" spans="1:17" x14ac:dyDescent="0.3">
      <c r="A1013" s="5"/>
      <c r="B1013" s="6"/>
      <c r="C1013" s="7"/>
      <c r="D1013" s="8"/>
      <c r="E1013" s="8"/>
      <c r="F1013" s="10"/>
      <c r="G1013" s="10"/>
      <c r="H1013" s="10"/>
      <c r="I1013" s="7"/>
      <c r="J1013" s="12"/>
      <c r="K1013" s="13"/>
      <c r="L1013" s="14"/>
      <c r="M1013" s="15"/>
      <c r="N1013" s="15"/>
      <c r="O1013" s="16"/>
      <c r="Q1013" s="16"/>
    </row>
    <row r="1014" spans="1:17" x14ac:dyDescent="0.3">
      <c r="A1014" s="5"/>
      <c r="B1014" s="6"/>
      <c r="C1014" s="7"/>
      <c r="D1014" s="8"/>
      <c r="E1014" s="8"/>
      <c r="F1014" s="10"/>
      <c r="G1014" s="10"/>
      <c r="H1014" s="10"/>
      <c r="I1014" s="7"/>
      <c r="J1014" s="12"/>
      <c r="K1014" s="13"/>
      <c r="L1014" s="14"/>
      <c r="M1014" s="15"/>
      <c r="N1014" s="15"/>
      <c r="O1014" s="16"/>
      <c r="Q1014" s="16"/>
    </row>
    <row r="1015" spans="1:17" x14ac:dyDescent="0.3">
      <c r="A1015" s="5"/>
      <c r="B1015" s="6"/>
      <c r="C1015" s="7"/>
      <c r="D1015" s="8"/>
      <c r="E1015" s="8"/>
      <c r="F1015" s="10"/>
      <c r="G1015" s="10"/>
      <c r="H1015" s="10"/>
      <c r="I1015" s="7"/>
      <c r="J1015" s="12"/>
      <c r="K1015" s="13"/>
      <c r="L1015" s="14"/>
      <c r="M1015" s="15"/>
      <c r="N1015" s="15"/>
      <c r="O1015" s="16"/>
      <c r="Q1015" s="16"/>
    </row>
    <row r="1016" spans="1:17" x14ac:dyDescent="0.3">
      <c r="A1016" s="5"/>
      <c r="B1016" s="6"/>
      <c r="C1016" s="7"/>
      <c r="D1016" s="8"/>
      <c r="E1016" s="8"/>
      <c r="F1016" s="10"/>
      <c r="G1016" s="10"/>
      <c r="H1016" s="10"/>
      <c r="I1016" s="7"/>
      <c r="J1016" s="12"/>
      <c r="K1016" s="13"/>
      <c r="L1016" s="14"/>
      <c r="M1016" s="15"/>
      <c r="N1016" s="15"/>
      <c r="O1016" s="16"/>
      <c r="Q1016" s="16"/>
    </row>
    <row r="1017" spans="1:17" x14ac:dyDescent="0.3">
      <c r="A1017" s="5"/>
      <c r="B1017" s="6"/>
      <c r="C1017" s="7"/>
      <c r="D1017" s="8"/>
      <c r="E1017" s="8"/>
      <c r="F1017" s="10"/>
      <c r="G1017" s="10"/>
      <c r="H1017" s="10"/>
      <c r="I1017" s="7"/>
      <c r="J1017" s="12"/>
      <c r="K1017" s="13"/>
      <c r="L1017" s="14"/>
      <c r="M1017" s="15"/>
      <c r="N1017" s="15"/>
      <c r="O1017" s="16"/>
      <c r="Q1017" s="16"/>
    </row>
    <row r="1018" spans="1:17" x14ac:dyDescent="0.3">
      <c r="A1018" s="5"/>
      <c r="B1018" s="6"/>
      <c r="C1018" s="7"/>
      <c r="D1018" s="8"/>
      <c r="E1018" s="8"/>
      <c r="F1018" s="10"/>
      <c r="G1018" s="10"/>
      <c r="H1018" s="10"/>
      <c r="I1018" s="7"/>
      <c r="J1018" s="12"/>
      <c r="K1018" s="13"/>
      <c r="L1018" s="14"/>
      <c r="M1018" s="15"/>
      <c r="N1018" s="15"/>
      <c r="O1018" s="16"/>
      <c r="Q1018" s="16"/>
    </row>
    <row r="1019" spans="1:17" x14ac:dyDescent="0.3">
      <c r="A1019" s="5"/>
      <c r="B1019" s="6"/>
      <c r="C1019" s="7"/>
      <c r="D1019" s="8"/>
      <c r="E1019" s="8"/>
      <c r="F1019" s="10"/>
      <c r="G1019" s="10"/>
      <c r="H1019" s="10"/>
      <c r="I1019" s="7"/>
      <c r="J1019" s="12"/>
      <c r="K1019" s="13"/>
      <c r="L1019" s="14"/>
      <c r="M1019" s="15"/>
      <c r="N1019" s="15"/>
      <c r="O1019" s="16"/>
      <c r="Q1019" s="16"/>
    </row>
    <row r="1020" spans="1:17" x14ac:dyDescent="0.3">
      <c r="A1020" s="5"/>
      <c r="B1020" s="6"/>
      <c r="C1020" s="7"/>
      <c r="D1020" s="8"/>
      <c r="E1020" s="8"/>
      <c r="F1020" s="10"/>
      <c r="G1020" s="10"/>
      <c r="H1020" s="10"/>
      <c r="I1020" s="7"/>
      <c r="J1020" s="12"/>
      <c r="K1020" s="13"/>
      <c r="L1020" s="14"/>
      <c r="M1020" s="15"/>
      <c r="N1020" s="15"/>
      <c r="O1020" s="16"/>
      <c r="Q1020" s="16"/>
    </row>
    <row r="1021" spans="1:17" x14ac:dyDescent="0.3">
      <c r="A1021" s="5"/>
      <c r="B1021" s="6"/>
      <c r="C1021" s="7"/>
      <c r="D1021" s="8"/>
      <c r="E1021" s="8"/>
      <c r="F1021" s="10"/>
      <c r="G1021" s="10"/>
      <c r="H1021" s="10"/>
      <c r="I1021" s="7"/>
      <c r="J1021" s="12"/>
      <c r="K1021" s="13"/>
      <c r="L1021" s="14"/>
      <c r="M1021" s="15"/>
      <c r="N1021" s="15"/>
      <c r="O1021" s="16"/>
      <c r="Q1021" s="16"/>
    </row>
    <row r="1022" spans="1:17" x14ac:dyDescent="0.3">
      <c r="A1022" s="5"/>
      <c r="B1022" s="6"/>
      <c r="C1022" s="7"/>
      <c r="D1022" s="8"/>
      <c r="E1022" s="8"/>
      <c r="F1022" s="10"/>
      <c r="G1022" s="10"/>
      <c r="H1022" s="10"/>
      <c r="I1022" s="7"/>
      <c r="J1022" s="12"/>
      <c r="K1022" s="13"/>
      <c r="L1022" s="14"/>
      <c r="M1022" s="15"/>
      <c r="N1022" s="15"/>
      <c r="O1022" s="16"/>
      <c r="Q1022" s="16"/>
    </row>
    <row r="1023" spans="1:17" x14ac:dyDescent="0.3">
      <c r="A1023" s="5"/>
      <c r="B1023" s="6"/>
      <c r="C1023" s="7"/>
      <c r="D1023" s="8"/>
      <c r="E1023" s="8"/>
      <c r="F1023" s="10"/>
      <c r="G1023" s="10"/>
      <c r="H1023" s="10"/>
      <c r="I1023" s="7"/>
      <c r="J1023" s="12"/>
      <c r="K1023" s="13"/>
      <c r="L1023" s="14"/>
      <c r="M1023" s="15"/>
      <c r="N1023" s="15"/>
      <c r="O1023" s="16"/>
      <c r="Q1023" s="16"/>
    </row>
    <row r="1024" spans="1:17" x14ac:dyDescent="0.3">
      <c r="A1024" s="5"/>
      <c r="B1024" s="6"/>
      <c r="C1024" s="7"/>
      <c r="D1024" s="8"/>
      <c r="E1024" s="8"/>
      <c r="F1024" s="10"/>
      <c r="G1024" s="10"/>
      <c r="H1024" s="10"/>
      <c r="I1024" s="7"/>
      <c r="J1024" s="12"/>
      <c r="K1024" s="13"/>
      <c r="L1024" s="14"/>
      <c r="M1024" s="15"/>
      <c r="N1024" s="15"/>
      <c r="O1024" s="16"/>
      <c r="Q1024" s="16"/>
    </row>
    <row r="1025" spans="1:17" x14ac:dyDescent="0.3">
      <c r="A1025" s="5"/>
      <c r="B1025" s="6"/>
      <c r="C1025" s="7"/>
      <c r="D1025" s="8"/>
      <c r="E1025" s="8"/>
      <c r="F1025" s="10"/>
      <c r="G1025" s="10"/>
      <c r="H1025" s="10"/>
      <c r="I1025" s="7"/>
      <c r="J1025" s="12"/>
      <c r="K1025" s="13"/>
      <c r="L1025" s="14"/>
      <c r="M1025" s="15"/>
      <c r="N1025" s="15"/>
      <c r="O1025" s="16"/>
      <c r="Q1025" s="16"/>
    </row>
    <row r="1026" spans="1:17" x14ac:dyDescent="0.3">
      <c r="A1026" s="5"/>
      <c r="B1026" s="6"/>
      <c r="C1026" s="7"/>
      <c r="D1026" s="8"/>
      <c r="E1026" s="8"/>
      <c r="F1026" s="10"/>
      <c r="G1026" s="10"/>
      <c r="H1026" s="10"/>
      <c r="I1026" s="7"/>
      <c r="J1026" s="12"/>
      <c r="K1026" s="13"/>
      <c r="L1026" s="14"/>
      <c r="M1026" s="15"/>
      <c r="N1026" s="15"/>
      <c r="O1026" s="16"/>
      <c r="Q1026" s="16"/>
    </row>
    <row r="1027" spans="1:17" x14ac:dyDescent="0.3">
      <c r="A1027" s="5"/>
      <c r="B1027" s="6"/>
      <c r="C1027" s="7"/>
      <c r="D1027" s="8"/>
      <c r="E1027" s="8"/>
      <c r="F1027" s="10"/>
      <c r="G1027" s="10"/>
      <c r="H1027" s="10"/>
      <c r="I1027" s="7"/>
      <c r="J1027" s="12"/>
      <c r="K1027" s="13"/>
      <c r="L1027" s="14"/>
      <c r="M1027" s="15"/>
      <c r="N1027" s="15"/>
      <c r="O1027" s="16"/>
      <c r="Q1027" s="16"/>
    </row>
    <row r="1028" spans="1:17" x14ac:dyDescent="0.3">
      <c r="A1028" s="5"/>
      <c r="B1028" s="6"/>
      <c r="C1028" s="7"/>
      <c r="D1028" s="8"/>
      <c r="E1028" s="8"/>
      <c r="F1028" s="10"/>
      <c r="G1028" s="10"/>
      <c r="H1028" s="10"/>
      <c r="I1028" s="7"/>
      <c r="J1028" s="12"/>
      <c r="K1028" s="13"/>
      <c r="L1028" s="14"/>
      <c r="M1028" s="15"/>
      <c r="N1028" s="15"/>
      <c r="O1028" s="16"/>
      <c r="Q1028" s="16"/>
    </row>
    <row r="1029" spans="1:17" x14ac:dyDescent="0.3">
      <c r="A1029" s="5"/>
      <c r="B1029" s="6"/>
      <c r="C1029" s="7"/>
      <c r="D1029" s="8"/>
      <c r="E1029" s="8"/>
      <c r="F1029" s="10"/>
      <c r="G1029" s="10"/>
      <c r="H1029" s="10"/>
      <c r="I1029" s="7"/>
      <c r="J1029" s="12"/>
      <c r="K1029" s="13"/>
      <c r="L1029" s="14"/>
      <c r="M1029" s="15"/>
      <c r="N1029" s="15"/>
      <c r="O1029" s="16"/>
      <c r="Q1029" s="16"/>
    </row>
    <row r="1030" spans="1:17" x14ac:dyDescent="0.3">
      <c r="A1030" s="5"/>
      <c r="B1030" s="6"/>
      <c r="C1030" s="7"/>
      <c r="D1030" s="8"/>
      <c r="E1030" s="8"/>
      <c r="F1030" s="10"/>
      <c r="G1030" s="10"/>
      <c r="H1030" s="10"/>
      <c r="I1030" s="7"/>
      <c r="J1030" s="12"/>
      <c r="K1030" s="13"/>
      <c r="L1030" s="14"/>
      <c r="M1030" s="15"/>
      <c r="N1030" s="15"/>
      <c r="O1030" s="16"/>
      <c r="Q1030" s="16"/>
    </row>
    <row r="1031" spans="1:17" x14ac:dyDescent="0.3">
      <c r="A1031" s="5"/>
      <c r="B1031" s="6"/>
      <c r="C1031" s="7"/>
      <c r="D1031" s="8"/>
      <c r="E1031" s="8"/>
      <c r="F1031" s="10"/>
      <c r="G1031" s="10"/>
      <c r="H1031" s="10"/>
      <c r="I1031" s="7"/>
      <c r="J1031" s="12"/>
      <c r="K1031" s="13"/>
      <c r="L1031" s="14"/>
      <c r="M1031" s="15"/>
      <c r="N1031" s="15"/>
      <c r="O1031" s="16"/>
      <c r="Q1031" s="16"/>
    </row>
    <row r="1032" spans="1:17" x14ac:dyDescent="0.3">
      <c r="A1032" s="5"/>
      <c r="B1032" s="6"/>
      <c r="C1032" s="7"/>
      <c r="D1032" s="8"/>
      <c r="E1032" s="8"/>
      <c r="F1032" s="10"/>
      <c r="G1032" s="10"/>
      <c r="H1032" s="10"/>
      <c r="I1032" s="7"/>
      <c r="J1032" s="12"/>
      <c r="K1032" s="13"/>
      <c r="L1032" s="14"/>
      <c r="M1032" s="15"/>
      <c r="N1032" s="15"/>
      <c r="O1032" s="16"/>
      <c r="Q1032" s="16"/>
    </row>
    <row r="1033" spans="1:17" x14ac:dyDescent="0.3">
      <c r="A1033" s="5"/>
      <c r="B1033" s="6"/>
      <c r="C1033" s="7"/>
      <c r="D1033" s="8"/>
      <c r="E1033" s="8"/>
      <c r="F1033" s="10"/>
      <c r="G1033" s="10"/>
      <c r="H1033" s="10"/>
      <c r="I1033" s="7"/>
      <c r="J1033" s="12"/>
      <c r="K1033" s="13"/>
      <c r="L1033" s="14"/>
      <c r="M1033" s="15"/>
      <c r="N1033" s="15"/>
      <c r="O1033" s="16"/>
      <c r="Q1033" s="16"/>
    </row>
    <row r="1034" spans="1:17" x14ac:dyDescent="0.3">
      <c r="A1034" s="5"/>
      <c r="B1034" s="6"/>
      <c r="C1034" s="7"/>
      <c r="D1034" s="8"/>
      <c r="E1034" s="8"/>
      <c r="F1034" s="10"/>
      <c r="G1034" s="10"/>
      <c r="H1034" s="10"/>
      <c r="I1034" s="7"/>
      <c r="J1034" s="12"/>
      <c r="K1034" s="13"/>
      <c r="L1034" s="14"/>
      <c r="M1034" s="15"/>
      <c r="N1034" s="15"/>
      <c r="O1034" s="16"/>
      <c r="Q1034" s="16"/>
    </row>
    <row r="1035" spans="1:17" x14ac:dyDescent="0.3">
      <c r="A1035" s="5"/>
      <c r="B1035" s="6"/>
      <c r="C1035" s="7"/>
      <c r="D1035" s="8"/>
      <c r="E1035" s="8"/>
      <c r="F1035" s="10"/>
      <c r="G1035" s="10"/>
      <c r="H1035" s="10"/>
      <c r="I1035" s="7"/>
      <c r="J1035" s="12"/>
      <c r="K1035" s="13"/>
      <c r="L1035" s="14"/>
      <c r="M1035" s="15"/>
      <c r="N1035" s="15"/>
      <c r="O1035" s="16"/>
      <c r="Q1035" s="16"/>
    </row>
    <row r="1036" spans="1:17" x14ac:dyDescent="0.3">
      <c r="A1036" s="5"/>
      <c r="B1036" s="6"/>
      <c r="C1036" s="7"/>
      <c r="D1036" s="8"/>
      <c r="E1036" s="8"/>
      <c r="F1036" s="10"/>
      <c r="G1036" s="10"/>
      <c r="H1036" s="10"/>
      <c r="I1036" s="7"/>
      <c r="J1036" s="12"/>
      <c r="K1036" s="13"/>
      <c r="L1036" s="14"/>
      <c r="M1036" s="15"/>
      <c r="N1036" s="15"/>
      <c r="O1036" s="16"/>
      <c r="Q1036" s="16"/>
    </row>
    <row r="1037" spans="1:17" x14ac:dyDescent="0.3">
      <c r="A1037" s="5"/>
      <c r="B1037" s="6"/>
      <c r="C1037" s="7"/>
      <c r="D1037" s="8"/>
      <c r="E1037" s="8"/>
      <c r="F1037" s="10"/>
      <c r="G1037" s="10"/>
      <c r="H1037" s="10"/>
      <c r="I1037" s="7"/>
      <c r="J1037" s="12"/>
      <c r="K1037" s="13"/>
      <c r="L1037" s="14"/>
      <c r="M1037" s="15"/>
      <c r="N1037" s="15"/>
      <c r="O1037" s="16"/>
      <c r="Q1037" s="16"/>
    </row>
    <row r="1038" spans="1:17" x14ac:dyDescent="0.3">
      <c r="A1038" s="5"/>
      <c r="B1038" s="6"/>
      <c r="C1038" s="7"/>
      <c r="D1038" s="8"/>
      <c r="E1038" s="8"/>
      <c r="F1038" s="10"/>
      <c r="G1038" s="10"/>
      <c r="H1038" s="10"/>
      <c r="I1038" s="7"/>
      <c r="J1038" s="12"/>
      <c r="K1038" s="13"/>
      <c r="L1038" s="14"/>
      <c r="M1038" s="15"/>
      <c r="N1038" s="15"/>
      <c r="O1038" s="16"/>
      <c r="Q1038" s="16"/>
    </row>
    <row r="1039" spans="1:17" x14ac:dyDescent="0.3">
      <c r="A1039" s="5"/>
      <c r="B1039" s="6"/>
      <c r="C1039" s="7"/>
      <c r="D1039" s="8"/>
      <c r="E1039" s="8"/>
      <c r="F1039" s="10"/>
      <c r="G1039" s="10"/>
      <c r="H1039" s="10"/>
      <c r="I1039" s="7"/>
      <c r="J1039" s="12"/>
      <c r="K1039" s="13"/>
      <c r="L1039" s="14"/>
      <c r="M1039" s="15"/>
      <c r="N1039" s="15"/>
      <c r="O1039" s="16"/>
      <c r="Q1039" s="16"/>
    </row>
    <row r="1040" spans="1:17" x14ac:dyDescent="0.3">
      <c r="A1040" s="5"/>
      <c r="B1040" s="6"/>
      <c r="C1040" s="7"/>
      <c r="D1040" s="8"/>
      <c r="E1040" s="8"/>
      <c r="F1040" s="10"/>
      <c r="G1040" s="10"/>
      <c r="H1040" s="10"/>
      <c r="I1040" s="7"/>
      <c r="J1040" s="12"/>
      <c r="K1040" s="13"/>
      <c r="L1040" s="14"/>
      <c r="M1040" s="15"/>
      <c r="N1040" s="15"/>
      <c r="O1040" s="16"/>
      <c r="Q1040" s="16"/>
    </row>
    <row r="1041" spans="1:17" x14ac:dyDescent="0.3">
      <c r="A1041" s="5"/>
      <c r="B1041" s="6"/>
      <c r="C1041" s="7"/>
      <c r="D1041" s="8"/>
      <c r="E1041" s="8"/>
      <c r="F1041" s="10"/>
      <c r="G1041" s="10"/>
      <c r="H1041" s="10"/>
      <c r="I1041" s="7"/>
      <c r="J1041" s="12"/>
      <c r="K1041" s="13"/>
      <c r="L1041" s="14"/>
      <c r="M1041" s="15"/>
      <c r="N1041" s="15"/>
      <c r="O1041" s="16"/>
      <c r="Q1041" s="16"/>
    </row>
    <row r="1042" spans="1:17" x14ac:dyDescent="0.3">
      <c r="A1042" s="5"/>
      <c r="B1042" s="6"/>
      <c r="C1042" s="7"/>
      <c r="D1042" s="8"/>
      <c r="E1042" s="8"/>
      <c r="F1042" s="10"/>
      <c r="G1042" s="10"/>
      <c r="H1042" s="10"/>
      <c r="I1042" s="7"/>
      <c r="J1042" s="12"/>
      <c r="K1042" s="13"/>
      <c r="L1042" s="14"/>
      <c r="M1042" s="15"/>
      <c r="N1042" s="15"/>
      <c r="O1042" s="16"/>
      <c r="Q1042" s="16"/>
    </row>
    <row r="1043" spans="1:17" x14ac:dyDescent="0.3">
      <c r="A1043" s="5"/>
      <c r="B1043" s="6"/>
      <c r="C1043" s="7"/>
      <c r="D1043" s="8"/>
      <c r="E1043" s="8"/>
      <c r="F1043" s="10"/>
      <c r="G1043" s="10"/>
      <c r="H1043" s="10"/>
      <c r="I1043" s="7"/>
      <c r="J1043" s="12"/>
      <c r="K1043" s="13"/>
      <c r="L1043" s="14"/>
      <c r="M1043" s="15"/>
      <c r="N1043" s="15"/>
      <c r="O1043" s="16"/>
      <c r="Q1043" s="16"/>
    </row>
    <row r="1044" spans="1:17" x14ac:dyDescent="0.3">
      <c r="A1044" s="5"/>
      <c r="B1044" s="6"/>
      <c r="C1044" s="7"/>
      <c r="D1044" s="8"/>
      <c r="E1044" s="8"/>
      <c r="F1044" s="10"/>
      <c r="G1044" s="10"/>
      <c r="H1044" s="10"/>
      <c r="I1044" s="7"/>
      <c r="J1044" s="12"/>
      <c r="K1044" s="13"/>
      <c r="L1044" s="14"/>
      <c r="M1044" s="15"/>
      <c r="N1044" s="15"/>
      <c r="O1044" s="16"/>
      <c r="Q1044" s="16"/>
    </row>
    <row r="1045" spans="1:17" x14ac:dyDescent="0.3">
      <c r="A1045" s="5"/>
      <c r="B1045" s="6"/>
      <c r="C1045" s="7"/>
      <c r="D1045" s="8"/>
      <c r="E1045" s="8"/>
      <c r="F1045" s="10"/>
      <c r="G1045" s="10"/>
      <c r="H1045" s="10"/>
      <c r="I1045" s="7"/>
      <c r="J1045" s="12"/>
      <c r="K1045" s="13"/>
      <c r="L1045" s="14"/>
      <c r="M1045" s="15"/>
      <c r="N1045" s="15"/>
      <c r="O1045" s="16"/>
      <c r="Q1045" s="16"/>
    </row>
    <row r="1046" spans="1:17" x14ac:dyDescent="0.3">
      <c r="A1046" s="5"/>
      <c r="B1046" s="6"/>
      <c r="C1046" s="7"/>
      <c r="D1046" s="8"/>
      <c r="E1046" s="8"/>
      <c r="F1046" s="10"/>
      <c r="G1046" s="10"/>
      <c r="H1046" s="10"/>
      <c r="I1046" s="7"/>
      <c r="J1046" s="12"/>
      <c r="K1046" s="13"/>
      <c r="L1046" s="14"/>
      <c r="M1046" s="15"/>
      <c r="N1046" s="15"/>
      <c r="O1046" s="16"/>
      <c r="Q1046" s="16"/>
    </row>
    <row r="1047" spans="1:17" x14ac:dyDescent="0.3">
      <c r="A1047" s="5"/>
      <c r="B1047" s="6"/>
      <c r="C1047" s="7"/>
      <c r="D1047" s="8"/>
      <c r="E1047" s="8"/>
      <c r="F1047" s="10"/>
      <c r="G1047" s="10"/>
      <c r="H1047" s="10"/>
      <c r="I1047" s="7"/>
      <c r="J1047" s="12"/>
      <c r="K1047" s="13"/>
      <c r="L1047" s="14"/>
      <c r="M1047" s="15"/>
      <c r="N1047" s="15"/>
      <c r="O1047" s="16"/>
      <c r="Q1047" s="16"/>
    </row>
    <row r="1048" spans="1:17" x14ac:dyDescent="0.3">
      <c r="A1048" s="5"/>
      <c r="B1048" s="6"/>
      <c r="C1048" s="7"/>
      <c r="D1048" s="8"/>
      <c r="E1048" s="8"/>
      <c r="F1048" s="10"/>
      <c r="G1048" s="10"/>
      <c r="H1048" s="10"/>
      <c r="I1048" s="7"/>
      <c r="J1048" s="12"/>
      <c r="K1048" s="13"/>
      <c r="L1048" s="14"/>
      <c r="M1048" s="15"/>
      <c r="N1048" s="15"/>
      <c r="O1048" s="16"/>
      <c r="Q1048" s="16"/>
    </row>
    <row r="1049" spans="1:17" x14ac:dyDescent="0.3">
      <c r="A1049" s="5"/>
      <c r="B1049" s="6"/>
      <c r="C1049" s="7"/>
      <c r="D1049" s="8"/>
      <c r="E1049" s="8"/>
      <c r="F1049" s="10"/>
      <c r="G1049" s="10"/>
      <c r="H1049" s="10"/>
      <c r="I1049" s="7"/>
      <c r="J1049" s="12"/>
      <c r="K1049" s="13"/>
      <c r="L1049" s="14"/>
      <c r="M1049" s="15"/>
      <c r="N1049" s="15"/>
      <c r="O1049" s="16"/>
      <c r="Q1049" s="16"/>
    </row>
    <row r="1050" spans="1:17" x14ac:dyDescent="0.3">
      <c r="A1050" s="5"/>
      <c r="B1050" s="6"/>
      <c r="C1050" s="7"/>
      <c r="D1050" s="8"/>
      <c r="E1050" s="8"/>
      <c r="F1050" s="10"/>
      <c r="G1050" s="10"/>
      <c r="H1050" s="10"/>
      <c r="I1050" s="7"/>
      <c r="J1050" s="12"/>
      <c r="K1050" s="13"/>
      <c r="L1050" s="14"/>
      <c r="M1050" s="15"/>
      <c r="N1050" s="15"/>
      <c r="O1050" s="16"/>
      <c r="Q1050" s="16"/>
    </row>
    <row r="1051" spans="1:17" x14ac:dyDescent="0.3">
      <c r="A1051" s="5"/>
      <c r="B1051" s="6"/>
      <c r="C1051" s="7"/>
      <c r="D1051" s="8"/>
      <c r="E1051" s="8"/>
      <c r="F1051" s="10"/>
      <c r="G1051" s="10"/>
      <c r="H1051" s="10"/>
      <c r="I1051" s="7"/>
      <c r="J1051" s="12"/>
      <c r="K1051" s="13"/>
      <c r="L1051" s="14"/>
      <c r="M1051" s="15"/>
      <c r="N1051" s="15"/>
      <c r="O1051" s="16"/>
      <c r="Q1051" s="16"/>
    </row>
    <row r="1052" spans="1:17" x14ac:dyDescent="0.3">
      <c r="A1052" s="5"/>
      <c r="B1052" s="6"/>
      <c r="C1052" s="7"/>
      <c r="D1052" s="8"/>
      <c r="E1052" s="8"/>
      <c r="F1052" s="10"/>
      <c r="G1052" s="10"/>
      <c r="H1052" s="10"/>
      <c r="I1052" s="7"/>
      <c r="J1052" s="12"/>
      <c r="K1052" s="13"/>
      <c r="L1052" s="14"/>
      <c r="M1052" s="15"/>
      <c r="N1052" s="15"/>
      <c r="O1052" s="16"/>
      <c r="Q1052" s="16"/>
    </row>
    <row r="1053" spans="1:17" x14ac:dyDescent="0.3">
      <c r="A1053" s="5"/>
      <c r="B1053" s="6"/>
      <c r="C1053" s="7"/>
      <c r="D1053" s="8"/>
      <c r="E1053" s="8"/>
      <c r="F1053" s="10"/>
      <c r="G1053" s="10"/>
      <c r="H1053" s="10"/>
      <c r="I1053" s="7"/>
      <c r="J1053" s="12"/>
      <c r="K1053" s="13"/>
      <c r="L1053" s="14"/>
      <c r="M1053" s="15"/>
      <c r="N1053" s="15"/>
      <c r="O1053" s="16"/>
      <c r="Q1053" s="16"/>
    </row>
    <row r="1054" spans="1:17" x14ac:dyDescent="0.3">
      <c r="A1054" s="5"/>
      <c r="B1054" s="6"/>
      <c r="C1054" s="7"/>
      <c r="D1054" s="8"/>
      <c r="E1054" s="8"/>
      <c r="F1054" s="10"/>
      <c r="G1054" s="10"/>
      <c r="H1054" s="10"/>
      <c r="I1054" s="7"/>
      <c r="J1054" s="12"/>
      <c r="K1054" s="13"/>
      <c r="L1054" s="14"/>
      <c r="M1054" s="15"/>
      <c r="N1054" s="15"/>
      <c r="O1054" s="16"/>
      <c r="Q1054" s="16"/>
    </row>
    <row r="1055" spans="1:17" x14ac:dyDescent="0.3">
      <c r="A1055" s="5"/>
      <c r="B1055" s="6"/>
      <c r="C1055" s="7"/>
      <c r="D1055" s="8"/>
      <c r="E1055" s="8"/>
      <c r="F1055" s="10"/>
      <c r="G1055" s="10"/>
      <c r="H1055" s="10"/>
      <c r="I1055" s="7"/>
      <c r="J1055" s="12"/>
      <c r="K1055" s="13"/>
      <c r="L1055" s="14"/>
      <c r="M1055" s="15"/>
      <c r="N1055" s="15"/>
      <c r="O1055" s="16"/>
      <c r="Q1055" s="16"/>
    </row>
    <row r="1056" spans="1:17" x14ac:dyDescent="0.3">
      <c r="A1056" s="5"/>
      <c r="B1056" s="6"/>
      <c r="C1056" s="7"/>
      <c r="D1056" s="8"/>
      <c r="E1056" s="8"/>
      <c r="F1056" s="10"/>
      <c r="G1056" s="10"/>
      <c r="H1056" s="10"/>
      <c r="I1056" s="7"/>
      <c r="J1056" s="12"/>
      <c r="K1056" s="13"/>
      <c r="L1056" s="14"/>
      <c r="M1056" s="15"/>
      <c r="N1056" s="15"/>
      <c r="O1056" s="16"/>
      <c r="Q1056" s="16"/>
    </row>
    <row r="1057" spans="1:17" x14ac:dyDescent="0.3">
      <c r="A1057" s="5"/>
      <c r="B1057" s="6"/>
      <c r="C1057" s="7"/>
      <c r="D1057" s="8"/>
      <c r="E1057" s="8"/>
      <c r="F1057" s="10"/>
      <c r="G1057" s="10"/>
      <c r="H1057" s="10"/>
      <c r="I1057" s="7"/>
      <c r="J1057" s="12"/>
      <c r="K1057" s="13"/>
      <c r="L1057" s="14"/>
      <c r="M1057" s="15"/>
      <c r="N1057" s="15"/>
      <c r="O1057" s="16"/>
      <c r="Q1057" s="16"/>
    </row>
    <row r="1058" spans="1:17" x14ac:dyDescent="0.3">
      <c r="A1058" s="5"/>
      <c r="B1058" s="6"/>
      <c r="C1058" s="7"/>
      <c r="D1058" s="8"/>
      <c r="E1058" s="8"/>
      <c r="F1058" s="10"/>
      <c r="G1058" s="10"/>
      <c r="H1058" s="10"/>
      <c r="I1058" s="7"/>
      <c r="J1058" s="12"/>
      <c r="K1058" s="13"/>
      <c r="L1058" s="14"/>
      <c r="M1058" s="15"/>
      <c r="N1058" s="15"/>
      <c r="O1058" s="16"/>
      <c r="Q1058" s="16"/>
    </row>
    <row r="1059" spans="1:17" x14ac:dyDescent="0.3">
      <c r="A1059" s="5"/>
      <c r="B1059" s="6"/>
      <c r="C1059" s="7"/>
      <c r="D1059" s="8"/>
      <c r="E1059" s="8"/>
      <c r="F1059" s="10"/>
      <c r="G1059" s="10"/>
      <c r="H1059" s="10"/>
      <c r="I1059" s="7"/>
      <c r="J1059" s="12"/>
      <c r="K1059" s="13"/>
      <c r="L1059" s="14"/>
      <c r="M1059" s="15"/>
      <c r="N1059" s="15"/>
      <c r="O1059" s="16"/>
      <c r="Q1059" s="16"/>
    </row>
    <row r="1060" spans="1:17" x14ac:dyDescent="0.3">
      <c r="A1060" s="5"/>
      <c r="B1060" s="6"/>
      <c r="C1060" s="7"/>
      <c r="D1060" s="8"/>
      <c r="E1060" s="8"/>
      <c r="F1060" s="10"/>
      <c r="G1060" s="10"/>
      <c r="H1060" s="10"/>
      <c r="I1060" s="7"/>
      <c r="J1060" s="12"/>
      <c r="K1060" s="13"/>
      <c r="L1060" s="14"/>
      <c r="M1060" s="15"/>
      <c r="N1060" s="15"/>
      <c r="O1060" s="16"/>
      <c r="Q1060" s="16"/>
    </row>
    <row r="1061" spans="1:17" x14ac:dyDescent="0.3">
      <c r="A1061" s="5"/>
      <c r="B1061" s="6"/>
      <c r="C1061" s="7"/>
      <c r="D1061" s="8"/>
      <c r="E1061" s="8"/>
      <c r="F1061" s="10"/>
      <c r="G1061" s="10"/>
      <c r="H1061" s="10"/>
      <c r="I1061" s="7"/>
      <c r="J1061" s="12"/>
      <c r="K1061" s="13"/>
      <c r="L1061" s="14"/>
      <c r="M1061" s="15"/>
      <c r="N1061" s="15"/>
      <c r="O1061" s="16"/>
      <c r="Q1061" s="16"/>
    </row>
    <row r="1062" spans="1:17" x14ac:dyDescent="0.3">
      <c r="A1062" s="5"/>
      <c r="B1062" s="6"/>
      <c r="C1062" s="7"/>
      <c r="D1062" s="8"/>
      <c r="E1062" s="8"/>
      <c r="F1062" s="10"/>
      <c r="G1062" s="10"/>
      <c r="H1062" s="10"/>
      <c r="I1062" s="7"/>
      <c r="J1062" s="12"/>
      <c r="K1062" s="13"/>
      <c r="L1062" s="14"/>
      <c r="M1062" s="15"/>
      <c r="N1062" s="15"/>
      <c r="O1062" s="16"/>
      <c r="Q1062" s="16"/>
    </row>
    <row r="1063" spans="1:17" x14ac:dyDescent="0.3">
      <c r="A1063" s="5"/>
      <c r="B1063" s="6"/>
      <c r="C1063" s="7"/>
      <c r="D1063" s="8"/>
      <c r="E1063" s="8"/>
      <c r="F1063" s="10"/>
      <c r="G1063" s="10"/>
      <c r="H1063" s="10"/>
      <c r="I1063" s="7"/>
      <c r="J1063" s="12"/>
      <c r="K1063" s="13"/>
      <c r="L1063" s="14"/>
      <c r="M1063" s="15"/>
      <c r="N1063" s="15"/>
      <c r="O1063" s="16"/>
      <c r="Q1063" s="16"/>
    </row>
    <row r="1064" spans="1:17" x14ac:dyDescent="0.3">
      <c r="A1064" s="5"/>
      <c r="B1064" s="6"/>
      <c r="C1064" s="7"/>
      <c r="D1064" s="8"/>
      <c r="E1064" s="8"/>
      <c r="F1064" s="10"/>
      <c r="G1064" s="10"/>
      <c r="H1064" s="10"/>
      <c r="I1064" s="7"/>
      <c r="J1064" s="12"/>
      <c r="K1064" s="13"/>
      <c r="L1064" s="14"/>
      <c r="M1064" s="15"/>
      <c r="N1064" s="15"/>
      <c r="O1064" s="16"/>
      <c r="Q1064" s="16"/>
    </row>
    <row r="1065" spans="1:17" x14ac:dyDescent="0.3">
      <c r="A1065" s="5"/>
      <c r="B1065" s="6"/>
      <c r="C1065" s="7"/>
      <c r="D1065" s="8"/>
      <c r="E1065" s="8"/>
      <c r="F1065" s="10"/>
      <c r="G1065" s="10"/>
      <c r="H1065" s="10"/>
      <c r="I1065" s="7"/>
      <c r="J1065" s="12"/>
      <c r="K1065" s="13"/>
      <c r="L1065" s="14"/>
      <c r="M1065" s="15"/>
      <c r="N1065" s="15"/>
      <c r="O1065" s="16"/>
      <c r="Q1065" s="16"/>
    </row>
    <row r="1066" spans="1:17" x14ac:dyDescent="0.3">
      <c r="A1066" s="5"/>
      <c r="B1066" s="6"/>
      <c r="C1066" s="7"/>
      <c r="D1066" s="8"/>
      <c r="E1066" s="8"/>
      <c r="F1066" s="10"/>
      <c r="G1066" s="10"/>
      <c r="H1066" s="10"/>
      <c r="I1066" s="7"/>
      <c r="J1066" s="12"/>
      <c r="K1066" s="13"/>
      <c r="L1066" s="14"/>
      <c r="M1066" s="15"/>
      <c r="N1066" s="15"/>
      <c r="O1066" s="16"/>
      <c r="Q1066" s="16"/>
    </row>
    <row r="1067" spans="1:17" x14ac:dyDescent="0.3">
      <c r="A1067" s="5"/>
      <c r="B1067" s="6"/>
      <c r="C1067" s="7"/>
      <c r="D1067" s="8"/>
      <c r="E1067" s="8"/>
      <c r="F1067" s="10"/>
      <c r="G1067" s="10"/>
      <c r="H1067" s="10"/>
      <c r="I1067" s="7"/>
      <c r="J1067" s="12"/>
      <c r="K1067" s="13"/>
      <c r="L1067" s="14"/>
      <c r="M1067" s="15"/>
      <c r="N1067" s="15"/>
      <c r="O1067" s="16"/>
      <c r="Q1067" s="16"/>
    </row>
    <row r="1068" spans="1:17" x14ac:dyDescent="0.3">
      <c r="A1068" s="5"/>
      <c r="B1068" s="6"/>
      <c r="C1068" s="7"/>
      <c r="D1068" s="8"/>
      <c r="E1068" s="8"/>
      <c r="F1068" s="10"/>
      <c r="G1068" s="10"/>
      <c r="H1068" s="10"/>
      <c r="I1068" s="7"/>
      <c r="J1068" s="12"/>
      <c r="K1068" s="13"/>
      <c r="L1068" s="14"/>
      <c r="M1068" s="15"/>
      <c r="N1068" s="15"/>
      <c r="O1068" s="16"/>
      <c r="Q1068" s="16"/>
    </row>
    <row r="1069" spans="1:17" x14ac:dyDescent="0.3">
      <c r="A1069" s="5"/>
      <c r="B1069" s="6"/>
      <c r="C1069" s="7"/>
      <c r="D1069" s="8"/>
      <c r="E1069" s="8"/>
      <c r="F1069" s="10"/>
      <c r="G1069" s="10"/>
      <c r="H1069" s="10"/>
      <c r="I1069" s="7"/>
      <c r="J1069" s="12"/>
      <c r="K1069" s="13"/>
      <c r="L1069" s="14"/>
      <c r="M1069" s="15"/>
      <c r="N1069" s="15"/>
      <c r="O1069" s="16"/>
      <c r="Q1069" s="16"/>
    </row>
    <row r="1070" spans="1:17" x14ac:dyDescent="0.3">
      <c r="A1070" s="5"/>
      <c r="B1070" s="6"/>
      <c r="C1070" s="7"/>
      <c r="D1070" s="8"/>
      <c r="E1070" s="8"/>
      <c r="F1070" s="10"/>
      <c r="G1070" s="10"/>
      <c r="H1070" s="10"/>
      <c r="I1070" s="7"/>
      <c r="J1070" s="12"/>
      <c r="K1070" s="13"/>
      <c r="L1070" s="14"/>
      <c r="M1070" s="15"/>
      <c r="N1070" s="15"/>
      <c r="O1070" s="16"/>
      <c r="Q1070" s="16"/>
    </row>
    <row r="1071" spans="1:17" x14ac:dyDescent="0.3">
      <c r="A1071" s="5"/>
      <c r="B1071" s="6"/>
      <c r="C1071" s="7"/>
      <c r="D1071" s="8"/>
      <c r="E1071" s="8"/>
      <c r="F1071" s="10"/>
      <c r="G1071" s="10"/>
      <c r="H1071" s="10"/>
      <c r="I1071" s="7"/>
      <c r="J1071" s="12"/>
      <c r="K1071" s="13"/>
      <c r="L1071" s="14"/>
      <c r="M1071" s="15"/>
      <c r="N1071" s="15"/>
      <c r="O1071" s="16"/>
      <c r="Q1071" s="16"/>
    </row>
    <row r="1072" spans="1:17" x14ac:dyDescent="0.3">
      <c r="A1072" s="5"/>
      <c r="B1072" s="6"/>
      <c r="C1072" s="7"/>
      <c r="D1072" s="8"/>
      <c r="E1072" s="8"/>
      <c r="F1072" s="10"/>
      <c r="G1072" s="10"/>
      <c r="H1072" s="10"/>
      <c r="I1072" s="7"/>
      <c r="J1072" s="12"/>
      <c r="K1072" s="13"/>
      <c r="L1072" s="14"/>
      <c r="M1072" s="15"/>
      <c r="N1072" s="15"/>
      <c r="O1072" s="16"/>
      <c r="Q1072" s="16"/>
    </row>
    <row r="1073" spans="1:17" x14ac:dyDescent="0.3">
      <c r="A1073" s="5"/>
      <c r="B1073" s="6"/>
      <c r="C1073" s="7"/>
      <c r="D1073" s="8"/>
      <c r="E1073" s="8"/>
      <c r="F1073" s="10"/>
      <c r="G1073" s="10"/>
      <c r="H1073" s="10"/>
      <c r="I1073" s="7"/>
      <c r="J1073" s="12"/>
      <c r="K1073" s="13"/>
      <c r="L1073" s="14"/>
      <c r="M1073" s="15"/>
      <c r="N1073" s="15"/>
      <c r="O1073" s="16"/>
      <c r="Q1073" s="16"/>
    </row>
    <row r="1074" spans="1:17" x14ac:dyDescent="0.3">
      <c r="A1074" s="5"/>
      <c r="B1074" s="6"/>
      <c r="C1074" s="7"/>
      <c r="D1074" s="8"/>
      <c r="E1074" s="8"/>
      <c r="F1074" s="10"/>
      <c r="G1074" s="10"/>
      <c r="H1074" s="10"/>
      <c r="I1074" s="7"/>
      <c r="J1074" s="12"/>
      <c r="K1074" s="13"/>
      <c r="L1074" s="14"/>
      <c r="M1074" s="15"/>
      <c r="N1074" s="15"/>
      <c r="O1074" s="16"/>
      <c r="Q1074" s="16"/>
    </row>
    <row r="1075" spans="1:17" x14ac:dyDescent="0.3">
      <c r="A1075" s="5"/>
      <c r="B1075" s="6"/>
      <c r="C1075" s="7"/>
      <c r="D1075" s="8"/>
      <c r="E1075" s="8"/>
      <c r="F1075" s="10"/>
      <c r="G1075" s="10"/>
      <c r="H1075" s="10"/>
      <c r="I1075" s="7"/>
      <c r="J1075" s="12"/>
      <c r="K1075" s="13"/>
      <c r="L1075" s="14"/>
      <c r="M1075" s="15"/>
      <c r="N1075" s="15"/>
      <c r="O1075" s="16"/>
      <c r="Q1075" s="16"/>
    </row>
    <row r="1076" spans="1:17" x14ac:dyDescent="0.3">
      <c r="A1076" s="5"/>
      <c r="B1076" s="6"/>
      <c r="C1076" s="7"/>
      <c r="D1076" s="8"/>
      <c r="E1076" s="8"/>
      <c r="F1076" s="10"/>
      <c r="G1076" s="10"/>
      <c r="H1076" s="10"/>
      <c r="I1076" s="7"/>
      <c r="J1076" s="12"/>
      <c r="K1076" s="13"/>
      <c r="L1076" s="14"/>
      <c r="M1076" s="15"/>
      <c r="N1076" s="15"/>
      <c r="O1076" s="16"/>
      <c r="Q1076" s="16"/>
    </row>
    <row r="1077" spans="1:17" x14ac:dyDescent="0.3">
      <c r="A1077" s="5"/>
      <c r="B1077" s="6"/>
      <c r="C1077" s="7"/>
      <c r="D1077" s="8"/>
      <c r="E1077" s="8"/>
      <c r="F1077" s="10"/>
      <c r="G1077" s="10"/>
      <c r="H1077" s="10"/>
      <c r="I1077" s="7"/>
      <c r="J1077" s="12"/>
      <c r="K1077" s="13"/>
      <c r="L1077" s="14"/>
      <c r="M1077" s="15"/>
      <c r="N1077" s="15"/>
      <c r="O1077" s="16"/>
      <c r="Q1077" s="16"/>
    </row>
    <row r="1078" spans="1:17" x14ac:dyDescent="0.3">
      <c r="A1078" s="5"/>
      <c r="B1078" s="6"/>
      <c r="C1078" s="7"/>
      <c r="D1078" s="8"/>
      <c r="E1078" s="8"/>
      <c r="F1078" s="10"/>
      <c r="G1078" s="10"/>
      <c r="H1078" s="10"/>
      <c r="I1078" s="7"/>
      <c r="J1078" s="12"/>
      <c r="K1078" s="13"/>
      <c r="L1078" s="14"/>
      <c r="M1078" s="15"/>
      <c r="N1078" s="15"/>
      <c r="O1078" s="16"/>
      <c r="Q1078" s="16"/>
    </row>
    <row r="1079" spans="1:17" x14ac:dyDescent="0.3">
      <c r="A1079" s="5"/>
      <c r="B1079" s="6"/>
      <c r="C1079" s="7"/>
      <c r="D1079" s="8"/>
      <c r="E1079" s="8"/>
      <c r="F1079" s="10"/>
      <c r="G1079" s="10"/>
      <c r="H1079" s="10"/>
      <c r="I1079" s="7"/>
      <c r="J1079" s="12"/>
      <c r="K1079" s="13"/>
      <c r="L1079" s="14"/>
      <c r="M1079" s="15"/>
      <c r="N1079" s="15"/>
      <c r="O1079" s="16"/>
      <c r="Q1079" s="16"/>
    </row>
    <row r="1080" spans="1:17" x14ac:dyDescent="0.3">
      <c r="A1080" s="5"/>
      <c r="B1080" s="6"/>
      <c r="C1080" s="7"/>
      <c r="D1080" s="8"/>
      <c r="E1080" s="8"/>
      <c r="F1080" s="10"/>
      <c r="G1080" s="10"/>
      <c r="H1080" s="10"/>
      <c r="I1080" s="7"/>
      <c r="J1080" s="12"/>
      <c r="K1080" s="13"/>
      <c r="L1080" s="14"/>
      <c r="M1080" s="15"/>
      <c r="N1080" s="15"/>
      <c r="O1080" s="16"/>
      <c r="Q1080" s="16"/>
    </row>
    <row r="1081" spans="1:17" x14ac:dyDescent="0.3">
      <c r="A1081" s="5"/>
      <c r="B1081" s="6"/>
      <c r="C1081" s="7"/>
      <c r="D1081" s="8"/>
      <c r="E1081" s="8"/>
      <c r="F1081" s="10"/>
      <c r="G1081" s="10"/>
      <c r="H1081" s="10"/>
      <c r="I1081" s="7"/>
      <c r="J1081" s="12"/>
      <c r="K1081" s="13"/>
      <c r="L1081" s="14"/>
      <c r="M1081" s="15"/>
      <c r="N1081" s="15"/>
      <c r="O1081" s="16"/>
      <c r="Q1081" s="16"/>
    </row>
    <row r="1082" spans="1:17" x14ac:dyDescent="0.3">
      <c r="A1082" s="5"/>
      <c r="B1082" s="6"/>
      <c r="C1082" s="7"/>
      <c r="D1082" s="8"/>
      <c r="E1082" s="8"/>
      <c r="F1082" s="10"/>
      <c r="G1082" s="10"/>
      <c r="H1082" s="10"/>
      <c r="I1082" s="7"/>
      <c r="J1082" s="12"/>
      <c r="K1082" s="13"/>
      <c r="L1082" s="14"/>
      <c r="M1082" s="15"/>
      <c r="N1082" s="15"/>
      <c r="O1082" s="16"/>
      <c r="Q1082" s="16"/>
    </row>
    <row r="1083" spans="1:17" x14ac:dyDescent="0.3">
      <c r="A1083" s="5"/>
      <c r="B1083" s="6"/>
      <c r="C1083" s="7"/>
      <c r="D1083" s="8"/>
      <c r="E1083" s="8"/>
      <c r="F1083" s="10"/>
      <c r="G1083" s="10"/>
      <c r="H1083" s="10"/>
      <c r="I1083" s="7"/>
      <c r="J1083" s="12"/>
      <c r="K1083" s="13"/>
      <c r="L1083" s="14"/>
      <c r="M1083" s="15"/>
      <c r="N1083" s="15"/>
      <c r="O1083" s="16"/>
      <c r="Q1083" s="16"/>
    </row>
    <row r="1084" spans="1:17" x14ac:dyDescent="0.3">
      <c r="A1084" s="5"/>
      <c r="B1084" s="6"/>
      <c r="C1084" s="7"/>
      <c r="D1084" s="8"/>
      <c r="E1084" s="8"/>
      <c r="F1084" s="10"/>
      <c r="G1084" s="10"/>
      <c r="H1084" s="10"/>
      <c r="I1084" s="7"/>
      <c r="J1084" s="12"/>
      <c r="K1084" s="13"/>
      <c r="L1084" s="14"/>
      <c r="M1084" s="15"/>
      <c r="N1084" s="15"/>
      <c r="O1084" s="16"/>
      <c r="Q1084" s="16"/>
    </row>
    <row r="1085" spans="1:17" x14ac:dyDescent="0.3">
      <c r="A1085" s="5"/>
      <c r="B1085" s="6"/>
      <c r="C1085" s="7"/>
      <c r="D1085" s="8"/>
      <c r="E1085" s="8"/>
      <c r="F1085" s="10"/>
      <c r="G1085" s="10"/>
      <c r="H1085" s="10"/>
      <c r="I1085" s="7"/>
      <c r="J1085" s="12"/>
      <c r="K1085" s="13"/>
      <c r="L1085" s="14"/>
      <c r="M1085" s="15"/>
      <c r="N1085" s="15"/>
      <c r="O1085" s="16"/>
      <c r="Q1085" s="16"/>
    </row>
    <row r="1086" spans="1:17" x14ac:dyDescent="0.3">
      <c r="A1086" s="5"/>
      <c r="B1086" s="6"/>
      <c r="C1086" s="7"/>
      <c r="D1086" s="8"/>
      <c r="E1086" s="8"/>
      <c r="F1086" s="10"/>
      <c r="G1086" s="10"/>
      <c r="H1086" s="10"/>
      <c r="I1086" s="7"/>
      <c r="J1086" s="12"/>
      <c r="K1086" s="13"/>
      <c r="L1086" s="14"/>
      <c r="M1086" s="15"/>
      <c r="N1086" s="15"/>
      <c r="O1086" s="16"/>
      <c r="Q1086" s="16"/>
    </row>
    <row r="1087" spans="1:17" x14ac:dyDescent="0.3">
      <c r="A1087" s="5"/>
      <c r="B1087" s="6"/>
      <c r="C1087" s="7"/>
      <c r="D1087" s="8"/>
      <c r="E1087" s="8"/>
      <c r="F1087" s="10"/>
      <c r="G1087" s="10"/>
      <c r="H1087" s="10"/>
      <c r="I1087" s="7"/>
      <c r="J1087" s="12"/>
      <c r="K1087" s="13"/>
      <c r="L1087" s="14"/>
      <c r="M1087" s="15"/>
      <c r="N1087" s="15"/>
      <c r="O1087" s="16"/>
      <c r="Q1087" s="16"/>
    </row>
    <row r="1088" spans="1:17" x14ac:dyDescent="0.3">
      <c r="A1088" s="5"/>
      <c r="B1088" s="6"/>
      <c r="C1088" s="7"/>
      <c r="D1088" s="8"/>
      <c r="E1088" s="8"/>
      <c r="F1088" s="10"/>
      <c r="G1088" s="10"/>
      <c r="H1088" s="10"/>
      <c r="I1088" s="7"/>
      <c r="J1088" s="12"/>
      <c r="K1088" s="13"/>
      <c r="L1088" s="14"/>
      <c r="M1088" s="15"/>
      <c r="N1088" s="15"/>
      <c r="O1088" s="16"/>
      <c r="Q1088" s="16"/>
    </row>
    <row r="1089" spans="1:17" x14ac:dyDescent="0.3">
      <c r="A1089" s="5"/>
      <c r="B1089" s="6"/>
      <c r="C1089" s="7"/>
      <c r="D1089" s="8"/>
      <c r="E1089" s="8"/>
      <c r="F1089" s="10"/>
      <c r="G1089" s="10"/>
      <c r="H1089" s="10"/>
      <c r="I1089" s="7"/>
      <c r="J1089" s="12"/>
      <c r="K1089" s="13"/>
      <c r="L1089" s="14"/>
      <c r="M1089" s="15"/>
      <c r="N1089" s="15"/>
      <c r="O1089" s="16"/>
      <c r="Q1089" s="16"/>
    </row>
    <row r="1090" spans="1:17" x14ac:dyDescent="0.3">
      <c r="A1090" s="5"/>
      <c r="B1090" s="6"/>
      <c r="C1090" s="7"/>
      <c r="D1090" s="8"/>
      <c r="E1090" s="8"/>
      <c r="F1090" s="10"/>
      <c r="G1090" s="10"/>
      <c r="H1090" s="10"/>
      <c r="I1090" s="7"/>
      <c r="J1090" s="12"/>
      <c r="K1090" s="13"/>
      <c r="L1090" s="14"/>
      <c r="M1090" s="15"/>
      <c r="N1090" s="15"/>
      <c r="O1090" s="16"/>
      <c r="Q1090" s="16"/>
    </row>
    <row r="1091" spans="1:17" x14ac:dyDescent="0.3">
      <c r="A1091" s="5"/>
      <c r="B1091" s="6"/>
      <c r="C1091" s="7"/>
      <c r="D1091" s="8"/>
      <c r="E1091" s="8"/>
      <c r="F1091" s="10"/>
      <c r="G1091" s="10"/>
      <c r="H1091" s="10"/>
      <c r="I1091" s="7"/>
      <c r="J1091" s="12"/>
      <c r="K1091" s="13"/>
      <c r="L1091" s="14"/>
      <c r="M1091" s="15"/>
      <c r="N1091" s="15"/>
      <c r="O1091" s="16"/>
      <c r="Q1091" s="16"/>
    </row>
    <row r="1092" spans="1:17" x14ac:dyDescent="0.3">
      <c r="A1092" s="5"/>
      <c r="B1092" s="6"/>
      <c r="C1092" s="7"/>
      <c r="D1092" s="8"/>
      <c r="E1092" s="8"/>
      <c r="F1092" s="10"/>
      <c r="G1092" s="10"/>
      <c r="H1092" s="10"/>
      <c r="I1092" s="7"/>
      <c r="J1092" s="12"/>
      <c r="K1092" s="13"/>
      <c r="L1092" s="14"/>
      <c r="M1092" s="15"/>
      <c r="N1092" s="15"/>
      <c r="O1092" s="16"/>
      <c r="Q1092" s="16"/>
    </row>
    <row r="1093" spans="1:17" x14ac:dyDescent="0.3">
      <c r="A1093" s="5"/>
      <c r="B1093" s="6"/>
      <c r="C1093" s="7"/>
      <c r="D1093" s="8"/>
      <c r="E1093" s="8"/>
      <c r="F1093" s="10"/>
      <c r="G1093" s="10"/>
      <c r="H1093" s="10"/>
      <c r="I1093" s="7"/>
      <c r="J1093" s="12"/>
      <c r="K1093" s="13"/>
      <c r="L1093" s="14"/>
      <c r="M1093" s="15"/>
      <c r="N1093" s="15"/>
      <c r="O1093" s="16"/>
      <c r="Q1093" s="16"/>
    </row>
    <row r="1094" spans="1:17" x14ac:dyDescent="0.3">
      <c r="A1094" s="5"/>
      <c r="B1094" s="6"/>
      <c r="C1094" s="7"/>
      <c r="D1094" s="8"/>
      <c r="E1094" s="8"/>
      <c r="F1094" s="10"/>
      <c r="G1094" s="10"/>
      <c r="H1094" s="10"/>
      <c r="I1094" s="7"/>
      <c r="J1094" s="12"/>
      <c r="K1094" s="13"/>
      <c r="L1094" s="14"/>
      <c r="M1094" s="15"/>
      <c r="N1094" s="15"/>
      <c r="O1094" s="16"/>
      <c r="Q1094" s="16"/>
    </row>
    <row r="1095" spans="1:17" x14ac:dyDescent="0.3">
      <c r="A1095" s="5"/>
      <c r="B1095" s="6"/>
      <c r="C1095" s="7"/>
      <c r="D1095" s="8"/>
      <c r="E1095" s="8"/>
      <c r="F1095" s="10"/>
      <c r="G1095" s="10"/>
      <c r="H1095" s="10"/>
      <c r="I1095" s="7"/>
      <c r="J1095" s="12"/>
      <c r="K1095" s="13"/>
      <c r="L1095" s="14"/>
      <c r="M1095" s="15"/>
      <c r="N1095" s="15"/>
      <c r="O1095" s="16"/>
      <c r="Q1095" s="16"/>
    </row>
    <row r="1096" spans="1:17" x14ac:dyDescent="0.3">
      <c r="A1096" s="5"/>
      <c r="B1096" s="6"/>
      <c r="C1096" s="7"/>
      <c r="D1096" s="8"/>
      <c r="E1096" s="8"/>
      <c r="F1096" s="10"/>
      <c r="G1096" s="10"/>
      <c r="H1096" s="10"/>
      <c r="I1096" s="7"/>
      <c r="J1096" s="12"/>
      <c r="K1096" s="13"/>
      <c r="L1096" s="14"/>
      <c r="M1096" s="15"/>
      <c r="N1096" s="15"/>
      <c r="O1096" s="16"/>
      <c r="Q1096" s="16"/>
    </row>
    <row r="1097" spans="1:17" x14ac:dyDescent="0.3">
      <c r="A1097" s="5"/>
      <c r="B1097" s="6"/>
      <c r="C1097" s="7"/>
      <c r="D1097" s="8"/>
      <c r="E1097" s="8"/>
      <c r="F1097" s="10"/>
      <c r="G1097" s="10"/>
      <c r="H1097" s="10"/>
      <c r="I1097" s="7"/>
      <c r="J1097" s="12"/>
      <c r="K1097" s="13"/>
      <c r="L1097" s="14"/>
      <c r="M1097" s="15"/>
      <c r="N1097" s="15"/>
      <c r="O1097" s="16"/>
      <c r="Q1097" s="16"/>
    </row>
    <row r="1098" spans="1:17" x14ac:dyDescent="0.3">
      <c r="A1098" s="5"/>
      <c r="B1098" s="6"/>
      <c r="C1098" s="7"/>
      <c r="D1098" s="8"/>
      <c r="E1098" s="8"/>
      <c r="F1098" s="10"/>
      <c r="G1098" s="10"/>
      <c r="H1098" s="10"/>
      <c r="I1098" s="7"/>
      <c r="J1098" s="12"/>
      <c r="K1098" s="13"/>
      <c r="L1098" s="14"/>
      <c r="M1098" s="15"/>
      <c r="N1098" s="15"/>
      <c r="O1098" s="16"/>
      <c r="Q1098" s="16"/>
    </row>
    <row r="1099" spans="1:17" x14ac:dyDescent="0.3">
      <c r="A1099" s="5"/>
      <c r="B1099" s="6"/>
      <c r="C1099" s="7"/>
      <c r="D1099" s="8"/>
      <c r="E1099" s="8"/>
      <c r="F1099" s="10"/>
      <c r="G1099" s="10"/>
      <c r="H1099" s="10"/>
      <c r="I1099" s="7"/>
      <c r="J1099" s="12"/>
      <c r="K1099" s="13"/>
      <c r="L1099" s="14"/>
      <c r="M1099" s="15"/>
      <c r="N1099" s="15"/>
      <c r="O1099" s="16"/>
      <c r="Q1099" s="16"/>
    </row>
    <row r="1100" spans="1:17" x14ac:dyDescent="0.3">
      <c r="A1100" s="5"/>
      <c r="B1100" s="6"/>
      <c r="C1100" s="7"/>
      <c r="D1100" s="8"/>
      <c r="E1100" s="8"/>
      <c r="F1100" s="10"/>
      <c r="G1100" s="10"/>
      <c r="H1100" s="10"/>
      <c r="I1100" s="7"/>
      <c r="J1100" s="12"/>
      <c r="K1100" s="13"/>
      <c r="L1100" s="14"/>
      <c r="M1100" s="15"/>
      <c r="N1100" s="15"/>
      <c r="O1100" s="16"/>
      <c r="Q1100" s="16"/>
    </row>
    <row r="1101" spans="1:17" x14ac:dyDescent="0.3">
      <c r="A1101" s="5"/>
      <c r="B1101" s="6"/>
      <c r="C1101" s="7"/>
      <c r="D1101" s="8"/>
      <c r="E1101" s="8"/>
      <c r="F1101" s="10"/>
      <c r="G1101" s="10"/>
      <c r="H1101" s="10"/>
      <c r="I1101" s="7"/>
      <c r="J1101" s="12"/>
      <c r="K1101" s="13"/>
      <c r="L1101" s="14"/>
      <c r="M1101" s="15"/>
      <c r="N1101" s="15"/>
      <c r="O1101" s="16"/>
      <c r="Q1101" s="16"/>
    </row>
    <row r="1102" spans="1:17" x14ac:dyDescent="0.3">
      <c r="A1102" s="5"/>
      <c r="B1102" s="6"/>
      <c r="C1102" s="7"/>
      <c r="D1102" s="8"/>
      <c r="E1102" s="8"/>
      <c r="F1102" s="10"/>
      <c r="G1102" s="10"/>
      <c r="H1102" s="10"/>
      <c r="I1102" s="7"/>
      <c r="J1102" s="12"/>
      <c r="K1102" s="13"/>
      <c r="L1102" s="14"/>
      <c r="M1102" s="15"/>
      <c r="N1102" s="15"/>
      <c r="O1102" s="16"/>
      <c r="Q1102" s="16"/>
    </row>
    <row r="1103" spans="1:17" x14ac:dyDescent="0.3">
      <c r="A1103" s="5"/>
      <c r="B1103" s="6"/>
      <c r="C1103" s="7"/>
      <c r="D1103" s="8"/>
      <c r="E1103" s="8"/>
      <c r="F1103" s="10"/>
      <c r="G1103" s="10"/>
      <c r="H1103" s="10"/>
      <c r="I1103" s="7"/>
      <c r="J1103" s="12"/>
      <c r="K1103" s="13"/>
      <c r="L1103" s="14"/>
      <c r="M1103" s="15"/>
      <c r="N1103" s="15"/>
      <c r="O1103" s="16"/>
      <c r="Q1103" s="16"/>
    </row>
    <row r="1104" spans="1:17" x14ac:dyDescent="0.3">
      <c r="A1104" s="5"/>
      <c r="B1104" s="6"/>
      <c r="C1104" s="7"/>
      <c r="D1104" s="8"/>
      <c r="E1104" s="8"/>
      <c r="F1104" s="10"/>
      <c r="G1104" s="10"/>
      <c r="H1104" s="10"/>
      <c r="I1104" s="7"/>
      <c r="J1104" s="12"/>
      <c r="K1104" s="13"/>
      <c r="L1104" s="14"/>
      <c r="M1104" s="15"/>
      <c r="N1104" s="15"/>
      <c r="O1104" s="16"/>
      <c r="Q1104" s="16"/>
    </row>
    <row r="1105" spans="1:17" x14ac:dyDescent="0.3">
      <c r="A1105" s="5"/>
      <c r="B1105" s="6"/>
      <c r="C1105" s="7"/>
      <c r="D1105" s="8"/>
      <c r="E1105" s="8"/>
      <c r="F1105" s="10"/>
      <c r="G1105" s="10"/>
      <c r="H1105" s="10"/>
      <c r="I1105" s="7"/>
      <c r="J1105" s="12"/>
      <c r="K1105" s="13"/>
      <c r="L1105" s="14"/>
      <c r="M1105" s="15"/>
      <c r="N1105" s="15"/>
      <c r="O1105" s="16"/>
      <c r="Q1105" s="16"/>
    </row>
    <row r="1106" spans="1:17" x14ac:dyDescent="0.3">
      <c r="A1106" s="5"/>
      <c r="B1106" s="6"/>
      <c r="C1106" s="7"/>
      <c r="D1106" s="8"/>
      <c r="E1106" s="8"/>
      <c r="F1106" s="10"/>
      <c r="G1106" s="10"/>
      <c r="H1106" s="10"/>
      <c r="I1106" s="7"/>
      <c r="J1106" s="12"/>
      <c r="K1106" s="13"/>
      <c r="L1106" s="14"/>
      <c r="M1106" s="15"/>
      <c r="N1106" s="15"/>
      <c r="O1106" s="16"/>
      <c r="Q1106" s="16"/>
    </row>
    <row r="1107" spans="1:17" x14ac:dyDescent="0.3">
      <c r="A1107" s="5"/>
      <c r="B1107" s="6"/>
      <c r="C1107" s="7"/>
      <c r="D1107" s="8"/>
      <c r="E1107" s="8"/>
      <c r="F1107" s="10"/>
      <c r="G1107" s="10"/>
      <c r="H1107" s="10"/>
      <c r="I1107" s="7"/>
      <c r="J1107" s="12"/>
      <c r="K1107" s="13"/>
      <c r="L1107" s="14"/>
      <c r="M1107" s="15"/>
      <c r="N1107" s="15"/>
      <c r="O1107" s="16"/>
      <c r="Q1107" s="16"/>
    </row>
    <row r="1108" spans="1:17" x14ac:dyDescent="0.3">
      <c r="A1108" s="5"/>
      <c r="B1108" s="6"/>
      <c r="C1108" s="7"/>
      <c r="D1108" s="8"/>
      <c r="E1108" s="8"/>
      <c r="F1108" s="10"/>
      <c r="G1108" s="10"/>
      <c r="H1108" s="10"/>
      <c r="I1108" s="7"/>
      <c r="J1108" s="12"/>
      <c r="K1108" s="13"/>
      <c r="L1108" s="14"/>
      <c r="M1108" s="15"/>
      <c r="N1108" s="15"/>
      <c r="O1108" s="16"/>
      <c r="Q1108" s="16"/>
    </row>
    <row r="1109" spans="1:17" x14ac:dyDescent="0.3">
      <c r="A1109" s="5"/>
      <c r="B1109" s="6"/>
      <c r="C1109" s="7"/>
      <c r="D1109" s="8"/>
      <c r="E1109" s="8"/>
      <c r="F1109" s="10"/>
      <c r="G1109" s="10"/>
      <c r="H1109" s="10"/>
      <c r="I1109" s="7"/>
      <c r="J1109" s="12"/>
      <c r="K1109" s="13"/>
      <c r="L1109" s="14"/>
      <c r="M1109" s="15"/>
      <c r="N1109" s="15"/>
      <c r="O1109" s="16"/>
      <c r="Q1109" s="16"/>
    </row>
    <row r="1110" spans="1:17" x14ac:dyDescent="0.3">
      <c r="A1110" s="5"/>
      <c r="B1110" s="6"/>
      <c r="C1110" s="7"/>
      <c r="D1110" s="8"/>
      <c r="E1110" s="8"/>
      <c r="F1110" s="10"/>
      <c r="G1110" s="10"/>
      <c r="H1110" s="10"/>
      <c r="I1110" s="7"/>
      <c r="J1110" s="12"/>
      <c r="K1110" s="13"/>
      <c r="L1110" s="14"/>
      <c r="M1110" s="15"/>
      <c r="N1110" s="15"/>
      <c r="O1110" s="16"/>
      <c r="Q1110" s="16"/>
    </row>
    <row r="1111" spans="1:17" x14ac:dyDescent="0.3">
      <c r="A1111" s="5"/>
      <c r="B1111" s="6"/>
      <c r="C1111" s="7"/>
      <c r="D1111" s="8"/>
      <c r="E1111" s="8"/>
      <c r="F1111" s="10"/>
      <c r="G1111" s="10"/>
      <c r="H1111" s="10"/>
      <c r="I1111" s="7"/>
      <c r="J1111" s="12"/>
      <c r="K1111" s="13"/>
      <c r="L1111" s="14"/>
      <c r="M1111" s="15"/>
      <c r="N1111" s="15"/>
      <c r="O1111" s="16"/>
      <c r="Q1111" s="16"/>
    </row>
    <row r="1112" spans="1:17" x14ac:dyDescent="0.3">
      <c r="A1112" s="5"/>
      <c r="B1112" s="6"/>
      <c r="C1112" s="7"/>
      <c r="D1112" s="8"/>
      <c r="E1112" s="8"/>
      <c r="F1112" s="10"/>
      <c r="G1112" s="10"/>
      <c r="H1112" s="10"/>
      <c r="I1112" s="7"/>
      <c r="J1112" s="12"/>
      <c r="K1112" s="13"/>
      <c r="L1112" s="14"/>
      <c r="M1112" s="15"/>
      <c r="N1112" s="15"/>
      <c r="O1112" s="16"/>
      <c r="Q1112" s="16"/>
    </row>
    <row r="1113" spans="1:17" x14ac:dyDescent="0.3">
      <c r="A1113" s="5"/>
      <c r="B1113" s="6"/>
      <c r="C1113" s="7"/>
      <c r="D1113" s="8"/>
      <c r="E1113" s="8"/>
      <c r="F1113" s="10"/>
      <c r="G1113" s="10"/>
      <c r="H1113" s="10"/>
      <c r="I1113" s="7"/>
      <c r="J1113" s="12"/>
      <c r="K1113" s="13"/>
      <c r="L1113" s="14"/>
      <c r="M1113" s="15"/>
      <c r="N1113" s="15"/>
      <c r="O1113" s="16"/>
      <c r="Q1113" s="16"/>
    </row>
    <row r="1114" spans="1:17" x14ac:dyDescent="0.3">
      <c r="A1114" s="5"/>
      <c r="B1114" s="6"/>
      <c r="C1114" s="7"/>
      <c r="D1114" s="8"/>
      <c r="E1114" s="8"/>
      <c r="F1114" s="10"/>
      <c r="G1114" s="10"/>
      <c r="H1114" s="10"/>
      <c r="I1114" s="7"/>
      <c r="J1114" s="12"/>
      <c r="K1114" s="13"/>
      <c r="L1114" s="14"/>
      <c r="M1114" s="15"/>
      <c r="N1114" s="15"/>
      <c r="O1114" s="16"/>
      <c r="Q1114" s="16"/>
    </row>
    <row r="1115" spans="1:17" x14ac:dyDescent="0.3">
      <c r="A1115" s="5"/>
      <c r="B1115" s="6"/>
      <c r="C1115" s="7"/>
      <c r="D1115" s="8"/>
      <c r="E1115" s="8"/>
      <c r="F1115" s="10"/>
      <c r="G1115" s="10"/>
      <c r="H1115" s="10"/>
      <c r="I1115" s="7"/>
      <c r="J1115" s="12"/>
      <c r="K1115" s="13"/>
      <c r="L1115" s="14"/>
      <c r="M1115" s="15"/>
      <c r="N1115" s="15"/>
      <c r="O1115" s="16"/>
      <c r="Q1115" s="16"/>
    </row>
    <row r="1116" spans="1:17" x14ac:dyDescent="0.3">
      <c r="A1116" s="5"/>
      <c r="B1116" s="6"/>
      <c r="C1116" s="7"/>
      <c r="D1116" s="8"/>
      <c r="E1116" s="8"/>
      <c r="F1116" s="10"/>
      <c r="G1116" s="10"/>
      <c r="H1116" s="10"/>
      <c r="I1116" s="7"/>
      <c r="J1116" s="12"/>
      <c r="K1116" s="13"/>
      <c r="L1116" s="14"/>
      <c r="M1116" s="15"/>
      <c r="N1116" s="15"/>
      <c r="O1116" s="16"/>
      <c r="Q1116" s="16"/>
    </row>
    <row r="1117" spans="1:17" x14ac:dyDescent="0.3">
      <c r="A1117" s="5"/>
      <c r="B1117" s="6"/>
      <c r="C1117" s="7"/>
      <c r="D1117" s="8"/>
      <c r="E1117" s="8"/>
      <c r="F1117" s="10"/>
      <c r="G1117" s="10"/>
      <c r="H1117" s="10"/>
      <c r="I1117" s="7"/>
      <c r="J1117" s="12"/>
      <c r="K1117" s="13"/>
      <c r="L1117" s="14"/>
      <c r="M1117" s="15"/>
      <c r="N1117" s="15"/>
      <c r="O1117" s="16"/>
      <c r="Q1117" s="16"/>
    </row>
    <row r="1118" spans="1:17" x14ac:dyDescent="0.3">
      <c r="A1118" s="5"/>
      <c r="B1118" s="6"/>
      <c r="C1118" s="7"/>
      <c r="D1118" s="8"/>
      <c r="E1118" s="8"/>
      <c r="F1118" s="10"/>
      <c r="G1118" s="10"/>
      <c r="H1118" s="10"/>
      <c r="I1118" s="7"/>
      <c r="J1118" s="12"/>
      <c r="K1118" s="13"/>
      <c r="L1118" s="14"/>
      <c r="M1118" s="15"/>
      <c r="N1118" s="15"/>
      <c r="O1118" s="16"/>
      <c r="Q1118" s="16"/>
    </row>
    <row r="1119" spans="1:17" x14ac:dyDescent="0.3">
      <c r="A1119" s="5"/>
      <c r="B1119" s="6"/>
      <c r="C1119" s="7"/>
      <c r="D1119" s="8"/>
      <c r="E1119" s="8"/>
      <c r="F1119" s="10"/>
      <c r="G1119" s="10"/>
      <c r="H1119" s="10"/>
      <c r="I1119" s="7"/>
      <c r="J1119" s="12"/>
      <c r="K1119" s="13"/>
      <c r="L1119" s="14"/>
      <c r="M1119" s="15"/>
      <c r="N1119" s="15"/>
      <c r="O1119" s="16"/>
      <c r="Q1119" s="16"/>
    </row>
    <row r="1120" spans="1:17" x14ac:dyDescent="0.3">
      <c r="A1120" s="5"/>
      <c r="B1120" s="6"/>
      <c r="C1120" s="7"/>
      <c r="D1120" s="8"/>
      <c r="E1120" s="8"/>
      <c r="F1120" s="10"/>
      <c r="G1120" s="10"/>
      <c r="H1120" s="10"/>
      <c r="I1120" s="7"/>
      <c r="J1120" s="12"/>
      <c r="K1120" s="13"/>
      <c r="L1120" s="14"/>
      <c r="M1120" s="15"/>
      <c r="N1120" s="15"/>
      <c r="O1120" s="16"/>
      <c r="Q1120" s="16"/>
    </row>
    <row r="1121" spans="1:17" x14ac:dyDescent="0.3">
      <c r="A1121" s="5"/>
      <c r="B1121" s="6"/>
      <c r="C1121" s="7"/>
      <c r="D1121" s="8"/>
      <c r="E1121" s="8"/>
      <c r="F1121" s="10"/>
      <c r="G1121" s="10"/>
      <c r="H1121" s="10"/>
      <c r="I1121" s="7"/>
      <c r="J1121" s="12"/>
      <c r="K1121" s="13"/>
      <c r="L1121" s="14"/>
      <c r="M1121" s="15"/>
      <c r="N1121" s="15"/>
      <c r="O1121" s="16"/>
      <c r="Q1121" s="16"/>
    </row>
    <row r="1122" spans="1:17" x14ac:dyDescent="0.3">
      <c r="A1122" s="5"/>
      <c r="B1122" s="6"/>
      <c r="C1122" s="7"/>
      <c r="D1122" s="8"/>
      <c r="E1122" s="8"/>
      <c r="F1122" s="10"/>
      <c r="G1122" s="10"/>
      <c r="H1122" s="10"/>
      <c r="I1122" s="7"/>
      <c r="J1122" s="12"/>
      <c r="K1122" s="13"/>
      <c r="L1122" s="14"/>
      <c r="M1122" s="15"/>
      <c r="N1122" s="15"/>
      <c r="O1122" s="16"/>
      <c r="Q1122" s="16"/>
    </row>
    <row r="1123" spans="1:17" x14ac:dyDescent="0.3">
      <c r="A1123" s="5"/>
      <c r="B1123" s="6"/>
      <c r="C1123" s="7"/>
      <c r="D1123" s="8"/>
      <c r="E1123" s="8"/>
      <c r="F1123" s="10"/>
      <c r="G1123" s="10"/>
      <c r="H1123" s="10"/>
      <c r="I1123" s="7"/>
      <c r="J1123" s="12"/>
      <c r="K1123" s="13"/>
      <c r="L1123" s="14"/>
      <c r="M1123" s="15"/>
      <c r="N1123" s="15"/>
      <c r="O1123" s="16"/>
      <c r="Q1123" s="16"/>
    </row>
    <row r="1124" spans="1:17" x14ac:dyDescent="0.3">
      <c r="A1124" s="5"/>
      <c r="B1124" s="6"/>
      <c r="C1124" s="7"/>
      <c r="D1124" s="8"/>
      <c r="E1124" s="8"/>
      <c r="F1124" s="10"/>
      <c r="G1124" s="10"/>
      <c r="H1124" s="10"/>
      <c r="I1124" s="7"/>
      <c r="J1124" s="12"/>
      <c r="K1124" s="13"/>
      <c r="L1124" s="14"/>
      <c r="M1124" s="15"/>
      <c r="N1124" s="15"/>
      <c r="O1124" s="16"/>
      <c r="Q1124" s="16"/>
    </row>
    <row r="1125" spans="1:17" x14ac:dyDescent="0.3">
      <c r="A1125" s="5"/>
      <c r="B1125" s="6"/>
      <c r="C1125" s="7"/>
      <c r="D1125" s="8"/>
      <c r="E1125" s="8"/>
      <c r="F1125" s="10"/>
      <c r="G1125" s="10"/>
      <c r="H1125" s="10"/>
      <c r="I1125" s="7"/>
      <c r="J1125" s="12"/>
      <c r="K1125" s="13"/>
      <c r="L1125" s="14"/>
      <c r="M1125" s="15"/>
      <c r="N1125" s="15"/>
      <c r="O1125" s="16"/>
      <c r="Q1125" s="16"/>
    </row>
    <row r="1126" spans="1:17" x14ac:dyDescent="0.3">
      <c r="A1126" s="5"/>
      <c r="B1126" s="6"/>
      <c r="C1126" s="7"/>
      <c r="D1126" s="8"/>
      <c r="E1126" s="8"/>
      <c r="F1126" s="10"/>
      <c r="G1126" s="10"/>
      <c r="H1126" s="10"/>
      <c r="I1126" s="7"/>
      <c r="J1126" s="12"/>
      <c r="K1126" s="13"/>
      <c r="L1126" s="14"/>
      <c r="M1126" s="15"/>
      <c r="N1126" s="15"/>
      <c r="O1126" s="16"/>
      <c r="Q1126" s="16"/>
    </row>
    <row r="1127" spans="1:17" x14ac:dyDescent="0.3">
      <c r="A1127" s="5"/>
      <c r="B1127" s="6"/>
      <c r="C1127" s="7"/>
      <c r="D1127" s="8"/>
      <c r="E1127" s="8"/>
      <c r="F1127" s="10"/>
      <c r="G1127" s="10"/>
      <c r="H1127" s="10"/>
      <c r="I1127" s="7"/>
      <c r="J1127" s="12"/>
      <c r="K1127" s="13"/>
      <c r="L1127" s="14"/>
      <c r="M1127" s="15"/>
      <c r="N1127" s="15"/>
      <c r="O1127" s="16"/>
      <c r="Q1127" s="16"/>
    </row>
    <row r="1128" spans="1:17" x14ac:dyDescent="0.3">
      <c r="A1128" s="5"/>
      <c r="B1128" s="6"/>
      <c r="C1128" s="7"/>
      <c r="D1128" s="8"/>
      <c r="E1128" s="8"/>
      <c r="F1128" s="10"/>
      <c r="G1128" s="10"/>
      <c r="H1128" s="10"/>
      <c r="I1128" s="7"/>
      <c r="J1128" s="12"/>
      <c r="K1128" s="13"/>
      <c r="L1128" s="14"/>
      <c r="M1128" s="15"/>
      <c r="N1128" s="15"/>
      <c r="O1128" s="16"/>
      <c r="Q1128" s="16"/>
    </row>
    <row r="1129" spans="1:17" x14ac:dyDescent="0.3">
      <c r="A1129" s="5"/>
      <c r="B1129" s="6"/>
      <c r="C1129" s="7"/>
      <c r="D1129" s="8"/>
      <c r="E1129" s="8"/>
      <c r="F1129" s="10"/>
      <c r="G1129" s="10"/>
      <c r="H1129" s="10"/>
      <c r="I1129" s="7"/>
      <c r="J1129" s="12"/>
      <c r="K1129" s="13"/>
      <c r="L1129" s="14"/>
      <c r="M1129" s="15"/>
      <c r="N1129" s="15"/>
      <c r="O1129" s="16"/>
      <c r="Q1129" s="16"/>
    </row>
    <row r="1130" spans="1:17" x14ac:dyDescent="0.3">
      <c r="A1130" s="5"/>
      <c r="B1130" s="6"/>
      <c r="C1130" s="7"/>
      <c r="D1130" s="8"/>
      <c r="E1130" s="8"/>
      <c r="F1130" s="10"/>
      <c r="G1130" s="10"/>
      <c r="H1130" s="10"/>
      <c r="I1130" s="7"/>
      <c r="J1130" s="12"/>
      <c r="K1130" s="13"/>
      <c r="L1130" s="14"/>
      <c r="M1130" s="15"/>
      <c r="N1130" s="15"/>
      <c r="O1130" s="16"/>
      <c r="Q1130" s="16"/>
    </row>
    <row r="1131" spans="1:17" x14ac:dyDescent="0.3">
      <c r="A1131" s="5"/>
      <c r="B1131" s="6"/>
      <c r="C1131" s="7"/>
      <c r="D1131" s="8"/>
      <c r="E1131" s="8"/>
      <c r="F1131" s="10"/>
      <c r="G1131" s="10"/>
      <c r="H1131" s="10"/>
      <c r="I1131" s="7"/>
      <c r="J1131" s="12"/>
      <c r="K1131" s="13"/>
      <c r="L1131" s="14"/>
      <c r="M1131" s="15"/>
      <c r="N1131" s="15"/>
      <c r="O1131" s="16"/>
      <c r="Q1131" s="16"/>
    </row>
    <row r="1132" spans="1:17" x14ac:dyDescent="0.3">
      <c r="A1132" s="5"/>
      <c r="B1132" s="6"/>
      <c r="C1132" s="7"/>
      <c r="D1132" s="8"/>
      <c r="E1132" s="8"/>
      <c r="F1132" s="10"/>
      <c r="G1132" s="10"/>
      <c r="H1132" s="10"/>
      <c r="I1132" s="7"/>
      <c r="J1132" s="12"/>
      <c r="K1132" s="13"/>
      <c r="L1132" s="14"/>
      <c r="M1132" s="15"/>
      <c r="N1132" s="15"/>
      <c r="O1132" s="16"/>
      <c r="Q1132" s="16"/>
    </row>
    <row r="1133" spans="1:17" x14ac:dyDescent="0.3">
      <c r="A1133" s="5"/>
      <c r="B1133" s="6"/>
      <c r="C1133" s="7"/>
      <c r="D1133" s="8"/>
      <c r="E1133" s="8"/>
      <c r="F1133" s="10"/>
      <c r="G1133" s="10"/>
      <c r="H1133" s="10"/>
      <c r="I1133" s="7"/>
      <c r="J1133" s="12"/>
      <c r="K1133" s="13"/>
      <c r="L1133" s="14"/>
      <c r="M1133" s="15"/>
      <c r="N1133" s="15"/>
      <c r="O1133" s="16"/>
      <c r="Q1133" s="16"/>
    </row>
    <row r="1134" spans="1:17" x14ac:dyDescent="0.3">
      <c r="A1134" s="5"/>
      <c r="B1134" s="6"/>
      <c r="C1134" s="7"/>
      <c r="D1134" s="8"/>
      <c r="E1134" s="8"/>
      <c r="F1134" s="10"/>
      <c r="G1134" s="10"/>
      <c r="H1134" s="10"/>
      <c r="I1134" s="7"/>
      <c r="J1134" s="12"/>
      <c r="K1134" s="13"/>
      <c r="L1134" s="14"/>
      <c r="M1134" s="15"/>
      <c r="N1134" s="15"/>
      <c r="O1134" s="16"/>
      <c r="Q1134" s="16"/>
    </row>
    <row r="1135" spans="1:17" x14ac:dyDescent="0.3">
      <c r="A1135" s="5"/>
      <c r="B1135" s="6"/>
      <c r="C1135" s="7"/>
      <c r="D1135" s="8"/>
      <c r="E1135" s="8"/>
      <c r="F1135" s="10"/>
      <c r="G1135" s="10"/>
      <c r="H1135" s="10"/>
      <c r="I1135" s="7"/>
      <c r="J1135" s="12"/>
      <c r="K1135" s="13"/>
      <c r="L1135" s="14"/>
      <c r="M1135" s="15"/>
      <c r="N1135" s="15"/>
      <c r="O1135" s="16"/>
      <c r="Q1135" s="16"/>
    </row>
    <row r="1136" spans="1:17" x14ac:dyDescent="0.3">
      <c r="A1136" s="5"/>
      <c r="B1136" s="6"/>
      <c r="C1136" s="7"/>
      <c r="D1136" s="8"/>
      <c r="E1136" s="8"/>
      <c r="F1136" s="10"/>
      <c r="G1136" s="10"/>
      <c r="H1136" s="10"/>
      <c r="I1136" s="7"/>
      <c r="J1136" s="12"/>
      <c r="K1136" s="13"/>
      <c r="L1136" s="14"/>
      <c r="M1136" s="15"/>
      <c r="N1136" s="15"/>
      <c r="O1136" s="16"/>
      <c r="Q1136" s="16"/>
    </row>
    <row r="1137" spans="1:17" x14ac:dyDescent="0.3">
      <c r="A1137" s="5"/>
      <c r="B1137" s="6"/>
      <c r="C1137" s="7"/>
      <c r="D1137" s="8"/>
      <c r="E1137" s="8"/>
      <c r="F1137" s="10"/>
      <c r="G1137" s="10"/>
      <c r="H1137" s="10"/>
      <c r="I1137" s="7"/>
      <c r="J1137" s="12"/>
      <c r="K1137" s="13"/>
      <c r="L1137" s="14"/>
      <c r="M1137" s="15"/>
      <c r="N1137" s="15"/>
      <c r="O1137" s="16"/>
      <c r="Q1137" s="16"/>
    </row>
    <row r="1138" spans="1:17" x14ac:dyDescent="0.3">
      <c r="A1138" s="5"/>
      <c r="B1138" s="6"/>
      <c r="C1138" s="7"/>
      <c r="D1138" s="8"/>
      <c r="E1138" s="8"/>
      <c r="F1138" s="10"/>
      <c r="G1138" s="10"/>
      <c r="H1138" s="10"/>
      <c r="I1138" s="7"/>
      <c r="J1138" s="12"/>
      <c r="K1138" s="13"/>
      <c r="L1138" s="14"/>
      <c r="M1138" s="15"/>
      <c r="N1138" s="15"/>
      <c r="O1138" s="16"/>
      <c r="Q1138" s="16"/>
    </row>
    <row r="1139" spans="1:17" x14ac:dyDescent="0.3">
      <c r="A1139" s="5"/>
      <c r="B1139" s="6"/>
      <c r="C1139" s="7"/>
      <c r="D1139" s="8"/>
      <c r="E1139" s="8"/>
      <c r="F1139" s="10"/>
      <c r="G1139" s="10"/>
      <c r="H1139" s="10"/>
      <c r="I1139" s="7"/>
      <c r="J1139" s="12"/>
      <c r="K1139" s="13"/>
      <c r="L1139" s="14"/>
      <c r="M1139" s="15"/>
      <c r="N1139" s="15"/>
      <c r="O1139" s="16"/>
      <c r="Q1139" s="16"/>
    </row>
    <row r="1140" spans="1:17" x14ac:dyDescent="0.3">
      <c r="A1140" s="5"/>
      <c r="B1140" s="6"/>
      <c r="C1140" s="7"/>
      <c r="D1140" s="8"/>
      <c r="E1140" s="8"/>
      <c r="F1140" s="10"/>
      <c r="G1140" s="10"/>
      <c r="H1140" s="10"/>
      <c r="I1140" s="7"/>
      <c r="J1140" s="12"/>
      <c r="K1140" s="13"/>
      <c r="L1140" s="14"/>
      <c r="M1140" s="15"/>
      <c r="N1140" s="15"/>
      <c r="O1140" s="16"/>
      <c r="Q1140" s="16"/>
    </row>
    <row r="1141" spans="1:17" x14ac:dyDescent="0.3">
      <c r="A1141" s="5"/>
      <c r="B1141" s="6"/>
      <c r="C1141" s="7"/>
      <c r="D1141" s="37"/>
      <c r="E1141" s="8"/>
      <c r="F1141" s="10"/>
      <c r="G1141" s="10"/>
      <c r="H1141" s="10"/>
      <c r="I1141" s="7"/>
      <c r="J1141" s="12"/>
      <c r="K1141" s="13"/>
      <c r="L1141" s="14"/>
      <c r="M1141" s="15"/>
      <c r="N1141" s="15"/>
      <c r="O1141" s="16"/>
      <c r="Q1141" s="16"/>
    </row>
    <row r="1142" spans="1:17" x14ac:dyDescent="0.3">
      <c r="A1142" s="5"/>
      <c r="B1142" s="6"/>
      <c r="C1142" s="7"/>
      <c r="D1142" s="37"/>
      <c r="E1142" s="8"/>
      <c r="F1142" s="10"/>
      <c r="G1142" s="10"/>
      <c r="H1142" s="10"/>
      <c r="I1142" s="7"/>
      <c r="J1142" s="12"/>
      <c r="K1142" s="13"/>
      <c r="L1142" s="14"/>
      <c r="M1142" s="15"/>
      <c r="N1142" s="15"/>
      <c r="O1142" s="16"/>
      <c r="Q1142" s="16"/>
    </row>
    <row r="1143" spans="1:17" x14ac:dyDescent="0.3">
      <c r="A1143" s="5"/>
      <c r="B1143" s="6"/>
      <c r="C1143" s="7"/>
      <c r="D1143" s="37"/>
      <c r="E1143" s="8"/>
      <c r="F1143" s="10"/>
      <c r="G1143" s="10"/>
      <c r="H1143" s="10"/>
      <c r="I1143" s="7"/>
      <c r="J1143" s="12"/>
      <c r="K1143" s="13"/>
      <c r="L1143" s="14"/>
      <c r="M1143" s="15"/>
      <c r="N1143" s="15"/>
      <c r="O1143" s="16"/>
      <c r="Q1143" s="16"/>
    </row>
    <row r="1144" spans="1:17" x14ac:dyDescent="0.3">
      <c r="A1144" s="5"/>
      <c r="B1144" s="6"/>
      <c r="C1144" s="7"/>
      <c r="D1144" s="8"/>
      <c r="E1144" s="8"/>
      <c r="F1144" s="10"/>
      <c r="G1144" s="10"/>
      <c r="H1144" s="10"/>
      <c r="I1144" s="7"/>
      <c r="J1144" s="12"/>
      <c r="K1144" s="13"/>
      <c r="L1144" s="14"/>
      <c r="M1144" s="15"/>
      <c r="N1144" s="15"/>
      <c r="O1144" s="16"/>
      <c r="Q1144" s="16"/>
    </row>
    <row r="1145" spans="1:17" x14ac:dyDescent="0.3">
      <c r="A1145" s="5"/>
      <c r="B1145" s="6"/>
      <c r="C1145" s="7"/>
      <c r="D1145" s="8"/>
      <c r="E1145" s="8"/>
      <c r="F1145" s="10"/>
      <c r="G1145" s="10"/>
      <c r="H1145" s="10"/>
      <c r="I1145" s="7"/>
      <c r="J1145" s="12"/>
      <c r="K1145" s="13"/>
      <c r="L1145" s="14"/>
      <c r="M1145" s="15"/>
      <c r="N1145" s="15"/>
      <c r="O1145" s="16"/>
      <c r="Q1145" s="16"/>
    </row>
    <row r="1146" spans="1:17" x14ac:dyDescent="0.3">
      <c r="A1146" s="5"/>
      <c r="B1146" s="6"/>
      <c r="C1146" s="7"/>
      <c r="D1146" s="8"/>
      <c r="E1146" s="8"/>
      <c r="F1146" s="10"/>
      <c r="G1146" s="10"/>
      <c r="H1146" s="10"/>
      <c r="I1146" s="7"/>
      <c r="J1146" s="12"/>
      <c r="K1146" s="13"/>
      <c r="L1146" s="14"/>
      <c r="M1146" s="15"/>
      <c r="N1146" s="15"/>
      <c r="O1146" s="16"/>
      <c r="Q1146" s="16"/>
    </row>
    <row r="1147" spans="1:17" x14ac:dyDescent="0.3">
      <c r="A1147" s="5"/>
      <c r="B1147" s="6"/>
      <c r="C1147" s="7"/>
      <c r="D1147" s="8"/>
      <c r="E1147" s="8"/>
      <c r="F1147" s="10"/>
      <c r="G1147" s="10"/>
      <c r="H1147" s="10"/>
      <c r="I1147" s="7"/>
      <c r="J1147" s="12"/>
      <c r="K1147" s="13"/>
      <c r="L1147" s="14"/>
      <c r="M1147" s="15"/>
      <c r="N1147" s="15"/>
      <c r="O1147" s="16"/>
      <c r="Q1147" s="16"/>
    </row>
    <row r="1148" spans="1:17" x14ac:dyDescent="0.3">
      <c r="A1148" s="5"/>
      <c r="B1148" s="6"/>
      <c r="C1148" s="7"/>
      <c r="D1148" s="8"/>
      <c r="E1148" s="8"/>
      <c r="F1148" s="10"/>
      <c r="G1148" s="10"/>
      <c r="H1148" s="10"/>
      <c r="I1148" s="7"/>
      <c r="J1148" s="12"/>
      <c r="K1148" s="13"/>
      <c r="L1148" s="14"/>
      <c r="M1148" s="15"/>
      <c r="N1148" s="15"/>
      <c r="O1148" s="16"/>
      <c r="Q1148" s="16"/>
    </row>
    <row r="1149" spans="1:17" x14ac:dyDescent="0.3">
      <c r="A1149" s="5"/>
      <c r="B1149" s="6"/>
      <c r="C1149" s="7"/>
      <c r="D1149" s="8"/>
      <c r="E1149" s="8"/>
      <c r="F1149" s="10"/>
      <c r="G1149" s="10"/>
      <c r="H1149" s="10"/>
      <c r="I1149" s="7"/>
      <c r="J1149" s="12"/>
      <c r="K1149" s="13"/>
      <c r="L1149" s="14"/>
      <c r="M1149" s="15"/>
      <c r="N1149" s="15"/>
      <c r="O1149" s="16"/>
      <c r="Q1149" s="16"/>
    </row>
    <row r="1150" spans="1:17" x14ac:dyDescent="0.3">
      <c r="A1150" s="5"/>
      <c r="B1150" s="6"/>
      <c r="C1150" s="7"/>
      <c r="D1150" s="8"/>
      <c r="E1150" s="8"/>
      <c r="F1150" s="10"/>
      <c r="G1150" s="10"/>
      <c r="H1150" s="10"/>
      <c r="I1150" s="7"/>
      <c r="J1150" s="12"/>
      <c r="K1150" s="13"/>
      <c r="L1150" s="14"/>
      <c r="M1150" s="15"/>
      <c r="N1150" s="15"/>
      <c r="O1150" s="16"/>
      <c r="Q1150" s="16"/>
    </row>
    <row r="1151" spans="1:17" x14ac:dyDescent="0.3">
      <c r="A1151" s="5"/>
      <c r="B1151" s="6"/>
      <c r="C1151" s="7"/>
      <c r="D1151" s="8"/>
      <c r="E1151" s="8"/>
      <c r="F1151" s="10"/>
      <c r="G1151" s="10"/>
      <c r="H1151" s="10"/>
      <c r="I1151" s="7"/>
      <c r="J1151" s="12"/>
      <c r="K1151" s="13"/>
      <c r="L1151" s="14"/>
      <c r="M1151" s="15"/>
      <c r="N1151" s="15"/>
      <c r="O1151" s="16"/>
      <c r="Q1151" s="16"/>
    </row>
    <row r="1152" spans="1:17" x14ac:dyDescent="0.3">
      <c r="A1152" s="5"/>
      <c r="B1152" s="6"/>
      <c r="C1152" s="7"/>
      <c r="D1152" s="8"/>
      <c r="E1152" s="8"/>
      <c r="F1152" s="10"/>
      <c r="G1152" s="10"/>
      <c r="H1152" s="10"/>
      <c r="I1152" s="7"/>
      <c r="J1152" s="12"/>
      <c r="K1152" s="13"/>
      <c r="L1152" s="14"/>
      <c r="M1152" s="15"/>
      <c r="N1152" s="15"/>
      <c r="O1152" s="16"/>
      <c r="Q1152" s="16"/>
    </row>
    <row r="1153" spans="1:17" x14ac:dyDescent="0.3">
      <c r="A1153" s="5"/>
      <c r="B1153" s="6"/>
      <c r="C1153" s="7"/>
      <c r="D1153" s="8"/>
      <c r="E1153" s="8"/>
      <c r="F1153" s="10"/>
      <c r="G1153" s="10"/>
      <c r="H1153" s="10"/>
      <c r="I1153" s="7"/>
      <c r="J1153" s="12"/>
      <c r="K1153" s="13"/>
      <c r="L1153" s="14"/>
      <c r="M1153" s="15"/>
      <c r="N1153" s="15"/>
      <c r="O1153" s="16"/>
      <c r="Q1153" s="16"/>
    </row>
    <row r="1154" spans="1:17" x14ac:dyDescent="0.3">
      <c r="A1154" s="5"/>
      <c r="B1154" s="6"/>
      <c r="C1154" s="7"/>
      <c r="D1154" s="8"/>
      <c r="E1154" s="8"/>
      <c r="F1154" s="10"/>
      <c r="G1154" s="10"/>
      <c r="H1154" s="10"/>
      <c r="I1154" s="7"/>
      <c r="J1154" s="12"/>
      <c r="K1154" s="13"/>
      <c r="L1154" s="14"/>
      <c r="M1154" s="15"/>
      <c r="N1154" s="15"/>
      <c r="O1154" s="16"/>
      <c r="Q1154" s="16"/>
    </row>
    <row r="1155" spans="1:17" x14ac:dyDescent="0.3">
      <c r="A1155" s="5"/>
      <c r="B1155" s="6"/>
      <c r="C1155" s="7"/>
      <c r="D1155" s="8"/>
      <c r="E1155" s="8"/>
      <c r="F1155" s="10"/>
      <c r="G1155" s="10"/>
      <c r="H1155" s="10"/>
      <c r="I1155" s="7"/>
      <c r="J1155" s="12"/>
      <c r="K1155" s="13"/>
      <c r="L1155" s="14"/>
      <c r="M1155" s="15"/>
      <c r="N1155" s="15"/>
      <c r="O1155" s="16"/>
      <c r="Q1155" s="16"/>
    </row>
    <row r="1156" spans="1:17" x14ac:dyDescent="0.3">
      <c r="A1156" s="5"/>
      <c r="B1156" s="6"/>
      <c r="C1156" s="7"/>
      <c r="D1156" s="8"/>
      <c r="E1156" s="8"/>
      <c r="F1156" s="10"/>
      <c r="G1156" s="10"/>
      <c r="H1156" s="10"/>
      <c r="I1156" s="7"/>
      <c r="J1156" s="12"/>
      <c r="K1156" s="13"/>
      <c r="L1156" s="14"/>
      <c r="M1156" s="15"/>
      <c r="N1156" s="15"/>
      <c r="O1156" s="16"/>
      <c r="Q1156" s="16"/>
    </row>
    <row r="1157" spans="1:17" x14ac:dyDescent="0.3">
      <c r="A1157" s="5"/>
      <c r="B1157" s="6"/>
      <c r="C1157" s="7"/>
      <c r="D1157" s="8"/>
      <c r="E1157" s="8"/>
      <c r="F1157" s="10"/>
      <c r="G1157" s="10"/>
      <c r="H1157" s="10"/>
      <c r="I1157" s="7"/>
      <c r="J1157" s="12"/>
      <c r="K1157" s="13"/>
      <c r="L1157" s="14"/>
      <c r="M1157" s="15"/>
      <c r="N1157" s="15"/>
      <c r="O1157" s="16"/>
      <c r="Q1157" s="16"/>
    </row>
    <row r="1158" spans="1:17" x14ac:dyDescent="0.3">
      <c r="A1158" s="5"/>
      <c r="B1158" s="6"/>
      <c r="C1158" s="7"/>
      <c r="D1158" s="8"/>
      <c r="E1158" s="8"/>
      <c r="F1158" s="10"/>
      <c r="G1158" s="10"/>
      <c r="H1158" s="10"/>
      <c r="I1158" s="7"/>
      <c r="J1158" s="12"/>
      <c r="K1158" s="13"/>
      <c r="L1158" s="14"/>
      <c r="M1158" s="15"/>
      <c r="N1158" s="15"/>
      <c r="O1158" s="16"/>
      <c r="Q1158" s="16"/>
    </row>
    <row r="1159" spans="1:17" x14ac:dyDescent="0.3">
      <c r="A1159" s="5"/>
      <c r="B1159" s="6"/>
      <c r="C1159" s="7"/>
      <c r="D1159" s="8"/>
      <c r="E1159" s="8"/>
      <c r="F1159" s="10"/>
      <c r="G1159" s="10"/>
      <c r="H1159" s="10"/>
      <c r="I1159" s="7"/>
      <c r="J1159" s="12"/>
      <c r="K1159" s="13"/>
      <c r="L1159" s="14"/>
      <c r="M1159" s="15"/>
      <c r="N1159" s="15"/>
      <c r="O1159" s="16"/>
      <c r="Q1159" s="16"/>
    </row>
    <row r="1160" spans="1:17" x14ac:dyDescent="0.3">
      <c r="A1160" s="5"/>
      <c r="B1160" s="6"/>
      <c r="C1160" s="7"/>
      <c r="D1160" s="8"/>
      <c r="E1160" s="8"/>
      <c r="F1160" s="10"/>
      <c r="G1160" s="10"/>
      <c r="H1160" s="10"/>
      <c r="I1160" s="7"/>
      <c r="J1160" s="12"/>
      <c r="K1160" s="13"/>
      <c r="L1160" s="14"/>
      <c r="M1160" s="15"/>
      <c r="N1160" s="15"/>
      <c r="O1160" s="16"/>
      <c r="Q1160" s="16"/>
    </row>
    <row r="1161" spans="1:17" x14ac:dyDescent="0.3">
      <c r="A1161" s="5"/>
      <c r="B1161" s="6"/>
      <c r="C1161" s="7"/>
      <c r="D1161" s="8"/>
      <c r="E1161" s="8"/>
      <c r="F1161" s="10"/>
      <c r="G1161" s="10"/>
      <c r="H1161" s="10"/>
      <c r="I1161" s="7"/>
      <c r="J1161" s="12"/>
      <c r="K1161" s="13"/>
      <c r="L1161" s="14"/>
      <c r="M1161" s="15"/>
      <c r="N1161" s="15"/>
      <c r="O1161" s="16"/>
      <c r="Q1161" s="16"/>
    </row>
    <row r="1162" spans="1:17" x14ac:dyDescent="0.3">
      <c r="A1162" s="5"/>
      <c r="B1162" s="6"/>
      <c r="C1162" s="7"/>
      <c r="D1162" s="8"/>
      <c r="E1162" s="8"/>
      <c r="F1162" s="10"/>
      <c r="G1162" s="10"/>
      <c r="H1162" s="10"/>
      <c r="I1162" s="7"/>
      <c r="J1162" s="12"/>
      <c r="K1162" s="13"/>
      <c r="L1162" s="14"/>
      <c r="M1162" s="15"/>
      <c r="N1162" s="15"/>
      <c r="O1162" s="16"/>
      <c r="Q1162" s="16"/>
    </row>
    <row r="1163" spans="1:17" x14ac:dyDescent="0.3">
      <c r="A1163" s="5"/>
      <c r="B1163" s="6"/>
      <c r="C1163" s="7"/>
      <c r="D1163" s="8"/>
      <c r="E1163" s="8"/>
      <c r="F1163" s="10"/>
      <c r="G1163" s="10"/>
      <c r="H1163" s="10"/>
      <c r="I1163" s="7"/>
      <c r="J1163" s="12"/>
      <c r="K1163" s="13"/>
      <c r="L1163" s="14"/>
      <c r="M1163" s="15"/>
      <c r="N1163" s="15"/>
      <c r="O1163" s="16"/>
      <c r="Q1163" s="16"/>
    </row>
    <row r="1164" spans="1:17" x14ac:dyDescent="0.3">
      <c r="A1164" s="5"/>
      <c r="B1164" s="6"/>
      <c r="C1164" s="7"/>
      <c r="D1164" s="8"/>
      <c r="E1164" s="8"/>
      <c r="F1164" s="10"/>
      <c r="G1164" s="10"/>
      <c r="H1164" s="10"/>
      <c r="I1164" s="7"/>
      <c r="J1164" s="12"/>
      <c r="K1164" s="13"/>
      <c r="L1164" s="14"/>
      <c r="M1164" s="15"/>
      <c r="N1164" s="15"/>
      <c r="O1164" s="16"/>
      <c r="Q1164" s="16"/>
    </row>
    <row r="1165" spans="1:17" x14ac:dyDescent="0.3">
      <c r="A1165" s="5"/>
      <c r="B1165" s="6"/>
      <c r="C1165" s="7"/>
      <c r="D1165" s="8"/>
      <c r="E1165" s="8"/>
      <c r="F1165" s="10"/>
      <c r="G1165" s="10"/>
      <c r="H1165" s="10"/>
      <c r="I1165" s="7"/>
      <c r="J1165" s="12"/>
      <c r="K1165" s="13"/>
      <c r="L1165" s="14"/>
      <c r="M1165" s="15"/>
      <c r="N1165" s="15"/>
      <c r="O1165" s="16"/>
      <c r="Q1165" s="16"/>
    </row>
    <row r="1166" spans="1:17" x14ac:dyDescent="0.3">
      <c r="A1166" s="5"/>
      <c r="B1166" s="6"/>
      <c r="C1166" s="7"/>
      <c r="D1166" s="8"/>
      <c r="E1166" s="8"/>
      <c r="F1166" s="10"/>
      <c r="G1166" s="10"/>
      <c r="H1166" s="10"/>
      <c r="I1166" s="7"/>
      <c r="J1166" s="12"/>
      <c r="K1166" s="13"/>
      <c r="L1166" s="14"/>
      <c r="M1166" s="15"/>
      <c r="N1166" s="15"/>
      <c r="O1166" s="16"/>
      <c r="Q1166" s="16"/>
    </row>
    <row r="1167" spans="1:17" x14ac:dyDescent="0.3">
      <c r="A1167" s="5"/>
      <c r="B1167" s="6"/>
      <c r="C1167" s="7"/>
      <c r="D1167" s="8"/>
      <c r="E1167" s="8"/>
      <c r="F1167" s="10"/>
      <c r="G1167" s="10"/>
      <c r="H1167" s="10"/>
      <c r="I1167" s="7"/>
      <c r="J1167" s="12"/>
      <c r="K1167" s="13"/>
      <c r="L1167" s="14"/>
      <c r="M1167" s="15"/>
      <c r="N1167" s="15"/>
      <c r="O1167" s="16"/>
      <c r="Q1167" s="16"/>
    </row>
    <row r="1168" spans="1:17" x14ac:dyDescent="0.3">
      <c r="A1168" s="5"/>
      <c r="B1168" s="6"/>
      <c r="C1168" s="7"/>
      <c r="D1168" s="8"/>
      <c r="E1168" s="8"/>
      <c r="F1168" s="10"/>
      <c r="G1168" s="10"/>
      <c r="H1168" s="10"/>
      <c r="I1168" s="7"/>
      <c r="J1168" s="12"/>
      <c r="K1168" s="13"/>
      <c r="L1168" s="14"/>
      <c r="M1168" s="15"/>
      <c r="N1168" s="15"/>
      <c r="O1168" s="16"/>
      <c r="Q1168" s="16"/>
    </row>
    <row r="1169" spans="1:17" x14ac:dyDescent="0.3">
      <c r="A1169" s="5"/>
      <c r="B1169" s="6"/>
      <c r="C1169" s="7"/>
      <c r="D1169" s="8"/>
      <c r="E1169" s="8"/>
      <c r="F1169" s="10"/>
      <c r="G1169" s="10"/>
      <c r="H1169" s="10"/>
      <c r="I1169" s="7"/>
      <c r="J1169" s="12"/>
      <c r="K1169" s="13"/>
      <c r="L1169" s="14"/>
      <c r="M1169" s="15"/>
      <c r="N1169" s="15"/>
      <c r="O1169" s="16"/>
      <c r="Q1169" s="16"/>
    </row>
    <row r="1170" spans="1:17" x14ac:dyDescent="0.3">
      <c r="A1170" s="5"/>
      <c r="B1170" s="6"/>
      <c r="C1170" s="7"/>
      <c r="D1170" s="8"/>
      <c r="E1170" s="8"/>
      <c r="F1170" s="10"/>
      <c r="G1170" s="10"/>
      <c r="H1170" s="10"/>
      <c r="I1170" s="7"/>
      <c r="J1170" s="12"/>
      <c r="K1170" s="13"/>
      <c r="L1170" s="14"/>
      <c r="M1170" s="15"/>
      <c r="N1170" s="15"/>
      <c r="O1170" s="16"/>
      <c r="Q1170" s="16"/>
    </row>
    <row r="1171" spans="1:17" x14ac:dyDescent="0.3">
      <c r="A1171" s="5"/>
      <c r="B1171" s="6"/>
      <c r="C1171" s="7"/>
      <c r="D1171" s="8"/>
      <c r="E1171" s="8"/>
      <c r="F1171" s="10"/>
      <c r="G1171" s="10"/>
      <c r="H1171" s="10"/>
      <c r="I1171" s="7"/>
      <c r="J1171" s="12"/>
      <c r="K1171" s="13"/>
      <c r="L1171" s="14"/>
      <c r="M1171" s="15"/>
      <c r="N1171" s="15"/>
      <c r="O1171" s="16"/>
      <c r="Q1171" s="16"/>
    </row>
    <row r="1172" spans="1:17" x14ac:dyDescent="0.3">
      <c r="A1172" s="5"/>
      <c r="B1172" s="6"/>
      <c r="C1172" s="7"/>
      <c r="D1172" s="8"/>
      <c r="E1172" s="8"/>
      <c r="F1172" s="10"/>
      <c r="G1172" s="10"/>
      <c r="H1172" s="10"/>
      <c r="I1172" s="7"/>
      <c r="J1172" s="12"/>
      <c r="K1172" s="13"/>
      <c r="L1172" s="14"/>
      <c r="M1172" s="15"/>
      <c r="N1172" s="15"/>
      <c r="O1172" s="16"/>
      <c r="Q1172" s="16"/>
    </row>
    <row r="1173" spans="1:17" x14ac:dyDescent="0.3">
      <c r="A1173" s="5"/>
      <c r="B1173" s="6"/>
      <c r="C1173" s="7"/>
      <c r="D1173" s="8"/>
      <c r="E1173" s="8"/>
      <c r="F1173" s="10"/>
      <c r="G1173" s="10"/>
      <c r="H1173" s="10"/>
      <c r="I1173" s="7"/>
      <c r="J1173" s="12"/>
      <c r="K1173" s="13"/>
      <c r="L1173" s="14"/>
      <c r="M1173" s="15"/>
      <c r="N1173" s="15"/>
      <c r="O1173" s="16"/>
      <c r="Q1173" s="16"/>
    </row>
    <row r="1174" spans="1:17" x14ac:dyDescent="0.3">
      <c r="A1174" s="5"/>
      <c r="B1174" s="6"/>
      <c r="C1174" s="7"/>
      <c r="D1174" s="8"/>
      <c r="E1174" s="8"/>
      <c r="F1174" s="10"/>
      <c r="G1174" s="10"/>
      <c r="H1174" s="10"/>
      <c r="I1174" s="7"/>
      <c r="J1174" s="12"/>
      <c r="K1174" s="13"/>
      <c r="L1174" s="14"/>
      <c r="M1174" s="15"/>
      <c r="N1174" s="15"/>
      <c r="O1174" s="16"/>
      <c r="Q1174" s="16"/>
    </row>
    <row r="1175" spans="1:17" x14ac:dyDescent="0.3">
      <c r="A1175" s="5"/>
      <c r="B1175" s="6"/>
      <c r="C1175" s="7"/>
      <c r="D1175" s="8"/>
      <c r="E1175" s="8"/>
      <c r="F1175" s="10"/>
      <c r="G1175" s="10"/>
      <c r="H1175" s="10"/>
      <c r="I1175" s="7"/>
      <c r="J1175" s="12"/>
      <c r="K1175" s="13"/>
      <c r="L1175" s="14"/>
      <c r="M1175" s="15"/>
      <c r="N1175" s="15"/>
      <c r="O1175" s="16"/>
      <c r="Q1175" s="16"/>
    </row>
    <row r="1176" spans="1:17" x14ac:dyDescent="0.3">
      <c r="A1176" s="5"/>
      <c r="B1176" s="6"/>
      <c r="C1176" s="7"/>
      <c r="D1176" s="8"/>
      <c r="E1176" s="8"/>
      <c r="F1176" s="10"/>
      <c r="G1176" s="10"/>
      <c r="H1176" s="10"/>
      <c r="I1176" s="7"/>
      <c r="J1176" s="12"/>
      <c r="K1176" s="13"/>
      <c r="L1176" s="14"/>
      <c r="M1176" s="15"/>
      <c r="N1176" s="15"/>
      <c r="O1176" s="16"/>
      <c r="Q1176" s="16"/>
    </row>
    <row r="1177" spans="1:17" x14ac:dyDescent="0.3">
      <c r="A1177" s="5"/>
      <c r="B1177" s="6"/>
      <c r="C1177" s="7"/>
      <c r="D1177" s="37"/>
      <c r="E1177" s="9"/>
      <c r="F1177" s="38"/>
      <c r="G1177" s="38"/>
      <c r="H1177" s="38"/>
      <c r="I1177" s="7"/>
      <c r="J1177" s="12"/>
      <c r="K1177" s="13"/>
      <c r="L1177" s="14"/>
      <c r="M1177" s="15"/>
      <c r="N1177" s="15"/>
      <c r="O1177" s="16"/>
      <c r="Q1177" s="16"/>
    </row>
    <row r="1178" spans="1:17" x14ac:dyDescent="0.3">
      <c r="A1178" s="5"/>
      <c r="B1178" s="6"/>
      <c r="C1178" s="7"/>
      <c r="D1178" s="37"/>
      <c r="E1178" s="9"/>
      <c r="F1178" s="38"/>
      <c r="G1178" s="38"/>
      <c r="H1178" s="38"/>
      <c r="I1178" s="7"/>
      <c r="J1178" s="12"/>
      <c r="K1178" s="13"/>
      <c r="L1178" s="14"/>
      <c r="M1178" s="15"/>
      <c r="N1178" s="15"/>
      <c r="O1178" s="16"/>
      <c r="Q1178" s="16"/>
    </row>
    <row r="1179" spans="1:17" x14ac:dyDescent="0.3">
      <c r="A1179" s="5"/>
      <c r="B1179" s="6"/>
      <c r="C1179" s="7"/>
      <c r="D1179" s="37"/>
      <c r="E1179" s="9"/>
      <c r="F1179" s="38"/>
      <c r="G1179" s="38"/>
      <c r="H1179" s="38"/>
      <c r="I1179" s="7"/>
      <c r="J1179" s="12"/>
      <c r="K1179" s="13"/>
      <c r="L1179" s="14"/>
      <c r="M1179" s="15"/>
      <c r="N1179" s="15"/>
      <c r="O1179" s="16"/>
      <c r="Q1179" s="16"/>
    </row>
    <row r="1180" spans="1:17" x14ac:dyDescent="0.3">
      <c r="A1180" s="5"/>
      <c r="B1180" s="6"/>
      <c r="C1180" s="7"/>
      <c r="D1180" s="8"/>
      <c r="E1180" s="8"/>
      <c r="F1180" s="10"/>
      <c r="G1180" s="10"/>
      <c r="H1180" s="10"/>
      <c r="I1180" s="7"/>
      <c r="J1180" s="12"/>
      <c r="K1180" s="13"/>
      <c r="L1180" s="14"/>
      <c r="M1180" s="15"/>
      <c r="N1180" s="15"/>
      <c r="O1180" s="16"/>
      <c r="Q1180" s="16"/>
    </row>
    <row r="1181" spans="1:17" x14ac:dyDescent="0.3">
      <c r="A1181" s="5"/>
      <c r="B1181" s="6"/>
      <c r="C1181" s="7"/>
      <c r="D1181" s="8"/>
      <c r="E1181" s="8"/>
      <c r="F1181" s="10"/>
      <c r="G1181" s="10"/>
      <c r="H1181" s="10"/>
      <c r="I1181" s="7"/>
      <c r="J1181" s="12"/>
      <c r="K1181" s="13"/>
      <c r="L1181" s="14"/>
      <c r="M1181" s="15"/>
      <c r="N1181" s="15"/>
      <c r="O1181" s="16"/>
      <c r="Q1181" s="16"/>
    </row>
    <row r="1182" spans="1:17" x14ac:dyDescent="0.3">
      <c r="A1182" s="5"/>
      <c r="B1182" s="6"/>
      <c r="C1182" s="7"/>
      <c r="D1182" s="8"/>
      <c r="E1182" s="8"/>
      <c r="F1182" s="10"/>
      <c r="G1182" s="10"/>
      <c r="H1182" s="10"/>
      <c r="I1182" s="7"/>
      <c r="J1182" s="12"/>
      <c r="K1182" s="13"/>
      <c r="L1182" s="14"/>
      <c r="M1182" s="15"/>
      <c r="N1182" s="15"/>
      <c r="O1182" s="16"/>
      <c r="Q1182" s="16"/>
    </row>
    <row r="1183" spans="1:17" x14ac:dyDescent="0.3">
      <c r="A1183" s="5"/>
      <c r="B1183" s="6"/>
      <c r="C1183" s="7"/>
      <c r="D1183" s="8"/>
      <c r="E1183" s="9"/>
      <c r="F1183" s="10"/>
      <c r="G1183" s="10"/>
      <c r="H1183" s="10"/>
      <c r="I1183" s="7"/>
      <c r="J1183" s="12"/>
      <c r="K1183" s="13"/>
      <c r="L1183" s="14"/>
      <c r="M1183" s="15"/>
      <c r="N1183" s="15"/>
      <c r="O1183" s="16"/>
      <c r="Q1183" s="16"/>
    </row>
    <row r="1184" spans="1:17" x14ac:dyDescent="0.3">
      <c r="A1184" s="5"/>
      <c r="B1184" s="6"/>
      <c r="C1184" s="7"/>
      <c r="D1184" s="8"/>
      <c r="E1184" s="9"/>
      <c r="F1184" s="10"/>
      <c r="G1184" s="10"/>
      <c r="H1184" s="10"/>
      <c r="I1184" s="7"/>
      <c r="J1184" s="12"/>
      <c r="K1184" s="13"/>
      <c r="L1184" s="14"/>
      <c r="M1184" s="15"/>
      <c r="N1184" s="15"/>
      <c r="O1184" s="16"/>
      <c r="Q1184" s="16"/>
    </row>
    <row r="1185" spans="1:17" x14ac:dyDescent="0.3">
      <c r="A1185" s="5"/>
      <c r="B1185" s="6"/>
      <c r="C1185" s="7"/>
      <c r="D1185" s="8"/>
      <c r="E1185" s="8"/>
      <c r="F1185" s="10"/>
      <c r="G1185" s="10"/>
      <c r="H1185" s="10"/>
      <c r="I1185" s="7"/>
      <c r="J1185" s="12"/>
      <c r="K1185" s="13"/>
      <c r="L1185" s="14"/>
      <c r="M1185" s="15"/>
      <c r="N1185" s="15"/>
      <c r="O1185" s="16"/>
      <c r="Q1185" s="16"/>
    </row>
    <row r="1186" spans="1:17" x14ac:dyDescent="0.3">
      <c r="A1186" s="5"/>
      <c r="B1186" s="6"/>
      <c r="C1186" s="7"/>
      <c r="D1186" s="37"/>
      <c r="E1186" s="9"/>
      <c r="F1186" s="38"/>
      <c r="G1186" s="38"/>
      <c r="H1186" s="38"/>
      <c r="I1186" s="7"/>
      <c r="J1186" s="12"/>
      <c r="K1186" s="13"/>
      <c r="L1186" s="14"/>
      <c r="M1186" s="15"/>
      <c r="N1186" s="15"/>
      <c r="O1186" s="16"/>
      <c r="Q1186" s="16"/>
    </row>
    <row r="1187" spans="1:17" x14ac:dyDescent="0.3">
      <c r="A1187" s="5"/>
      <c r="B1187" s="6"/>
      <c r="C1187" s="7"/>
      <c r="D1187" s="8"/>
      <c r="E1187" s="8"/>
      <c r="F1187" s="10"/>
      <c r="G1187" s="10"/>
      <c r="H1187" s="10"/>
      <c r="I1187" s="7"/>
      <c r="J1187" s="12"/>
      <c r="K1187" s="13"/>
      <c r="L1187" s="14"/>
      <c r="M1187" s="15"/>
      <c r="N1187" s="15"/>
      <c r="O1187" s="16"/>
      <c r="Q1187" s="16"/>
    </row>
    <row r="1188" spans="1:17" x14ac:dyDescent="0.3">
      <c r="A1188" s="5"/>
      <c r="B1188" s="6"/>
      <c r="C1188" s="7"/>
      <c r="D1188" s="8"/>
      <c r="E1188" s="8"/>
      <c r="F1188" s="10"/>
      <c r="G1188" s="10"/>
      <c r="H1188" s="10"/>
      <c r="I1188" s="7"/>
      <c r="J1188" s="12"/>
      <c r="K1188" s="13"/>
      <c r="L1188" s="14"/>
      <c r="M1188" s="15"/>
      <c r="N1188" s="15"/>
      <c r="O1188" s="16"/>
      <c r="Q1188" s="16"/>
    </row>
    <row r="1189" spans="1:17" x14ac:dyDescent="0.3">
      <c r="A1189" s="5"/>
      <c r="B1189" s="6"/>
      <c r="C1189" s="7"/>
      <c r="D1189" s="8"/>
      <c r="E1189" s="8"/>
      <c r="F1189" s="10"/>
      <c r="G1189" s="10"/>
      <c r="H1189" s="10"/>
      <c r="I1189" s="7"/>
      <c r="J1189" s="12"/>
      <c r="K1189" s="13"/>
      <c r="L1189" s="14"/>
      <c r="M1189" s="15"/>
      <c r="N1189" s="15"/>
      <c r="O1189" s="16"/>
      <c r="Q1189" s="16"/>
    </row>
    <row r="1190" spans="1:17" x14ac:dyDescent="0.3">
      <c r="A1190" s="5"/>
      <c r="B1190" s="6"/>
      <c r="C1190" s="7"/>
      <c r="D1190" s="8"/>
      <c r="E1190" s="8"/>
      <c r="F1190" s="10"/>
      <c r="G1190" s="10"/>
      <c r="H1190" s="10"/>
      <c r="I1190" s="7"/>
      <c r="J1190" s="12"/>
      <c r="K1190" s="13"/>
      <c r="L1190" s="14"/>
      <c r="M1190" s="15"/>
      <c r="N1190" s="15"/>
      <c r="O1190" s="16"/>
      <c r="Q1190" s="16"/>
    </row>
    <row r="1191" spans="1:17" x14ac:dyDescent="0.3">
      <c r="A1191" s="5"/>
      <c r="B1191" s="6"/>
      <c r="C1191" s="7"/>
      <c r="D1191" s="8"/>
      <c r="E1191" s="8"/>
      <c r="F1191" s="10"/>
      <c r="G1191" s="10"/>
      <c r="H1191" s="10"/>
      <c r="I1191" s="7"/>
      <c r="J1191" s="12"/>
      <c r="K1191" s="13"/>
      <c r="L1191" s="14"/>
      <c r="M1191" s="15"/>
      <c r="N1191" s="15"/>
      <c r="O1191" s="16"/>
      <c r="Q1191" s="16"/>
    </row>
    <row r="1192" spans="1:17" x14ac:dyDescent="0.3">
      <c r="A1192" s="5"/>
      <c r="B1192" s="6"/>
      <c r="C1192" s="7"/>
      <c r="D1192" s="8"/>
      <c r="E1192" s="8"/>
      <c r="F1192" s="10"/>
      <c r="G1192" s="10"/>
      <c r="H1192" s="10"/>
      <c r="I1192" s="7"/>
      <c r="J1192" s="12"/>
      <c r="K1192" s="13"/>
      <c r="L1192" s="14"/>
      <c r="M1192" s="15"/>
      <c r="N1192" s="15"/>
      <c r="O1192" s="16"/>
      <c r="Q1192" s="16"/>
    </row>
    <row r="1193" spans="1:17" x14ac:dyDescent="0.3">
      <c r="A1193" s="5"/>
      <c r="B1193" s="6"/>
      <c r="C1193" s="7"/>
      <c r="D1193" s="8"/>
      <c r="E1193" s="8"/>
      <c r="F1193" s="10"/>
      <c r="G1193" s="10"/>
      <c r="H1193" s="10"/>
      <c r="I1193" s="7"/>
      <c r="J1193" s="12"/>
      <c r="K1193" s="13"/>
      <c r="L1193" s="14"/>
      <c r="M1193" s="15"/>
      <c r="N1193" s="15"/>
      <c r="O1193" s="16"/>
      <c r="Q1193" s="16"/>
    </row>
    <row r="1194" spans="1:17" x14ac:dyDescent="0.3">
      <c r="A1194" s="5"/>
      <c r="B1194" s="6"/>
      <c r="C1194" s="7"/>
      <c r="D1194" s="8"/>
      <c r="E1194" s="8"/>
      <c r="F1194" s="10"/>
      <c r="G1194" s="10"/>
      <c r="H1194" s="10"/>
      <c r="I1194" s="7"/>
      <c r="J1194" s="12"/>
      <c r="K1194" s="13"/>
      <c r="L1194" s="14"/>
      <c r="M1194" s="15"/>
      <c r="N1194" s="15"/>
      <c r="O1194" s="16"/>
      <c r="Q1194" s="16"/>
    </row>
    <row r="1195" spans="1:17" x14ac:dyDescent="0.3">
      <c r="A1195" s="5"/>
      <c r="B1195" s="6"/>
      <c r="C1195" s="7"/>
      <c r="D1195" s="8"/>
      <c r="E1195" s="8"/>
      <c r="F1195" s="10"/>
      <c r="G1195" s="10"/>
      <c r="H1195" s="10"/>
      <c r="I1195" s="7"/>
      <c r="J1195" s="12"/>
      <c r="K1195" s="13"/>
      <c r="L1195" s="14"/>
      <c r="M1195" s="15"/>
      <c r="N1195" s="15"/>
      <c r="O1195" s="16"/>
      <c r="Q1195" s="16"/>
    </row>
    <row r="1196" spans="1:17" x14ac:dyDescent="0.3">
      <c r="A1196" s="5"/>
      <c r="B1196" s="6"/>
      <c r="C1196" s="7"/>
      <c r="D1196" s="8"/>
      <c r="E1196" s="8"/>
      <c r="F1196" s="10"/>
      <c r="G1196" s="10"/>
      <c r="H1196" s="10"/>
      <c r="I1196" s="7"/>
      <c r="J1196" s="12"/>
      <c r="K1196" s="13"/>
      <c r="L1196" s="14"/>
      <c r="M1196" s="15"/>
      <c r="N1196" s="15"/>
      <c r="O1196" s="16"/>
      <c r="Q1196" s="16"/>
    </row>
    <row r="1197" spans="1:17" x14ac:dyDescent="0.3">
      <c r="A1197" s="5"/>
      <c r="B1197" s="6"/>
      <c r="C1197" s="7"/>
      <c r="D1197" s="8"/>
      <c r="E1197" s="8"/>
      <c r="F1197" s="10"/>
      <c r="G1197" s="10"/>
      <c r="H1197" s="10"/>
      <c r="I1197" s="7"/>
      <c r="J1197" s="12"/>
      <c r="K1197" s="13"/>
      <c r="L1197" s="14"/>
      <c r="M1197" s="15"/>
      <c r="N1197" s="15"/>
      <c r="O1197" s="16"/>
      <c r="Q1197" s="16"/>
    </row>
    <row r="1198" spans="1:17" x14ac:dyDescent="0.3">
      <c r="A1198" s="5"/>
      <c r="B1198" s="6"/>
      <c r="C1198" s="7"/>
      <c r="D1198" s="8"/>
      <c r="E1198" s="8"/>
      <c r="F1198" s="10"/>
      <c r="G1198" s="10"/>
      <c r="H1198" s="10"/>
      <c r="I1198" s="7"/>
      <c r="J1198" s="12"/>
      <c r="K1198" s="13"/>
      <c r="L1198" s="14"/>
      <c r="M1198" s="15"/>
      <c r="N1198" s="15"/>
      <c r="O1198" s="16"/>
      <c r="Q1198" s="16"/>
    </row>
    <row r="1199" spans="1:17" x14ac:dyDescent="0.3">
      <c r="A1199" s="5"/>
      <c r="B1199" s="6"/>
      <c r="C1199" s="7"/>
      <c r="D1199" s="8"/>
      <c r="E1199" s="8"/>
      <c r="F1199" s="10"/>
      <c r="G1199" s="10"/>
      <c r="H1199" s="10"/>
      <c r="I1199" s="7"/>
      <c r="J1199" s="12"/>
      <c r="K1199" s="13"/>
      <c r="L1199" s="14"/>
      <c r="M1199" s="15"/>
      <c r="N1199" s="15"/>
      <c r="O1199" s="16"/>
      <c r="Q1199" s="16"/>
    </row>
    <row r="1200" spans="1:17" x14ac:dyDescent="0.3">
      <c r="A1200" s="5"/>
      <c r="B1200" s="6"/>
      <c r="C1200" s="7"/>
      <c r="D1200" s="8"/>
      <c r="E1200" s="8"/>
      <c r="F1200" s="10"/>
      <c r="G1200" s="10"/>
      <c r="H1200" s="10"/>
      <c r="I1200" s="7"/>
      <c r="J1200" s="12"/>
      <c r="K1200" s="13"/>
      <c r="L1200" s="14"/>
      <c r="M1200" s="15"/>
      <c r="N1200" s="15"/>
      <c r="O1200" s="16"/>
      <c r="Q1200" s="16"/>
    </row>
    <row r="1201" spans="1:17" x14ac:dyDescent="0.3">
      <c r="A1201" s="5"/>
      <c r="B1201" s="6"/>
      <c r="C1201" s="7"/>
      <c r="D1201" s="8"/>
      <c r="E1201" s="8"/>
      <c r="F1201" s="10"/>
      <c r="G1201" s="10"/>
      <c r="H1201" s="10"/>
      <c r="I1201" s="7"/>
      <c r="J1201" s="12"/>
      <c r="K1201" s="13"/>
      <c r="L1201" s="14"/>
      <c r="M1201" s="15"/>
      <c r="N1201" s="15"/>
      <c r="O1201" s="16"/>
      <c r="Q1201" s="16"/>
    </row>
    <row r="1202" spans="1:17" x14ac:dyDescent="0.3">
      <c r="A1202" s="5"/>
      <c r="B1202" s="6"/>
      <c r="C1202" s="7"/>
      <c r="D1202" s="8"/>
      <c r="E1202" s="8"/>
      <c r="F1202" s="10"/>
      <c r="G1202" s="10"/>
      <c r="H1202" s="10"/>
      <c r="I1202" s="7"/>
      <c r="J1202" s="12"/>
      <c r="K1202" s="13"/>
      <c r="L1202" s="14"/>
      <c r="M1202" s="15"/>
      <c r="N1202" s="15"/>
      <c r="O1202" s="16"/>
      <c r="Q1202" s="16"/>
    </row>
    <row r="1203" spans="1:17" x14ac:dyDescent="0.3">
      <c r="A1203" s="5"/>
      <c r="B1203" s="6"/>
      <c r="C1203" s="7"/>
      <c r="D1203" s="8"/>
      <c r="E1203" s="8"/>
      <c r="F1203" s="10"/>
      <c r="G1203" s="10"/>
      <c r="H1203" s="10"/>
      <c r="I1203" s="7"/>
      <c r="J1203" s="12"/>
      <c r="K1203" s="13"/>
      <c r="L1203" s="14"/>
      <c r="M1203" s="15"/>
      <c r="N1203" s="15"/>
      <c r="O1203" s="16"/>
      <c r="Q1203" s="16"/>
    </row>
    <row r="1204" spans="1:17" x14ac:dyDescent="0.3">
      <c r="A1204" s="5"/>
      <c r="B1204" s="6"/>
      <c r="C1204" s="7"/>
      <c r="D1204" s="8"/>
      <c r="E1204" s="8"/>
      <c r="F1204" s="10"/>
      <c r="G1204" s="10"/>
      <c r="H1204" s="10"/>
      <c r="I1204" s="7"/>
      <c r="J1204" s="12"/>
      <c r="K1204" s="13"/>
      <c r="L1204" s="14"/>
      <c r="M1204" s="15"/>
      <c r="N1204" s="15"/>
      <c r="O1204" s="16"/>
      <c r="Q1204" s="16"/>
    </row>
    <row r="1205" spans="1:17" x14ac:dyDescent="0.3">
      <c r="A1205" s="5"/>
      <c r="B1205" s="6"/>
      <c r="C1205" s="7"/>
      <c r="D1205" s="8"/>
      <c r="E1205" s="8"/>
      <c r="F1205" s="10"/>
      <c r="G1205" s="10"/>
      <c r="H1205" s="10"/>
      <c r="I1205" s="7"/>
      <c r="J1205" s="12"/>
      <c r="K1205" s="13"/>
      <c r="L1205" s="14"/>
      <c r="M1205" s="15"/>
      <c r="N1205" s="15"/>
      <c r="O1205" s="16"/>
      <c r="Q1205" s="16"/>
    </row>
    <row r="1206" spans="1:17" x14ac:dyDescent="0.3">
      <c r="A1206" s="5"/>
      <c r="B1206" s="6"/>
      <c r="C1206" s="7"/>
      <c r="D1206" s="8"/>
      <c r="E1206" s="8"/>
      <c r="F1206" s="10"/>
      <c r="G1206" s="10"/>
      <c r="H1206" s="10"/>
      <c r="I1206" s="7"/>
      <c r="J1206" s="12"/>
      <c r="K1206" s="13"/>
      <c r="L1206" s="14"/>
      <c r="M1206" s="15"/>
      <c r="N1206" s="15"/>
      <c r="O1206" s="16"/>
      <c r="Q1206" s="16"/>
    </row>
    <row r="1207" spans="1:17" x14ac:dyDescent="0.3">
      <c r="A1207" s="5"/>
      <c r="B1207" s="6"/>
      <c r="C1207" s="7"/>
      <c r="D1207" s="8"/>
      <c r="E1207" s="8"/>
      <c r="F1207" s="10"/>
      <c r="G1207" s="10"/>
      <c r="H1207" s="10"/>
      <c r="I1207" s="7"/>
      <c r="J1207" s="12"/>
      <c r="K1207" s="13"/>
      <c r="L1207" s="14"/>
      <c r="M1207" s="15"/>
      <c r="N1207" s="15"/>
      <c r="O1207" s="16"/>
      <c r="Q1207" s="16"/>
    </row>
    <row r="1208" spans="1:17" x14ac:dyDescent="0.3">
      <c r="A1208" s="5"/>
      <c r="B1208" s="6"/>
      <c r="C1208" s="7"/>
      <c r="D1208" s="8"/>
      <c r="E1208" s="8"/>
      <c r="F1208" s="10"/>
      <c r="G1208" s="10"/>
      <c r="H1208" s="10"/>
      <c r="I1208" s="7"/>
      <c r="J1208" s="12"/>
      <c r="K1208" s="13"/>
      <c r="L1208" s="14"/>
      <c r="M1208" s="15"/>
      <c r="N1208" s="15"/>
      <c r="O1208" s="16"/>
      <c r="Q1208" s="16"/>
    </row>
    <row r="1209" spans="1:17" x14ac:dyDescent="0.3">
      <c r="A1209" s="5"/>
      <c r="B1209" s="6"/>
      <c r="C1209" s="7"/>
      <c r="D1209" s="8"/>
      <c r="E1209" s="8"/>
      <c r="F1209" s="10"/>
      <c r="G1209" s="10"/>
      <c r="H1209" s="10"/>
      <c r="I1209" s="7"/>
      <c r="J1209" s="12"/>
      <c r="K1209" s="13"/>
      <c r="L1209" s="14"/>
      <c r="M1209" s="15"/>
      <c r="N1209" s="15"/>
      <c r="O1209" s="16"/>
      <c r="Q1209" s="16"/>
    </row>
    <row r="1210" spans="1:17" x14ac:dyDescent="0.3">
      <c r="A1210" s="5"/>
      <c r="B1210" s="6"/>
      <c r="C1210" s="7"/>
      <c r="D1210" s="8"/>
      <c r="E1210" s="8"/>
      <c r="F1210" s="10"/>
      <c r="G1210" s="10"/>
      <c r="H1210" s="10"/>
      <c r="I1210" s="7"/>
      <c r="J1210" s="12"/>
      <c r="K1210" s="13"/>
      <c r="L1210" s="14"/>
      <c r="M1210" s="15"/>
      <c r="N1210" s="15"/>
      <c r="O1210" s="16"/>
      <c r="Q1210" s="16"/>
    </row>
    <row r="1211" spans="1:17" x14ac:dyDescent="0.3">
      <c r="A1211" s="5"/>
      <c r="B1211" s="6"/>
      <c r="C1211" s="7"/>
      <c r="D1211" s="8"/>
      <c r="E1211" s="8"/>
      <c r="F1211" s="10"/>
      <c r="G1211" s="10"/>
      <c r="H1211" s="10"/>
      <c r="I1211" s="7"/>
      <c r="J1211" s="12"/>
      <c r="K1211" s="13"/>
      <c r="L1211" s="14"/>
      <c r="M1211" s="15"/>
      <c r="N1211" s="15"/>
      <c r="O1211" s="16"/>
      <c r="Q1211" s="16"/>
    </row>
    <row r="1212" spans="1:17" x14ac:dyDescent="0.3">
      <c r="A1212" s="5"/>
      <c r="B1212" s="6"/>
      <c r="C1212" s="7"/>
      <c r="D1212" s="8"/>
      <c r="E1212" s="8"/>
      <c r="F1212" s="10"/>
      <c r="G1212" s="10"/>
      <c r="H1212" s="10"/>
      <c r="I1212" s="7"/>
      <c r="J1212" s="12"/>
      <c r="K1212" s="13"/>
      <c r="L1212" s="14"/>
      <c r="M1212" s="15"/>
      <c r="N1212" s="15"/>
      <c r="O1212" s="16"/>
      <c r="Q1212" s="16"/>
    </row>
    <row r="1213" spans="1:17" x14ac:dyDescent="0.3">
      <c r="A1213" s="5"/>
      <c r="B1213" s="6"/>
      <c r="C1213" s="7"/>
      <c r="D1213" s="8"/>
      <c r="E1213" s="8"/>
      <c r="F1213" s="10"/>
      <c r="G1213" s="10"/>
      <c r="H1213" s="10"/>
      <c r="I1213" s="7"/>
      <c r="J1213" s="12"/>
      <c r="K1213" s="13"/>
      <c r="L1213" s="14"/>
      <c r="M1213" s="15"/>
      <c r="N1213" s="15"/>
      <c r="O1213" s="16"/>
      <c r="Q1213" s="16"/>
    </row>
    <row r="1214" spans="1:17" x14ac:dyDescent="0.3">
      <c r="A1214" s="5"/>
      <c r="B1214" s="6"/>
      <c r="C1214" s="7"/>
      <c r="D1214" s="8"/>
      <c r="E1214" s="8"/>
      <c r="F1214" s="10"/>
      <c r="G1214" s="10"/>
      <c r="H1214" s="10"/>
      <c r="I1214" s="7"/>
      <c r="J1214" s="12"/>
      <c r="K1214" s="13"/>
      <c r="L1214" s="14"/>
      <c r="M1214" s="15"/>
      <c r="N1214" s="15"/>
      <c r="O1214" s="16"/>
      <c r="Q1214" s="16"/>
    </row>
    <row r="1215" spans="1:17" x14ac:dyDescent="0.3">
      <c r="A1215" s="5"/>
      <c r="B1215" s="6"/>
      <c r="C1215" s="7"/>
      <c r="D1215" s="8"/>
      <c r="E1215" s="8"/>
      <c r="F1215" s="10"/>
      <c r="G1215" s="10"/>
      <c r="H1215" s="10"/>
      <c r="I1215" s="7"/>
      <c r="J1215" s="12"/>
      <c r="K1215" s="13"/>
      <c r="L1215" s="14"/>
      <c r="M1215" s="15"/>
      <c r="N1215" s="15"/>
      <c r="O1215" s="16"/>
      <c r="Q1215" s="16"/>
    </row>
    <row r="1216" spans="1:17" x14ac:dyDescent="0.3">
      <c r="A1216" s="5"/>
      <c r="B1216" s="6"/>
      <c r="C1216" s="7"/>
      <c r="D1216" s="8"/>
      <c r="E1216" s="8"/>
      <c r="F1216" s="10"/>
      <c r="G1216" s="10"/>
      <c r="H1216" s="10"/>
      <c r="I1216" s="7"/>
      <c r="J1216" s="12"/>
      <c r="K1216" s="13"/>
      <c r="L1216" s="14"/>
      <c r="M1216" s="15"/>
      <c r="N1216" s="15"/>
      <c r="O1216" s="16"/>
      <c r="Q1216" s="16"/>
    </row>
    <row r="1217" spans="1:17" x14ac:dyDescent="0.3">
      <c r="A1217" s="5"/>
      <c r="B1217" s="6"/>
      <c r="C1217" s="7"/>
      <c r="D1217" s="8"/>
      <c r="E1217" s="8"/>
      <c r="F1217" s="10"/>
      <c r="G1217" s="10"/>
      <c r="H1217" s="10"/>
      <c r="I1217" s="7"/>
      <c r="J1217" s="12"/>
      <c r="K1217" s="13"/>
      <c r="L1217" s="14"/>
      <c r="M1217" s="15"/>
      <c r="N1217" s="15"/>
      <c r="O1217" s="16"/>
      <c r="Q1217" s="16"/>
    </row>
    <row r="1218" spans="1:17" x14ac:dyDescent="0.3">
      <c r="A1218" s="5"/>
      <c r="B1218" s="6"/>
      <c r="C1218" s="7"/>
      <c r="D1218" s="8"/>
      <c r="E1218" s="8"/>
      <c r="F1218" s="10"/>
      <c r="G1218" s="10"/>
      <c r="H1218" s="10"/>
      <c r="I1218" s="7"/>
      <c r="J1218" s="12"/>
      <c r="K1218" s="13"/>
      <c r="L1218" s="14"/>
      <c r="M1218" s="15"/>
      <c r="N1218" s="15"/>
      <c r="O1218" s="16"/>
      <c r="Q1218" s="16"/>
    </row>
    <row r="1219" spans="1:17" x14ac:dyDescent="0.3">
      <c r="A1219" s="5"/>
      <c r="B1219" s="6"/>
      <c r="C1219" s="7"/>
      <c r="D1219" s="8"/>
      <c r="E1219" s="8"/>
      <c r="F1219" s="10"/>
      <c r="G1219" s="10"/>
      <c r="H1219" s="10"/>
      <c r="I1219" s="7"/>
      <c r="J1219" s="12"/>
      <c r="K1219" s="13"/>
      <c r="L1219" s="14"/>
      <c r="M1219" s="15"/>
      <c r="N1219" s="15"/>
      <c r="O1219" s="16"/>
      <c r="Q1219" s="16"/>
    </row>
    <row r="1220" spans="1:17" x14ac:dyDescent="0.3">
      <c r="A1220" s="5"/>
      <c r="B1220" s="6"/>
      <c r="C1220" s="7"/>
      <c r="D1220" s="8"/>
      <c r="E1220" s="8"/>
      <c r="F1220" s="10"/>
      <c r="G1220" s="10"/>
      <c r="H1220" s="10"/>
      <c r="I1220" s="7"/>
      <c r="J1220" s="12"/>
      <c r="K1220" s="13"/>
      <c r="L1220" s="14"/>
      <c r="M1220" s="15"/>
      <c r="N1220" s="15"/>
      <c r="O1220" s="16"/>
      <c r="Q1220" s="16"/>
    </row>
    <row r="1221" spans="1:17" x14ac:dyDescent="0.3">
      <c r="A1221" s="5"/>
      <c r="B1221" s="6"/>
      <c r="C1221" s="7"/>
      <c r="D1221" s="8"/>
      <c r="E1221" s="8"/>
      <c r="F1221" s="10"/>
      <c r="G1221" s="10"/>
      <c r="H1221" s="10"/>
      <c r="I1221" s="7"/>
      <c r="J1221" s="12"/>
      <c r="K1221" s="13"/>
      <c r="L1221" s="14"/>
      <c r="M1221" s="15"/>
      <c r="N1221" s="15"/>
      <c r="O1221" s="16"/>
      <c r="Q1221" s="16"/>
    </row>
    <row r="1222" spans="1:17" x14ac:dyDescent="0.3">
      <c r="A1222" s="5"/>
      <c r="B1222" s="6"/>
      <c r="C1222" s="7"/>
      <c r="D1222" s="8"/>
      <c r="E1222" s="8"/>
      <c r="F1222" s="10"/>
      <c r="G1222" s="10"/>
      <c r="H1222" s="10"/>
      <c r="I1222" s="7"/>
      <c r="J1222" s="12"/>
      <c r="K1222" s="13"/>
      <c r="L1222" s="14"/>
      <c r="M1222" s="15"/>
      <c r="N1222" s="15"/>
      <c r="O1222" s="16"/>
      <c r="Q1222" s="16"/>
    </row>
    <row r="1223" spans="1:17" x14ac:dyDescent="0.3">
      <c r="A1223" s="5"/>
      <c r="B1223" s="6"/>
      <c r="C1223" s="7"/>
      <c r="D1223" s="8"/>
      <c r="E1223" s="8"/>
      <c r="F1223" s="10"/>
      <c r="G1223" s="10"/>
      <c r="H1223" s="10"/>
      <c r="I1223" s="7"/>
      <c r="J1223" s="12"/>
      <c r="K1223" s="13"/>
      <c r="L1223" s="14"/>
      <c r="M1223" s="15"/>
      <c r="N1223" s="15"/>
      <c r="O1223" s="16"/>
      <c r="Q1223" s="16"/>
    </row>
    <row r="1224" spans="1:17" x14ac:dyDescent="0.3">
      <c r="A1224" s="5"/>
      <c r="B1224" s="6"/>
      <c r="C1224" s="7"/>
      <c r="D1224" s="8"/>
      <c r="E1224" s="8"/>
      <c r="F1224" s="10"/>
      <c r="G1224" s="10"/>
      <c r="H1224" s="10"/>
      <c r="I1224" s="7"/>
      <c r="J1224" s="12"/>
      <c r="K1224" s="13"/>
      <c r="L1224" s="14"/>
      <c r="M1224" s="15"/>
      <c r="N1224" s="15"/>
      <c r="O1224" s="16"/>
      <c r="Q1224" s="16"/>
    </row>
    <row r="1225" spans="1:17" x14ac:dyDescent="0.3">
      <c r="A1225" s="5"/>
      <c r="B1225" s="6"/>
      <c r="C1225" s="7"/>
      <c r="D1225" s="8"/>
      <c r="E1225" s="8"/>
      <c r="F1225" s="10"/>
      <c r="G1225" s="10"/>
      <c r="H1225" s="10"/>
      <c r="I1225" s="7"/>
      <c r="J1225" s="12"/>
      <c r="K1225" s="13"/>
      <c r="L1225" s="14"/>
      <c r="M1225" s="15"/>
      <c r="N1225" s="15"/>
      <c r="O1225" s="16"/>
      <c r="Q1225" s="16"/>
    </row>
    <row r="1226" spans="1:17" x14ac:dyDescent="0.3">
      <c r="A1226" s="5"/>
      <c r="B1226" s="6"/>
      <c r="C1226" s="7"/>
      <c r="D1226" s="37"/>
      <c r="E1226" s="9"/>
      <c r="F1226" s="38"/>
      <c r="G1226" s="38"/>
      <c r="H1226" s="38"/>
      <c r="I1226" s="7"/>
      <c r="J1226" s="12"/>
      <c r="K1226" s="13"/>
      <c r="L1226" s="14"/>
      <c r="M1226" s="15"/>
      <c r="N1226" s="15"/>
      <c r="O1226" s="16"/>
      <c r="Q1226" s="16"/>
    </row>
    <row r="1227" spans="1:17" x14ac:dyDescent="0.3">
      <c r="A1227" s="5"/>
      <c r="B1227" s="6"/>
      <c r="C1227" s="7"/>
      <c r="D1227" s="37"/>
      <c r="E1227" s="9"/>
      <c r="F1227" s="38"/>
      <c r="G1227" s="38"/>
      <c r="H1227" s="38"/>
      <c r="I1227" s="7"/>
      <c r="J1227" s="12"/>
      <c r="K1227" s="13"/>
      <c r="L1227" s="14"/>
      <c r="M1227" s="15"/>
      <c r="N1227" s="15"/>
      <c r="O1227" s="16"/>
      <c r="Q1227" s="16"/>
    </row>
    <row r="1228" spans="1:17" x14ac:dyDescent="0.3">
      <c r="A1228" s="5"/>
      <c r="B1228" s="6"/>
      <c r="C1228" s="7"/>
      <c r="D1228" s="8"/>
      <c r="E1228" s="8"/>
      <c r="F1228" s="10"/>
      <c r="G1228" s="10"/>
      <c r="H1228" s="10"/>
      <c r="I1228" s="7"/>
      <c r="J1228" s="12"/>
      <c r="K1228" s="13"/>
      <c r="L1228" s="14"/>
      <c r="M1228" s="15"/>
      <c r="N1228" s="15"/>
      <c r="O1228" s="16"/>
      <c r="Q1228" s="16"/>
    </row>
    <row r="1229" spans="1:17" x14ac:dyDescent="0.3">
      <c r="A1229" s="5"/>
      <c r="B1229" s="6"/>
      <c r="C1229" s="7"/>
      <c r="D1229" s="8"/>
      <c r="E1229" s="8"/>
      <c r="F1229" s="10"/>
      <c r="G1229" s="10"/>
      <c r="H1229" s="10"/>
      <c r="I1229" s="7"/>
      <c r="J1229" s="12"/>
      <c r="K1229" s="13"/>
      <c r="L1229" s="14"/>
      <c r="M1229" s="15"/>
      <c r="N1229" s="15"/>
      <c r="O1229" s="16"/>
      <c r="Q1229" s="16"/>
    </row>
    <row r="1230" spans="1:17" x14ac:dyDescent="0.3">
      <c r="A1230" s="5"/>
      <c r="B1230" s="6"/>
      <c r="C1230" s="7"/>
      <c r="D1230" s="8"/>
      <c r="E1230" s="8"/>
      <c r="F1230" s="10"/>
      <c r="G1230" s="10"/>
      <c r="H1230" s="10"/>
      <c r="I1230" s="7"/>
      <c r="J1230" s="12"/>
      <c r="K1230" s="13"/>
      <c r="L1230" s="14"/>
      <c r="M1230" s="15"/>
      <c r="N1230" s="15"/>
      <c r="O1230" s="16"/>
      <c r="Q1230" s="16"/>
    </row>
    <row r="1231" spans="1:17" x14ac:dyDescent="0.3">
      <c r="A1231" s="5"/>
      <c r="B1231" s="6"/>
      <c r="C1231" s="7"/>
      <c r="D1231" s="8"/>
      <c r="E1231" s="8"/>
      <c r="F1231" s="10"/>
      <c r="G1231" s="10"/>
      <c r="H1231" s="10"/>
      <c r="I1231" s="7"/>
      <c r="J1231" s="12"/>
      <c r="K1231" s="13"/>
      <c r="L1231" s="14"/>
      <c r="M1231" s="15"/>
      <c r="N1231" s="15"/>
      <c r="O1231" s="16"/>
      <c r="Q1231" s="16"/>
    </row>
    <row r="1232" spans="1:17" x14ac:dyDescent="0.3">
      <c r="A1232" s="5"/>
      <c r="B1232" s="6"/>
      <c r="C1232" s="7"/>
      <c r="D1232" s="8"/>
      <c r="E1232" s="8"/>
      <c r="F1232" s="10"/>
      <c r="G1232" s="10"/>
      <c r="H1232" s="10"/>
      <c r="I1232" s="7"/>
      <c r="J1232" s="12"/>
      <c r="K1232" s="13"/>
      <c r="L1232" s="14"/>
      <c r="M1232" s="15"/>
      <c r="N1232" s="15"/>
      <c r="O1232" s="16"/>
      <c r="Q1232" s="16"/>
    </row>
    <row r="1233" spans="1:17" x14ac:dyDescent="0.3">
      <c r="A1233" s="5"/>
      <c r="B1233" s="6"/>
      <c r="C1233" s="7"/>
      <c r="D1233" s="8"/>
      <c r="E1233" s="8"/>
      <c r="F1233" s="10"/>
      <c r="G1233" s="10"/>
      <c r="H1233" s="10"/>
      <c r="I1233" s="7"/>
      <c r="J1233" s="12"/>
      <c r="K1233" s="13"/>
      <c r="L1233" s="14"/>
      <c r="M1233" s="15"/>
      <c r="N1233" s="15"/>
      <c r="O1233" s="16"/>
      <c r="Q1233" s="16"/>
    </row>
    <row r="1234" spans="1:17" x14ac:dyDescent="0.3">
      <c r="A1234" s="5"/>
      <c r="B1234" s="6"/>
      <c r="C1234" s="7"/>
      <c r="D1234" s="8"/>
      <c r="E1234" s="8"/>
      <c r="F1234" s="10"/>
      <c r="G1234" s="10"/>
      <c r="H1234" s="10"/>
      <c r="I1234" s="7"/>
      <c r="J1234" s="12"/>
      <c r="K1234" s="13"/>
      <c r="L1234" s="14"/>
      <c r="M1234" s="15"/>
      <c r="N1234" s="15"/>
      <c r="O1234" s="16"/>
      <c r="Q1234" s="16"/>
    </row>
    <row r="1235" spans="1:17" x14ac:dyDescent="0.3">
      <c r="A1235" s="5"/>
      <c r="B1235" s="6"/>
      <c r="C1235" s="7"/>
      <c r="D1235" s="37"/>
      <c r="E1235" s="9"/>
      <c r="F1235" s="38"/>
      <c r="G1235" s="38"/>
      <c r="H1235" s="38"/>
      <c r="I1235" s="7"/>
      <c r="J1235" s="12"/>
      <c r="K1235" s="13"/>
      <c r="L1235" s="14"/>
      <c r="M1235" s="15"/>
      <c r="N1235" s="15"/>
      <c r="O1235" s="16"/>
      <c r="Q1235" s="16"/>
    </row>
    <row r="1236" spans="1:17" x14ac:dyDescent="0.3">
      <c r="A1236" s="5"/>
      <c r="B1236" s="6"/>
      <c r="C1236" s="7"/>
      <c r="D1236" s="8"/>
      <c r="E1236" s="9"/>
      <c r="F1236" s="38"/>
      <c r="G1236" s="38"/>
      <c r="H1236" s="38"/>
      <c r="I1236" s="7"/>
      <c r="J1236" s="12"/>
      <c r="K1236" s="13"/>
      <c r="L1236" s="14"/>
      <c r="M1236" s="15"/>
      <c r="N1236" s="15"/>
      <c r="O1236" s="16"/>
      <c r="Q1236" s="16"/>
    </row>
    <row r="1237" spans="1:17" x14ac:dyDescent="0.3">
      <c r="A1237" s="5"/>
      <c r="B1237" s="6"/>
      <c r="C1237" s="7"/>
      <c r="D1237" s="8"/>
      <c r="E1237" s="9"/>
      <c r="F1237" s="38"/>
      <c r="G1237" s="38"/>
      <c r="H1237" s="38"/>
      <c r="I1237" s="7"/>
      <c r="J1237" s="12"/>
      <c r="K1237" s="13"/>
      <c r="L1237" s="14"/>
      <c r="M1237" s="15"/>
      <c r="N1237" s="15"/>
      <c r="O1237" s="16"/>
      <c r="Q1237" s="16"/>
    </row>
    <row r="1238" spans="1:17" x14ac:dyDescent="0.3">
      <c r="A1238" s="5"/>
      <c r="B1238" s="6"/>
      <c r="C1238" s="7"/>
      <c r="D1238" s="37"/>
      <c r="E1238" s="9"/>
      <c r="F1238" s="38"/>
      <c r="G1238" s="38"/>
      <c r="H1238" s="38"/>
      <c r="I1238" s="7"/>
      <c r="J1238" s="12"/>
      <c r="K1238" s="13"/>
      <c r="L1238" s="14"/>
      <c r="M1238" s="15"/>
      <c r="N1238" s="15"/>
      <c r="O1238" s="16"/>
      <c r="Q1238" s="16"/>
    </row>
    <row r="1239" spans="1:17" x14ac:dyDescent="0.3">
      <c r="A1239" s="5"/>
      <c r="B1239" s="6"/>
      <c r="C1239" s="7"/>
      <c r="D1239" s="37"/>
      <c r="E1239" s="9"/>
      <c r="F1239" s="38"/>
      <c r="G1239" s="38"/>
      <c r="H1239" s="38"/>
      <c r="I1239" s="7"/>
      <c r="J1239" s="12"/>
      <c r="K1239" s="13"/>
      <c r="L1239" s="14"/>
      <c r="M1239" s="15"/>
      <c r="N1239" s="15"/>
      <c r="O1239" s="16"/>
      <c r="Q1239" s="16"/>
    </row>
    <row r="1240" spans="1:17" x14ac:dyDescent="0.3">
      <c r="A1240" s="5"/>
      <c r="B1240" s="6"/>
      <c r="C1240" s="7"/>
      <c r="D1240" s="8"/>
      <c r="E1240" s="9"/>
      <c r="F1240" s="38"/>
      <c r="G1240" s="38"/>
      <c r="H1240" s="38"/>
      <c r="I1240" s="7"/>
      <c r="J1240" s="12"/>
      <c r="K1240" s="13"/>
      <c r="L1240" s="14"/>
      <c r="M1240" s="15"/>
      <c r="N1240" s="15"/>
      <c r="O1240" s="16"/>
      <c r="Q1240" s="16"/>
    </row>
    <row r="1241" spans="1:17" x14ac:dyDescent="0.3">
      <c r="A1241" s="5"/>
      <c r="B1241" s="6"/>
      <c r="C1241" s="7"/>
      <c r="D1241" s="37"/>
      <c r="E1241" s="9"/>
      <c r="F1241" s="38"/>
      <c r="G1241" s="38"/>
      <c r="H1241" s="38"/>
      <c r="I1241" s="7"/>
      <c r="J1241" s="12"/>
      <c r="K1241" s="13"/>
      <c r="L1241" s="14"/>
      <c r="M1241" s="15"/>
      <c r="N1241" s="15"/>
      <c r="O1241" s="16"/>
      <c r="Q1241" s="16"/>
    </row>
    <row r="1242" spans="1:17" x14ac:dyDescent="0.3">
      <c r="A1242" s="5"/>
      <c r="B1242" s="6"/>
      <c r="C1242" s="7"/>
      <c r="D1242" s="37"/>
      <c r="E1242" s="9"/>
      <c r="F1242" s="38"/>
      <c r="G1242" s="38"/>
      <c r="H1242" s="38"/>
      <c r="I1242" s="7"/>
      <c r="J1242" s="12"/>
      <c r="K1242" s="13"/>
      <c r="L1242" s="14"/>
      <c r="M1242" s="15"/>
      <c r="N1242" s="15"/>
      <c r="O1242" s="16"/>
      <c r="Q1242" s="16"/>
    </row>
    <row r="1243" spans="1:17" x14ac:dyDescent="0.3">
      <c r="A1243" s="5"/>
      <c r="B1243" s="6"/>
      <c r="C1243" s="7"/>
      <c r="D1243" s="37"/>
      <c r="E1243" s="9"/>
      <c r="F1243" s="38"/>
      <c r="G1243" s="38"/>
      <c r="H1243" s="38"/>
      <c r="I1243" s="7"/>
      <c r="J1243" s="12"/>
      <c r="K1243" s="13"/>
      <c r="L1243" s="14"/>
      <c r="M1243" s="15"/>
      <c r="N1243" s="15"/>
      <c r="O1243" s="16"/>
      <c r="Q1243" s="16"/>
    </row>
    <row r="1244" spans="1:17" x14ac:dyDescent="0.3">
      <c r="A1244" s="5"/>
      <c r="B1244" s="6"/>
      <c r="C1244" s="7"/>
      <c r="D1244" s="37"/>
      <c r="E1244" s="9"/>
      <c r="F1244" s="38"/>
      <c r="G1244" s="38"/>
      <c r="H1244" s="38"/>
      <c r="I1244" s="7"/>
      <c r="J1244" s="12"/>
      <c r="K1244" s="13"/>
      <c r="L1244" s="14"/>
      <c r="M1244" s="15"/>
      <c r="N1244" s="15"/>
      <c r="O1244" s="16"/>
      <c r="Q1244" s="16"/>
    </row>
    <row r="1245" spans="1:17" x14ac:dyDescent="0.3">
      <c r="A1245" s="5"/>
      <c r="B1245" s="6"/>
      <c r="C1245" s="7"/>
      <c r="D1245" s="37"/>
      <c r="E1245" s="9"/>
      <c r="F1245" s="38"/>
      <c r="G1245" s="38"/>
      <c r="H1245" s="38"/>
      <c r="I1245" s="7"/>
      <c r="J1245" s="12"/>
      <c r="K1245" s="13"/>
      <c r="L1245" s="14"/>
      <c r="M1245" s="15"/>
      <c r="N1245" s="15"/>
      <c r="O1245" s="16"/>
      <c r="Q1245" s="16"/>
    </row>
    <row r="1246" spans="1:17" x14ac:dyDescent="0.3">
      <c r="A1246" s="5"/>
      <c r="B1246" s="6"/>
      <c r="C1246" s="7"/>
      <c r="D1246" s="37"/>
      <c r="E1246" s="9"/>
      <c r="F1246" s="38"/>
      <c r="G1246" s="38"/>
      <c r="H1246" s="38"/>
      <c r="I1246" s="7"/>
      <c r="J1246" s="12"/>
      <c r="K1246" s="13"/>
      <c r="L1246" s="14"/>
      <c r="M1246" s="15"/>
      <c r="N1246" s="15"/>
      <c r="O1246" s="16"/>
      <c r="Q1246" s="16"/>
    </row>
    <row r="1247" spans="1:17" x14ac:dyDescent="0.3">
      <c r="A1247" s="5"/>
      <c r="B1247" s="6"/>
      <c r="C1247" s="7"/>
      <c r="D1247" s="37"/>
      <c r="E1247" s="9"/>
      <c r="F1247" s="38"/>
      <c r="G1247" s="38"/>
      <c r="H1247" s="38"/>
      <c r="I1247" s="7"/>
      <c r="J1247" s="12"/>
      <c r="K1247" s="13"/>
      <c r="L1247" s="14"/>
      <c r="M1247" s="15"/>
      <c r="N1247" s="15"/>
      <c r="O1247" s="16"/>
      <c r="Q1247" s="16"/>
    </row>
    <row r="1248" spans="1:17" x14ac:dyDescent="0.3">
      <c r="A1248" s="5"/>
      <c r="B1248" s="6"/>
      <c r="C1248" s="7"/>
      <c r="D1248" s="37"/>
      <c r="E1248" s="9"/>
      <c r="F1248" s="38"/>
      <c r="G1248" s="38"/>
      <c r="H1248" s="38"/>
      <c r="I1248" s="7"/>
      <c r="J1248" s="12"/>
      <c r="K1248" s="13"/>
      <c r="L1248" s="14"/>
      <c r="M1248" s="15"/>
      <c r="N1248" s="15"/>
      <c r="O1248" s="16"/>
      <c r="Q1248" s="16"/>
    </row>
    <row r="1249" spans="1:17" x14ac:dyDescent="0.3">
      <c r="A1249" s="5"/>
      <c r="B1249" s="6"/>
      <c r="C1249" s="7"/>
      <c r="D1249" s="37"/>
      <c r="E1249" s="9"/>
      <c r="F1249" s="38"/>
      <c r="G1249" s="38"/>
      <c r="H1249" s="38"/>
      <c r="I1249" s="7"/>
      <c r="J1249" s="12"/>
      <c r="K1249" s="13"/>
      <c r="L1249" s="14"/>
      <c r="M1249" s="15"/>
      <c r="N1249" s="15"/>
      <c r="O1249" s="16"/>
      <c r="Q1249" s="16"/>
    </row>
    <row r="1250" spans="1:17" x14ac:dyDescent="0.3">
      <c r="A1250" s="5"/>
      <c r="B1250" s="6"/>
      <c r="C1250" s="7"/>
      <c r="D1250" s="37"/>
      <c r="E1250" s="9"/>
      <c r="F1250" s="38"/>
      <c r="G1250" s="38"/>
      <c r="H1250" s="38"/>
      <c r="I1250" s="7"/>
      <c r="J1250" s="12"/>
      <c r="K1250" s="13"/>
      <c r="L1250" s="14"/>
      <c r="M1250" s="15"/>
      <c r="N1250" s="15"/>
      <c r="O1250" s="16"/>
      <c r="Q1250" s="16"/>
    </row>
    <row r="1251" spans="1:17" x14ac:dyDescent="0.3">
      <c r="A1251" s="5"/>
      <c r="B1251" s="6"/>
      <c r="C1251" s="7"/>
      <c r="D1251" s="37"/>
      <c r="E1251" s="9"/>
      <c r="F1251" s="38"/>
      <c r="G1251" s="38"/>
      <c r="H1251" s="38"/>
      <c r="I1251" s="7"/>
      <c r="J1251" s="12"/>
      <c r="K1251" s="13"/>
      <c r="L1251" s="14"/>
      <c r="M1251" s="15"/>
      <c r="N1251" s="15"/>
      <c r="O1251" s="16"/>
      <c r="Q1251" s="16"/>
    </row>
    <row r="1252" spans="1:17" x14ac:dyDescent="0.3">
      <c r="A1252" s="5"/>
      <c r="B1252" s="6"/>
      <c r="C1252" s="7"/>
      <c r="D1252" s="37"/>
      <c r="E1252" s="9"/>
      <c r="F1252" s="38"/>
      <c r="G1252" s="38"/>
      <c r="H1252" s="38"/>
      <c r="I1252" s="7"/>
      <c r="J1252" s="12"/>
      <c r="K1252" s="13"/>
      <c r="L1252" s="14"/>
      <c r="M1252" s="15"/>
      <c r="N1252" s="15"/>
      <c r="O1252" s="16"/>
      <c r="Q1252" s="16"/>
    </row>
    <row r="1253" spans="1:17" x14ac:dyDescent="0.3">
      <c r="A1253" s="5"/>
      <c r="B1253" s="6"/>
      <c r="C1253" s="7"/>
      <c r="D1253" s="37"/>
      <c r="E1253" s="9"/>
      <c r="F1253" s="38"/>
      <c r="G1253" s="38"/>
      <c r="H1253" s="38"/>
      <c r="I1253" s="7"/>
      <c r="J1253" s="12"/>
      <c r="K1253" s="13"/>
      <c r="L1253" s="14"/>
      <c r="M1253" s="15"/>
      <c r="N1253" s="15"/>
      <c r="O1253" s="16"/>
      <c r="Q1253" s="16"/>
    </row>
    <row r="1254" spans="1:17" x14ac:dyDescent="0.3">
      <c r="A1254" s="5"/>
      <c r="B1254" s="6"/>
      <c r="C1254" s="7"/>
      <c r="D1254" s="37"/>
      <c r="E1254" s="9"/>
      <c r="F1254" s="38"/>
      <c r="G1254" s="38"/>
      <c r="H1254" s="38"/>
      <c r="I1254" s="7"/>
      <c r="J1254" s="12"/>
      <c r="K1254" s="13"/>
      <c r="L1254" s="14"/>
      <c r="M1254" s="15"/>
      <c r="N1254" s="15"/>
      <c r="O1254" s="16"/>
      <c r="Q1254" s="16"/>
    </row>
    <row r="1255" spans="1:17" x14ac:dyDescent="0.3">
      <c r="A1255" s="5"/>
      <c r="B1255" s="6"/>
      <c r="C1255" s="7"/>
      <c r="D1255" s="37"/>
      <c r="E1255" s="9"/>
      <c r="F1255" s="38"/>
      <c r="G1255" s="38"/>
      <c r="H1255" s="38"/>
      <c r="I1255" s="7"/>
      <c r="J1255" s="12"/>
      <c r="K1255" s="13"/>
      <c r="L1255" s="14"/>
      <c r="M1255" s="15"/>
      <c r="N1255" s="15"/>
      <c r="O1255" s="16"/>
      <c r="Q1255" s="16"/>
    </row>
    <row r="1256" spans="1:17" x14ac:dyDescent="0.3">
      <c r="A1256" s="5"/>
      <c r="B1256" s="6"/>
      <c r="C1256" s="7"/>
      <c r="D1256" s="37"/>
      <c r="E1256" s="9"/>
      <c r="F1256" s="38"/>
      <c r="G1256" s="38"/>
      <c r="H1256" s="38"/>
      <c r="I1256" s="7"/>
      <c r="J1256" s="12"/>
      <c r="K1256" s="13"/>
      <c r="L1256" s="14"/>
      <c r="M1256" s="15"/>
      <c r="N1256" s="15"/>
      <c r="O1256" s="16"/>
      <c r="Q1256" s="16"/>
    </row>
    <row r="1257" spans="1:17" x14ac:dyDescent="0.3">
      <c r="A1257" s="5"/>
      <c r="B1257" s="6"/>
      <c r="C1257" s="7"/>
      <c r="D1257" s="37"/>
      <c r="E1257" s="9"/>
      <c r="F1257" s="38"/>
      <c r="G1257" s="38"/>
      <c r="H1257" s="38"/>
      <c r="I1257" s="7"/>
      <c r="J1257" s="12"/>
      <c r="K1257" s="13"/>
      <c r="L1257" s="14"/>
      <c r="M1257" s="15"/>
      <c r="N1257" s="15"/>
      <c r="O1257" s="16"/>
      <c r="Q1257" s="16"/>
    </row>
    <row r="1258" spans="1:17" x14ac:dyDescent="0.3">
      <c r="A1258" s="5"/>
      <c r="B1258" s="6"/>
      <c r="C1258" s="7"/>
      <c r="D1258" s="37"/>
      <c r="E1258" s="9"/>
      <c r="F1258" s="38"/>
      <c r="G1258" s="38"/>
      <c r="H1258" s="38"/>
      <c r="I1258" s="7"/>
      <c r="J1258" s="12"/>
      <c r="K1258" s="13"/>
      <c r="L1258" s="14"/>
      <c r="M1258" s="15"/>
      <c r="N1258" s="15"/>
      <c r="O1258" s="16"/>
      <c r="Q1258" s="16"/>
    </row>
    <row r="1259" spans="1:17" x14ac:dyDescent="0.3">
      <c r="A1259" s="5"/>
      <c r="B1259" s="6"/>
      <c r="C1259" s="7"/>
      <c r="D1259" s="37"/>
      <c r="E1259" s="9"/>
      <c r="F1259" s="38"/>
      <c r="G1259" s="38"/>
      <c r="H1259" s="38"/>
      <c r="I1259" s="7"/>
      <c r="J1259" s="12"/>
      <c r="K1259" s="13"/>
      <c r="L1259" s="14"/>
      <c r="M1259" s="15"/>
      <c r="N1259" s="15"/>
      <c r="O1259" s="16"/>
      <c r="Q1259" s="16"/>
    </row>
    <row r="1260" spans="1:17" x14ac:dyDescent="0.3">
      <c r="A1260" s="5"/>
      <c r="B1260" s="6"/>
      <c r="C1260" s="7"/>
      <c r="D1260" s="37"/>
      <c r="E1260" s="9"/>
      <c r="F1260" s="38"/>
      <c r="G1260" s="38"/>
      <c r="H1260" s="38"/>
      <c r="I1260" s="7"/>
      <c r="J1260" s="12"/>
      <c r="K1260" s="13"/>
      <c r="L1260" s="14"/>
      <c r="M1260" s="15"/>
      <c r="N1260" s="15"/>
      <c r="O1260" s="16"/>
      <c r="Q1260" s="16"/>
    </row>
    <row r="1261" spans="1:17" x14ac:dyDescent="0.3">
      <c r="A1261" s="5"/>
      <c r="B1261" s="6"/>
      <c r="C1261" s="7"/>
      <c r="D1261" s="8"/>
      <c r="E1261" s="8"/>
      <c r="F1261" s="10"/>
      <c r="G1261" s="10"/>
      <c r="H1261" s="10"/>
      <c r="I1261" s="7"/>
      <c r="J1261" s="12"/>
      <c r="K1261" s="13"/>
      <c r="L1261" s="14"/>
      <c r="M1261" s="15"/>
      <c r="N1261" s="15"/>
      <c r="O1261" s="16"/>
      <c r="Q1261" s="16"/>
    </row>
    <row r="1262" spans="1:17" x14ac:dyDescent="0.3">
      <c r="A1262" s="5"/>
      <c r="B1262" s="6"/>
      <c r="C1262" s="7"/>
      <c r="D1262" s="8"/>
      <c r="E1262" s="8"/>
      <c r="F1262" s="10"/>
      <c r="G1262" s="10"/>
      <c r="H1262" s="10"/>
      <c r="I1262" s="7"/>
      <c r="J1262" s="12"/>
      <c r="K1262" s="13"/>
      <c r="L1262" s="14"/>
      <c r="M1262" s="15"/>
      <c r="N1262" s="15"/>
      <c r="O1262" s="16"/>
      <c r="Q1262" s="16"/>
    </row>
    <row r="1263" spans="1:17" x14ac:dyDescent="0.3">
      <c r="A1263" s="5"/>
      <c r="B1263" s="6"/>
      <c r="C1263" s="7"/>
      <c r="D1263" s="37"/>
      <c r="E1263" s="9"/>
      <c r="F1263" s="38"/>
      <c r="G1263" s="38"/>
      <c r="H1263" s="10"/>
      <c r="I1263" s="7"/>
      <c r="J1263" s="12"/>
      <c r="K1263" s="13"/>
      <c r="L1263" s="14"/>
      <c r="M1263" s="15"/>
      <c r="N1263" s="15"/>
      <c r="O1263" s="16"/>
      <c r="Q1263" s="16"/>
    </row>
    <row r="1264" spans="1:17" x14ac:dyDescent="0.3">
      <c r="A1264" s="5"/>
      <c r="B1264" s="6"/>
      <c r="C1264" s="7"/>
      <c r="D1264" s="37"/>
      <c r="E1264" s="9"/>
      <c r="F1264" s="38"/>
      <c r="G1264" s="38"/>
      <c r="H1264" s="38"/>
      <c r="I1264" s="7"/>
      <c r="J1264" s="12"/>
      <c r="K1264" s="13"/>
      <c r="L1264" s="14"/>
      <c r="M1264" s="15"/>
      <c r="N1264" s="15"/>
      <c r="O1264" s="16"/>
      <c r="Q1264" s="16"/>
    </row>
    <row r="1265" spans="1:17" x14ac:dyDescent="0.3">
      <c r="A1265" s="5"/>
      <c r="B1265" s="6"/>
      <c r="C1265" s="7"/>
      <c r="D1265" s="37"/>
      <c r="E1265" s="9"/>
      <c r="F1265" s="38"/>
      <c r="G1265" s="38"/>
      <c r="H1265" s="38"/>
      <c r="I1265" s="7"/>
      <c r="J1265" s="12"/>
      <c r="K1265" s="13"/>
      <c r="L1265" s="14"/>
      <c r="M1265" s="15"/>
      <c r="N1265" s="15"/>
      <c r="O1265" s="16"/>
      <c r="Q1265" s="16"/>
    </row>
    <row r="1266" spans="1:17" x14ac:dyDescent="0.3">
      <c r="A1266" s="5"/>
      <c r="B1266" s="6"/>
      <c r="C1266" s="7"/>
      <c r="D1266" s="37"/>
      <c r="E1266" s="9"/>
      <c r="F1266" s="38"/>
      <c r="G1266" s="38"/>
      <c r="H1266" s="38"/>
      <c r="I1266" s="7"/>
      <c r="J1266" s="12"/>
      <c r="K1266" s="13"/>
      <c r="L1266" s="14"/>
      <c r="M1266" s="15"/>
      <c r="N1266" s="15"/>
      <c r="O1266" s="16"/>
      <c r="Q1266" s="16"/>
    </row>
    <row r="1267" spans="1:17" x14ac:dyDescent="0.3">
      <c r="A1267" s="5"/>
      <c r="B1267" s="6"/>
      <c r="C1267" s="7"/>
      <c r="D1267" s="37"/>
      <c r="E1267" s="9"/>
      <c r="F1267" s="38"/>
      <c r="G1267" s="38"/>
      <c r="H1267" s="38"/>
      <c r="I1267" s="7"/>
      <c r="J1267" s="12"/>
      <c r="K1267" s="13"/>
      <c r="L1267" s="14"/>
      <c r="M1267" s="15"/>
      <c r="N1267" s="15"/>
      <c r="O1267" s="16"/>
      <c r="Q1267" s="16"/>
    </row>
    <row r="1268" spans="1:17" x14ac:dyDescent="0.3">
      <c r="A1268" s="5"/>
      <c r="B1268" s="6"/>
      <c r="C1268" s="7"/>
      <c r="D1268" s="37"/>
      <c r="E1268" s="9"/>
      <c r="F1268" s="38"/>
      <c r="G1268" s="38"/>
      <c r="H1268" s="38"/>
      <c r="I1268" s="7"/>
      <c r="J1268" s="12"/>
      <c r="K1268" s="13"/>
      <c r="L1268" s="14"/>
      <c r="M1268" s="15"/>
      <c r="N1268" s="15"/>
      <c r="O1268" s="16"/>
      <c r="Q1268" s="16"/>
    </row>
    <row r="1269" spans="1:17" x14ac:dyDescent="0.3">
      <c r="A1269" s="5"/>
      <c r="B1269" s="6"/>
      <c r="C1269" s="7"/>
      <c r="D1269" s="37"/>
      <c r="E1269" s="9"/>
      <c r="F1269" s="38"/>
      <c r="G1269" s="38"/>
      <c r="H1269" s="38"/>
      <c r="I1269" s="7"/>
      <c r="J1269" s="12"/>
      <c r="K1269" s="13"/>
      <c r="L1269" s="14"/>
      <c r="M1269" s="15"/>
      <c r="N1269" s="15"/>
      <c r="O1269" s="16"/>
      <c r="Q1269" s="16"/>
    </row>
    <row r="1270" spans="1:17" x14ac:dyDescent="0.3">
      <c r="A1270" s="5"/>
      <c r="B1270" s="6"/>
      <c r="C1270" s="7"/>
      <c r="D1270" s="37"/>
      <c r="E1270" s="9"/>
      <c r="F1270" s="38"/>
      <c r="G1270" s="38"/>
      <c r="H1270" s="38"/>
      <c r="I1270" s="7"/>
      <c r="J1270" s="12"/>
      <c r="K1270" s="13"/>
      <c r="L1270" s="14"/>
      <c r="M1270" s="15"/>
      <c r="N1270" s="15"/>
      <c r="O1270" s="16"/>
      <c r="Q1270" s="16"/>
    </row>
    <row r="1271" spans="1:17" x14ac:dyDescent="0.3">
      <c r="A1271" s="5"/>
      <c r="B1271" s="6"/>
      <c r="C1271" s="7"/>
      <c r="D1271" s="37"/>
      <c r="E1271" s="9"/>
      <c r="F1271" s="38"/>
      <c r="G1271" s="38"/>
      <c r="H1271" s="38"/>
      <c r="I1271" s="7"/>
      <c r="J1271" s="12"/>
      <c r="K1271" s="13"/>
      <c r="L1271" s="14"/>
      <c r="M1271" s="15"/>
      <c r="N1271" s="15"/>
      <c r="O1271" s="16"/>
      <c r="Q1271" s="16"/>
    </row>
    <row r="1272" spans="1:17" x14ac:dyDescent="0.3">
      <c r="A1272" s="5"/>
      <c r="B1272" s="6"/>
      <c r="C1272" s="7"/>
      <c r="D1272" s="37"/>
      <c r="E1272" s="9"/>
      <c r="F1272" s="38"/>
      <c r="G1272" s="38"/>
      <c r="H1272" s="38"/>
      <c r="I1272" s="7"/>
      <c r="J1272" s="12"/>
      <c r="K1272" s="13"/>
      <c r="L1272" s="14"/>
      <c r="M1272" s="15"/>
      <c r="N1272" s="15"/>
      <c r="O1272" s="16"/>
      <c r="Q1272" s="16"/>
    </row>
    <row r="1273" spans="1:17" x14ac:dyDescent="0.3">
      <c r="A1273" s="5"/>
      <c r="B1273" s="6"/>
      <c r="C1273" s="7"/>
      <c r="D1273" s="37"/>
      <c r="E1273" s="9"/>
      <c r="F1273" s="38"/>
      <c r="G1273" s="38"/>
      <c r="H1273" s="38"/>
      <c r="I1273" s="7"/>
      <c r="J1273" s="12"/>
      <c r="K1273" s="13"/>
      <c r="L1273" s="14"/>
      <c r="M1273" s="15"/>
      <c r="N1273" s="15"/>
      <c r="O1273" s="16"/>
      <c r="Q1273" s="16"/>
    </row>
    <row r="1274" spans="1:17" x14ac:dyDescent="0.3">
      <c r="A1274" s="5"/>
      <c r="B1274" s="6"/>
      <c r="C1274" s="7"/>
      <c r="D1274" s="37"/>
      <c r="E1274" s="9"/>
      <c r="F1274" s="38"/>
      <c r="G1274" s="38"/>
      <c r="H1274" s="38"/>
      <c r="I1274" s="7"/>
      <c r="J1274" s="12"/>
      <c r="K1274" s="13"/>
      <c r="L1274" s="14"/>
      <c r="M1274" s="15"/>
      <c r="N1274" s="15"/>
      <c r="O1274" s="16"/>
      <c r="Q1274" s="16"/>
    </row>
    <row r="1275" spans="1:17" x14ac:dyDescent="0.3">
      <c r="A1275" s="5"/>
      <c r="B1275" s="6"/>
      <c r="C1275" s="7"/>
      <c r="D1275" s="37"/>
      <c r="E1275" s="9"/>
      <c r="F1275" s="38"/>
      <c r="G1275" s="38"/>
      <c r="H1275" s="10"/>
      <c r="I1275" s="7"/>
      <c r="J1275" s="12"/>
      <c r="K1275" s="13"/>
      <c r="L1275" s="14"/>
      <c r="M1275" s="15"/>
      <c r="N1275" s="15"/>
      <c r="O1275" s="16"/>
      <c r="Q1275" s="16"/>
    </row>
    <row r="1276" spans="1:17" x14ac:dyDescent="0.3">
      <c r="A1276" s="5"/>
      <c r="B1276" s="6"/>
      <c r="C1276" s="7"/>
      <c r="D1276" s="37"/>
      <c r="E1276" s="8"/>
      <c r="F1276" s="38"/>
      <c r="G1276" s="38"/>
      <c r="H1276" s="38"/>
      <c r="I1276" s="7"/>
      <c r="J1276" s="12"/>
      <c r="K1276" s="13"/>
      <c r="L1276" s="14"/>
      <c r="M1276" s="15"/>
      <c r="N1276" s="15"/>
      <c r="O1276" s="16"/>
      <c r="Q1276" s="16"/>
    </row>
    <row r="1277" spans="1:17" x14ac:dyDescent="0.3">
      <c r="A1277" s="5"/>
      <c r="B1277" s="6"/>
      <c r="C1277" s="7"/>
      <c r="D1277" s="37"/>
      <c r="E1277" s="9"/>
      <c r="F1277" s="38"/>
      <c r="G1277" s="38"/>
      <c r="H1277" s="38"/>
      <c r="I1277" s="7"/>
      <c r="J1277" s="12"/>
      <c r="K1277" s="13"/>
      <c r="L1277" s="14"/>
      <c r="M1277" s="15"/>
      <c r="N1277" s="15"/>
      <c r="O1277" s="16"/>
      <c r="Q1277" s="16"/>
    </row>
    <row r="1278" spans="1:17" x14ac:dyDescent="0.3">
      <c r="A1278" s="5"/>
      <c r="B1278" s="6"/>
      <c r="C1278" s="7"/>
      <c r="D1278" s="37"/>
      <c r="E1278" s="9"/>
      <c r="F1278" s="38"/>
      <c r="G1278" s="38"/>
      <c r="H1278" s="38"/>
      <c r="I1278" s="7"/>
      <c r="J1278" s="12"/>
      <c r="K1278" s="13"/>
      <c r="L1278" s="14"/>
      <c r="M1278" s="15"/>
      <c r="N1278" s="15"/>
      <c r="O1278" s="16"/>
      <c r="Q1278" s="16"/>
    </row>
    <row r="1279" spans="1:17" x14ac:dyDescent="0.3">
      <c r="A1279" s="5"/>
      <c r="B1279" s="6"/>
      <c r="C1279" s="7"/>
      <c r="D1279" s="37"/>
      <c r="E1279" s="9"/>
      <c r="F1279" s="38"/>
      <c r="G1279" s="38"/>
      <c r="H1279" s="38"/>
      <c r="I1279" s="7"/>
      <c r="J1279" s="12"/>
      <c r="K1279" s="13"/>
      <c r="L1279" s="14"/>
      <c r="M1279" s="15"/>
      <c r="N1279" s="15"/>
      <c r="O1279" s="16"/>
      <c r="Q1279" s="16"/>
    </row>
    <row r="1280" spans="1:17" x14ac:dyDescent="0.3">
      <c r="A1280" s="5"/>
      <c r="B1280" s="6"/>
      <c r="C1280" s="7"/>
      <c r="D1280" s="37"/>
      <c r="E1280" s="9"/>
      <c r="F1280" s="38"/>
      <c r="G1280" s="38"/>
      <c r="H1280" s="10"/>
      <c r="I1280" s="7"/>
      <c r="J1280" s="12"/>
      <c r="K1280" s="13"/>
      <c r="L1280" s="14"/>
      <c r="M1280" s="15"/>
      <c r="N1280" s="15"/>
      <c r="O1280" s="16"/>
      <c r="Q1280" s="16"/>
    </row>
    <row r="1281" spans="1:17" x14ac:dyDescent="0.3">
      <c r="A1281" s="5"/>
      <c r="B1281" s="6"/>
      <c r="C1281" s="7"/>
      <c r="D1281" s="37"/>
      <c r="E1281" s="9"/>
      <c r="F1281" s="38"/>
      <c r="G1281" s="38"/>
      <c r="H1281" s="38"/>
      <c r="I1281" s="7"/>
      <c r="J1281" s="12"/>
      <c r="K1281" s="13"/>
      <c r="L1281" s="14"/>
      <c r="M1281" s="15"/>
      <c r="N1281" s="15"/>
      <c r="O1281" s="16"/>
      <c r="Q1281" s="16"/>
    </row>
    <row r="1282" spans="1:17" x14ac:dyDescent="0.3">
      <c r="A1282" s="5"/>
      <c r="B1282" s="6"/>
      <c r="C1282" s="7"/>
      <c r="D1282" s="37"/>
      <c r="E1282" s="9"/>
      <c r="F1282" s="38"/>
      <c r="G1282" s="38"/>
      <c r="H1282" s="38"/>
      <c r="I1282" s="7"/>
      <c r="J1282" s="12"/>
      <c r="K1282" s="13"/>
      <c r="L1282" s="14"/>
      <c r="M1282" s="15"/>
      <c r="N1282" s="15"/>
      <c r="O1282" s="16"/>
      <c r="Q1282" s="16"/>
    </row>
    <row r="1283" spans="1:17" x14ac:dyDescent="0.3">
      <c r="A1283" s="5"/>
      <c r="B1283" s="6"/>
      <c r="C1283" s="7"/>
      <c r="D1283" s="37"/>
      <c r="E1283" s="9"/>
      <c r="F1283" s="38"/>
      <c r="G1283" s="38"/>
      <c r="H1283" s="38"/>
      <c r="I1283" s="7"/>
      <c r="J1283" s="12"/>
      <c r="K1283" s="13"/>
      <c r="L1283" s="14"/>
      <c r="M1283" s="15"/>
      <c r="N1283" s="15"/>
      <c r="O1283" s="16"/>
      <c r="Q1283" s="16"/>
    </row>
    <row r="1284" spans="1:17" x14ac:dyDescent="0.3">
      <c r="A1284" s="5"/>
      <c r="B1284" s="6"/>
      <c r="C1284" s="7"/>
      <c r="D1284" s="37"/>
      <c r="E1284" s="9"/>
      <c r="F1284" s="38"/>
      <c r="G1284" s="38"/>
      <c r="H1284" s="38"/>
      <c r="I1284" s="7"/>
      <c r="J1284" s="12"/>
      <c r="K1284" s="13"/>
      <c r="L1284" s="14"/>
      <c r="M1284" s="15"/>
      <c r="N1284" s="15"/>
      <c r="O1284" s="16"/>
      <c r="Q1284" s="16"/>
    </row>
    <row r="1285" spans="1:17" x14ac:dyDescent="0.3">
      <c r="A1285" s="5"/>
      <c r="B1285" s="6"/>
      <c r="C1285" s="7"/>
      <c r="D1285" s="37"/>
      <c r="E1285" s="9"/>
      <c r="F1285" s="38"/>
      <c r="G1285" s="38"/>
      <c r="H1285" s="38"/>
      <c r="I1285" s="7"/>
      <c r="J1285" s="12"/>
      <c r="K1285" s="13"/>
      <c r="L1285" s="14"/>
      <c r="M1285" s="15"/>
      <c r="N1285" s="15"/>
      <c r="O1285" s="16"/>
      <c r="Q1285" s="16"/>
    </row>
    <row r="1286" spans="1:17" x14ac:dyDescent="0.3">
      <c r="A1286" s="5"/>
      <c r="B1286" s="6"/>
      <c r="C1286" s="7"/>
      <c r="D1286" s="37"/>
      <c r="E1286" s="9"/>
      <c r="F1286" s="38"/>
      <c r="G1286" s="38"/>
      <c r="H1286" s="38"/>
      <c r="I1286" s="7"/>
      <c r="J1286" s="12"/>
      <c r="K1286" s="13"/>
      <c r="L1286" s="14"/>
      <c r="M1286" s="15"/>
      <c r="N1286" s="15"/>
      <c r="O1286" s="16"/>
      <c r="Q1286" s="16"/>
    </row>
    <row r="1287" spans="1:17" x14ac:dyDescent="0.3">
      <c r="A1287" s="5"/>
      <c r="B1287" s="6"/>
      <c r="C1287" s="7"/>
      <c r="D1287" s="37"/>
      <c r="E1287" s="9"/>
      <c r="F1287" s="38"/>
      <c r="G1287" s="38"/>
      <c r="H1287" s="38"/>
      <c r="I1287" s="7"/>
      <c r="J1287" s="12"/>
      <c r="K1287" s="13"/>
      <c r="L1287" s="14"/>
      <c r="M1287" s="15"/>
      <c r="N1287" s="15"/>
      <c r="O1287" s="16"/>
      <c r="Q1287" s="16"/>
    </row>
    <row r="1288" spans="1:17" x14ac:dyDescent="0.3">
      <c r="A1288" s="5"/>
      <c r="B1288" s="6"/>
      <c r="C1288" s="7"/>
      <c r="D1288" s="37"/>
      <c r="E1288" s="9"/>
      <c r="F1288" s="38"/>
      <c r="G1288" s="38"/>
      <c r="H1288" s="38"/>
      <c r="I1288" s="7"/>
      <c r="J1288" s="12"/>
      <c r="K1288" s="13"/>
      <c r="L1288" s="14"/>
      <c r="M1288" s="15"/>
      <c r="N1288" s="15"/>
      <c r="O1288" s="16"/>
      <c r="Q1288" s="16"/>
    </row>
    <row r="1289" spans="1:17" x14ac:dyDescent="0.3">
      <c r="A1289" s="5"/>
      <c r="B1289" s="6"/>
      <c r="C1289" s="7"/>
      <c r="D1289" s="37"/>
      <c r="E1289" s="9"/>
      <c r="F1289" s="38"/>
      <c r="G1289" s="38"/>
      <c r="H1289" s="38"/>
      <c r="I1289" s="7"/>
      <c r="J1289" s="12"/>
      <c r="K1289" s="13"/>
      <c r="L1289" s="14"/>
      <c r="M1289" s="15"/>
      <c r="N1289" s="15"/>
      <c r="O1289" s="16"/>
      <c r="Q1289" s="16"/>
    </row>
    <row r="1290" spans="1:17" x14ac:dyDescent="0.3">
      <c r="A1290" s="5"/>
      <c r="B1290" s="6"/>
      <c r="C1290" s="7"/>
      <c r="D1290" s="37"/>
      <c r="E1290" s="9"/>
      <c r="F1290" s="38"/>
      <c r="G1290" s="38"/>
      <c r="H1290" s="38"/>
      <c r="I1290" s="7"/>
      <c r="J1290" s="12"/>
      <c r="K1290" s="13"/>
      <c r="L1290" s="14"/>
      <c r="M1290" s="15"/>
      <c r="N1290" s="15"/>
      <c r="O1290" s="16"/>
      <c r="Q1290" s="16"/>
    </row>
    <row r="1291" spans="1:17" x14ac:dyDescent="0.3">
      <c r="A1291" s="5"/>
      <c r="B1291" s="6"/>
      <c r="C1291" s="7"/>
      <c r="D1291" s="8"/>
      <c r="E1291" s="9"/>
      <c r="F1291" s="10"/>
      <c r="G1291" s="10"/>
      <c r="H1291" s="10"/>
      <c r="I1291" s="7"/>
      <c r="J1291" s="12"/>
      <c r="K1291" s="13"/>
      <c r="L1291" s="14"/>
      <c r="M1291" s="15"/>
      <c r="N1291" s="15"/>
      <c r="O1291" s="16"/>
      <c r="Q1291" s="16"/>
    </row>
    <row r="1292" spans="1:17" x14ac:dyDescent="0.3">
      <c r="A1292" s="5"/>
      <c r="B1292" s="6"/>
      <c r="C1292" s="7"/>
      <c r="D1292" s="37"/>
      <c r="E1292" s="9"/>
      <c r="F1292" s="38"/>
      <c r="G1292" s="38"/>
      <c r="H1292" s="38"/>
      <c r="I1292" s="7"/>
      <c r="J1292" s="12"/>
      <c r="K1292" s="13"/>
      <c r="L1292" s="14"/>
      <c r="M1292" s="15"/>
      <c r="N1292" s="15"/>
      <c r="O1292" s="16"/>
      <c r="Q1292" s="16"/>
    </row>
    <row r="1293" spans="1:17" x14ac:dyDescent="0.3">
      <c r="A1293" s="5"/>
      <c r="B1293" s="6"/>
      <c r="C1293" s="7"/>
      <c r="D1293" s="37"/>
      <c r="E1293" s="9"/>
      <c r="F1293" s="38"/>
      <c r="G1293" s="38"/>
      <c r="H1293" s="38"/>
      <c r="I1293" s="7"/>
      <c r="J1293" s="12"/>
      <c r="K1293" s="13"/>
      <c r="L1293" s="14"/>
      <c r="M1293" s="15"/>
      <c r="N1293" s="15"/>
      <c r="O1293" s="16"/>
      <c r="Q1293" s="16"/>
    </row>
    <row r="1294" spans="1:17" x14ac:dyDescent="0.3">
      <c r="A1294" s="5"/>
      <c r="B1294" s="6"/>
      <c r="C1294" s="7"/>
      <c r="D1294" s="8"/>
      <c r="E1294" s="8"/>
      <c r="F1294" s="10"/>
      <c r="G1294" s="10"/>
      <c r="H1294" s="10"/>
      <c r="I1294" s="7"/>
      <c r="J1294" s="12"/>
      <c r="K1294" s="13"/>
      <c r="L1294" s="14"/>
      <c r="M1294" s="15"/>
      <c r="N1294" s="15"/>
      <c r="O1294" s="16"/>
      <c r="Q1294" s="16"/>
    </row>
    <row r="1295" spans="1:17" x14ac:dyDescent="0.3">
      <c r="A1295" s="5"/>
      <c r="B1295" s="6"/>
      <c r="C1295" s="7"/>
      <c r="D1295" s="8"/>
      <c r="E1295" s="8"/>
      <c r="F1295" s="10"/>
      <c r="G1295" s="10"/>
      <c r="H1295" s="10"/>
      <c r="I1295" s="7"/>
      <c r="J1295" s="12"/>
      <c r="K1295" s="13"/>
      <c r="L1295" s="14"/>
      <c r="M1295" s="15"/>
      <c r="N1295" s="15"/>
      <c r="O1295" s="16"/>
      <c r="Q1295" s="16"/>
    </row>
    <row r="1296" spans="1:17" x14ac:dyDescent="0.3">
      <c r="A1296" s="5"/>
      <c r="B1296" s="6"/>
      <c r="C1296" s="7"/>
      <c r="D1296" s="8"/>
      <c r="E1296" s="8"/>
      <c r="F1296" s="10"/>
      <c r="G1296" s="10"/>
      <c r="H1296" s="10"/>
      <c r="I1296" s="7"/>
      <c r="J1296" s="12"/>
      <c r="K1296" s="13"/>
      <c r="L1296" s="14"/>
      <c r="M1296" s="15"/>
      <c r="N1296" s="15"/>
      <c r="O1296" s="16"/>
      <c r="Q1296" s="16"/>
    </row>
    <row r="1297" spans="1:17" x14ac:dyDescent="0.3">
      <c r="A1297" s="5"/>
      <c r="B1297" s="6"/>
      <c r="C1297" s="7"/>
      <c r="D1297" s="37"/>
      <c r="E1297" s="9"/>
      <c r="F1297" s="38"/>
      <c r="G1297" s="38"/>
      <c r="H1297" s="38"/>
      <c r="I1297" s="7"/>
      <c r="J1297" s="12"/>
      <c r="K1297" s="13"/>
      <c r="L1297" s="14"/>
      <c r="M1297" s="15"/>
      <c r="N1297" s="15"/>
      <c r="O1297" s="16"/>
      <c r="Q1297" s="16"/>
    </row>
    <row r="1298" spans="1:17" x14ac:dyDescent="0.3">
      <c r="A1298" s="5"/>
      <c r="B1298" s="6"/>
      <c r="C1298" s="7"/>
      <c r="D1298" s="8"/>
      <c r="E1298" s="8"/>
      <c r="F1298" s="10"/>
      <c r="G1298" s="10"/>
      <c r="H1298" s="10"/>
      <c r="I1298" s="7"/>
      <c r="J1298" s="12"/>
      <c r="K1298" s="13"/>
      <c r="L1298" s="14"/>
      <c r="M1298" s="15"/>
      <c r="N1298" s="15"/>
      <c r="O1298" s="16"/>
      <c r="Q1298" s="16"/>
    </row>
    <row r="1299" spans="1:17" x14ac:dyDescent="0.3">
      <c r="A1299" s="5"/>
      <c r="B1299" s="6"/>
      <c r="C1299" s="7"/>
      <c r="D1299" s="8"/>
      <c r="E1299" s="8"/>
      <c r="F1299" s="10"/>
      <c r="G1299" s="10"/>
      <c r="H1299" s="10"/>
      <c r="I1299" s="7"/>
      <c r="J1299" s="12"/>
      <c r="K1299" s="13"/>
      <c r="L1299" s="14"/>
      <c r="M1299" s="15"/>
      <c r="N1299" s="15"/>
      <c r="O1299" s="16"/>
      <c r="Q1299" s="16"/>
    </row>
    <row r="1300" spans="1:17" x14ac:dyDescent="0.3">
      <c r="A1300" s="5"/>
      <c r="B1300" s="6"/>
      <c r="C1300" s="7"/>
      <c r="D1300" s="8"/>
      <c r="E1300" s="8"/>
      <c r="F1300" s="10"/>
      <c r="G1300" s="10"/>
      <c r="H1300" s="10"/>
      <c r="I1300" s="7"/>
      <c r="J1300" s="12"/>
      <c r="K1300" s="13"/>
      <c r="L1300" s="14"/>
      <c r="M1300" s="15"/>
      <c r="N1300" s="15"/>
      <c r="O1300" s="16"/>
      <c r="Q1300" s="16"/>
    </row>
    <row r="1301" spans="1:17" x14ac:dyDescent="0.3">
      <c r="A1301" s="5"/>
      <c r="B1301" s="6"/>
      <c r="C1301" s="7"/>
      <c r="D1301" s="8"/>
      <c r="E1301" s="8"/>
      <c r="F1301" s="10"/>
      <c r="G1301" s="10"/>
      <c r="H1301" s="10"/>
      <c r="I1301" s="7"/>
      <c r="J1301" s="12"/>
      <c r="K1301" s="13"/>
      <c r="L1301" s="14"/>
      <c r="M1301" s="15"/>
      <c r="N1301" s="15"/>
      <c r="O1301" s="16"/>
      <c r="Q1301" s="16"/>
    </row>
    <row r="1302" spans="1:17" x14ac:dyDescent="0.3">
      <c r="A1302" s="5"/>
      <c r="B1302" s="6"/>
      <c r="C1302" s="7"/>
      <c r="D1302" s="8"/>
      <c r="E1302" s="8"/>
      <c r="F1302" s="10"/>
      <c r="G1302" s="10"/>
      <c r="H1302" s="10"/>
      <c r="I1302" s="7"/>
      <c r="J1302" s="12"/>
      <c r="K1302" s="13"/>
      <c r="L1302" s="14"/>
      <c r="M1302" s="15"/>
      <c r="N1302" s="15"/>
      <c r="O1302" s="16"/>
      <c r="Q1302" s="16"/>
    </row>
    <row r="1303" spans="1:17" x14ac:dyDescent="0.3">
      <c r="A1303" s="5"/>
      <c r="B1303" s="6"/>
      <c r="C1303" s="7"/>
      <c r="D1303" s="8"/>
      <c r="E1303" s="8"/>
      <c r="F1303" s="10"/>
      <c r="G1303" s="10"/>
      <c r="H1303" s="10"/>
      <c r="I1303" s="7"/>
      <c r="J1303" s="12"/>
      <c r="K1303" s="13"/>
      <c r="L1303" s="14"/>
      <c r="M1303" s="15"/>
      <c r="N1303" s="15"/>
      <c r="O1303" s="16"/>
      <c r="Q1303" s="16"/>
    </row>
    <row r="1304" spans="1:17" x14ac:dyDescent="0.3">
      <c r="A1304" s="5"/>
      <c r="B1304" s="6"/>
      <c r="C1304" s="7"/>
      <c r="D1304" s="8"/>
      <c r="E1304" s="8"/>
      <c r="F1304" s="10"/>
      <c r="G1304" s="10"/>
      <c r="H1304" s="10"/>
      <c r="I1304" s="7"/>
      <c r="J1304" s="12"/>
      <c r="K1304" s="13"/>
      <c r="L1304" s="14"/>
      <c r="M1304" s="15"/>
      <c r="N1304" s="15"/>
      <c r="O1304" s="16"/>
      <c r="Q1304" s="16"/>
    </row>
    <row r="1305" spans="1:17" x14ac:dyDescent="0.3">
      <c r="A1305" s="5"/>
      <c r="B1305" s="6"/>
      <c r="C1305" s="7"/>
      <c r="D1305" s="8"/>
      <c r="E1305" s="8"/>
      <c r="F1305" s="10"/>
      <c r="G1305" s="10"/>
      <c r="H1305" s="10"/>
      <c r="I1305" s="7"/>
      <c r="J1305" s="12"/>
      <c r="K1305" s="13"/>
      <c r="L1305" s="14"/>
      <c r="M1305" s="15"/>
      <c r="N1305" s="15"/>
      <c r="O1305" s="16"/>
      <c r="Q1305" s="16"/>
    </row>
    <row r="1306" spans="1:17" x14ac:dyDescent="0.3">
      <c r="A1306" s="5"/>
      <c r="B1306" s="6"/>
      <c r="C1306" s="7"/>
      <c r="D1306" s="8"/>
      <c r="E1306" s="8"/>
      <c r="F1306" s="10"/>
      <c r="G1306" s="10"/>
      <c r="H1306" s="10"/>
      <c r="I1306" s="7"/>
      <c r="J1306" s="12"/>
      <c r="K1306" s="13"/>
      <c r="L1306" s="14"/>
      <c r="M1306" s="15"/>
      <c r="N1306" s="15"/>
      <c r="O1306" s="16"/>
      <c r="Q1306" s="16"/>
    </row>
    <row r="1307" spans="1:17" x14ac:dyDescent="0.3">
      <c r="A1307" s="5"/>
      <c r="B1307" s="6"/>
      <c r="C1307" s="7"/>
      <c r="D1307" s="8"/>
      <c r="E1307" s="8"/>
      <c r="F1307" s="10"/>
      <c r="G1307" s="10"/>
      <c r="H1307" s="10"/>
      <c r="I1307" s="7"/>
      <c r="J1307" s="12"/>
      <c r="K1307" s="13"/>
      <c r="L1307" s="14"/>
      <c r="M1307" s="15"/>
      <c r="N1307" s="15"/>
      <c r="O1307" s="16"/>
      <c r="Q1307" s="16"/>
    </row>
    <row r="1308" spans="1:17" x14ac:dyDescent="0.3">
      <c r="A1308" s="5"/>
      <c r="B1308" s="6"/>
      <c r="C1308" s="7"/>
      <c r="D1308" s="8"/>
      <c r="E1308" s="8"/>
      <c r="F1308" s="10"/>
      <c r="G1308" s="10"/>
      <c r="H1308" s="10"/>
      <c r="I1308" s="7"/>
      <c r="J1308" s="12"/>
      <c r="K1308" s="13"/>
      <c r="L1308" s="14"/>
      <c r="M1308" s="15"/>
      <c r="N1308" s="15"/>
      <c r="O1308" s="16"/>
      <c r="Q1308" s="16"/>
    </row>
    <row r="1309" spans="1:17" x14ac:dyDescent="0.3">
      <c r="A1309" s="5"/>
      <c r="B1309" s="6"/>
      <c r="C1309" s="7"/>
      <c r="D1309" s="8"/>
      <c r="E1309" s="8"/>
      <c r="F1309" s="10"/>
      <c r="G1309" s="10"/>
      <c r="H1309" s="10"/>
      <c r="I1309" s="7"/>
      <c r="J1309" s="12"/>
      <c r="K1309" s="13"/>
      <c r="L1309" s="14"/>
      <c r="M1309" s="15"/>
      <c r="N1309" s="15"/>
      <c r="O1309" s="16"/>
      <c r="Q1309" s="16"/>
    </row>
    <row r="1310" spans="1:17" x14ac:dyDescent="0.3">
      <c r="A1310" s="5"/>
      <c r="B1310" s="6"/>
      <c r="C1310" s="7"/>
      <c r="D1310" s="8"/>
      <c r="E1310" s="8"/>
      <c r="F1310" s="10"/>
      <c r="G1310" s="10"/>
      <c r="H1310" s="10"/>
      <c r="I1310" s="7"/>
      <c r="J1310" s="12"/>
      <c r="K1310" s="13"/>
      <c r="L1310" s="14"/>
      <c r="M1310" s="15"/>
      <c r="N1310" s="15"/>
      <c r="O1310" s="16"/>
      <c r="Q1310" s="16"/>
    </row>
    <row r="1311" spans="1:17" x14ac:dyDescent="0.3">
      <c r="A1311" s="5"/>
      <c r="B1311" s="6"/>
      <c r="C1311" s="7"/>
      <c r="D1311" s="8"/>
      <c r="E1311" s="8"/>
      <c r="F1311" s="10"/>
      <c r="G1311" s="10"/>
      <c r="H1311" s="10"/>
      <c r="I1311" s="7"/>
      <c r="J1311" s="12"/>
      <c r="K1311" s="13"/>
      <c r="L1311" s="14"/>
      <c r="M1311" s="15"/>
      <c r="N1311" s="15"/>
      <c r="O1311" s="16"/>
      <c r="Q1311" s="16"/>
    </row>
    <row r="1312" spans="1:17" x14ac:dyDescent="0.3">
      <c r="A1312" s="5"/>
      <c r="B1312" s="6"/>
      <c r="C1312" s="7"/>
      <c r="D1312" s="8"/>
      <c r="E1312" s="8"/>
      <c r="F1312" s="10"/>
      <c r="G1312" s="10"/>
      <c r="H1312" s="10"/>
      <c r="I1312" s="7"/>
      <c r="J1312" s="12"/>
      <c r="K1312" s="13"/>
      <c r="L1312" s="14"/>
      <c r="M1312" s="15"/>
      <c r="N1312" s="15"/>
      <c r="O1312" s="16"/>
      <c r="Q1312" s="16"/>
    </row>
    <row r="1313" spans="1:17" x14ac:dyDescent="0.3">
      <c r="A1313" s="5"/>
      <c r="B1313" s="6"/>
      <c r="C1313" s="7"/>
      <c r="D1313" s="8"/>
      <c r="E1313" s="8"/>
      <c r="F1313" s="10"/>
      <c r="G1313" s="10"/>
      <c r="H1313" s="10"/>
      <c r="I1313" s="7"/>
      <c r="J1313" s="12"/>
      <c r="K1313" s="13"/>
      <c r="L1313" s="14"/>
      <c r="M1313" s="15"/>
      <c r="N1313" s="15"/>
      <c r="O1313" s="16"/>
      <c r="Q1313" s="16"/>
    </row>
    <row r="1314" spans="1:17" x14ac:dyDescent="0.3">
      <c r="A1314" s="5"/>
      <c r="B1314" s="6"/>
      <c r="C1314" s="7"/>
      <c r="D1314" s="37"/>
      <c r="E1314" s="9"/>
      <c r="F1314" s="38"/>
      <c r="G1314" s="38"/>
      <c r="H1314" s="38"/>
      <c r="I1314" s="7"/>
      <c r="J1314" s="12"/>
      <c r="K1314" s="13"/>
      <c r="L1314" s="14"/>
      <c r="M1314" s="15"/>
      <c r="N1314" s="15"/>
      <c r="O1314" s="16"/>
      <c r="Q1314" s="16"/>
    </row>
    <row r="1315" spans="1:17" x14ac:dyDescent="0.3">
      <c r="A1315" s="5"/>
      <c r="B1315" s="6"/>
      <c r="C1315" s="7"/>
      <c r="D1315" s="37"/>
      <c r="E1315" s="9"/>
      <c r="F1315" s="38"/>
      <c r="G1315" s="38"/>
      <c r="H1315" s="38"/>
      <c r="I1315" s="7"/>
      <c r="J1315" s="12"/>
      <c r="K1315" s="13"/>
      <c r="L1315" s="14"/>
      <c r="M1315" s="15"/>
      <c r="N1315" s="15"/>
      <c r="O1315" s="16"/>
      <c r="Q1315" s="16"/>
    </row>
    <row r="1316" spans="1:17" x14ac:dyDescent="0.3">
      <c r="A1316" s="5"/>
      <c r="B1316" s="6"/>
      <c r="C1316" s="7"/>
      <c r="D1316" s="37"/>
      <c r="E1316" s="9"/>
      <c r="F1316" s="38"/>
      <c r="G1316" s="38"/>
      <c r="H1316" s="38"/>
      <c r="I1316" s="7"/>
      <c r="J1316" s="12"/>
      <c r="K1316" s="13"/>
      <c r="L1316" s="14"/>
      <c r="M1316" s="15"/>
      <c r="N1316" s="15"/>
      <c r="O1316" s="16"/>
      <c r="Q1316" s="16"/>
    </row>
    <row r="1317" spans="1:17" x14ac:dyDescent="0.3">
      <c r="A1317" s="5"/>
      <c r="B1317" s="6"/>
      <c r="C1317" s="7"/>
      <c r="D1317" s="37"/>
      <c r="E1317" s="9"/>
      <c r="F1317" s="38"/>
      <c r="G1317" s="38"/>
      <c r="H1317" s="38"/>
      <c r="I1317" s="7"/>
      <c r="J1317" s="12"/>
      <c r="K1317" s="13"/>
      <c r="L1317" s="14"/>
      <c r="M1317" s="15"/>
      <c r="N1317" s="15"/>
      <c r="O1317" s="16"/>
      <c r="Q1317" s="16"/>
    </row>
    <row r="1318" spans="1:17" x14ac:dyDescent="0.3">
      <c r="A1318" s="5"/>
      <c r="B1318" s="6"/>
      <c r="C1318" s="7"/>
      <c r="D1318" s="37"/>
      <c r="E1318" s="9"/>
      <c r="F1318" s="38"/>
      <c r="G1318" s="38"/>
      <c r="H1318" s="38"/>
      <c r="I1318" s="7"/>
      <c r="J1318" s="12"/>
      <c r="K1318" s="13"/>
      <c r="L1318" s="14"/>
      <c r="M1318" s="15"/>
      <c r="N1318" s="15"/>
      <c r="O1318" s="16"/>
      <c r="Q1318" s="16"/>
    </row>
    <row r="1319" spans="1:17" x14ac:dyDescent="0.3">
      <c r="A1319" s="5"/>
      <c r="B1319" s="6"/>
      <c r="C1319" s="7"/>
      <c r="D1319" s="37"/>
      <c r="E1319" s="9"/>
      <c r="F1319" s="38"/>
      <c r="G1319" s="38"/>
      <c r="H1319" s="38"/>
      <c r="I1319" s="7"/>
      <c r="J1319" s="12"/>
      <c r="K1319" s="13"/>
      <c r="L1319" s="14"/>
      <c r="M1319" s="15"/>
      <c r="N1319" s="15"/>
      <c r="O1319" s="16"/>
      <c r="Q1319" s="16"/>
    </row>
    <row r="1320" spans="1:17" x14ac:dyDescent="0.3">
      <c r="A1320" s="5"/>
      <c r="B1320" s="6"/>
      <c r="C1320" s="7"/>
      <c r="D1320" s="37"/>
      <c r="E1320" s="9"/>
      <c r="F1320" s="38"/>
      <c r="G1320" s="38"/>
      <c r="H1320" s="38"/>
      <c r="I1320" s="7"/>
      <c r="J1320" s="12"/>
      <c r="K1320" s="13"/>
      <c r="L1320" s="14"/>
      <c r="M1320" s="15"/>
      <c r="N1320" s="15"/>
      <c r="O1320" s="16"/>
      <c r="Q1320" s="16"/>
    </row>
    <row r="1321" spans="1:17" x14ac:dyDescent="0.3">
      <c r="A1321" s="5"/>
      <c r="B1321" s="6"/>
      <c r="C1321" s="7"/>
      <c r="D1321" s="37"/>
      <c r="E1321" s="9"/>
      <c r="F1321" s="38"/>
      <c r="G1321" s="38"/>
      <c r="H1321" s="38"/>
      <c r="I1321" s="7"/>
      <c r="J1321" s="12"/>
      <c r="K1321" s="13"/>
      <c r="L1321" s="14"/>
      <c r="M1321" s="15"/>
      <c r="N1321" s="15"/>
      <c r="O1321" s="16"/>
      <c r="Q1321" s="16"/>
    </row>
    <row r="1322" spans="1:17" x14ac:dyDescent="0.3">
      <c r="A1322" s="5"/>
      <c r="B1322" s="6"/>
      <c r="C1322" s="7"/>
      <c r="D1322" s="37"/>
      <c r="E1322" s="9"/>
      <c r="F1322" s="38"/>
      <c r="G1322" s="38"/>
      <c r="H1322" s="38"/>
      <c r="I1322" s="7"/>
      <c r="J1322" s="12"/>
      <c r="K1322" s="13"/>
      <c r="L1322" s="14"/>
      <c r="M1322" s="15"/>
      <c r="N1322" s="15"/>
      <c r="O1322" s="16"/>
      <c r="Q1322" s="16"/>
    </row>
    <row r="1323" spans="1:17" x14ac:dyDescent="0.3">
      <c r="A1323" s="5"/>
      <c r="B1323" s="6"/>
      <c r="C1323" s="7"/>
      <c r="D1323" s="37"/>
      <c r="E1323" s="9"/>
      <c r="F1323" s="38"/>
      <c r="G1323" s="38"/>
      <c r="H1323" s="38"/>
      <c r="I1323" s="7"/>
      <c r="J1323" s="12"/>
      <c r="K1323" s="13"/>
      <c r="L1323" s="14"/>
      <c r="M1323" s="15"/>
      <c r="N1323" s="15"/>
      <c r="O1323" s="16"/>
      <c r="Q1323" s="16"/>
    </row>
    <row r="1324" spans="1:17" x14ac:dyDescent="0.3">
      <c r="A1324" s="5"/>
      <c r="B1324" s="6"/>
      <c r="C1324" s="7"/>
      <c r="D1324" s="37"/>
      <c r="E1324" s="9"/>
      <c r="F1324" s="38"/>
      <c r="G1324" s="38"/>
      <c r="H1324" s="38"/>
      <c r="I1324" s="7"/>
      <c r="J1324" s="12"/>
      <c r="K1324" s="13"/>
      <c r="L1324" s="14"/>
      <c r="M1324" s="15"/>
      <c r="N1324" s="15"/>
      <c r="O1324" s="16"/>
      <c r="Q1324" s="16"/>
    </row>
    <row r="1325" spans="1:17" x14ac:dyDescent="0.3">
      <c r="A1325" s="5"/>
      <c r="B1325" s="6"/>
      <c r="C1325" s="7"/>
      <c r="D1325" s="37"/>
      <c r="E1325" s="9"/>
      <c r="F1325" s="38"/>
      <c r="G1325" s="38"/>
      <c r="H1325" s="38"/>
      <c r="I1325" s="7"/>
      <c r="J1325" s="12"/>
      <c r="K1325" s="13"/>
      <c r="L1325" s="14"/>
      <c r="M1325" s="15"/>
      <c r="N1325" s="15"/>
      <c r="O1325" s="16"/>
      <c r="Q1325" s="16"/>
    </row>
    <row r="1326" spans="1:17" x14ac:dyDescent="0.3">
      <c r="A1326" s="5"/>
      <c r="B1326" s="6"/>
      <c r="C1326" s="7"/>
      <c r="D1326" s="37"/>
      <c r="E1326" s="9"/>
      <c r="F1326" s="38"/>
      <c r="G1326" s="38"/>
      <c r="H1326" s="38"/>
      <c r="I1326" s="7"/>
      <c r="J1326" s="12"/>
      <c r="K1326" s="13"/>
      <c r="L1326" s="14"/>
      <c r="M1326" s="15"/>
      <c r="N1326" s="15"/>
      <c r="O1326" s="16"/>
      <c r="Q1326" s="16"/>
    </row>
    <row r="1327" spans="1:17" x14ac:dyDescent="0.3">
      <c r="A1327" s="5"/>
      <c r="B1327" s="6"/>
      <c r="C1327" s="7"/>
      <c r="D1327" s="37"/>
      <c r="E1327" s="9"/>
      <c r="F1327" s="38"/>
      <c r="G1327" s="38"/>
      <c r="H1327" s="38"/>
      <c r="I1327" s="7"/>
      <c r="J1327" s="12"/>
      <c r="K1327" s="13"/>
      <c r="L1327" s="14"/>
      <c r="M1327" s="15"/>
      <c r="N1327" s="15"/>
      <c r="O1327" s="16"/>
      <c r="Q1327" s="16"/>
    </row>
    <row r="1328" spans="1:17" x14ac:dyDescent="0.3">
      <c r="A1328" s="5"/>
      <c r="B1328" s="6"/>
      <c r="C1328" s="7"/>
      <c r="D1328" s="37"/>
      <c r="E1328" s="9"/>
      <c r="F1328" s="38"/>
      <c r="G1328" s="38"/>
      <c r="H1328" s="38"/>
      <c r="I1328" s="7"/>
      <c r="J1328" s="12"/>
      <c r="K1328" s="13"/>
      <c r="L1328" s="14"/>
      <c r="M1328" s="15"/>
      <c r="N1328" s="15"/>
      <c r="O1328" s="16"/>
      <c r="Q1328" s="16"/>
    </row>
    <row r="1329" spans="1:17" x14ac:dyDescent="0.3">
      <c r="A1329" s="5"/>
      <c r="B1329" s="6"/>
      <c r="C1329" s="7"/>
      <c r="D1329" s="37"/>
      <c r="E1329" s="9"/>
      <c r="F1329" s="38"/>
      <c r="G1329" s="38"/>
      <c r="H1329" s="38"/>
      <c r="I1329" s="7"/>
      <c r="J1329" s="12"/>
      <c r="K1329" s="13"/>
      <c r="L1329" s="14"/>
      <c r="M1329" s="15"/>
      <c r="N1329" s="15"/>
      <c r="O1329" s="16"/>
      <c r="Q1329" s="16"/>
    </row>
    <row r="1330" spans="1:17" x14ac:dyDescent="0.3">
      <c r="A1330" s="5"/>
      <c r="B1330" s="6"/>
      <c r="C1330" s="7"/>
      <c r="D1330" s="37"/>
      <c r="E1330" s="9"/>
      <c r="F1330" s="38"/>
      <c r="G1330" s="38"/>
      <c r="H1330" s="38"/>
      <c r="I1330" s="7"/>
      <c r="J1330" s="12"/>
      <c r="K1330" s="13"/>
      <c r="L1330" s="14"/>
      <c r="M1330" s="15"/>
      <c r="N1330" s="15"/>
      <c r="O1330" s="16"/>
      <c r="Q1330" s="16"/>
    </row>
    <row r="1331" spans="1:17" x14ac:dyDescent="0.3">
      <c r="A1331" s="5"/>
      <c r="B1331" s="6"/>
      <c r="C1331" s="7"/>
      <c r="D1331" s="37"/>
      <c r="E1331" s="9"/>
      <c r="F1331" s="38"/>
      <c r="G1331" s="38"/>
      <c r="H1331" s="38"/>
      <c r="I1331" s="7"/>
      <c r="J1331" s="12"/>
      <c r="K1331" s="13"/>
      <c r="L1331" s="14"/>
      <c r="M1331" s="15"/>
      <c r="N1331" s="15"/>
      <c r="O1331" s="16"/>
      <c r="Q1331" s="16"/>
    </row>
    <row r="1332" spans="1:17" x14ac:dyDescent="0.3">
      <c r="A1332" s="5"/>
      <c r="B1332" s="6"/>
      <c r="C1332" s="7"/>
      <c r="D1332" s="37"/>
      <c r="E1332" s="9"/>
      <c r="F1332" s="38"/>
      <c r="G1332" s="38"/>
      <c r="H1332" s="38"/>
      <c r="I1332" s="7"/>
      <c r="J1332" s="12"/>
      <c r="K1332" s="13"/>
      <c r="L1332" s="14"/>
      <c r="M1332" s="15"/>
      <c r="N1332" s="15"/>
      <c r="O1332" s="16"/>
      <c r="Q1332" s="16"/>
    </row>
    <row r="1333" spans="1:17" x14ac:dyDescent="0.3">
      <c r="A1333" s="5"/>
      <c r="B1333" s="6"/>
      <c r="C1333" s="7"/>
      <c r="D1333" s="37"/>
      <c r="E1333" s="9"/>
      <c r="F1333" s="38"/>
      <c r="G1333" s="38"/>
      <c r="H1333" s="38"/>
      <c r="I1333" s="7"/>
      <c r="J1333" s="12"/>
      <c r="K1333" s="13"/>
      <c r="L1333" s="14"/>
      <c r="M1333" s="15"/>
      <c r="N1333" s="15"/>
      <c r="O1333" s="16"/>
      <c r="Q1333" s="16"/>
    </row>
    <row r="1334" spans="1:17" x14ac:dyDescent="0.3">
      <c r="A1334" s="5"/>
      <c r="B1334" s="6"/>
      <c r="C1334" s="7"/>
      <c r="D1334" s="37"/>
      <c r="E1334" s="9"/>
      <c r="F1334" s="38"/>
      <c r="G1334" s="38"/>
      <c r="H1334" s="38"/>
      <c r="I1334" s="7"/>
      <c r="J1334" s="12"/>
      <c r="K1334" s="13"/>
      <c r="L1334" s="14"/>
      <c r="M1334" s="15"/>
      <c r="N1334" s="15"/>
      <c r="O1334" s="16"/>
      <c r="Q1334" s="16"/>
    </row>
    <row r="1335" spans="1:17" x14ac:dyDescent="0.3">
      <c r="A1335" s="5"/>
      <c r="B1335" s="6"/>
      <c r="C1335" s="7"/>
      <c r="D1335" s="37"/>
      <c r="E1335" s="9"/>
      <c r="F1335" s="38"/>
      <c r="G1335" s="38"/>
      <c r="H1335" s="38"/>
      <c r="I1335" s="7"/>
      <c r="J1335" s="12"/>
      <c r="K1335" s="13"/>
      <c r="L1335" s="14"/>
      <c r="M1335" s="15"/>
      <c r="N1335" s="15"/>
      <c r="O1335" s="16"/>
      <c r="Q1335" s="16"/>
    </row>
    <row r="1336" spans="1:17" x14ac:dyDescent="0.3">
      <c r="A1336" s="5"/>
      <c r="B1336" s="6"/>
      <c r="C1336" s="7"/>
      <c r="D1336" s="37"/>
      <c r="E1336" s="9"/>
      <c r="F1336" s="38"/>
      <c r="G1336" s="38"/>
      <c r="H1336" s="38"/>
      <c r="I1336" s="7"/>
      <c r="J1336" s="12"/>
      <c r="K1336" s="13"/>
      <c r="L1336" s="14"/>
      <c r="M1336" s="15"/>
      <c r="N1336" s="15"/>
      <c r="O1336" s="16"/>
      <c r="Q1336" s="16"/>
    </row>
    <row r="1337" spans="1:17" x14ac:dyDescent="0.3">
      <c r="A1337" s="5"/>
      <c r="B1337" s="6"/>
      <c r="C1337" s="7"/>
      <c r="D1337" s="37"/>
      <c r="E1337" s="9"/>
      <c r="F1337" s="38"/>
      <c r="G1337" s="38"/>
      <c r="H1337" s="38"/>
      <c r="I1337" s="7"/>
      <c r="J1337" s="12"/>
      <c r="K1337" s="13"/>
      <c r="L1337" s="14"/>
      <c r="M1337" s="15"/>
      <c r="N1337" s="15"/>
      <c r="O1337" s="16"/>
      <c r="Q1337" s="16"/>
    </row>
    <row r="1338" spans="1:17" x14ac:dyDescent="0.3">
      <c r="A1338" s="5"/>
      <c r="B1338" s="6"/>
      <c r="C1338" s="7"/>
      <c r="D1338" s="37"/>
      <c r="E1338" s="9"/>
      <c r="F1338" s="38"/>
      <c r="G1338" s="38"/>
      <c r="H1338" s="38"/>
      <c r="I1338" s="7"/>
      <c r="J1338" s="12"/>
      <c r="K1338" s="13"/>
      <c r="L1338" s="14"/>
      <c r="M1338" s="15"/>
      <c r="N1338" s="15"/>
      <c r="O1338" s="16"/>
      <c r="Q1338" s="16"/>
    </row>
    <row r="1339" spans="1:17" x14ac:dyDescent="0.3">
      <c r="A1339" s="5"/>
      <c r="B1339" s="6"/>
      <c r="C1339" s="7"/>
      <c r="D1339" s="37"/>
      <c r="E1339" s="9"/>
      <c r="F1339" s="38"/>
      <c r="G1339" s="38"/>
      <c r="H1339" s="38"/>
      <c r="I1339" s="7"/>
      <c r="J1339" s="12"/>
      <c r="K1339" s="13"/>
      <c r="L1339" s="14"/>
      <c r="M1339" s="15"/>
      <c r="N1339" s="15"/>
      <c r="O1339" s="16"/>
      <c r="Q1339" s="16"/>
    </row>
    <row r="1340" spans="1:17" x14ac:dyDescent="0.3">
      <c r="A1340" s="5"/>
      <c r="B1340" s="6"/>
      <c r="C1340" s="7"/>
      <c r="D1340" s="37"/>
      <c r="E1340" s="9"/>
      <c r="F1340" s="38"/>
      <c r="G1340" s="38"/>
      <c r="H1340" s="38"/>
      <c r="I1340" s="7"/>
      <c r="J1340" s="12"/>
      <c r="K1340" s="13"/>
      <c r="L1340" s="14"/>
      <c r="M1340" s="15"/>
      <c r="N1340" s="15"/>
      <c r="O1340" s="16"/>
      <c r="Q1340" s="16"/>
    </row>
    <row r="1341" spans="1:17" x14ac:dyDescent="0.3">
      <c r="A1341" s="5"/>
      <c r="B1341" s="6"/>
      <c r="C1341" s="7"/>
      <c r="D1341" s="37"/>
      <c r="E1341" s="9"/>
      <c r="F1341" s="38"/>
      <c r="G1341" s="38"/>
      <c r="H1341" s="38"/>
      <c r="I1341" s="7"/>
      <c r="J1341" s="12"/>
      <c r="K1341" s="13"/>
      <c r="L1341" s="14"/>
      <c r="M1341" s="15"/>
      <c r="N1341" s="15"/>
      <c r="O1341" s="16"/>
      <c r="Q1341" s="16"/>
    </row>
    <row r="1342" spans="1:17" x14ac:dyDescent="0.3">
      <c r="A1342" s="5"/>
      <c r="B1342" s="6"/>
      <c r="C1342" s="7"/>
      <c r="D1342" s="37"/>
      <c r="E1342" s="9"/>
      <c r="F1342" s="38"/>
      <c r="G1342" s="38"/>
      <c r="H1342" s="38"/>
      <c r="I1342" s="7"/>
      <c r="J1342" s="12"/>
      <c r="K1342" s="13"/>
      <c r="L1342" s="14"/>
      <c r="M1342" s="15"/>
      <c r="N1342" s="15"/>
      <c r="O1342" s="16"/>
      <c r="Q1342" s="16"/>
    </row>
    <row r="1343" spans="1:17" x14ac:dyDescent="0.3">
      <c r="A1343" s="5"/>
      <c r="B1343" s="6"/>
      <c r="C1343" s="7"/>
      <c r="D1343" s="37"/>
      <c r="E1343" s="9"/>
      <c r="F1343" s="38"/>
      <c r="G1343" s="38"/>
      <c r="H1343" s="38"/>
      <c r="I1343" s="7"/>
      <c r="J1343" s="12"/>
      <c r="K1343" s="13"/>
      <c r="L1343" s="14"/>
      <c r="M1343" s="15"/>
      <c r="N1343" s="15"/>
      <c r="O1343" s="16"/>
      <c r="Q1343" s="16"/>
    </row>
    <row r="1344" spans="1:17" x14ac:dyDescent="0.3">
      <c r="A1344" s="5"/>
      <c r="B1344" s="6"/>
      <c r="C1344" s="7"/>
      <c r="D1344" s="37"/>
      <c r="E1344" s="9"/>
      <c r="F1344" s="38"/>
      <c r="G1344" s="38"/>
      <c r="H1344" s="38"/>
      <c r="I1344" s="7"/>
      <c r="J1344" s="12"/>
      <c r="K1344" s="13"/>
      <c r="L1344" s="14"/>
      <c r="M1344" s="15"/>
      <c r="N1344" s="15"/>
      <c r="O1344" s="16"/>
      <c r="Q1344" s="16"/>
    </row>
    <row r="1345" spans="1:17" x14ac:dyDescent="0.3">
      <c r="A1345" s="5"/>
      <c r="B1345" s="6"/>
      <c r="C1345" s="7"/>
      <c r="D1345" s="37"/>
      <c r="E1345" s="9"/>
      <c r="F1345" s="38"/>
      <c r="G1345" s="38"/>
      <c r="H1345" s="38"/>
      <c r="I1345" s="7"/>
      <c r="J1345" s="12"/>
      <c r="K1345" s="13"/>
      <c r="L1345" s="14"/>
      <c r="M1345" s="15"/>
      <c r="N1345" s="15"/>
      <c r="O1345" s="16"/>
      <c r="Q1345" s="16"/>
    </row>
    <row r="1346" spans="1:17" x14ac:dyDescent="0.3">
      <c r="A1346" s="5"/>
      <c r="B1346" s="6"/>
      <c r="C1346" s="7"/>
      <c r="D1346" s="37"/>
      <c r="E1346" s="9"/>
      <c r="F1346" s="38"/>
      <c r="G1346" s="38"/>
      <c r="H1346" s="38"/>
      <c r="I1346" s="7"/>
      <c r="J1346" s="12"/>
      <c r="K1346" s="13"/>
      <c r="L1346" s="14"/>
      <c r="M1346" s="15"/>
      <c r="N1346" s="15"/>
      <c r="O1346" s="16"/>
      <c r="Q1346" s="16"/>
    </row>
    <row r="1347" spans="1:17" x14ac:dyDescent="0.3">
      <c r="A1347" s="5"/>
      <c r="B1347" s="6"/>
      <c r="C1347" s="7"/>
      <c r="D1347" s="37"/>
      <c r="E1347" s="9"/>
      <c r="F1347" s="38"/>
      <c r="G1347" s="38"/>
      <c r="H1347" s="38"/>
      <c r="I1347" s="7"/>
      <c r="J1347" s="12"/>
      <c r="K1347" s="13"/>
      <c r="L1347" s="14"/>
      <c r="M1347" s="15"/>
      <c r="N1347" s="15"/>
      <c r="O1347" s="16"/>
      <c r="Q1347" s="16"/>
    </row>
    <row r="1348" spans="1:17" x14ac:dyDescent="0.3">
      <c r="A1348" s="5"/>
      <c r="B1348" s="6"/>
      <c r="C1348" s="7"/>
      <c r="D1348" s="8"/>
      <c r="E1348" s="9"/>
      <c r="F1348" s="38"/>
      <c r="G1348" s="38"/>
      <c r="H1348" s="38"/>
      <c r="I1348" s="7"/>
      <c r="J1348" s="12"/>
      <c r="K1348" s="13"/>
      <c r="L1348" s="14"/>
      <c r="M1348" s="15"/>
      <c r="N1348" s="15"/>
      <c r="O1348" s="16"/>
      <c r="Q1348" s="16"/>
    </row>
    <row r="1349" spans="1:17" x14ac:dyDescent="0.3">
      <c r="A1349" s="5"/>
      <c r="B1349" s="6"/>
      <c r="C1349" s="7"/>
      <c r="D1349" s="8"/>
      <c r="E1349" s="9"/>
      <c r="F1349" s="38"/>
      <c r="G1349" s="38"/>
      <c r="H1349" s="38"/>
      <c r="I1349" s="7"/>
      <c r="J1349" s="12"/>
      <c r="K1349" s="13"/>
      <c r="L1349" s="14"/>
      <c r="M1349" s="15"/>
      <c r="N1349" s="15"/>
      <c r="O1349" s="16"/>
      <c r="Q1349" s="16"/>
    </row>
    <row r="1350" spans="1:17" x14ac:dyDescent="0.3">
      <c r="A1350" s="5"/>
      <c r="B1350" s="6"/>
      <c r="C1350" s="7"/>
      <c r="D1350" s="8"/>
      <c r="E1350" s="9"/>
      <c r="F1350" s="38"/>
      <c r="G1350" s="38"/>
      <c r="H1350" s="38"/>
      <c r="I1350" s="7"/>
      <c r="J1350" s="12"/>
      <c r="K1350" s="13"/>
      <c r="L1350" s="14"/>
      <c r="M1350" s="15"/>
      <c r="N1350" s="15"/>
      <c r="O1350" s="16"/>
      <c r="Q1350" s="16"/>
    </row>
    <row r="1351" spans="1:17" x14ac:dyDescent="0.3">
      <c r="A1351" s="5"/>
      <c r="B1351" s="6"/>
      <c r="C1351" s="7"/>
      <c r="D1351" s="8"/>
      <c r="E1351" s="9"/>
      <c r="F1351" s="38"/>
      <c r="G1351" s="38"/>
      <c r="H1351" s="38"/>
      <c r="I1351" s="7"/>
      <c r="J1351" s="12"/>
      <c r="K1351" s="13"/>
      <c r="L1351" s="14"/>
      <c r="M1351" s="15"/>
      <c r="N1351" s="15"/>
      <c r="O1351" s="16"/>
      <c r="Q1351" s="16"/>
    </row>
    <row r="1352" spans="1:17" x14ac:dyDescent="0.3">
      <c r="A1352" s="5"/>
      <c r="B1352" s="6"/>
      <c r="C1352" s="7"/>
      <c r="D1352" s="8"/>
      <c r="E1352" s="9"/>
      <c r="F1352" s="38"/>
      <c r="G1352" s="38"/>
      <c r="H1352" s="38"/>
      <c r="I1352" s="7"/>
      <c r="J1352" s="12"/>
      <c r="K1352" s="13"/>
      <c r="L1352" s="14"/>
      <c r="M1352" s="15"/>
      <c r="N1352" s="15"/>
      <c r="O1352" s="16"/>
      <c r="Q1352" s="16"/>
    </row>
    <row r="1353" spans="1:17" x14ac:dyDescent="0.3">
      <c r="A1353" s="5"/>
      <c r="B1353" s="6"/>
      <c r="C1353" s="7"/>
      <c r="D1353" s="8"/>
      <c r="E1353" s="9"/>
      <c r="F1353" s="38"/>
      <c r="G1353" s="38"/>
      <c r="H1353" s="38"/>
      <c r="I1353" s="7"/>
      <c r="J1353" s="12"/>
      <c r="K1353" s="13"/>
      <c r="L1353" s="14"/>
      <c r="M1353" s="15"/>
      <c r="N1353" s="15"/>
      <c r="O1353" s="16"/>
      <c r="Q1353" s="16"/>
    </row>
    <row r="1354" spans="1:17" x14ac:dyDescent="0.3">
      <c r="A1354" s="5"/>
      <c r="B1354" s="6"/>
      <c r="C1354" s="7"/>
      <c r="D1354" s="8"/>
      <c r="E1354" s="9"/>
      <c r="F1354" s="38"/>
      <c r="G1354" s="38"/>
      <c r="H1354" s="38"/>
      <c r="I1354" s="7"/>
      <c r="J1354" s="12"/>
      <c r="K1354" s="13"/>
      <c r="L1354" s="14"/>
      <c r="M1354" s="15"/>
      <c r="N1354" s="15"/>
      <c r="O1354" s="16"/>
      <c r="Q1354" s="16"/>
    </row>
    <row r="1355" spans="1:17" x14ac:dyDescent="0.3">
      <c r="A1355" s="5"/>
      <c r="B1355" s="6"/>
      <c r="C1355" s="7"/>
      <c r="D1355" s="37"/>
      <c r="E1355" s="9"/>
      <c r="F1355" s="38"/>
      <c r="G1355" s="38"/>
      <c r="H1355" s="38"/>
      <c r="I1355" s="7"/>
      <c r="J1355" s="12"/>
      <c r="K1355" s="13"/>
      <c r="L1355" s="14"/>
      <c r="M1355" s="15"/>
      <c r="N1355" s="15"/>
      <c r="O1355" s="16"/>
      <c r="Q1355" s="16"/>
    </row>
    <row r="1356" spans="1:17" x14ac:dyDescent="0.3">
      <c r="A1356" s="5"/>
      <c r="B1356" s="6"/>
      <c r="C1356" s="7"/>
      <c r="D1356" s="37"/>
      <c r="E1356" s="9"/>
      <c r="F1356" s="38"/>
      <c r="G1356" s="38"/>
      <c r="H1356" s="38"/>
      <c r="I1356" s="7"/>
      <c r="J1356" s="12"/>
      <c r="K1356" s="13"/>
      <c r="L1356" s="14"/>
      <c r="M1356" s="15"/>
      <c r="N1356" s="15"/>
      <c r="O1356" s="16"/>
      <c r="Q1356" s="16"/>
    </row>
    <row r="1357" spans="1:17" x14ac:dyDescent="0.3">
      <c r="A1357" s="5"/>
      <c r="B1357" s="6"/>
      <c r="C1357" s="7"/>
      <c r="D1357" s="37"/>
      <c r="E1357" s="9"/>
      <c r="F1357" s="38"/>
      <c r="G1357" s="38"/>
      <c r="H1357" s="38"/>
      <c r="I1357" s="7"/>
      <c r="J1357" s="12"/>
      <c r="K1357" s="13"/>
      <c r="L1357" s="14"/>
      <c r="M1357" s="15"/>
      <c r="N1357" s="15"/>
      <c r="O1357" s="16"/>
      <c r="Q1357" s="16"/>
    </row>
    <row r="1358" spans="1:17" x14ac:dyDescent="0.3">
      <c r="A1358" s="5"/>
      <c r="B1358" s="6"/>
      <c r="C1358" s="7"/>
      <c r="D1358" s="37"/>
      <c r="E1358" s="9"/>
      <c r="F1358" s="38"/>
      <c r="G1358" s="38"/>
      <c r="H1358" s="38"/>
      <c r="I1358" s="7"/>
      <c r="J1358" s="12"/>
      <c r="K1358" s="13"/>
      <c r="L1358" s="14"/>
      <c r="M1358" s="15"/>
      <c r="N1358" s="15"/>
      <c r="O1358" s="16"/>
      <c r="Q1358" s="16"/>
    </row>
    <row r="1359" spans="1:17" x14ac:dyDescent="0.3">
      <c r="A1359" s="5"/>
      <c r="B1359" s="6"/>
      <c r="C1359" s="7"/>
      <c r="D1359" s="37"/>
      <c r="E1359" s="9"/>
      <c r="F1359" s="38"/>
      <c r="G1359" s="38"/>
      <c r="H1359" s="38"/>
      <c r="I1359" s="7"/>
      <c r="J1359" s="12"/>
      <c r="K1359" s="13"/>
      <c r="L1359" s="14"/>
      <c r="M1359" s="15"/>
      <c r="N1359" s="15"/>
      <c r="O1359" s="16"/>
      <c r="Q1359" s="16"/>
    </row>
    <row r="1360" spans="1:17" x14ac:dyDescent="0.3">
      <c r="A1360" s="5"/>
      <c r="B1360" s="6"/>
      <c r="C1360" s="7"/>
      <c r="D1360" s="37"/>
      <c r="E1360" s="9"/>
      <c r="F1360" s="38"/>
      <c r="G1360" s="38"/>
      <c r="H1360" s="38"/>
      <c r="I1360" s="7"/>
      <c r="J1360" s="12"/>
      <c r="K1360" s="13"/>
      <c r="L1360" s="14"/>
      <c r="M1360" s="15"/>
      <c r="N1360" s="15"/>
      <c r="O1360" s="16"/>
      <c r="Q1360" s="16"/>
    </row>
    <row r="1361" spans="1:17" x14ac:dyDescent="0.3">
      <c r="A1361" s="5"/>
      <c r="B1361" s="6"/>
      <c r="C1361" s="7"/>
      <c r="D1361" s="37"/>
      <c r="E1361" s="9"/>
      <c r="F1361" s="38"/>
      <c r="G1361" s="38"/>
      <c r="H1361" s="38"/>
      <c r="I1361" s="7"/>
      <c r="J1361" s="12"/>
      <c r="K1361" s="13"/>
      <c r="L1361" s="14"/>
      <c r="M1361" s="15"/>
      <c r="N1361" s="15"/>
      <c r="O1361" s="16"/>
      <c r="Q1361" s="16"/>
    </row>
    <row r="1362" spans="1:17" x14ac:dyDescent="0.3">
      <c r="A1362" s="5"/>
      <c r="B1362" s="6"/>
      <c r="C1362" s="7"/>
      <c r="D1362" s="8"/>
      <c r="E1362" s="8"/>
      <c r="F1362" s="10"/>
      <c r="G1362" s="10"/>
      <c r="H1362" s="10"/>
      <c r="I1362" s="7"/>
      <c r="J1362" s="12"/>
      <c r="K1362" s="13"/>
      <c r="L1362" s="14"/>
      <c r="M1362" s="15"/>
      <c r="N1362" s="15"/>
      <c r="O1362" s="16"/>
      <c r="Q1362" s="16"/>
    </row>
    <row r="1363" spans="1:17" x14ac:dyDescent="0.3">
      <c r="A1363" s="5"/>
      <c r="B1363" s="6"/>
      <c r="C1363" s="7"/>
      <c r="D1363" s="8"/>
      <c r="E1363" s="8"/>
      <c r="F1363" s="10"/>
      <c r="G1363" s="10"/>
      <c r="H1363" s="10"/>
      <c r="I1363" s="7"/>
      <c r="J1363" s="12"/>
      <c r="K1363" s="13"/>
      <c r="L1363" s="14"/>
      <c r="M1363" s="15"/>
      <c r="N1363" s="15"/>
      <c r="O1363" s="16"/>
      <c r="Q1363" s="16"/>
    </row>
    <row r="1364" spans="1:17" x14ac:dyDescent="0.3">
      <c r="A1364" s="5"/>
      <c r="B1364" s="6"/>
      <c r="C1364" s="7"/>
      <c r="D1364" s="8"/>
      <c r="E1364" s="8"/>
      <c r="F1364" s="10"/>
      <c r="G1364" s="10"/>
      <c r="H1364" s="10"/>
      <c r="I1364" s="7"/>
      <c r="J1364" s="12"/>
      <c r="K1364" s="13"/>
      <c r="L1364" s="14"/>
      <c r="M1364" s="15"/>
      <c r="N1364" s="15"/>
      <c r="O1364" s="16"/>
      <c r="Q1364" s="16"/>
    </row>
    <row r="1365" spans="1:17" x14ac:dyDescent="0.3">
      <c r="A1365" s="5"/>
      <c r="B1365" s="6"/>
      <c r="C1365" s="7"/>
      <c r="D1365" s="8"/>
      <c r="E1365" s="8"/>
      <c r="F1365" s="10"/>
      <c r="G1365" s="10"/>
      <c r="H1365" s="10"/>
      <c r="I1365" s="7"/>
      <c r="J1365" s="12"/>
      <c r="K1365" s="13"/>
      <c r="L1365" s="14"/>
      <c r="M1365" s="15"/>
      <c r="N1365" s="15"/>
      <c r="O1365" s="16"/>
      <c r="Q1365" s="16"/>
    </row>
    <row r="1366" spans="1:17" x14ac:dyDescent="0.3">
      <c r="A1366" s="5"/>
      <c r="B1366" s="6"/>
      <c r="C1366" s="7"/>
      <c r="D1366" s="8"/>
      <c r="E1366" s="8"/>
      <c r="F1366" s="10"/>
      <c r="G1366" s="10"/>
      <c r="H1366" s="10"/>
      <c r="I1366" s="7"/>
      <c r="J1366" s="12"/>
      <c r="K1366" s="13"/>
      <c r="L1366" s="14"/>
      <c r="M1366" s="15"/>
      <c r="N1366" s="15"/>
      <c r="O1366" s="16"/>
      <c r="Q1366" s="16"/>
    </row>
    <row r="1367" spans="1:17" x14ac:dyDescent="0.3">
      <c r="A1367" s="5"/>
      <c r="B1367" s="6"/>
      <c r="C1367" s="7"/>
      <c r="D1367" s="8"/>
      <c r="E1367" s="8"/>
      <c r="F1367" s="10"/>
      <c r="G1367" s="10"/>
      <c r="H1367" s="10"/>
      <c r="I1367" s="7"/>
      <c r="J1367" s="12"/>
      <c r="K1367" s="13"/>
      <c r="L1367" s="14"/>
      <c r="M1367" s="15"/>
      <c r="N1367" s="15"/>
      <c r="O1367" s="16"/>
      <c r="Q1367" s="16"/>
    </row>
    <row r="1368" spans="1:17" x14ac:dyDescent="0.3">
      <c r="A1368" s="5"/>
      <c r="B1368" s="6"/>
      <c r="C1368" s="7"/>
      <c r="D1368" s="8"/>
      <c r="E1368" s="8"/>
      <c r="F1368" s="10"/>
      <c r="G1368" s="10"/>
      <c r="H1368" s="10"/>
      <c r="I1368" s="7"/>
      <c r="J1368" s="12"/>
      <c r="K1368" s="13"/>
      <c r="L1368" s="14"/>
      <c r="M1368" s="15"/>
      <c r="N1368" s="15"/>
      <c r="O1368" s="16"/>
      <c r="Q1368" s="16"/>
    </row>
    <row r="1369" spans="1:17" x14ac:dyDescent="0.3">
      <c r="A1369" s="5"/>
      <c r="B1369" s="6"/>
      <c r="C1369" s="7"/>
      <c r="D1369" s="8"/>
      <c r="E1369" s="8"/>
      <c r="F1369" s="10"/>
      <c r="G1369" s="10"/>
      <c r="H1369" s="10"/>
      <c r="I1369" s="7"/>
      <c r="J1369" s="12"/>
      <c r="K1369" s="13"/>
      <c r="L1369" s="14"/>
      <c r="M1369" s="15"/>
      <c r="N1369" s="15"/>
      <c r="O1369" s="16"/>
      <c r="Q1369" s="16"/>
    </row>
    <row r="1370" spans="1:17" x14ac:dyDescent="0.3">
      <c r="A1370" s="5"/>
      <c r="B1370" s="6"/>
      <c r="C1370" s="7"/>
      <c r="D1370" s="8"/>
      <c r="E1370" s="8"/>
      <c r="F1370" s="10"/>
      <c r="G1370" s="10"/>
      <c r="H1370" s="10"/>
      <c r="I1370" s="7"/>
      <c r="J1370" s="12"/>
      <c r="K1370" s="13"/>
      <c r="L1370" s="14"/>
      <c r="M1370" s="15"/>
      <c r="N1370" s="15"/>
      <c r="O1370" s="16"/>
      <c r="Q1370" s="16"/>
    </row>
    <row r="1371" spans="1:17" x14ac:dyDescent="0.3">
      <c r="A1371" s="5"/>
      <c r="B1371" s="6"/>
      <c r="C1371" s="7"/>
      <c r="D1371" s="8"/>
      <c r="E1371" s="8"/>
      <c r="F1371" s="10"/>
      <c r="G1371" s="10"/>
      <c r="H1371" s="10"/>
      <c r="I1371" s="7"/>
      <c r="J1371" s="12"/>
      <c r="K1371" s="13"/>
      <c r="L1371" s="14"/>
      <c r="M1371" s="15"/>
      <c r="N1371" s="15"/>
      <c r="O1371" s="16"/>
      <c r="Q1371" s="16"/>
    </row>
    <row r="1372" spans="1:17" x14ac:dyDescent="0.3">
      <c r="A1372" s="5"/>
      <c r="B1372" s="6"/>
      <c r="C1372" s="7"/>
      <c r="D1372" s="8"/>
      <c r="E1372" s="8"/>
      <c r="F1372" s="10"/>
      <c r="G1372" s="10"/>
      <c r="H1372" s="10"/>
      <c r="I1372" s="7"/>
      <c r="J1372" s="12"/>
      <c r="K1372" s="13"/>
      <c r="L1372" s="14"/>
      <c r="M1372" s="15"/>
      <c r="N1372" s="15"/>
      <c r="O1372" s="16"/>
      <c r="Q1372" s="16"/>
    </row>
    <row r="1373" spans="1:17" x14ac:dyDescent="0.3">
      <c r="A1373" s="5"/>
      <c r="B1373" s="6"/>
      <c r="C1373" s="7"/>
      <c r="D1373" s="8"/>
      <c r="E1373" s="8"/>
      <c r="F1373" s="10"/>
      <c r="G1373" s="10"/>
      <c r="H1373" s="10"/>
      <c r="I1373" s="7"/>
      <c r="J1373" s="12"/>
      <c r="K1373" s="13"/>
      <c r="L1373" s="14"/>
      <c r="M1373" s="15"/>
      <c r="N1373" s="15"/>
      <c r="O1373" s="16"/>
      <c r="Q1373" s="16"/>
    </row>
    <row r="1374" spans="1:17" x14ac:dyDescent="0.3">
      <c r="A1374" s="5"/>
      <c r="B1374" s="6"/>
      <c r="C1374" s="7"/>
      <c r="D1374" s="8"/>
      <c r="E1374" s="8"/>
      <c r="F1374" s="10"/>
      <c r="G1374" s="10"/>
      <c r="H1374" s="10"/>
      <c r="I1374" s="7"/>
      <c r="J1374" s="12"/>
      <c r="K1374" s="13"/>
      <c r="L1374" s="14"/>
      <c r="M1374" s="15"/>
      <c r="N1374" s="15"/>
      <c r="O1374" s="16"/>
      <c r="Q1374" s="16"/>
    </row>
    <row r="1375" spans="1:17" x14ac:dyDescent="0.3">
      <c r="A1375" s="5"/>
      <c r="B1375" s="6"/>
      <c r="C1375" s="7"/>
      <c r="D1375" s="8"/>
      <c r="E1375" s="8"/>
      <c r="F1375" s="10"/>
      <c r="G1375" s="10"/>
      <c r="H1375" s="10"/>
      <c r="I1375" s="7"/>
      <c r="J1375" s="12"/>
      <c r="K1375" s="13"/>
      <c r="L1375" s="14"/>
      <c r="M1375" s="15"/>
      <c r="N1375" s="15"/>
      <c r="O1375" s="16"/>
      <c r="Q1375" s="16"/>
    </row>
    <row r="1376" spans="1:17" x14ac:dyDescent="0.3">
      <c r="A1376" s="5"/>
      <c r="B1376" s="6"/>
      <c r="C1376" s="7"/>
      <c r="D1376" s="8"/>
      <c r="E1376" s="8"/>
      <c r="F1376" s="10"/>
      <c r="G1376" s="10"/>
      <c r="H1376" s="10"/>
      <c r="I1376" s="7"/>
      <c r="J1376" s="12"/>
      <c r="K1376" s="13"/>
      <c r="L1376" s="14"/>
      <c r="M1376" s="15"/>
      <c r="N1376" s="15"/>
      <c r="O1376" s="16"/>
      <c r="Q1376" s="16"/>
    </row>
    <row r="1377" spans="1:17" x14ac:dyDescent="0.3">
      <c r="A1377" s="5"/>
      <c r="B1377" s="6"/>
      <c r="C1377" s="7"/>
      <c r="D1377" s="8"/>
      <c r="E1377" s="8"/>
      <c r="F1377" s="10"/>
      <c r="G1377" s="10"/>
      <c r="H1377" s="10"/>
      <c r="I1377" s="7"/>
      <c r="J1377" s="12"/>
      <c r="K1377" s="13"/>
      <c r="L1377" s="14"/>
      <c r="M1377" s="15"/>
      <c r="N1377" s="15"/>
      <c r="O1377" s="16"/>
      <c r="Q1377" s="16"/>
    </row>
    <row r="1378" spans="1:17" x14ac:dyDescent="0.3">
      <c r="A1378" s="5"/>
      <c r="B1378" s="6"/>
      <c r="C1378" s="7"/>
      <c r="D1378" s="8"/>
      <c r="E1378" s="8"/>
      <c r="F1378" s="10"/>
      <c r="G1378" s="10"/>
      <c r="H1378" s="10"/>
      <c r="I1378" s="7"/>
      <c r="J1378" s="12"/>
      <c r="K1378" s="13"/>
      <c r="L1378" s="14"/>
      <c r="M1378" s="15"/>
      <c r="N1378" s="15"/>
      <c r="O1378" s="16"/>
      <c r="Q1378" s="16"/>
    </row>
    <row r="1379" spans="1:17" x14ac:dyDescent="0.3">
      <c r="A1379" s="5"/>
      <c r="B1379" s="6"/>
      <c r="C1379" s="7"/>
      <c r="D1379" s="8"/>
      <c r="E1379" s="8"/>
      <c r="F1379" s="10"/>
      <c r="G1379" s="10"/>
      <c r="H1379" s="10"/>
      <c r="I1379" s="7"/>
      <c r="J1379" s="12"/>
      <c r="K1379" s="13"/>
      <c r="L1379" s="14"/>
      <c r="M1379" s="15"/>
      <c r="N1379" s="15"/>
      <c r="O1379" s="16"/>
      <c r="Q1379" s="16"/>
    </row>
    <row r="1380" spans="1:17" x14ac:dyDescent="0.3">
      <c r="A1380" s="5"/>
      <c r="B1380" s="6"/>
      <c r="C1380" s="7"/>
      <c r="D1380" s="8"/>
      <c r="E1380" s="8"/>
      <c r="F1380" s="10"/>
      <c r="G1380" s="10"/>
      <c r="H1380" s="10"/>
      <c r="I1380" s="7"/>
      <c r="J1380" s="12"/>
      <c r="K1380" s="13"/>
      <c r="L1380" s="14"/>
      <c r="M1380" s="15"/>
      <c r="N1380" s="15"/>
      <c r="O1380" s="16"/>
      <c r="Q1380" s="16"/>
    </row>
    <row r="1381" spans="1:17" x14ac:dyDescent="0.3">
      <c r="A1381" s="5"/>
      <c r="B1381" s="6"/>
      <c r="C1381" s="7"/>
      <c r="D1381" s="8"/>
      <c r="E1381" s="8"/>
      <c r="F1381" s="10"/>
      <c r="G1381" s="10"/>
      <c r="H1381" s="10"/>
      <c r="I1381" s="7"/>
      <c r="J1381" s="12"/>
      <c r="K1381" s="13"/>
      <c r="L1381" s="14"/>
      <c r="M1381" s="15"/>
      <c r="N1381" s="15"/>
      <c r="O1381" s="16"/>
      <c r="Q1381" s="16"/>
    </row>
    <row r="1382" spans="1:17" x14ac:dyDescent="0.3">
      <c r="A1382" s="5"/>
      <c r="B1382" s="6"/>
      <c r="C1382" s="7"/>
      <c r="D1382" s="8"/>
      <c r="E1382" s="8"/>
      <c r="F1382" s="10"/>
      <c r="G1382" s="10"/>
      <c r="H1382" s="10"/>
      <c r="I1382" s="7"/>
      <c r="J1382" s="12"/>
      <c r="K1382" s="13"/>
      <c r="L1382" s="14"/>
      <c r="M1382" s="15"/>
      <c r="N1382" s="15"/>
      <c r="O1382" s="16"/>
      <c r="Q1382" s="16"/>
    </row>
    <row r="1383" spans="1:17" x14ac:dyDescent="0.3">
      <c r="A1383" s="5"/>
      <c r="B1383" s="6"/>
      <c r="C1383" s="7"/>
      <c r="D1383" s="8"/>
      <c r="E1383" s="8"/>
      <c r="F1383" s="10"/>
      <c r="G1383" s="10"/>
      <c r="H1383" s="10"/>
      <c r="I1383" s="7"/>
      <c r="J1383" s="12"/>
      <c r="K1383" s="13"/>
      <c r="L1383" s="14"/>
      <c r="M1383" s="15"/>
      <c r="N1383" s="15"/>
      <c r="O1383" s="16"/>
      <c r="Q1383" s="16"/>
    </row>
    <row r="1384" spans="1:17" x14ac:dyDescent="0.3">
      <c r="A1384" s="5"/>
      <c r="B1384" s="6"/>
      <c r="C1384" s="7"/>
      <c r="D1384" s="8"/>
      <c r="E1384" s="8"/>
      <c r="F1384" s="10"/>
      <c r="G1384" s="10"/>
      <c r="H1384" s="10"/>
      <c r="I1384" s="7"/>
      <c r="J1384" s="12"/>
      <c r="K1384" s="13"/>
      <c r="L1384" s="14"/>
      <c r="M1384" s="15"/>
      <c r="N1384" s="15"/>
      <c r="O1384" s="16"/>
      <c r="Q1384" s="16"/>
    </row>
    <row r="1385" spans="1:17" x14ac:dyDescent="0.3">
      <c r="A1385" s="5"/>
      <c r="B1385" s="6"/>
      <c r="C1385" s="7"/>
      <c r="D1385" s="8"/>
      <c r="E1385" s="8"/>
      <c r="F1385" s="10"/>
      <c r="G1385" s="10"/>
      <c r="H1385" s="10"/>
      <c r="I1385" s="7"/>
      <c r="J1385" s="12"/>
      <c r="K1385" s="13"/>
      <c r="L1385" s="14"/>
      <c r="M1385" s="15"/>
      <c r="N1385" s="15"/>
      <c r="O1385" s="16"/>
      <c r="Q1385" s="16"/>
    </row>
    <row r="1386" spans="1:17" x14ac:dyDescent="0.3">
      <c r="A1386" s="5"/>
      <c r="B1386" s="6"/>
      <c r="C1386" s="7"/>
      <c r="D1386" s="8"/>
      <c r="E1386" s="8"/>
      <c r="F1386" s="10"/>
      <c r="G1386" s="10"/>
      <c r="H1386" s="10"/>
      <c r="I1386" s="7"/>
      <c r="J1386" s="12"/>
      <c r="K1386" s="13"/>
      <c r="L1386" s="14"/>
      <c r="M1386" s="15"/>
      <c r="N1386" s="15"/>
      <c r="O1386" s="16"/>
      <c r="Q1386" s="16"/>
    </row>
    <row r="1387" spans="1:17" x14ac:dyDescent="0.3">
      <c r="A1387" s="5"/>
      <c r="B1387" s="6"/>
      <c r="C1387" s="7"/>
      <c r="D1387" s="8"/>
      <c r="E1387" s="8"/>
      <c r="F1387" s="10"/>
      <c r="G1387" s="10"/>
      <c r="H1387" s="10"/>
      <c r="I1387" s="7"/>
      <c r="J1387" s="12"/>
      <c r="K1387" s="13"/>
      <c r="L1387" s="14"/>
      <c r="M1387" s="15"/>
      <c r="N1387" s="15"/>
      <c r="O1387" s="16"/>
      <c r="Q1387" s="16"/>
    </row>
    <row r="1388" spans="1:17" x14ac:dyDescent="0.3">
      <c r="A1388" s="5"/>
      <c r="B1388" s="6"/>
      <c r="C1388" s="7"/>
      <c r="D1388" s="8"/>
      <c r="E1388" s="8"/>
      <c r="F1388" s="10"/>
      <c r="G1388" s="10"/>
      <c r="H1388" s="10"/>
      <c r="I1388" s="7"/>
      <c r="J1388" s="12"/>
      <c r="K1388" s="13"/>
      <c r="L1388" s="14"/>
      <c r="M1388" s="15"/>
      <c r="N1388" s="15"/>
      <c r="O1388" s="16"/>
      <c r="Q1388" s="16"/>
    </row>
    <row r="1389" spans="1:17" x14ac:dyDescent="0.3">
      <c r="A1389" s="5"/>
      <c r="B1389" s="6"/>
      <c r="C1389" s="7"/>
      <c r="D1389" s="8"/>
      <c r="E1389" s="8"/>
      <c r="F1389" s="10"/>
      <c r="G1389" s="10"/>
      <c r="H1389" s="10"/>
      <c r="I1389" s="7"/>
      <c r="J1389" s="12"/>
      <c r="K1389" s="13"/>
      <c r="L1389" s="14"/>
      <c r="M1389" s="15"/>
      <c r="N1389" s="15"/>
      <c r="O1389" s="16"/>
      <c r="Q1389" s="16"/>
    </row>
    <row r="1390" spans="1:17" x14ac:dyDescent="0.3">
      <c r="A1390" s="5"/>
      <c r="B1390" s="6"/>
      <c r="C1390" s="7"/>
      <c r="D1390" s="8"/>
      <c r="E1390" s="8"/>
      <c r="F1390" s="10"/>
      <c r="G1390" s="10"/>
      <c r="H1390" s="10"/>
      <c r="I1390" s="7"/>
      <c r="J1390" s="12"/>
      <c r="K1390" s="13"/>
      <c r="L1390" s="14"/>
      <c r="M1390" s="15"/>
      <c r="N1390" s="15"/>
      <c r="O1390" s="16"/>
      <c r="Q1390" s="16"/>
    </row>
    <row r="1391" spans="1:17" x14ac:dyDescent="0.3">
      <c r="A1391" s="5"/>
      <c r="B1391" s="6"/>
      <c r="C1391" s="7"/>
      <c r="D1391" s="8"/>
      <c r="E1391" s="8"/>
      <c r="F1391" s="10"/>
      <c r="G1391" s="10"/>
      <c r="H1391" s="10"/>
      <c r="I1391" s="7"/>
      <c r="J1391" s="12"/>
      <c r="K1391" s="13"/>
      <c r="L1391" s="14"/>
      <c r="M1391" s="15"/>
      <c r="N1391" s="15"/>
      <c r="O1391" s="16"/>
      <c r="Q1391" s="16"/>
    </row>
    <row r="1392" spans="1:17" x14ac:dyDescent="0.3">
      <c r="A1392" s="5"/>
      <c r="B1392" s="6"/>
      <c r="C1392" s="7"/>
      <c r="D1392" s="8"/>
      <c r="E1392" s="8"/>
      <c r="F1392" s="10"/>
      <c r="G1392" s="10"/>
      <c r="H1392" s="10"/>
      <c r="I1392" s="7"/>
      <c r="J1392" s="12"/>
      <c r="K1392" s="13"/>
      <c r="L1392" s="14"/>
      <c r="M1392" s="15"/>
      <c r="N1392" s="15"/>
      <c r="O1392" s="16"/>
      <c r="Q1392" s="16"/>
    </row>
    <row r="1393" spans="1:17" x14ac:dyDescent="0.3">
      <c r="A1393" s="5"/>
      <c r="B1393" s="6"/>
      <c r="C1393" s="7"/>
      <c r="D1393" s="8"/>
      <c r="E1393" s="8"/>
      <c r="F1393" s="10"/>
      <c r="G1393" s="10"/>
      <c r="H1393" s="10"/>
      <c r="I1393" s="7"/>
      <c r="J1393" s="12"/>
      <c r="K1393" s="13"/>
      <c r="L1393" s="14"/>
      <c r="M1393" s="15"/>
      <c r="N1393" s="15"/>
      <c r="O1393" s="16"/>
      <c r="Q1393" s="16"/>
    </row>
    <row r="1394" spans="1:17" x14ac:dyDescent="0.3">
      <c r="A1394" s="5"/>
      <c r="B1394" s="6"/>
      <c r="C1394" s="7"/>
      <c r="D1394" s="8"/>
      <c r="E1394" s="8"/>
      <c r="F1394" s="10"/>
      <c r="G1394" s="10"/>
      <c r="H1394" s="10"/>
      <c r="I1394" s="7"/>
      <c r="J1394" s="12"/>
      <c r="K1394" s="13"/>
      <c r="L1394" s="14"/>
      <c r="M1394" s="15"/>
      <c r="N1394" s="15"/>
      <c r="O1394" s="16"/>
      <c r="Q1394" s="16"/>
    </row>
    <row r="1395" spans="1:17" x14ac:dyDescent="0.3">
      <c r="A1395" s="5"/>
      <c r="B1395" s="6"/>
      <c r="C1395" s="7"/>
      <c r="D1395" s="8"/>
      <c r="E1395" s="8"/>
      <c r="F1395" s="10"/>
      <c r="G1395" s="10"/>
      <c r="H1395" s="10"/>
      <c r="I1395" s="7"/>
      <c r="J1395" s="12"/>
      <c r="K1395" s="13"/>
      <c r="L1395" s="14"/>
      <c r="M1395" s="15"/>
      <c r="N1395" s="15"/>
      <c r="O1395" s="16"/>
      <c r="Q1395" s="16"/>
    </row>
    <row r="1396" spans="1:17" x14ac:dyDescent="0.3">
      <c r="A1396" s="5"/>
      <c r="B1396" s="6"/>
      <c r="C1396" s="7"/>
      <c r="D1396" s="8"/>
      <c r="E1396" s="8"/>
      <c r="F1396" s="10"/>
      <c r="G1396" s="10"/>
      <c r="H1396" s="10"/>
      <c r="I1396" s="7"/>
      <c r="J1396" s="12"/>
      <c r="K1396" s="13"/>
      <c r="L1396" s="14"/>
      <c r="M1396" s="15"/>
      <c r="N1396" s="15"/>
      <c r="O1396" s="16"/>
      <c r="Q1396" s="16"/>
    </row>
    <row r="1397" spans="1:17" x14ac:dyDescent="0.3">
      <c r="A1397" s="5"/>
      <c r="B1397" s="6"/>
      <c r="C1397" s="7"/>
      <c r="D1397" s="8"/>
      <c r="E1397" s="8"/>
      <c r="F1397" s="10"/>
      <c r="G1397" s="10"/>
      <c r="H1397" s="10"/>
      <c r="I1397" s="7"/>
      <c r="J1397" s="12"/>
      <c r="K1397" s="13"/>
      <c r="L1397" s="14"/>
      <c r="M1397" s="15"/>
      <c r="N1397" s="15"/>
      <c r="O1397" s="16"/>
      <c r="Q1397" s="16"/>
    </row>
    <row r="1398" spans="1:17" x14ac:dyDescent="0.3">
      <c r="A1398" s="5"/>
      <c r="B1398" s="6"/>
      <c r="C1398" s="7"/>
      <c r="D1398" s="8"/>
      <c r="E1398" s="8"/>
      <c r="F1398" s="10"/>
      <c r="G1398" s="10"/>
      <c r="H1398" s="10"/>
      <c r="I1398" s="7"/>
      <c r="J1398" s="12"/>
      <c r="K1398" s="13"/>
      <c r="L1398" s="14"/>
      <c r="M1398" s="15"/>
      <c r="N1398" s="15"/>
      <c r="O1398" s="16"/>
      <c r="Q1398" s="16"/>
    </row>
    <row r="1399" spans="1:17" x14ac:dyDescent="0.3">
      <c r="A1399" s="5"/>
      <c r="B1399" s="6"/>
      <c r="C1399" s="7"/>
      <c r="D1399" s="8"/>
      <c r="E1399" s="8"/>
      <c r="F1399" s="10"/>
      <c r="G1399" s="10"/>
      <c r="H1399" s="10"/>
      <c r="I1399" s="7"/>
      <c r="J1399" s="12"/>
      <c r="K1399" s="13"/>
      <c r="L1399" s="14"/>
      <c r="M1399" s="15"/>
      <c r="N1399" s="15"/>
      <c r="O1399" s="16"/>
      <c r="Q1399" s="16"/>
    </row>
    <row r="1400" spans="1:17" x14ac:dyDescent="0.3">
      <c r="A1400" s="5"/>
      <c r="B1400" s="6"/>
      <c r="C1400" s="7"/>
      <c r="D1400" s="8"/>
      <c r="E1400" s="8"/>
      <c r="F1400" s="10"/>
      <c r="G1400" s="10"/>
      <c r="H1400" s="10"/>
      <c r="I1400" s="7"/>
      <c r="J1400" s="12"/>
      <c r="K1400" s="13"/>
      <c r="L1400" s="14"/>
      <c r="M1400" s="15"/>
      <c r="N1400" s="15"/>
      <c r="O1400" s="16"/>
      <c r="Q1400" s="16"/>
    </row>
    <row r="1401" spans="1:17" x14ac:dyDescent="0.3">
      <c r="A1401" s="5"/>
      <c r="B1401" s="6"/>
      <c r="C1401" s="7"/>
      <c r="D1401" s="8"/>
      <c r="E1401" s="8"/>
      <c r="F1401" s="10"/>
      <c r="G1401" s="10"/>
      <c r="H1401" s="10"/>
      <c r="I1401" s="7"/>
      <c r="J1401" s="12"/>
      <c r="K1401" s="13"/>
      <c r="L1401" s="14"/>
      <c r="M1401" s="15"/>
      <c r="N1401" s="15"/>
      <c r="O1401" s="16"/>
      <c r="Q1401" s="16"/>
    </row>
    <row r="1402" spans="1:17" x14ac:dyDescent="0.3">
      <c r="A1402" s="5"/>
      <c r="B1402" s="6"/>
      <c r="C1402" s="7"/>
      <c r="D1402" s="8"/>
      <c r="E1402" s="8"/>
      <c r="F1402" s="10"/>
      <c r="G1402" s="10"/>
      <c r="H1402" s="10"/>
      <c r="I1402" s="7"/>
      <c r="J1402" s="12"/>
      <c r="K1402" s="13"/>
      <c r="L1402" s="14"/>
      <c r="M1402" s="15"/>
      <c r="N1402" s="15"/>
      <c r="O1402" s="16"/>
      <c r="Q1402" s="16"/>
    </row>
    <row r="1403" spans="1:17" x14ac:dyDescent="0.3">
      <c r="A1403" s="5"/>
      <c r="B1403" s="6"/>
      <c r="C1403" s="7"/>
      <c r="D1403" s="8"/>
      <c r="E1403" s="8"/>
      <c r="F1403" s="10"/>
      <c r="G1403" s="10"/>
      <c r="H1403" s="10"/>
      <c r="I1403" s="7"/>
      <c r="J1403" s="12"/>
      <c r="K1403" s="13"/>
      <c r="L1403" s="14"/>
      <c r="M1403" s="15"/>
      <c r="N1403" s="15"/>
      <c r="O1403" s="16"/>
      <c r="Q1403" s="16"/>
    </row>
    <row r="1404" spans="1:17" x14ac:dyDescent="0.3">
      <c r="A1404" s="5"/>
      <c r="B1404" s="6"/>
      <c r="C1404" s="7"/>
      <c r="D1404" s="8"/>
      <c r="E1404" s="8"/>
      <c r="F1404" s="10"/>
      <c r="G1404" s="10"/>
      <c r="H1404" s="10"/>
      <c r="I1404" s="7"/>
      <c r="J1404" s="12"/>
      <c r="K1404" s="13"/>
      <c r="L1404" s="14"/>
      <c r="M1404" s="15"/>
      <c r="N1404" s="15"/>
      <c r="O1404" s="16"/>
      <c r="Q1404" s="16"/>
    </row>
    <row r="1405" spans="1:17" x14ac:dyDescent="0.3">
      <c r="A1405" s="5"/>
      <c r="B1405" s="6"/>
      <c r="C1405" s="7"/>
      <c r="D1405" s="8"/>
      <c r="E1405" s="8"/>
      <c r="F1405" s="10"/>
      <c r="G1405" s="10"/>
      <c r="H1405" s="10"/>
      <c r="I1405" s="7"/>
      <c r="J1405" s="12"/>
      <c r="K1405" s="13"/>
      <c r="L1405" s="14"/>
      <c r="M1405" s="15"/>
      <c r="N1405" s="15"/>
      <c r="O1405" s="16"/>
      <c r="Q1405" s="16"/>
    </row>
    <row r="1406" spans="1:17" x14ac:dyDescent="0.3">
      <c r="A1406" s="5"/>
      <c r="B1406" s="6"/>
      <c r="C1406" s="7"/>
      <c r="D1406" s="8"/>
      <c r="E1406" s="8"/>
      <c r="F1406" s="10"/>
      <c r="G1406" s="10"/>
      <c r="H1406" s="10"/>
      <c r="I1406" s="7"/>
      <c r="J1406" s="12"/>
      <c r="K1406" s="13"/>
      <c r="L1406" s="14"/>
      <c r="M1406" s="15"/>
      <c r="N1406" s="15"/>
      <c r="O1406" s="16"/>
      <c r="Q1406" s="16"/>
    </row>
    <row r="1407" spans="1:17" x14ac:dyDescent="0.3">
      <c r="A1407" s="5"/>
      <c r="B1407" s="6"/>
      <c r="C1407" s="7"/>
      <c r="D1407" s="8"/>
      <c r="E1407" s="8"/>
      <c r="F1407" s="10"/>
      <c r="G1407" s="10"/>
      <c r="H1407" s="10"/>
      <c r="I1407" s="7"/>
      <c r="J1407" s="12"/>
      <c r="K1407" s="13"/>
      <c r="L1407" s="14"/>
      <c r="M1407" s="15"/>
      <c r="N1407" s="15"/>
      <c r="O1407" s="16"/>
      <c r="Q1407" s="16"/>
    </row>
    <row r="1408" spans="1:17" x14ac:dyDescent="0.3">
      <c r="A1408" s="5"/>
      <c r="B1408" s="6"/>
      <c r="C1408" s="7"/>
      <c r="D1408" s="8"/>
      <c r="E1408" s="8"/>
      <c r="F1408" s="10"/>
      <c r="G1408" s="10"/>
      <c r="H1408" s="10"/>
      <c r="I1408" s="7"/>
      <c r="J1408" s="12"/>
      <c r="K1408" s="13"/>
      <c r="L1408" s="14"/>
      <c r="M1408" s="15"/>
      <c r="N1408" s="15"/>
      <c r="O1408" s="16"/>
      <c r="Q1408" s="16"/>
    </row>
    <row r="1409" spans="1:17" x14ac:dyDescent="0.3">
      <c r="A1409" s="5"/>
      <c r="B1409" s="6"/>
      <c r="C1409" s="7"/>
      <c r="D1409" s="8"/>
      <c r="E1409" s="8"/>
      <c r="F1409" s="10"/>
      <c r="G1409" s="10"/>
      <c r="H1409" s="10"/>
      <c r="I1409" s="7"/>
      <c r="J1409" s="12"/>
      <c r="K1409" s="13"/>
      <c r="L1409" s="14"/>
      <c r="M1409" s="15"/>
      <c r="N1409" s="15"/>
      <c r="O1409" s="16"/>
      <c r="Q1409" s="16"/>
    </row>
    <row r="1410" spans="1:17" x14ac:dyDescent="0.3">
      <c r="A1410" s="5"/>
      <c r="B1410" s="6"/>
      <c r="C1410" s="7"/>
      <c r="D1410" s="8"/>
      <c r="E1410" s="8"/>
      <c r="F1410" s="10"/>
      <c r="G1410" s="10"/>
      <c r="H1410" s="10"/>
      <c r="I1410" s="7"/>
      <c r="J1410" s="12"/>
      <c r="K1410" s="13"/>
      <c r="L1410" s="14"/>
      <c r="M1410" s="15"/>
      <c r="N1410" s="15"/>
      <c r="O1410" s="16"/>
      <c r="Q1410" s="16"/>
    </row>
    <row r="1411" spans="1:17" x14ac:dyDescent="0.3">
      <c r="A1411" s="5"/>
      <c r="B1411" s="6"/>
      <c r="C1411" s="7"/>
      <c r="D1411" s="8"/>
      <c r="E1411" s="8"/>
      <c r="F1411" s="10"/>
      <c r="G1411" s="10"/>
      <c r="H1411" s="10"/>
      <c r="I1411" s="7"/>
      <c r="J1411" s="12"/>
      <c r="K1411" s="13"/>
      <c r="L1411" s="14"/>
      <c r="M1411" s="15"/>
      <c r="N1411" s="15"/>
      <c r="O1411" s="16"/>
      <c r="Q1411" s="16"/>
    </row>
    <row r="1412" spans="1:17" x14ac:dyDescent="0.3">
      <c r="A1412" s="5"/>
      <c r="B1412" s="6"/>
      <c r="C1412" s="7"/>
      <c r="D1412" s="8"/>
      <c r="E1412" s="8"/>
      <c r="F1412" s="10"/>
      <c r="G1412" s="10"/>
      <c r="H1412" s="10"/>
      <c r="I1412" s="7"/>
      <c r="J1412" s="12"/>
      <c r="K1412" s="13"/>
      <c r="L1412" s="14"/>
      <c r="M1412" s="15"/>
      <c r="N1412" s="15"/>
      <c r="O1412" s="16"/>
      <c r="Q1412" s="16"/>
    </row>
    <row r="1413" spans="1:17" x14ac:dyDescent="0.3">
      <c r="A1413" s="5"/>
      <c r="B1413" s="6"/>
      <c r="C1413" s="7"/>
      <c r="D1413" s="8"/>
      <c r="E1413" s="8"/>
      <c r="F1413" s="10"/>
      <c r="G1413" s="10"/>
      <c r="H1413" s="10"/>
      <c r="I1413" s="7"/>
      <c r="J1413" s="12"/>
      <c r="K1413" s="13"/>
      <c r="L1413" s="14"/>
      <c r="M1413" s="15"/>
      <c r="N1413" s="15"/>
      <c r="O1413" s="16"/>
      <c r="Q1413" s="16"/>
    </row>
    <row r="1414" spans="1:17" x14ac:dyDescent="0.3">
      <c r="A1414" s="5"/>
      <c r="B1414" s="6"/>
      <c r="C1414" s="7"/>
      <c r="D1414" s="8"/>
      <c r="E1414" s="8"/>
      <c r="F1414" s="10"/>
      <c r="G1414" s="10"/>
      <c r="H1414" s="10"/>
      <c r="I1414" s="7"/>
      <c r="J1414" s="12"/>
      <c r="K1414" s="13"/>
      <c r="L1414" s="14"/>
      <c r="M1414" s="15"/>
      <c r="N1414" s="15"/>
      <c r="O1414" s="16"/>
      <c r="Q1414" s="16"/>
    </row>
    <row r="1415" spans="1:17" x14ac:dyDescent="0.3">
      <c r="A1415" s="5"/>
      <c r="B1415" s="6"/>
      <c r="C1415" s="7"/>
      <c r="D1415" s="8"/>
      <c r="E1415" s="8"/>
      <c r="F1415" s="10"/>
      <c r="G1415" s="10"/>
      <c r="H1415" s="10"/>
      <c r="I1415" s="7"/>
      <c r="J1415" s="12"/>
      <c r="K1415" s="13"/>
      <c r="L1415" s="14"/>
      <c r="M1415" s="15"/>
      <c r="N1415" s="15"/>
      <c r="O1415" s="16"/>
      <c r="Q1415" s="16"/>
    </row>
    <row r="1416" spans="1:17" x14ac:dyDescent="0.3">
      <c r="A1416" s="5"/>
      <c r="B1416" s="6"/>
      <c r="C1416" s="7"/>
      <c r="D1416" s="8"/>
      <c r="E1416" s="8"/>
      <c r="F1416" s="10"/>
      <c r="G1416" s="10"/>
      <c r="H1416" s="10"/>
      <c r="I1416" s="7"/>
      <c r="J1416" s="12"/>
      <c r="K1416" s="13"/>
      <c r="L1416" s="14"/>
      <c r="M1416" s="15"/>
      <c r="N1416" s="15"/>
      <c r="O1416" s="16"/>
      <c r="Q1416" s="16"/>
    </row>
    <row r="1417" spans="1:17" x14ac:dyDescent="0.3">
      <c r="A1417" s="5"/>
      <c r="B1417" s="6"/>
      <c r="C1417" s="7"/>
      <c r="D1417" s="8"/>
      <c r="E1417" s="8"/>
      <c r="F1417" s="10"/>
      <c r="G1417" s="10"/>
      <c r="H1417" s="10"/>
      <c r="I1417" s="7"/>
      <c r="J1417" s="12"/>
      <c r="K1417" s="13"/>
      <c r="L1417" s="14"/>
      <c r="M1417" s="15"/>
      <c r="N1417" s="15"/>
      <c r="O1417" s="16"/>
      <c r="Q1417" s="16"/>
    </row>
    <row r="1418" spans="1:17" x14ac:dyDescent="0.3">
      <c r="A1418" s="5"/>
      <c r="B1418" s="6"/>
      <c r="C1418" s="7"/>
      <c r="D1418" s="8"/>
      <c r="E1418" s="8"/>
      <c r="F1418" s="10"/>
      <c r="G1418" s="10"/>
      <c r="H1418" s="10"/>
      <c r="I1418" s="7"/>
      <c r="J1418" s="12"/>
      <c r="K1418" s="13"/>
      <c r="L1418" s="14"/>
      <c r="M1418" s="15"/>
      <c r="N1418" s="15"/>
      <c r="O1418" s="16"/>
      <c r="Q1418" s="16"/>
    </row>
    <row r="1419" spans="1:17" x14ac:dyDescent="0.3">
      <c r="A1419" s="5"/>
      <c r="B1419" s="6"/>
      <c r="C1419" s="7"/>
      <c r="D1419" s="8"/>
      <c r="E1419" s="8"/>
      <c r="F1419" s="10"/>
      <c r="G1419" s="10"/>
      <c r="H1419" s="10"/>
      <c r="I1419" s="7"/>
      <c r="J1419" s="12"/>
      <c r="K1419" s="13"/>
      <c r="L1419" s="14"/>
      <c r="M1419" s="15"/>
      <c r="N1419" s="15"/>
      <c r="O1419" s="16"/>
      <c r="Q1419" s="16"/>
    </row>
    <row r="1420" spans="1:17" x14ac:dyDescent="0.3">
      <c r="A1420" s="5"/>
      <c r="B1420" s="6"/>
      <c r="C1420" s="7"/>
      <c r="D1420" s="8"/>
      <c r="E1420" s="8"/>
      <c r="F1420" s="10"/>
      <c r="G1420" s="10"/>
      <c r="H1420" s="10"/>
      <c r="I1420" s="7"/>
      <c r="J1420" s="12"/>
      <c r="K1420" s="13"/>
      <c r="L1420" s="14"/>
      <c r="M1420" s="15"/>
      <c r="N1420" s="15"/>
      <c r="O1420" s="16"/>
      <c r="Q1420" s="16"/>
    </row>
    <row r="1421" spans="1:17" x14ac:dyDescent="0.3">
      <c r="A1421" s="5"/>
      <c r="B1421" s="6"/>
      <c r="C1421" s="7"/>
      <c r="D1421" s="8"/>
      <c r="E1421" s="3"/>
      <c r="F1421" s="10"/>
      <c r="G1421" s="10"/>
      <c r="H1421" s="10"/>
      <c r="I1421" s="7"/>
      <c r="J1421" s="12"/>
      <c r="K1421" s="13"/>
      <c r="L1421" s="14"/>
      <c r="M1421" s="15"/>
      <c r="N1421" s="15"/>
      <c r="O1421" s="16"/>
      <c r="Q1421" s="16"/>
    </row>
    <row r="1422" spans="1:17" x14ac:dyDescent="0.3">
      <c r="A1422" s="5"/>
      <c r="B1422" s="6"/>
      <c r="C1422" s="7"/>
      <c r="D1422" s="8"/>
      <c r="E1422" s="8"/>
      <c r="F1422" s="10"/>
      <c r="G1422" s="10"/>
      <c r="H1422" s="10"/>
      <c r="I1422" s="7"/>
      <c r="J1422" s="12"/>
      <c r="K1422" s="13"/>
      <c r="L1422" s="14"/>
      <c r="M1422" s="15"/>
      <c r="N1422" s="15"/>
      <c r="O1422" s="16"/>
      <c r="Q1422" s="16"/>
    </row>
    <row r="1423" spans="1:17" x14ac:dyDescent="0.3">
      <c r="A1423" s="5"/>
      <c r="B1423" s="6"/>
      <c r="C1423" s="7"/>
      <c r="D1423" s="8"/>
      <c r="E1423" s="8"/>
      <c r="F1423" s="10"/>
      <c r="G1423" s="10"/>
      <c r="H1423" s="10"/>
      <c r="I1423" s="7"/>
      <c r="J1423" s="12"/>
      <c r="K1423" s="13"/>
      <c r="L1423" s="14"/>
      <c r="M1423" s="15"/>
      <c r="N1423" s="15"/>
      <c r="O1423" s="16"/>
      <c r="Q1423" s="16"/>
    </row>
    <row r="1424" spans="1:17" x14ac:dyDescent="0.3">
      <c r="A1424" s="5"/>
      <c r="B1424" s="6"/>
      <c r="C1424" s="7"/>
      <c r="D1424" s="8"/>
      <c r="E1424" s="8"/>
      <c r="F1424" s="10"/>
      <c r="G1424" s="10"/>
      <c r="H1424" s="10"/>
      <c r="I1424" s="7"/>
      <c r="J1424" s="12"/>
      <c r="K1424" s="13"/>
      <c r="L1424" s="14"/>
      <c r="M1424" s="15"/>
      <c r="N1424" s="15"/>
      <c r="O1424" s="16"/>
      <c r="Q1424" s="16"/>
    </row>
    <row r="1425" spans="1:17" x14ac:dyDescent="0.3">
      <c r="A1425" s="5"/>
      <c r="B1425" s="6"/>
      <c r="C1425" s="7"/>
      <c r="D1425" s="8"/>
      <c r="E1425" s="8"/>
      <c r="F1425" s="10"/>
      <c r="G1425" s="10"/>
      <c r="H1425" s="10"/>
      <c r="I1425" s="7"/>
      <c r="J1425" s="12"/>
      <c r="K1425" s="13"/>
      <c r="L1425" s="14"/>
      <c r="M1425" s="15"/>
      <c r="N1425" s="15"/>
      <c r="O1425" s="16"/>
      <c r="Q1425" s="16"/>
    </row>
    <row r="1426" spans="1:17" x14ac:dyDescent="0.3">
      <c r="A1426" s="5"/>
      <c r="B1426" s="6"/>
      <c r="C1426" s="7"/>
      <c r="D1426" s="8"/>
      <c r="E1426" s="8"/>
      <c r="F1426" s="10"/>
      <c r="G1426" s="10"/>
      <c r="H1426" s="10"/>
      <c r="I1426" s="7"/>
      <c r="J1426" s="12"/>
      <c r="K1426" s="13"/>
      <c r="L1426" s="14"/>
      <c r="M1426" s="15"/>
      <c r="N1426" s="15"/>
      <c r="O1426" s="16"/>
      <c r="Q1426" s="16"/>
    </row>
    <row r="1427" spans="1:17" x14ac:dyDescent="0.3">
      <c r="A1427" s="5"/>
      <c r="B1427" s="6"/>
      <c r="C1427" s="7"/>
      <c r="D1427" s="8"/>
      <c r="E1427" s="8"/>
      <c r="F1427" s="10"/>
      <c r="G1427" s="10"/>
      <c r="H1427" s="10"/>
      <c r="I1427" s="7"/>
      <c r="J1427" s="12"/>
      <c r="K1427" s="13"/>
      <c r="L1427" s="14"/>
      <c r="M1427" s="15"/>
      <c r="N1427" s="15"/>
      <c r="O1427" s="16"/>
      <c r="Q1427" s="16"/>
    </row>
    <row r="1428" spans="1:17" x14ac:dyDescent="0.3">
      <c r="A1428" s="5"/>
      <c r="B1428" s="6"/>
      <c r="C1428" s="7"/>
      <c r="D1428" s="8"/>
      <c r="E1428" s="8"/>
      <c r="F1428" s="10"/>
      <c r="G1428" s="10"/>
      <c r="H1428" s="10"/>
      <c r="I1428" s="7"/>
      <c r="J1428" s="12"/>
      <c r="K1428" s="13"/>
      <c r="L1428" s="14"/>
      <c r="M1428" s="15"/>
      <c r="N1428" s="15"/>
      <c r="O1428" s="16"/>
      <c r="Q1428" s="16"/>
    </row>
    <row r="1429" spans="1:17" x14ac:dyDescent="0.3">
      <c r="A1429" s="5"/>
      <c r="B1429" s="6"/>
      <c r="C1429" s="7"/>
      <c r="D1429" s="8"/>
      <c r="E1429" s="8"/>
      <c r="F1429" s="10"/>
      <c r="G1429" s="10"/>
      <c r="H1429" s="10"/>
      <c r="I1429" s="7"/>
      <c r="J1429" s="12"/>
      <c r="K1429" s="13"/>
      <c r="L1429" s="14"/>
      <c r="M1429" s="15"/>
      <c r="N1429" s="15"/>
      <c r="O1429" s="16"/>
      <c r="Q1429" s="16"/>
    </row>
    <row r="1430" spans="1:17" x14ac:dyDescent="0.3">
      <c r="A1430" s="5"/>
      <c r="B1430" s="6"/>
      <c r="C1430" s="7"/>
      <c r="D1430" s="8"/>
      <c r="E1430" s="8"/>
      <c r="F1430" s="10"/>
      <c r="G1430" s="10"/>
      <c r="H1430" s="10"/>
      <c r="I1430" s="7"/>
      <c r="J1430" s="12"/>
      <c r="K1430" s="13"/>
      <c r="L1430" s="14"/>
      <c r="M1430" s="15"/>
      <c r="N1430" s="15"/>
      <c r="O1430" s="16"/>
      <c r="Q1430" s="16"/>
    </row>
    <row r="1431" spans="1:17" x14ac:dyDescent="0.3">
      <c r="A1431" s="5"/>
      <c r="B1431" s="6"/>
      <c r="C1431" s="7"/>
      <c r="D1431" s="8"/>
      <c r="E1431" s="8"/>
      <c r="F1431" s="10"/>
      <c r="G1431" s="10"/>
      <c r="H1431" s="10"/>
      <c r="I1431" s="7"/>
      <c r="J1431" s="12"/>
      <c r="K1431" s="13"/>
      <c r="L1431" s="14"/>
      <c r="M1431" s="15"/>
      <c r="N1431" s="15"/>
      <c r="O1431" s="16"/>
      <c r="Q1431" s="16"/>
    </row>
    <row r="1432" spans="1:17" x14ac:dyDescent="0.3">
      <c r="A1432" s="5"/>
      <c r="B1432" s="6"/>
      <c r="C1432" s="7"/>
      <c r="D1432" s="8"/>
      <c r="E1432" s="8"/>
      <c r="F1432" s="10"/>
      <c r="G1432" s="10"/>
      <c r="H1432" s="10"/>
      <c r="I1432" s="7"/>
      <c r="J1432" s="12"/>
      <c r="K1432" s="13"/>
      <c r="L1432" s="14"/>
      <c r="M1432" s="15"/>
      <c r="N1432" s="15"/>
      <c r="O1432" s="16"/>
      <c r="Q1432" s="16"/>
    </row>
    <row r="1433" spans="1:17" x14ac:dyDescent="0.3">
      <c r="A1433" s="5"/>
      <c r="B1433" s="6"/>
      <c r="C1433" s="7"/>
      <c r="D1433" s="8"/>
      <c r="E1433" s="8"/>
      <c r="F1433" s="10"/>
      <c r="G1433" s="10"/>
      <c r="H1433" s="10"/>
      <c r="I1433" s="7"/>
      <c r="J1433" s="12"/>
      <c r="K1433" s="13"/>
      <c r="L1433" s="14"/>
      <c r="M1433" s="15"/>
      <c r="N1433" s="15"/>
      <c r="O1433" s="16"/>
      <c r="Q1433" s="16"/>
    </row>
    <row r="1434" spans="1:17" x14ac:dyDescent="0.3">
      <c r="A1434" s="5"/>
      <c r="B1434" s="6"/>
      <c r="C1434" s="7"/>
      <c r="D1434" s="8"/>
      <c r="E1434" s="8"/>
      <c r="F1434" s="10"/>
      <c r="G1434" s="10"/>
      <c r="H1434" s="10"/>
      <c r="I1434" s="7"/>
      <c r="J1434" s="12"/>
      <c r="K1434" s="13"/>
      <c r="L1434" s="14"/>
      <c r="M1434" s="15"/>
      <c r="N1434" s="15"/>
      <c r="O1434" s="16"/>
      <c r="Q1434" s="16"/>
    </row>
    <row r="1435" spans="1:17" x14ac:dyDescent="0.3">
      <c r="A1435" s="5"/>
      <c r="B1435" s="6"/>
      <c r="C1435" s="7"/>
      <c r="D1435" s="8"/>
      <c r="E1435" s="8"/>
      <c r="F1435" s="10"/>
      <c r="G1435" s="10"/>
      <c r="H1435" s="10"/>
      <c r="I1435" s="7"/>
      <c r="J1435" s="12"/>
      <c r="K1435" s="13"/>
      <c r="L1435" s="14"/>
      <c r="M1435" s="15"/>
      <c r="N1435" s="15"/>
      <c r="O1435" s="16"/>
      <c r="Q1435" s="16"/>
    </row>
    <row r="1436" spans="1:17" x14ac:dyDescent="0.3">
      <c r="A1436" s="5"/>
      <c r="B1436" s="6"/>
      <c r="C1436" s="7"/>
      <c r="D1436" s="8"/>
      <c r="E1436" s="8"/>
      <c r="F1436" s="10"/>
      <c r="G1436" s="10"/>
      <c r="H1436" s="10"/>
      <c r="I1436" s="7"/>
      <c r="J1436" s="12"/>
      <c r="K1436" s="13"/>
      <c r="L1436" s="14"/>
      <c r="M1436" s="15"/>
      <c r="N1436" s="15"/>
      <c r="O1436" s="16"/>
      <c r="Q1436" s="16"/>
    </row>
    <row r="1437" spans="1:17" x14ac:dyDescent="0.3">
      <c r="A1437" s="5"/>
      <c r="B1437" s="6"/>
      <c r="C1437" s="7"/>
      <c r="D1437" s="8"/>
      <c r="E1437" s="8"/>
      <c r="F1437" s="10"/>
      <c r="G1437" s="10"/>
      <c r="H1437" s="10"/>
      <c r="I1437" s="7"/>
      <c r="J1437" s="12"/>
      <c r="K1437" s="13"/>
      <c r="L1437" s="14"/>
      <c r="M1437" s="15"/>
      <c r="N1437" s="15"/>
      <c r="O1437" s="16"/>
      <c r="Q1437" s="16"/>
    </row>
    <row r="1438" spans="1:17" x14ac:dyDescent="0.3">
      <c r="A1438" s="5"/>
      <c r="B1438" s="6"/>
      <c r="C1438" s="7"/>
      <c r="D1438" s="8"/>
      <c r="E1438" s="8"/>
      <c r="F1438" s="10"/>
      <c r="G1438" s="10"/>
      <c r="H1438" s="10"/>
      <c r="I1438" s="7"/>
      <c r="J1438" s="12"/>
      <c r="K1438" s="13"/>
      <c r="L1438" s="14"/>
      <c r="M1438" s="15"/>
      <c r="N1438" s="15"/>
      <c r="O1438" s="16"/>
      <c r="Q1438" s="16"/>
    </row>
    <row r="1439" spans="1:17" x14ac:dyDescent="0.3">
      <c r="A1439" s="5"/>
      <c r="B1439" s="6"/>
      <c r="C1439" s="7"/>
      <c r="D1439" s="8"/>
      <c r="E1439" s="8"/>
      <c r="F1439" s="10"/>
      <c r="G1439" s="10"/>
      <c r="H1439" s="10"/>
      <c r="I1439" s="7"/>
      <c r="J1439" s="12"/>
      <c r="K1439" s="13"/>
      <c r="L1439" s="14"/>
      <c r="M1439" s="15"/>
      <c r="N1439" s="15"/>
      <c r="O1439" s="16"/>
      <c r="Q1439" s="16"/>
    </row>
    <row r="1440" spans="1:17" x14ac:dyDescent="0.3">
      <c r="A1440" s="5"/>
      <c r="B1440" s="6"/>
      <c r="C1440" s="7"/>
      <c r="D1440" s="8"/>
      <c r="E1440" s="8"/>
      <c r="F1440" s="10"/>
      <c r="G1440" s="10"/>
      <c r="H1440" s="10"/>
      <c r="I1440" s="7"/>
      <c r="J1440" s="12"/>
      <c r="K1440" s="13"/>
      <c r="L1440" s="14"/>
      <c r="M1440" s="15"/>
      <c r="N1440" s="15"/>
      <c r="O1440" s="16"/>
      <c r="Q1440" s="16"/>
    </row>
    <row r="1441" spans="1:17" x14ac:dyDescent="0.3">
      <c r="A1441" s="5"/>
      <c r="B1441" s="6"/>
      <c r="C1441" s="7"/>
      <c r="D1441" s="8"/>
      <c r="E1441" s="8"/>
      <c r="F1441" s="10"/>
      <c r="G1441" s="10"/>
      <c r="H1441" s="10"/>
      <c r="I1441" s="7"/>
      <c r="J1441" s="12"/>
      <c r="K1441" s="13"/>
      <c r="L1441" s="14"/>
      <c r="M1441" s="15"/>
      <c r="N1441" s="15"/>
      <c r="O1441" s="16"/>
      <c r="Q1441" s="16"/>
    </row>
    <row r="1442" spans="1:17" x14ac:dyDescent="0.3">
      <c r="A1442" s="5"/>
      <c r="B1442" s="6"/>
      <c r="C1442" s="7"/>
      <c r="D1442" s="8"/>
      <c r="E1442" s="8"/>
      <c r="F1442" s="10"/>
      <c r="G1442" s="10"/>
      <c r="H1442" s="10"/>
      <c r="I1442" s="7"/>
      <c r="J1442" s="12"/>
      <c r="K1442" s="13"/>
      <c r="L1442" s="14"/>
      <c r="M1442" s="15"/>
      <c r="N1442" s="15"/>
      <c r="O1442" s="16"/>
      <c r="Q1442" s="16"/>
    </row>
    <row r="1443" spans="1:17" x14ac:dyDescent="0.3">
      <c r="A1443" s="5"/>
      <c r="B1443" s="6"/>
      <c r="C1443" s="7"/>
      <c r="D1443" s="8"/>
      <c r="E1443" s="8"/>
      <c r="F1443" s="10"/>
      <c r="G1443" s="10"/>
      <c r="H1443" s="10"/>
      <c r="I1443" s="7"/>
      <c r="J1443" s="12"/>
      <c r="K1443" s="13"/>
      <c r="L1443" s="14"/>
      <c r="M1443" s="15"/>
      <c r="N1443" s="15"/>
      <c r="O1443" s="16"/>
      <c r="Q1443" s="16"/>
    </row>
    <row r="1444" spans="1:17" x14ac:dyDescent="0.3">
      <c r="A1444" s="5"/>
      <c r="B1444" s="6"/>
      <c r="C1444" s="7"/>
      <c r="D1444" s="8"/>
      <c r="E1444" s="8"/>
      <c r="F1444" s="10"/>
      <c r="G1444" s="10"/>
      <c r="H1444" s="10"/>
      <c r="I1444" s="7"/>
      <c r="J1444" s="12"/>
      <c r="K1444" s="13"/>
      <c r="L1444" s="14"/>
      <c r="M1444" s="15"/>
      <c r="N1444" s="15"/>
      <c r="O1444" s="16"/>
      <c r="Q1444" s="16"/>
    </row>
    <row r="1445" spans="1:17" x14ac:dyDescent="0.3">
      <c r="A1445" s="5"/>
      <c r="B1445" s="6"/>
      <c r="C1445" s="7"/>
      <c r="D1445" s="8"/>
      <c r="E1445" s="8"/>
      <c r="F1445" s="10"/>
      <c r="G1445" s="10"/>
      <c r="H1445" s="10"/>
      <c r="I1445" s="7"/>
      <c r="J1445" s="12"/>
      <c r="K1445" s="13"/>
      <c r="L1445" s="14"/>
      <c r="M1445" s="15"/>
      <c r="N1445" s="15"/>
      <c r="O1445" s="16"/>
      <c r="Q1445" s="16"/>
    </row>
    <row r="1446" spans="1:17" x14ac:dyDescent="0.3">
      <c r="A1446" s="5"/>
      <c r="B1446" s="6"/>
      <c r="C1446" s="7"/>
      <c r="D1446" s="8"/>
      <c r="E1446" s="8"/>
      <c r="F1446" s="10"/>
      <c r="G1446" s="10"/>
      <c r="H1446" s="10"/>
      <c r="I1446" s="7"/>
      <c r="J1446" s="12"/>
      <c r="K1446" s="13"/>
      <c r="L1446" s="14"/>
      <c r="M1446" s="15"/>
      <c r="N1446" s="15"/>
      <c r="O1446" s="16"/>
      <c r="Q1446" s="16"/>
    </row>
    <row r="1447" spans="1:17" x14ac:dyDescent="0.3">
      <c r="A1447" s="5"/>
      <c r="B1447" s="6"/>
      <c r="C1447" s="7"/>
      <c r="D1447" s="8"/>
      <c r="E1447" s="8"/>
      <c r="F1447" s="10"/>
      <c r="G1447" s="10"/>
      <c r="H1447" s="10"/>
      <c r="I1447" s="7"/>
      <c r="J1447" s="12"/>
      <c r="K1447" s="13"/>
      <c r="L1447" s="14"/>
      <c r="M1447" s="15"/>
      <c r="N1447" s="15"/>
      <c r="O1447" s="16"/>
      <c r="Q1447" s="16"/>
    </row>
    <row r="1448" spans="1:17" x14ac:dyDescent="0.3">
      <c r="A1448" s="5"/>
      <c r="B1448" s="6"/>
      <c r="C1448" s="7"/>
      <c r="D1448" s="8"/>
      <c r="E1448" s="8"/>
      <c r="F1448" s="10"/>
      <c r="G1448" s="10"/>
      <c r="H1448" s="10"/>
      <c r="I1448" s="7"/>
      <c r="J1448" s="12"/>
      <c r="K1448" s="13"/>
      <c r="L1448" s="14"/>
      <c r="M1448" s="15"/>
      <c r="N1448" s="15"/>
      <c r="O1448" s="16"/>
      <c r="Q1448" s="16"/>
    </row>
    <row r="1449" spans="1:17" x14ac:dyDescent="0.3">
      <c r="A1449" s="5"/>
      <c r="B1449" s="6"/>
      <c r="C1449" s="7"/>
      <c r="D1449" s="8"/>
      <c r="E1449" s="8"/>
      <c r="F1449" s="10"/>
      <c r="G1449" s="10"/>
      <c r="H1449" s="10"/>
      <c r="I1449" s="7"/>
      <c r="J1449" s="12"/>
      <c r="K1449" s="13"/>
      <c r="L1449" s="14"/>
      <c r="M1449" s="15"/>
      <c r="N1449" s="15"/>
      <c r="O1449" s="16"/>
      <c r="Q1449" s="16"/>
    </row>
    <row r="1450" spans="1:17" x14ac:dyDescent="0.3">
      <c r="A1450" s="5"/>
      <c r="B1450" s="6"/>
      <c r="C1450" s="7"/>
      <c r="D1450" s="8"/>
      <c r="E1450" s="8"/>
      <c r="F1450" s="10"/>
      <c r="G1450" s="10"/>
      <c r="H1450" s="10"/>
      <c r="I1450" s="7"/>
      <c r="J1450" s="12"/>
      <c r="K1450" s="13"/>
      <c r="L1450" s="14"/>
      <c r="M1450" s="15"/>
      <c r="N1450" s="15"/>
      <c r="O1450" s="16"/>
      <c r="Q1450" s="16"/>
    </row>
    <row r="1451" spans="1:17" x14ac:dyDescent="0.3">
      <c r="A1451" s="5"/>
      <c r="B1451" s="6"/>
      <c r="C1451" s="7"/>
      <c r="D1451" s="8"/>
      <c r="E1451" s="8"/>
      <c r="F1451" s="10"/>
      <c r="G1451" s="10"/>
      <c r="H1451" s="10"/>
      <c r="I1451" s="7"/>
      <c r="J1451" s="12"/>
      <c r="K1451" s="13"/>
      <c r="L1451" s="14"/>
      <c r="M1451" s="15"/>
      <c r="N1451" s="15"/>
      <c r="O1451" s="16"/>
      <c r="Q1451" s="16"/>
    </row>
    <row r="1452" spans="1:17" x14ac:dyDescent="0.3">
      <c r="A1452" s="5"/>
      <c r="B1452" s="6"/>
      <c r="C1452" s="7"/>
      <c r="D1452" s="8"/>
      <c r="E1452" s="8"/>
      <c r="F1452" s="10"/>
      <c r="G1452" s="10"/>
      <c r="H1452" s="10"/>
      <c r="I1452" s="7"/>
      <c r="J1452" s="12"/>
      <c r="K1452" s="13"/>
      <c r="L1452" s="14"/>
      <c r="M1452" s="15"/>
      <c r="N1452" s="15"/>
      <c r="O1452" s="16"/>
      <c r="Q1452" s="16"/>
    </row>
    <row r="1453" spans="1:17" x14ac:dyDescent="0.3">
      <c r="A1453" s="5"/>
      <c r="B1453" s="6"/>
      <c r="C1453" s="7"/>
      <c r="D1453" s="8"/>
      <c r="E1453" s="8"/>
      <c r="F1453" s="10"/>
      <c r="G1453" s="10"/>
      <c r="H1453" s="10"/>
      <c r="I1453" s="7"/>
      <c r="J1453" s="12"/>
      <c r="K1453" s="13"/>
      <c r="L1453" s="14"/>
      <c r="M1453" s="15"/>
      <c r="N1453" s="15"/>
      <c r="O1453" s="16"/>
      <c r="Q1453" s="16"/>
    </row>
    <row r="1454" spans="1:17" x14ac:dyDescent="0.3">
      <c r="A1454" s="5"/>
      <c r="B1454" s="6"/>
      <c r="C1454" s="7"/>
      <c r="D1454" s="8"/>
      <c r="E1454" s="8"/>
      <c r="F1454" s="10"/>
      <c r="G1454" s="10"/>
      <c r="H1454" s="10"/>
      <c r="I1454" s="7"/>
      <c r="J1454" s="12"/>
      <c r="K1454" s="13"/>
      <c r="L1454" s="14"/>
      <c r="M1454" s="15"/>
      <c r="N1454" s="15"/>
      <c r="O1454" s="16"/>
      <c r="Q1454" s="16"/>
    </row>
    <row r="1455" spans="1:17" x14ac:dyDescent="0.3">
      <c r="A1455" s="5"/>
      <c r="B1455" s="6"/>
      <c r="C1455" s="7"/>
      <c r="D1455" s="8"/>
      <c r="E1455" s="8"/>
      <c r="F1455" s="10"/>
      <c r="G1455" s="10"/>
      <c r="H1455" s="10"/>
      <c r="I1455" s="7"/>
      <c r="J1455" s="12"/>
      <c r="K1455" s="13"/>
      <c r="L1455" s="14"/>
      <c r="M1455" s="15"/>
      <c r="N1455" s="15"/>
      <c r="O1455" s="16"/>
      <c r="Q1455" s="16"/>
    </row>
    <row r="1456" spans="1:17" x14ac:dyDescent="0.3">
      <c r="A1456" s="5"/>
      <c r="B1456" s="6"/>
      <c r="C1456" s="7"/>
      <c r="D1456" s="8"/>
      <c r="E1456" s="8"/>
      <c r="F1456" s="10"/>
      <c r="G1456" s="10"/>
      <c r="H1456" s="10"/>
      <c r="I1456" s="7"/>
      <c r="J1456" s="12"/>
      <c r="K1456" s="13"/>
      <c r="L1456" s="14"/>
      <c r="M1456" s="15"/>
      <c r="N1456" s="15"/>
      <c r="O1456" s="16"/>
      <c r="Q1456" s="16"/>
    </row>
    <row r="1457" spans="1:17" x14ac:dyDescent="0.3">
      <c r="A1457" s="5"/>
      <c r="B1457" s="6"/>
      <c r="C1457" s="7"/>
      <c r="D1457" s="8"/>
      <c r="E1457" s="9"/>
      <c r="F1457" s="10"/>
      <c r="G1457" s="10"/>
      <c r="H1457" s="10"/>
      <c r="I1457" s="7"/>
      <c r="J1457" s="12"/>
      <c r="K1457" s="13"/>
      <c r="L1457" s="14"/>
      <c r="M1457" s="15"/>
      <c r="N1457" s="15"/>
      <c r="O1457" s="16"/>
      <c r="Q1457" s="16"/>
    </row>
    <row r="1458" spans="1:17" x14ac:dyDescent="0.3">
      <c r="A1458" s="5"/>
      <c r="B1458" s="6"/>
      <c r="C1458" s="7"/>
      <c r="D1458" s="8"/>
      <c r="E1458" s="8"/>
      <c r="F1458" s="10"/>
      <c r="G1458" s="10"/>
      <c r="H1458" s="10"/>
      <c r="I1458" s="7"/>
      <c r="J1458" s="12"/>
      <c r="K1458" s="13"/>
      <c r="L1458" s="14"/>
      <c r="M1458" s="15"/>
      <c r="N1458" s="15"/>
      <c r="O1458" s="16"/>
      <c r="Q1458" s="16"/>
    </row>
    <row r="1459" spans="1:17" x14ac:dyDescent="0.3">
      <c r="A1459" s="5"/>
      <c r="B1459" s="6"/>
      <c r="C1459" s="7"/>
      <c r="D1459" s="8"/>
      <c r="E1459" s="8"/>
      <c r="F1459" s="10"/>
      <c r="G1459" s="10"/>
      <c r="H1459" s="10"/>
      <c r="I1459" s="7"/>
      <c r="J1459" s="12"/>
      <c r="K1459" s="13"/>
      <c r="L1459" s="14"/>
      <c r="M1459" s="15"/>
      <c r="N1459" s="15"/>
      <c r="O1459" s="16"/>
      <c r="Q1459" s="16"/>
    </row>
    <row r="1460" spans="1:17" x14ac:dyDescent="0.3">
      <c r="A1460" s="5"/>
      <c r="B1460" s="6"/>
      <c r="C1460" s="7"/>
      <c r="D1460" s="8"/>
      <c r="E1460" s="8"/>
      <c r="F1460" s="10"/>
      <c r="G1460" s="10"/>
      <c r="H1460" s="10"/>
      <c r="I1460" s="7"/>
      <c r="J1460" s="12"/>
      <c r="K1460" s="13"/>
      <c r="L1460" s="14"/>
      <c r="M1460" s="15"/>
      <c r="N1460" s="15"/>
      <c r="O1460" s="16"/>
      <c r="Q1460" s="16"/>
    </row>
    <row r="1461" spans="1:17" x14ac:dyDescent="0.3">
      <c r="A1461" s="5"/>
      <c r="B1461" s="6"/>
      <c r="C1461" s="7"/>
      <c r="D1461" s="8"/>
      <c r="E1461" s="8"/>
      <c r="F1461" s="10"/>
      <c r="G1461" s="10"/>
      <c r="H1461" s="10"/>
      <c r="I1461" s="7"/>
      <c r="J1461" s="12"/>
      <c r="K1461" s="13"/>
      <c r="L1461" s="14"/>
      <c r="M1461" s="15"/>
      <c r="N1461" s="15"/>
      <c r="O1461" s="16"/>
      <c r="Q1461" s="16"/>
    </row>
    <row r="1462" spans="1:17" x14ac:dyDescent="0.3">
      <c r="A1462" s="5"/>
      <c r="B1462" s="6"/>
      <c r="C1462" s="7"/>
      <c r="D1462" s="8"/>
      <c r="E1462" s="8"/>
      <c r="F1462" s="10"/>
      <c r="G1462" s="10"/>
      <c r="H1462" s="10"/>
      <c r="I1462" s="7"/>
      <c r="J1462" s="12"/>
      <c r="K1462" s="13"/>
      <c r="L1462" s="14"/>
      <c r="M1462" s="15"/>
      <c r="N1462" s="15"/>
      <c r="O1462" s="16"/>
      <c r="Q1462" s="16"/>
    </row>
    <row r="1463" spans="1:17" x14ac:dyDescent="0.3">
      <c r="A1463" s="5"/>
      <c r="B1463" s="6"/>
      <c r="C1463" s="7"/>
      <c r="D1463" s="8"/>
      <c r="E1463" s="8"/>
      <c r="F1463" s="10"/>
      <c r="G1463" s="10"/>
      <c r="H1463" s="10"/>
      <c r="I1463" s="7"/>
      <c r="J1463" s="12"/>
      <c r="K1463" s="13"/>
      <c r="L1463" s="14"/>
      <c r="M1463" s="15"/>
      <c r="N1463" s="15"/>
      <c r="O1463" s="16"/>
      <c r="Q1463" s="16"/>
    </row>
    <row r="1464" spans="1:17" x14ac:dyDescent="0.3">
      <c r="A1464" s="5"/>
      <c r="B1464" s="6"/>
      <c r="C1464" s="7"/>
      <c r="D1464" s="8"/>
      <c r="E1464" s="8"/>
      <c r="F1464" s="10"/>
      <c r="G1464" s="10"/>
      <c r="H1464" s="10"/>
      <c r="I1464" s="7"/>
      <c r="J1464" s="12"/>
      <c r="K1464" s="13"/>
      <c r="L1464" s="14"/>
      <c r="M1464" s="15"/>
      <c r="N1464" s="15"/>
      <c r="O1464" s="16"/>
      <c r="Q1464" s="16"/>
    </row>
    <row r="1465" spans="1:17" x14ac:dyDescent="0.3">
      <c r="A1465" s="5"/>
      <c r="B1465" s="6"/>
      <c r="C1465" s="7"/>
      <c r="D1465" s="8"/>
      <c r="E1465" s="8"/>
      <c r="F1465" s="10"/>
      <c r="G1465" s="10"/>
      <c r="H1465" s="10"/>
      <c r="I1465" s="7"/>
      <c r="J1465" s="12"/>
      <c r="K1465" s="13"/>
      <c r="L1465" s="14"/>
      <c r="M1465" s="15"/>
      <c r="N1465" s="15"/>
      <c r="O1465" s="16"/>
      <c r="Q1465" s="16"/>
    </row>
    <row r="1466" spans="1:17" x14ac:dyDescent="0.3">
      <c r="A1466" s="5"/>
      <c r="B1466" s="6"/>
      <c r="C1466" s="7"/>
      <c r="D1466" s="8"/>
      <c r="E1466" s="8"/>
      <c r="F1466" s="10"/>
      <c r="G1466" s="10"/>
      <c r="H1466" s="10"/>
      <c r="I1466" s="7"/>
      <c r="J1466" s="12"/>
      <c r="K1466" s="13"/>
      <c r="L1466" s="14"/>
      <c r="M1466" s="15"/>
      <c r="N1466" s="15"/>
      <c r="O1466" s="16"/>
      <c r="Q1466" s="16"/>
    </row>
    <row r="1467" spans="1:17" x14ac:dyDescent="0.3">
      <c r="A1467" s="5"/>
      <c r="B1467" s="6"/>
      <c r="C1467" s="7"/>
      <c r="D1467" s="8"/>
      <c r="E1467" s="8"/>
      <c r="F1467" s="10"/>
      <c r="G1467" s="10"/>
      <c r="H1467" s="10"/>
      <c r="I1467" s="7"/>
      <c r="J1467" s="12"/>
      <c r="K1467" s="13"/>
      <c r="L1467" s="14"/>
      <c r="M1467" s="15"/>
      <c r="N1467" s="15"/>
      <c r="O1467" s="16"/>
      <c r="Q1467" s="16"/>
    </row>
    <row r="1468" spans="1:17" x14ac:dyDescent="0.3">
      <c r="A1468" s="5"/>
      <c r="B1468" s="6"/>
      <c r="C1468" s="7"/>
      <c r="D1468" s="8"/>
      <c r="E1468" s="8"/>
      <c r="F1468" s="10"/>
      <c r="G1468" s="10"/>
      <c r="H1468" s="10"/>
      <c r="I1468" s="7"/>
      <c r="J1468" s="12"/>
      <c r="K1468" s="13"/>
      <c r="L1468" s="14"/>
      <c r="M1468" s="15"/>
      <c r="N1468" s="15"/>
      <c r="O1468" s="16"/>
      <c r="Q1468" s="16"/>
    </row>
    <row r="1469" spans="1:17" x14ac:dyDescent="0.3">
      <c r="A1469" s="5"/>
      <c r="B1469" s="6"/>
      <c r="C1469" s="7"/>
      <c r="D1469" s="8"/>
      <c r="E1469" s="8"/>
      <c r="F1469" s="10"/>
      <c r="G1469" s="10"/>
      <c r="H1469" s="10"/>
      <c r="I1469" s="7"/>
      <c r="J1469" s="12"/>
      <c r="K1469" s="13"/>
      <c r="L1469" s="14"/>
      <c r="M1469" s="15"/>
      <c r="N1469" s="15"/>
      <c r="O1469" s="16"/>
      <c r="Q1469" s="16"/>
    </row>
    <row r="1470" spans="1:17" x14ac:dyDescent="0.3">
      <c r="A1470" s="5"/>
      <c r="B1470" s="6"/>
      <c r="C1470" s="7"/>
      <c r="D1470" s="8"/>
      <c r="E1470" s="8"/>
      <c r="F1470" s="10"/>
      <c r="G1470" s="10"/>
      <c r="H1470" s="10"/>
      <c r="I1470" s="7"/>
      <c r="J1470" s="12"/>
      <c r="K1470" s="13"/>
      <c r="L1470" s="14"/>
      <c r="M1470" s="15"/>
      <c r="N1470" s="15"/>
      <c r="O1470" s="16"/>
      <c r="Q1470" s="16"/>
    </row>
    <row r="1471" spans="1:17" x14ac:dyDescent="0.3">
      <c r="A1471" s="5"/>
      <c r="B1471" s="6"/>
      <c r="C1471" s="7"/>
      <c r="D1471" s="8"/>
      <c r="E1471" s="8"/>
      <c r="F1471" s="10"/>
      <c r="G1471" s="10"/>
      <c r="H1471" s="10"/>
      <c r="I1471" s="7"/>
      <c r="J1471" s="12"/>
      <c r="K1471" s="13"/>
      <c r="L1471" s="14"/>
      <c r="M1471" s="15"/>
      <c r="N1471" s="15"/>
      <c r="O1471" s="16"/>
      <c r="Q1471" s="16"/>
    </row>
    <row r="1472" spans="1:17" x14ac:dyDescent="0.3">
      <c r="A1472" s="5"/>
      <c r="B1472" s="6"/>
      <c r="C1472" s="7"/>
      <c r="D1472" s="8"/>
      <c r="E1472" s="8"/>
      <c r="F1472" s="10"/>
      <c r="G1472" s="10"/>
      <c r="H1472" s="10"/>
      <c r="I1472" s="7"/>
      <c r="J1472" s="12"/>
      <c r="K1472" s="13"/>
      <c r="L1472" s="14"/>
      <c r="M1472" s="15"/>
      <c r="N1472" s="15"/>
      <c r="O1472" s="16"/>
      <c r="Q1472" s="16"/>
    </row>
    <row r="1473" spans="1:17" x14ac:dyDescent="0.3">
      <c r="A1473" s="5"/>
      <c r="B1473" s="6"/>
      <c r="C1473" s="7"/>
      <c r="D1473" s="8"/>
      <c r="E1473" s="8"/>
      <c r="F1473" s="10"/>
      <c r="G1473" s="10"/>
      <c r="H1473" s="10"/>
      <c r="I1473" s="7"/>
      <c r="J1473" s="12"/>
      <c r="K1473" s="13"/>
      <c r="L1473" s="14"/>
      <c r="M1473" s="15"/>
      <c r="N1473" s="15"/>
      <c r="O1473" s="16"/>
      <c r="Q1473" s="16"/>
    </row>
    <row r="1474" spans="1:17" x14ac:dyDescent="0.3">
      <c r="A1474" s="5"/>
      <c r="B1474" s="6"/>
      <c r="C1474" s="7"/>
      <c r="D1474" s="8"/>
      <c r="E1474" s="8"/>
      <c r="F1474" s="10"/>
      <c r="G1474" s="10"/>
      <c r="H1474" s="10"/>
      <c r="I1474" s="7"/>
      <c r="J1474" s="12"/>
      <c r="K1474" s="13"/>
      <c r="L1474" s="14"/>
      <c r="M1474" s="15"/>
      <c r="N1474" s="15"/>
      <c r="O1474" s="16"/>
      <c r="Q1474" s="16"/>
    </row>
    <row r="1475" spans="1:17" x14ac:dyDescent="0.3">
      <c r="A1475" s="5"/>
      <c r="B1475" s="6"/>
      <c r="C1475" s="7"/>
      <c r="D1475" s="8"/>
      <c r="E1475" s="8"/>
      <c r="F1475" s="10"/>
      <c r="G1475" s="10"/>
      <c r="H1475" s="10"/>
      <c r="I1475" s="7"/>
      <c r="J1475" s="12"/>
      <c r="K1475" s="13"/>
      <c r="L1475" s="14"/>
      <c r="M1475" s="15"/>
      <c r="N1475" s="15"/>
      <c r="O1475" s="16"/>
      <c r="Q1475" s="16"/>
    </row>
    <row r="1476" spans="1:17" x14ac:dyDescent="0.3">
      <c r="A1476" s="5"/>
      <c r="B1476" s="6"/>
      <c r="C1476" s="7"/>
      <c r="D1476" s="8"/>
      <c r="E1476" s="8"/>
      <c r="F1476" s="10"/>
      <c r="G1476" s="10"/>
      <c r="H1476" s="10"/>
      <c r="I1476" s="7"/>
      <c r="J1476" s="12"/>
      <c r="K1476" s="13"/>
      <c r="L1476" s="14"/>
      <c r="M1476" s="15"/>
      <c r="N1476" s="15"/>
      <c r="O1476" s="16"/>
      <c r="Q1476" s="16"/>
    </row>
    <row r="1477" spans="1:17" x14ac:dyDescent="0.3">
      <c r="A1477" s="5"/>
      <c r="B1477" s="6"/>
      <c r="C1477" s="7"/>
      <c r="D1477" s="8"/>
      <c r="E1477" s="8"/>
      <c r="F1477" s="10"/>
      <c r="G1477" s="10"/>
      <c r="H1477" s="10"/>
      <c r="I1477" s="7"/>
      <c r="J1477" s="12"/>
      <c r="K1477" s="13"/>
      <c r="L1477" s="14"/>
      <c r="M1477" s="15"/>
      <c r="N1477" s="15"/>
      <c r="O1477" s="16"/>
      <c r="Q1477" s="16"/>
    </row>
    <row r="1478" spans="1:17" x14ac:dyDescent="0.3">
      <c r="A1478" s="5"/>
      <c r="B1478" s="6"/>
      <c r="C1478" s="7"/>
      <c r="D1478" s="8"/>
      <c r="E1478" s="8"/>
      <c r="F1478" s="10"/>
      <c r="G1478" s="10"/>
      <c r="H1478" s="10"/>
      <c r="I1478" s="7"/>
      <c r="J1478" s="12"/>
      <c r="K1478" s="13"/>
      <c r="L1478" s="14"/>
      <c r="M1478" s="15"/>
      <c r="N1478" s="15"/>
      <c r="O1478" s="16"/>
      <c r="Q1478" s="16"/>
    </row>
    <row r="1479" spans="1:17" x14ac:dyDescent="0.3">
      <c r="A1479" s="5"/>
      <c r="B1479" s="6"/>
      <c r="C1479" s="7"/>
      <c r="D1479" s="8"/>
      <c r="E1479" s="8"/>
      <c r="F1479" s="10"/>
      <c r="G1479" s="10"/>
      <c r="H1479" s="10"/>
      <c r="I1479" s="7"/>
      <c r="J1479" s="12"/>
      <c r="K1479" s="13"/>
      <c r="L1479" s="14"/>
      <c r="M1479" s="15"/>
      <c r="N1479" s="15"/>
      <c r="O1479" s="16"/>
      <c r="Q1479" s="16"/>
    </row>
    <row r="1480" spans="1:17" x14ac:dyDescent="0.3">
      <c r="A1480" s="5"/>
      <c r="B1480" s="6"/>
      <c r="C1480" s="7"/>
      <c r="D1480" s="8"/>
      <c r="E1480" s="8"/>
      <c r="F1480" s="10"/>
      <c r="G1480" s="10"/>
      <c r="H1480" s="10"/>
      <c r="I1480" s="7"/>
      <c r="J1480" s="12"/>
      <c r="K1480" s="13"/>
      <c r="L1480" s="14"/>
      <c r="M1480" s="15"/>
      <c r="N1480" s="15"/>
      <c r="O1480" s="16"/>
      <c r="Q1480" s="16"/>
    </row>
    <row r="1481" spans="1:17" x14ac:dyDescent="0.3">
      <c r="A1481" s="5"/>
      <c r="B1481" s="6"/>
      <c r="C1481" s="7"/>
      <c r="D1481" s="8"/>
      <c r="E1481" s="8"/>
      <c r="F1481" s="10"/>
      <c r="G1481" s="10"/>
      <c r="H1481" s="10"/>
      <c r="I1481" s="7"/>
      <c r="J1481" s="12"/>
      <c r="K1481" s="13"/>
      <c r="L1481" s="14"/>
      <c r="M1481" s="15"/>
      <c r="N1481" s="15"/>
      <c r="O1481" s="16"/>
      <c r="Q1481" s="16"/>
    </row>
    <row r="1482" spans="1:17" x14ac:dyDescent="0.3">
      <c r="A1482" s="5"/>
      <c r="B1482" s="6"/>
      <c r="C1482" s="7"/>
      <c r="D1482" s="8"/>
      <c r="E1482" s="8"/>
      <c r="F1482" s="10"/>
      <c r="G1482" s="10"/>
      <c r="H1482" s="10"/>
      <c r="I1482" s="7"/>
      <c r="J1482" s="12"/>
      <c r="K1482" s="13"/>
      <c r="L1482" s="14"/>
      <c r="M1482" s="15"/>
      <c r="N1482" s="15"/>
      <c r="O1482" s="16"/>
      <c r="Q1482" s="16"/>
    </row>
    <row r="1483" spans="1:17" x14ac:dyDescent="0.3">
      <c r="A1483" s="5"/>
      <c r="B1483" s="6"/>
      <c r="C1483" s="7"/>
      <c r="D1483" s="8"/>
      <c r="E1483" s="8"/>
      <c r="F1483" s="10"/>
      <c r="G1483" s="10"/>
      <c r="H1483" s="10"/>
      <c r="I1483" s="7"/>
      <c r="J1483" s="12"/>
      <c r="K1483" s="13"/>
      <c r="L1483" s="14"/>
      <c r="M1483" s="15"/>
      <c r="N1483" s="15"/>
      <c r="O1483" s="16"/>
      <c r="Q1483" s="16"/>
    </row>
    <row r="1484" spans="1:17" x14ac:dyDescent="0.3">
      <c r="A1484" s="5"/>
      <c r="B1484" s="6"/>
      <c r="C1484" s="7"/>
      <c r="D1484" s="8"/>
      <c r="E1484" s="8"/>
      <c r="F1484" s="10"/>
      <c r="G1484" s="10"/>
      <c r="H1484" s="10"/>
      <c r="I1484" s="7"/>
      <c r="J1484" s="12"/>
      <c r="K1484" s="13"/>
      <c r="L1484" s="14"/>
      <c r="M1484" s="15"/>
      <c r="N1484" s="15"/>
      <c r="O1484" s="16"/>
      <c r="Q1484" s="16"/>
    </row>
    <row r="1485" spans="1:17" x14ac:dyDescent="0.3">
      <c r="A1485" s="5"/>
      <c r="B1485" s="6"/>
      <c r="C1485" s="7"/>
      <c r="D1485" s="8"/>
      <c r="E1485" s="8"/>
      <c r="F1485" s="10"/>
      <c r="G1485" s="10"/>
      <c r="H1485" s="10"/>
      <c r="I1485" s="7"/>
      <c r="J1485" s="12"/>
      <c r="K1485" s="13"/>
      <c r="L1485" s="14"/>
      <c r="M1485" s="15"/>
      <c r="N1485" s="15"/>
      <c r="O1485" s="16"/>
      <c r="Q1485" s="16"/>
    </row>
    <row r="1486" spans="1:17" x14ac:dyDescent="0.3">
      <c r="A1486" s="5"/>
      <c r="B1486" s="6"/>
      <c r="C1486" s="7"/>
      <c r="D1486" s="8"/>
      <c r="E1486" s="8"/>
      <c r="F1486" s="10"/>
      <c r="G1486" s="10"/>
      <c r="H1486" s="10"/>
      <c r="I1486" s="7"/>
      <c r="J1486" s="12"/>
      <c r="K1486" s="13"/>
      <c r="L1486" s="14"/>
      <c r="M1486" s="15"/>
      <c r="N1486" s="15"/>
      <c r="O1486" s="16"/>
      <c r="Q1486" s="16"/>
    </row>
    <row r="1487" spans="1:17" x14ac:dyDescent="0.3">
      <c r="A1487" s="5"/>
      <c r="B1487" s="6"/>
      <c r="C1487" s="7"/>
      <c r="D1487" s="8"/>
      <c r="E1487" s="8"/>
      <c r="F1487" s="10"/>
      <c r="G1487" s="10"/>
      <c r="H1487" s="10"/>
      <c r="I1487" s="7"/>
      <c r="J1487" s="12"/>
      <c r="K1487" s="13"/>
      <c r="L1487" s="14"/>
      <c r="M1487" s="15"/>
      <c r="N1487" s="15"/>
      <c r="O1487" s="16"/>
      <c r="Q1487" s="16"/>
    </row>
    <row r="1488" spans="1:17" x14ac:dyDescent="0.3">
      <c r="A1488" s="5"/>
      <c r="B1488" s="6"/>
      <c r="C1488" s="7"/>
      <c r="D1488" s="8"/>
      <c r="E1488" s="8"/>
      <c r="F1488" s="10"/>
      <c r="G1488" s="10"/>
      <c r="H1488" s="10"/>
      <c r="I1488" s="7"/>
      <c r="J1488" s="12"/>
      <c r="K1488" s="13"/>
      <c r="L1488" s="14"/>
      <c r="M1488" s="15"/>
      <c r="N1488" s="15"/>
      <c r="O1488" s="16"/>
      <c r="Q1488" s="16"/>
    </row>
    <row r="1489" spans="1:17" x14ac:dyDescent="0.3">
      <c r="A1489" s="5"/>
      <c r="B1489" s="6"/>
      <c r="C1489" s="7"/>
      <c r="D1489" s="8"/>
      <c r="E1489" s="8"/>
      <c r="F1489" s="10"/>
      <c r="G1489" s="10"/>
      <c r="H1489" s="10"/>
      <c r="I1489" s="7"/>
      <c r="J1489" s="12"/>
      <c r="K1489" s="13"/>
      <c r="L1489" s="14"/>
      <c r="M1489" s="15"/>
      <c r="N1489" s="15"/>
      <c r="O1489" s="16"/>
      <c r="Q1489" s="16"/>
    </row>
    <row r="1490" spans="1:17" x14ac:dyDescent="0.3">
      <c r="A1490" s="5"/>
      <c r="B1490" s="6"/>
      <c r="C1490" s="7"/>
      <c r="D1490" s="8"/>
      <c r="E1490" s="8"/>
      <c r="F1490" s="10"/>
      <c r="G1490" s="10"/>
      <c r="H1490" s="10"/>
      <c r="I1490" s="7"/>
      <c r="J1490" s="12"/>
      <c r="K1490" s="13"/>
      <c r="L1490" s="14"/>
      <c r="M1490" s="15"/>
      <c r="N1490" s="15"/>
      <c r="O1490" s="16"/>
      <c r="Q1490" s="16"/>
    </row>
    <row r="1491" spans="1:17" x14ac:dyDescent="0.3">
      <c r="A1491" s="5"/>
      <c r="B1491" s="6"/>
      <c r="C1491" s="7"/>
      <c r="D1491" s="8"/>
      <c r="E1491" s="8"/>
      <c r="F1491" s="10"/>
      <c r="G1491" s="10"/>
      <c r="H1491" s="10"/>
      <c r="I1491" s="7"/>
      <c r="J1491" s="12"/>
      <c r="K1491" s="13"/>
      <c r="L1491" s="14"/>
      <c r="M1491" s="15"/>
      <c r="N1491" s="15"/>
      <c r="O1491" s="16"/>
      <c r="Q1491" s="16"/>
    </row>
    <row r="1492" spans="1:17" x14ac:dyDescent="0.3">
      <c r="A1492" s="5"/>
      <c r="B1492" s="6"/>
      <c r="C1492" s="7"/>
      <c r="D1492" s="8"/>
      <c r="E1492" s="8"/>
      <c r="F1492" s="10"/>
      <c r="G1492" s="10"/>
      <c r="H1492" s="10"/>
      <c r="I1492" s="7"/>
      <c r="J1492" s="12"/>
      <c r="K1492" s="13"/>
      <c r="L1492" s="14"/>
      <c r="M1492" s="15"/>
      <c r="N1492" s="15"/>
      <c r="O1492" s="16"/>
      <c r="Q1492" s="16"/>
    </row>
    <row r="1493" spans="1:17" x14ac:dyDescent="0.3">
      <c r="A1493" s="5"/>
      <c r="B1493" s="6"/>
      <c r="C1493" s="7"/>
      <c r="D1493" s="8"/>
      <c r="E1493" s="8"/>
      <c r="F1493" s="10"/>
      <c r="G1493" s="10"/>
      <c r="H1493" s="10"/>
      <c r="I1493" s="7"/>
      <c r="J1493" s="12"/>
      <c r="K1493" s="13"/>
      <c r="L1493" s="14"/>
      <c r="M1493" s="15"/>
      <c r="N1493" s="15"/>
      <c r="O1493" s="16"/>
      <c r="Q1493" s="16"/>
    </row>
    <row r="1494" spans="1:17" x14ac:dyDescent="0.3">
      <c r="A1494" s="5"/>
      <c r="B1494" s="6"/>
      <c r="C1494" s="7"/>
      <c r="D1494" s="8"/>
      <c r="E1494" s="8"/>
      <c r="F1494" s="10"/>
      <c r="G1494" s="10"/>
      <c r="H1494" s="10"/>
      <c r="I1494" s="7"/>
      <c r="J1494" s="12"/>
      <c r="K1494" s="13"/>
      <c r="L1494" s="14"/>
      <c r="M1494" s="15"/>
      <c r="N1494" s="15"/>
      <c r="O1494" s="16"/>
      <c r="Q1494" s="16"/>
    </row>
    <row r="1495" spans="1:17" x14ac:dyDescent="0.3">
      <c r="A1495" s="5"/>
      <c r="B1495" s="6"/>
      <c r="C1495" s="7"/>
      <c r="D1495" s="8"/>
      <c r="E1495" s="8"/>
      <c r="F1495" s="10"/>
      <c r="G1495" s="10"/>
      <c r="H1495" s="10"/>
      <c r="I1495" s="7"/>
      <c r="J1495" s="12"/>
      <c r="K1495" s="13"/>
      <c r="L1495" s="14"/>
      <c r="M1495" s="15"/>
      <c r="N1495" s="15"/>
      <c r="O1495" s="16"/>
      <c r="Q1495" s="16"/>
    </row>
    <row r="1496" spans="1:17" x14ac:dyDescent="0.3">
      <c r="A1496" s="5"/>
      <c r="B1496" s="6"/>
      <c r="C1496" s="7"/>
      <c r="D1496" s="8"/>
      <c r="E1496" s="8"/>
      <c r="F1496" s="10"/>
      <c r="G1496" s="10"/>
      <c r="H1496" s="10"/>
      <c r="I1496" s="7"/>
      <c r="J1496" s="12"/>
      <c r="K1496" s="13"/>
      <c r="L1496" s="14"/>
      <c r="M1496" s="15"/>
      <c r="N1496" s="15"/>
      <c r="O1496" s="16"/>
      <c r="Q1496" s="16"/>
    </row>
    <row r="1497" spans="1:17" x14ac:dyDescent="0.3">
      <c r="A1497" s="5"/>
      <c r="B1497" s="6"/>
      <c r="C1497" s="7"/>
      <c r="D1497" s="8"/>
      <c r="E1497" s="8"/>
      <c r="F1497" s="10"/>
      <c r="G1497" s="10"/>
      <c r="H1497" s="10"/>
      <c r="I1497" s="7"/>
      <c r="J1497" s="12"/>
      <c r="K1497" s="13"/>
      <c r="L1497" s="14"/>
      <c r="M1497" s="15"/>
      <c r="N1497" s="15"/>
      <c r="O1497" s="16"/>
      <c r="Q1497" s="16"/>
    </row>
    <row r="1498" spans="1:17" x14ac:dyDescent="0.3">
      <c r="A1498" s="5"/>
      <c r="B1498" s="6"/>
      <c r="C1498" s="7"/>
      <c r="D1498" s="8"/>
      <c r="E1498" s="8"/>
      <c r="F1498" s="10"/>
      <c r="G1498" s="10"/>
      <c r="H1498" s="10"/>
      <c r="I1498" s="7"/>
      <c r="J1498" s="12"/>
      <c r="K1498" s="13"/>
      <c r="L1498" s="14"/>
      <c r="M1498" s="15"/>
      <c r="N1498" s="15"/>
      <c r="O1498" s="16"/>
      <c r="Q1498" s="16"/>
    </row>
    <row r="1499" spans="1:17" x14ac:dyDescent="0.3">
      <c r="A1499" s="5"/>
      <c r="B1499" s="6"/>
      <c r="C1499" s="7"/>
      <c r="D1499" s="8"/>
      <c r="E1499" s="8"/>
      <c r="F1499" s="10"/>
      <c r="G1499" s="10"/>
      <c r="H1499" s="10"/>
      <c r="I1499" s="7"/>
      <c r="J1499" s="12"/>
      <c r="K1499" s="13"/>
      <c r="L1499" s="14"/>
      <c r="M1499" s="15"/>
      <c r="N1499" s="15"/>
      <c r="O1499" s="16"/>
      <c r="Q1499" s="16"/>
    </row>
    <row r="1500" spans="1:17" x14ac:dyDescent="0.3">
      <c r="A1500" s="5"/>
      <c r="B1500" s="6"/>
      <c r="C1500" s="7"/>
      <c r="D1500" s="8"/>
      <c r="E1500" s="8"/>
      <c r="F1500" s="10"/>
      <c r="G1500" s="10"/>
      <c r="H1500" s="10"/>
      <c r="I1500" s="7"/>
      <c r="J1500" s="12"/>
      <c r="K1500" s="13"/>
      <c r="L1500" s="14"/>
      <c r="M1500" s="15"/>
      <c r="N1500" s="15"/>
      <c r="O1500" s="16"/>
      <c r="Q1500" s="16"/>
    </row>
    <row r="1501" spans="1:17" x14ac:dyDescent="0.3">
      <c r="A1501" s="5"/>
      <c r="B1501" s="6"/>
      <c r="C1501" s="7"/>
      <c r="D1501" s="8"/>
      <c r="E1501" s="8"/>
      <c r="F1501" s="10"/>
      <c r="G1501" s="10"/>
      <c r="H1501" s="10"/>
      <c r="I1501" s="7"/>
      <c r="J1501" s="12"/>
      <c r="K1501" s="13"/>
      <c r="L1501" s="14"/>
      <c r="M1501" s="15"/>
      <c r="N1501" s="15"/>
      <c r="O1501" s="16"/>
      <c r="Q1501" s="16"/>
    </row>
    <row r="1502" spans="1:17" x14ac:dyDescent="0.3">
      <c r="A1502" s="5"/>
      <c r="B1502" s="6"/>
      <c r="C1502" s="7"/>
      <c r="D1502" s="8"/>
      <c r="E1502" s="8"/>
      <c r="F1502" s="10"/>
      <c r="G1502" s="10"/>
      <c r="H1502" s="10"/>
      <c r="I1502" s="7"/>
      <c r="J1502" s="12"/>
      <c r="K1502" s="13"/>
      <c r="L1502" s="14"/>
      <c r="M1502" s="15"/>
      <c r="N1502" s="15"/>
      <c r="O1502" s="16"/>
      <c r="Q1502" s="16"/>
    </row>
    <row r="1503" spans="1:17" x14ac:dyDescent="0.3">
      <c r="A1503" s="5"/>
      <c r="B1503" s="6"/>
      <c r="C1503" s="7"/>
      <c r="D1503" s="8"/>
      <c r="E1503" s="8"/>
      <c r="F1503" s="10"/>
      <c r="G1503" s="10"/>
      <c r="H1503" s="10"/>
      <c r="I1503" s="7"/>
      <c r="J1503" s="12"/>
      <c r="K1503" s="13"/>
      <c r="L1503" s="14"/>
      <c r="M1503" s="15"/>
      <c r="N1503" s="15"/>
      <c r="O1503" s="16"/>
      <c r="Q1503" s="16"/>
    </row>
    <row r="1504" spans="1:17" x14ac:dyDescent="0.3">
      <c r="A1504" s="5"/>
      <c r="B1504" s="6"/>
      <c r="C1504" s="7"/>
      <c r="D1504" s="8"/>
      <c r="E1504" s="8"/>
      <c r="F1504" s="10"/>
      <c r="G1504" s="10"/>
      <c r="H1504" s="10"/>
      <c r="I1504" s="7"/>
      <c r="J1504" s="12"/>
      <c r="K1504" s="13"/>
      <c r="L1504" s="14"/>
      <c r="M1504" s="15"/>
      <c r="N1504" s="15"/>
      <c r="O1504" s="16"/>
      <c r="Q1504" s="16"/>
    </row>
    <row r="1505" spans="1:17" x14ac:dyDescent="0.3">
      <c r="A1505" s="5"/>
      <c r="B1505" s="6"/>
      <c r="C1505" s="7"/>
      <c r="D1505" s="8"/>
      <c r="E1505" s="8"/>
      <c r="F1505" s="10"/>
      <c r="G1505" s="10"/>
      <c r="H1505" s="10"/>
      <c r="I1505" s="7"/>
      <c r="J1505" s="12"/>
      <c r="K1505" s="13"/>
      <c r="L1505" s="14"/>
      <c r="M1505" s="15"/>
      <c r="N1505" s="15"/>
      <c r="O1505" s="16"/>
      <c r="Q1505" s="16"/>
    </row>
    <row r="1506" spans="1:17" x14ac:dyDescent="0.3">
      <c r="A1506" s="5"/>
      <c r="B1506" s="6"/>
      <c r="C1506" s="7"/>
      <c r="D1506" s="8"/>
      <c r="E1506" s="8"/>
      <c r="F1506" s="10"/>
      <c r="G1506" s="10"/>
      <c r="H1506" s="10"/>
      <c r="I1506" s="7"/>
      <c r="J1506" s="12"/>
      <c r="K1506" s="13"/>
      <c r="L1506" s="14"/>
      <c r="M1506" s="15"/>
      <c r="N1506" s="15"/>
      <c r="O1506" s="16"/>
      <c r="Q1506" s="16"/>
    </row>
    <row r="1507" spans="1:17" x14ac:dyDescent="0.3">
      <c r="A1507" s="5"/>
      <c r="B1507" s="6"/>
      <c r="C1507" s="7"/>
      <c r="D1507" s="8"/>
      <c r="E1507" s="8"/>
      <c r="F1507" s="10"/>
      <c r="G1507" s="10"/>
      <c r="H1507" s="10"/>
      <c r="I1507" s="7"/>
      <c r="J1507" s="12"/>
      <c r="K1507" s="13"/>
      <c r="L1507" s="14"/>
      <c r="M1507" s="15"/>
      <c r="N1507" s="15"/>
      <c r="O1507" s="16"/>
      <c r="Q1507" s="16"/>
    </row>
    <row r="1508" spans="1:17" x14ac:dyDescent="0.3">
      <c r="A1508" s="5"/>
      <c r="B1508" s="6"/>
      <c r="C1508" s="7"/>
      <c r="D1508" s="8"/>
      <c r="E1508" s="8"/>
      <c r="F1508" s="10"/>
      <c r="G1508" s="10"/>
      <c r="H1508" s="10"/>
      <c r="I1508" s="7"/>
      <c r="J1508" s="12"/>
      <c r="K1508" s="13"/>
      <c r="L1508" s="14"/>
      <c r="M1508" s="15"/>
      <c r="N1508" s="15"/>
      <c r="O1508" s="16"/>
      <c r="Q1508" s="16"/>
    </row>
    <row r="1509" spans="1:17" x14ac:dyDescent="0.3">
      <c r="A1509" s="5"/>
      <c r="B1509" s="6"/>
      <c r="C1509" s="7"/>
      <c r="D1509" s="8"/>
      <c r="E1509" s="8"/>
      <c r="F1509" s="10"/>
      <c r="G1509" s="10"/>
      <c r="H1509" s="10"/>
      <c r="I1509" s="7"/>
      <c r="J1509" s="12"/>
      <c r="K1509" s="13"/>
      <c r="L1509" s="14"/>
      <c r="M1509" s="15"/>
      <c r="N1509" s="15"/>
      <c r="O1509" s="16"/>
      <c r="Q1509" s="16"/>
    </row>
    <row r="1510" spans="1:17" x14ac:dyDescent="0.3">
      <c r="A1510" s="5"/>
      <c r="B1510" s="6"/>
      <c r="C1510" s="7"/>
      <c r="D1510" s="8"/>
      <c r="E1510" s="8"/>
      <c r="F1510" s="10"/>
      <c r="G1510" s="10"/>
      <c r="H1510" s="10"/>
      <c r="I1510" s="7"/>
      <c r="J1510" s="12"/>
      <c r="K1510" s="13"/>
      <c r="L1510" s="14"/>
      <c r="M1510" s="15"/>
      <c r="N1510" s="15"/>
      <c r="O1510" s="16"/>
      <c r="Q1510" s="16"/>
    </row>
    <row r="1511" spans="1:17" x14ac:dyDescent="0.3">
      <c r="A1511" s="5"/>
      <c r="B1511" s="6"/>
      <c r="C1511" s="7"/>
      <c r="D1511" s="8"/>
      <c r="E1511" s="8"/>
      <c r="F1511" s="10"/>
      <c r="G1511" s="10"/>
      <c r="H1511" s="10"/>
      <c r="I1511" s="7"/>
      <c r="J1511" s="12"/>
      <c r="K1511" s="13"/>
      <c r="L1511" s="14"/>
      <c r="M1511" s="15"/>
      <c r="N1511" s="15"/>
      <c r="O1511" s="16"/>
      <c r="Q1511" s="16"/>
    </row>
    <row r="1512" spans="1:17" x14ac:dyDescent="0.3">
      <c r="A1512" s="5"/>
      <c r="B1512" s="6"/>
      <c r="C1512" s="7"/>
      <c r="D1512" s="8"/>
      <c r="E1512" s="8"/>
      <c r="F1512" s="10"/>
      <c r="G1512" s="10"/>
      <c r="H1512" s="10"/>
      <c r="I1512" s="7"/>
      <c r="J1512" s="12"/>
      <c r="K1512" s="13"/>
      <c r="L1512" s="14"/>
      <c r="M1512" s="15"/>
      <c r="N1512" s="15"/>
      <c r="O1512" s="16"/>
      <c r="Q1512" s="16"/>
    </row>
    <row r="1513" spans="1:17" x14ac:dyDescent="0.3">
      <c r="A1513" s="5"/>
      <c r="B1513" s="6"/>
      <c r="C1513" s="7"/>
      <c r="D1513" s="8"/>
      <c r="E1513" s="8"/>
      <c r="F1513" s="10"/>
      <c r="G1513" s="10"/>
      <c r="H1513" s="10"/>
      <c r="I1513" s="7"/>
      <c r="J1513" s="12"/>
      <c r="K1513" s="13"/>
      <c r="L1513" s="14"/>
      <c r="M1513" s="15"/>
      <c r="N1513" s="15"/>
      <c r="O1513" s="16"/>
      <c r="Q1513" s="16"/>
    </row>
    <row r="1514" spans="1:17" x14ac:dyDescent="0.3">
      <c r="A1514" s="5"/>
      <c r="B1514" s="6"/>
      <c r="C1514" s="7"/>
      <c r="D1514" s="8"/>
      <c r="E1514" s="8"/>
      <c r="F1514" s="10"/>
      <c r="G1514" s="10"/>
      <c r="H1514" s="10"/>
      <c r="I1514" s="7"/>
      <c r="J1514" s="12"/>
      <c r="K1514" s="13"/>
      <c r="L1514" s="14"/>
      <c r="M1514" s="15"/>
      <c r="N1514" s="15"/>
      <c r="O1514" s="16"/>
      <c r="Q1514" s="16"/>
    </row>
    <row r="1515" spans="1:17" x14ac:dyDescent="0.3">
      <c r="A1515" s="5"/>
      <c r="B1515" s="6"/>
      <c r="C1515" s="7"/>
      <c r="D1515" s="8"/>
      <c r="E1515" s="8"/>
      <c r="F1515" s="10"/>
      <c r="G1515" s="10"/>
      <c r="H1515" s="10"/>
      <c r="I1515" s="7"/>
      <c r="J1515" s="12"/>
      <c r="K1515" s="13"/>
      <c r="L1515" s="14"/>
      <c r="M1515" s="15"/>
      <c r="N1515" s="15"/>
      <c r="O1515" s="16"/>
      <c r="Q1515" s="16"/>
    </row>
    <row r="1516" spans="1:17" x14ac:dyDescent="0.3">
      <c r="A1516" s="5"/>
      <c r="B1516" s="6"/>
      <c r="C1516" s="7"/>
      <c r="D1516" s="8"/>
      <c r="E1516" s="8"/>
      <c r="F1516" s="10"/>
      <c r="G1516" s="10"/>
      <c r="H1516" s="10"/>
      <c r="I1516" s="7"/>
      <c r="J1516" s="12"/>
      <c r="K1516" s="13"/>
      <c r="L1516" s="14"/>
      <c r="M1516" s="15"/>
      <c r="N1516" s="15"/>
      <c r="O1516" s="16"/>
      <c r="Q1516" s="16"/>
    </row>
    <row r="1517" spans="1:17" x14ac:dyDescent="0.3">
      <c r="A1517" s="5"/>
      <c r="B1517" s="6"/>
      <c r="C1517" s="7"/>
      <c r="D1517" s="8"/>
      <c r="E1517" s="8"/>
      <c r="F1517" s="10"/>
      <c r="G1517" s="10"/>
      <c r="H1517" s="10"/>
      <c r="I1517" s="7"/>
      <c r="J1517" s="12"/>
      <c r="K1517" s="13"/>
      <c r="L1517" s="14"/>
      <c r="M1517" s="15"/>
      <c r="N1517" s="15"/>
      <c r="O1517" s="16"/>
      <c r="Q1517" s="16"/>
    </row>
    <row r="1518" spans="1:17" x14ac:dyDescent="0.3">
      <c r="A1518" s="5"/>
      <c r="B1518" s="6"/>
      <c r="C1518" s="7"/>
      <c r="D1518" s="8"/>
      <c r="E1518" s="8"/>
      <c r="F1518" s="10"/>
      <c r="G1518" s="10"/>
      <c r="H1518" s="10"/>
      <c r="I1518" s="7"/>
      <c r="J1518" s="12"/>
      <c r="K1518" s="13"/>
      <c r="L1518" s="14"/>
      <c r="M1518" s="15"/>
      <c r="N1518" s="15"/>
      <c r="O1518" s="16"/>
      <c r="Q1518" s="16"/>
    </row>
    <row r="1519" spans="1:17" x14ac:dyDescent="0.3">
      <c r="A1519" s="5"/>
      <c r="B1519" s="6"/>
      <c r="C1519" s="7"/>
      <c r="D1519" s="8"/>
      <c r="E1519" s="8"/>
      <c r="F1519" s="10"/>
      <c r="G1519" s="10"/>
      <c r="H1519" s="10"/>
      <c r="I1519" s="7"/>
      <c r="J1519" s="12"/>
      <c r="K1519" s="13"/>
      <c r="L1519" s="14"/>
      <c r="M1519" s="15"/>
      <c r="N1519" s="15"/>
      <c r="O1519" s="16"/>
      <c r="Q1519" s="16"/>
    </row>
    <row r="1520" spans="1:17" x14ac:dyDescent="0.3">
      <c r="A1520" s="5"/>
      <c r="B1520" s="6"/>
      <c r="C1520" s="7"/>
      <c r="D1520" s="8"/>
      <c r="E1520" s="8"/>
      <c r="F1520" s="10"/>
      <c r="G1520" s="10"/>
      <c r="H1520" s="10"/>
      <c r="I1520" s="7"/>
      <c r="J1520" s="12"/>
      <c r="K1520" s="13"/>
      <c r="L1520" s="14"/>
      <c r="M1520" s="15"/>
      <c r="N1520" s="15"/>
      <c r="O1520" s="16"/>
      <c r="Q1520" s="16"/>
    </row>
    <row r="1521" spans="1:17" x14ac:dyDescent="0.3">
      <c r="A1521" s="5"/>
      <c r="B1521" s="6"/>
      <c r="C1521" s="7"/>
      <c r="D1521" s="8"/>
      <c r="E1521" s="8"/>
      <c r="F1521" s="10"/>
      <c r="G1521" s="10"/>
      <c r="H1521" s="10"/>
      <c r="I1521" s="7"/>
      <c r="J1521" s="12"/>
      <c r="K1521" s="13"/>
      <c r="L1521" s="14"/>
      <c r="M1521" s="15"/>
      <c r="N1521" s="15"/>
      <c r="O1521" s="16"/>
      <c r="Q1521" s="16"/>
    </row>
    <row r="1522" spans="1:17" x14ac:dyDescent="0.3">
      <c r="A1522" s="5"/>
      <c r="B1522" s="6"/>
      <c r="C1522" s="7"/>
      <c r="D1522" s="8"/>
      <c r="E1522" s="8"/>
      <c r="F1522" s="10"/>
      <c r="G1522" s="10"/>
      <c r="H1522" s="10"/>
      <c r="I1522" s="7"/>
      <c r="J1522" s="12"/>
      <c r="K1522" s="13"/>
      <c r="L1522" s="14"/>
      <c r="M1522" s="15"/>
      <c r="N1522" s="15"/>
      <c r="O1522" s="16"/>
      <c r="Q1522" s="16"/>
    </row>
    <row r="1523" spans="1:17" x14ac:dyDescent="0.3">
      <c r="A1523" s="5"/>
      <c r="B1523" s="6"/>
      <c r="C1523" s="7"/>
      <c r="D1523" s="8"/>
      <c r="E1523" s="8"/>
      <c r="F1523" s="10"/>
      <c r="G1523" s="10"/>
      <c r="H1523" s="10"/>
      <c r="I1523" s="7"/>
      <c r="J1523" s="12"/>
      <c r="K1523" s="13"/>
      <c r="L1523" s="14"/>
      <c r="M1523" s="15"/>
      <c r="N1523" s="15"/>
      <c r="O1523" s="16"/>
      <c r="Q1523" s="16"/>
    </row>
    <row r="1524" spans="1:17" x14ac:dyDescent="0.3">
      <c r="A1524" s="5"/>
      <c r="B1524" s="6"/>
      <c r="C1524" s="7"/>
      <c r="D1524" s="8"/>
      <c r="E1524" s="8"/>
      <c r="F1524" s="10"/>
      <c r="G1524" s="10"/>
      <c r="H1524" s="10"/>
      <c r="I1524" s="7"/>
      <c r="J1524" s="12"/>
      <c r="K1524" s="13"/>
      <c r="L1524" s="14"/>
      <c r="M1524" s="15"/>
      <c r="N1524" s="15"/>
      <c r="O1524" s="16"/>
      <c r="Q1524" s="16"/>
    </row>
    <row r="1525" spans="1:17" x14ac:dyDescent="0.3">
      <c r="A1525" s="5"/>
      <c r="B1525" s="6"/>
      <c r="C1525" s="7"/>
      <c r="D1525" s="8"/>
      <c r="E1525" s="8"/>
      <c r="F1525" s="10"/>
      <c r="G1525" s="10"/>
      <c r="H1525" s="10"/>
      <c r="I1525" s="7"/>
      <c r="J1525" s="12"/>
      <c r="K1525" s="13"/>
      <c r="L1525" s="14"/>
      <c r="M1525" s="15"/>
      <c r="N1525" s="15"/>
      <c r="O1525" s="16"/>
      <c r="Q1525" s="16"/>
    </row>
    <row r="1526" spans="1:17" x14ac:dyDescent="0.3">
      <c r="A1526" s="5"/>
      <c r="B1526" s="6"/>
      <c r="C1526" s="7"/>
      <c r="D1526" s="8"/>
      <c r="E1526" s="8"/>
      <c r="F1526" s="10"/>
      <c r="G1526" s="10"/>
      <c r="H1526" s="10"/>
      <c r="I1526" s="7"/>
      <c r="J1526" s="12"/>
      <c r="K1526" s="13"/>
      <c r="L1526" s="14"/>
      <c r="M1526" s="15"/>
      <c r="N1526" s="15"/>
      <c r="O1526" s="16"/>
      <c r="Q1526" s="16"/>
    </row>
    <row r="1527" spans="1:17" x14ac:dyDescent="0.3">
      <c r="A1527" s="5"/>
      <c r="B1527" s="6"/>
      <c r="C1527" s="7"/>
      <c r="D1527" s="8"/>
      <c r="E1527" s="8"/>
      <c r="F1527" s="10"/>
      <c r="G1527" s="10"/>
      <c r="H1527" s="10"/>
      <c r="I1527" s="7"/>
      <c r="J1527" s="12"/>
      <c r="K1527" s="13"/>
      <c r="L1527" s="14"/>
      <c r="M1527" s="15"/>
      <c r="N1527" s="15"/>
      <c r="O1527" s="16"/>
      <c r="Q1527" s="16"/>
    </row>
    <row r="1528" spans="1:17" x14ac:dyDescent="0.3">
      <c r="A1528" s="5"/>
      <c r="B1528" s="6"/>
      <c r="C1528" s="7"/>
      <c r="D1528" s="8"/>
      <c r="E1528" s="8"/>
      <c r="F1528" s="10"/>
      <c r="G1528" s="10"/>
      <c r="H1528" s="10"/>
      <c r="I1528" s="7"/>
      <c r="J1528" s="12"/>
      <c r="K1528" s="13"/>
      <c r="L1528" s="14"/>
      <c r="M1528" s="15"/>
      <c r="N1528" s="15"/>
      <c r="O1528" s="16"/>
      <c r="Q1528" s="16"/>
    </row>
    <row r="1529" spans="1:17" x14ac:dyDescent="0.3">
      <c r="A1529" s="5"/>
      <c r="B1529" s="6"/>
      <c r="C1529" s="7"/>
      <c r="D1529" s="8"/>
      <c r="E1529" s="8"/>
      <c r="F1529" s="10"/>
      <c r="G1529" s="10"/>
      <c r="H1529" s="10"/>
      <c r="I1529" s="7"/>
      <c r="J1529" s="12"/>
      <c r="K1529" s="13"/>
      <c r="L1529" s="14"/>
      <c r="M1529" s="15"/>
      <c r="N1529" s="15"/>
      <c r="O1529" s="16"/>
      <c r="Q1529" s="16"/>
    </row>
    <row r="1530" spans="1:17" x14ac:dyDescent="0.3">
      <c r="A1530" s="5"/>
      <c r="B1530" s="6"/>
      <c r="C1530" s="7"/>
      <c r="D1530" s="8"/>
      <c r="E1530" s="8"/>
      <c r="F1530" s="10"/>
      <c r="G1530" s="10"/>
      <c r="H1530" s="10"/>
      <c r="I1530" s="7"/>
      <c r="J1530" s="12"/>
      <c r="K1530" s="13"/>
      <c r="L1530" s="14"/>
      <c r="M1530" s="15"/>
      <c r="N1530" s="15"/>
      <c r="O1530" s="16"/>
      <c r="Q1530" s="16"/>
    </row>
    <row r="1531" spans="1:17" x14ac:dyDescent="0.3">
      <c r="A1531" s="5"/>
      <c r="B1531" s="6"/>
      <c r="C1531" s="7"/>
      <c r="D1531" s="8"/>
      <c r="E1531" s="8"/>
      <c r="F1531" s="10"/>
      <c r="G1531" s="10"/>
      <c r="H1531" s="10"/>
      <c r="I1531" s="7"/>
      <c r="J1531" s="12"/>
      <c r="K1531" s="13"/>
      <c r="L1531" s="14"/>
      <c r="M1531" s="15"/>
      <c r="N1531" s="15"/>
      <c r="O1531" s="16"/>
      <c r="Q1531" s="16"/>
    </row>
    <row r="1532" spans="1:17" x14ac:dyDescent="0.3">
      <c r="A1532" s="5"/>
      <c r="B1532" s="6"/>
      <c r="C1532" s="7"/>
      <c r="D1532" s="8"/>
      <c r="E1532" s="8"/>
      <c r="F1532" s="10"/>
      <c r="G1532" s="10"/>
      <c r="H1532" s="10"/>
      <c r="I1532" s="7"/>
      <c r="J1532" s="12"/>
      <c r="K1532" s="13"/>
      <c r="L1532" s="14"/>
      <c r="M1532" s="15"/>
      <c r="N1532" s="15"/>
      <c r="O1532" s="16"/>
      <c r="Q1532" s="16"/>
    </row>
    <row r="1533" spans="1:17" x14ac:dyDescent="0.3">
      <c r="A1533" s="5"/>
      <c r="B1533" s="6"/>
      <c r="C1533" s="7"/>
      <c r="D1533" s="8"/>
      <c r="E1533" s="8"/>
      <c r="F1533" s="10"/>
      <c r="G1533" s="10"/>
      <c r="H1533" s="10"/>
      <c r="I1533" s="7"/>
      <c r="J1533" s="12"/>
      <c r="K1533" s="13"/>
      <c r="L1533" s="14"/>
      <c r="M1533" s="15"/>
      <c r="N1533" s="15"/>
      <c r="O1533" s="16"/>
      <c r="Q1533" s="16"/>
    </row>
    <row r="1534" spans="1:17" x14ac:dyDescent="0.3">
      <c r="A1534" s="5"/>
      <c r="B1534" s="6"/>
      <c r="C1534" s="7"/>
      <c r="D1534" s="8"/>
      <c r="E1534" s="8"/>
      <c r="F1534" s="10"/>
      <c r="G1534" s="10"/>
      <c r="H1534" s="10"/>
      <c r="I1534" s="7"/>
      <c r="J1534" s="12"/>
      <c r="K1534" s="13"/>
      <c r="L1534" s="14"/>
      <c r="M1534" s="15"/>
      <c r="N1534" s="15"/>
      <c r="O1534" s="16"/>
      <c r="Q1534" s="16"/>
    </row>
    <row r="1535" spans="1:17" x14ac:dyDescent="0.3">
      <c r="A1535" s="5"/>
      <c r="B1535" s="6"/>
      <c r="C1535" s="7"/>
      <c r="D1535" s="8"/>
      <c r="E1535" s="8"/>
      <c r="F1535" s="10"/>
      <c r="G1535" s="10"/>
      <c r="H1535" s="10"/>
      <c r="I1535" s="7"/>
      <c r="J1535" s="12"/>
      <c r="K1535" s="13"/>
      <c r="L1535" s="14"/>
      <c r="M1535" s="15"/>
      <c r="N1535" s="15"/>
      <c r="O1535" s="16"/>
      <c r="Q1535" s="16"/>
    </row>
    <row r="1536" spans="1:17" x14ac:dyDescent="0.3">
      <c r="A1536" s="5"/>
      <c r="B1536" s="6"/>
      <c r="C1536" s="7"/>
      <c r="D1536" s="8"/>
      <c r="E1536" s="8"/>
      <c r="F1536" s="10"/>
      <c r="G1536" s="10"/>
      <c r="H1536" s="10"/>
      <c r="I1536" s="7"/>
      <c r="J1536" s="12"/>
      <c r="K1536" s="13"/>
      <c r="L1536" s="14"/>
      <c r="M1536" s="15"/>
      <c r="N1536" s="15"/>
      <c r="O1536" s="16"/>
      <c r="Q1536" s="16"/>
    </row>
    <row r="1537" spans="1:17" x14ac:dyDescent="0.3">
      <c r="A1537" s="5"/>
      <c r="B1537" s="6"/>
      <c r="C1537" s="7"/>
      <c r="D1537" s="8"/>
      <c r="E1537" s="8"/>
      <c r="F1537" s="10"/>
      <c r="G1537" s="10"/>
      <c r="H1537" s="10"/>
      <c r="I1537" s="7"/>
      <c r="J1537" s="12"/>
      <c r="K1537" s="13"/>
      <c r="L1537" s="14"/>
      <c r="M1537" s="15"/>
      <c r="N1537" s="15"/>
      <c r="O1537" s="16"/>
      <c r="Q1537" s="16"/>
    </row>
    <row r="1538" spans="1:17" x14ac:dyDescent="0.3">
      <c r="A1538" s="5"/>
      <c r="B1538" s="6"/>
      <c r="C1538" s="7"/>
      <c r="D1538" s="8"/>
      <c r="E1538" s="8"/>
      <c r="F1538" s="10"/>
      <c r="G1538" s="10"/>
      <c r="H1538" s="10"/>
      <c r="I1538" s="7"/>
      <c r="J1538" s="12"/>
      <c r="K1538" s="13"/>
      <c r="L1538" s="14"/>
      <c r="M1538" s="15"/>
      <c r="N1538" s="15"/>
      <c r="O1538" s="16"/>
      <c r="Q1538" s="16"/>
    </row>
    <row r="1539" spans="1:17" x14ac:dyDescent="0.3">
      <c r="A1539" s="5"/>
      <c r="B1539" s="6"/>
      <c r="C1539" s="7"/>
      <c r="D1539" s="8"/>
      <c r="E1539" s="8"/>
      <c r="F1539" s="10"/>
      <c r="G1539" s="10"/>
      <c r="H1539" s="10"/>
      <c r="I1539" s="7"/>
      <c r="J1539" s="12"/>
      <c r="K1539" s="13"/>
      <c r="L1539" s="14"/>
      <c r="M1539" s="15"/>
      <c r="N1539" s="15"/>
      <c r="O1539" s="16"/>
      <c r="Q1539" s="16"/>
    </row>
    <row r="1540" spans="1:17" x14ac:dyDescent="0.3">
      <c r="A1540" s="5"/>
      <c r="B1540" s="6"/>
      <c r="C1540" s="7"/>
      <c r="D1540" s="8"/>
      <c r="E1540" s="8"/>
      <c r="F1540" s="10"/>
      <c r="G1540" s="10"/>
      <c r="H1540" s="10"/>
      <c r="I1540" s="7"/>
      <c r="J1540" s="12"/>
      <c r="K1540" s="13"/>
      <c r="L1540" s="14"/>
      <c r="M1540" s="15"/>
      <c r="N1540" s="15"/>
      <c r="O1540" s="16"/>
      <c r="Q1540" s="16"/>
    </row>
    <row r="1541" spans="1:17" x14ac:dyDescent="0.3">
      <c r="A1541" s="5"/>
      <c r="B1541" s="6"/>
      <c r="C1541" s="7"/>
      <c r="D1541" s="8"/>
      <c r="E1541" s="8"/>
      <c r="F1541" s="10"/>
      <c r="G1541" s="10"/>
      <c r="H1541" s="10"/>
      <c r="I1541" s="7"/>
      <c r="J1541" s="12"/>
      <c r="K1541" s="13"/>
      <c r="L1541" s="14"/>
      <c r="M1541" s="15"/>
      <c r="N1541" s="15"/>
      <c r="O1541" s="16"/>
      <c r="Q1541" s="16"/>
    </row>
    <row r="1542" spans="1:17" x14ac:dyDescent="0.3">
      <c r="A1542" s="5"/>
      <c r="B1542" s="6"/>
      <c r="C1542" s="7"/>
      <c r="D1542" s="8"/>
      <c r="E1542" s="8"/>
      <c r="F1542" s="10"/>
      <c r="G1542" s="10"/>
      <c r="H1542" s="10"/>
      <c r="I1542" s="7"/>
      <c r="J1542" s="12"/>
      <c r="K1542" s="13"/>
      <c r="L1542" s="14"/>
      <c r="M1542" s="15"/>
      <c r="N1542" s="15"/>
      <c r="O1542" s="16"/>
      <c r="Q1542" s="16"/>
    </row>
    <row r="1543" spans="1:17" x14ac:dyDescent="0.3">
      <c r="A1543" s="5"/>
      <c r="B1543" s="6"/>
      <c r="C1543" s="7"/>
      <c r="D1543" s="8"/>
      <c r="E1543" s="8"/>
      <c r="F1543" s="10"/>
      <c r="G1543" s="10"/>
      <c r="H1543" s="10"/>
      <c r="I1543" s="7"/>
      <c r="J1543" s="12"/>
      <c r="K1543" s="13"/>
      <c r="L1543" s="14"/>
      <c r="M1543" s="15"/>
      <c r="N1543" s="15"/>
      <c r="O1543" s="16"/>
      <c r="Q1543" s="16"/>
    </row>
    <row r="1544" spans="1:17" x14ac:dyDescent="0.3">
      <c r="A1544" s="5"/>
      <c r="B1544" s="6"/>
      <c r="C1544" s="7"/>
      <c r="D1544" s="8"/>
      <c r="E1544" s="8"/>
      <c r="F1544" s="10"/>
      <c r="G1544" s="10"/>
      <c r="H1544" s="10"/>
      <c r="I1544" s="7"/>
      <c r="J1544" s="12"/>
      <c r="K1544" s="13"/>
      <c r="L1544" s="14"/>
      <c r="M1544" s="15"/>
      <c r="N1544" s="15"/>
      <c r="O1544" s="16"/>
      <c r="Q1544" s="16"/>
    </row>
    <row r="1545" spans="1:17" x14ac:dyDescent="0.3">
      <c r="A1545" s="5"/>
      <c r="B1545" s="6"/>
      <c r="C1545" s="7"/>
      <c r="D1545" s="8"/>
      <c r="E1545" s="8"/>
      <c r="F1545" s="10"/>
      <c r="G1545" s="10"/>
      <c r="H1545" s="10"/>
      <c r="I1545" s="7"/>
      <c r="J1545" s="12"/>
      <c r="K1545" s="13"/>
      <c r="L1545" s="14"/>
      <c r="M1545" s="15"/>
      <c r="N1545" s="15"/>
      <c r="O1545" s="16"/>
      <c r="Q1545" s="16"/>
    </row>
    <row r="1546" spans="1:17" x14ac:dyDescent="0.3">
      <c r="A1546" s="5"/>
      <c r="B1546" s="6"/>
      <c r="C1546" s="7"/>
      <c r="D1546" s="8"/>
      <c r="E1546" s="8"/>
      <c r="F1546" s="10"/>
      <c r="G1546" s="10"/>
      <c r="H1546" s="10"/>
      <c r="I1546" s="7"/>
      <c r="J1546" s="12"/>
      <c r="K1546" s="13"/>
      <c r="L1546" s="14"/>
      <c r="M1546" s="15"/>
      <c r="N1546" s="15"/>
      <c r="O1546" s="16"/>
      <c r="Q1546" s="16"/>
    </row>
    <row r="1547" spans="1:17" x14ac:dyDescent="0.3">
      <c r="A1547" s="5"/>
      <c r="B1547" s="6"/>
      <c r="C1547" s="7"/>
      <c r="D1547" s="8"/>
      <c r="E1547" s="8"/>
      <c r="F1547" s="10"/>
      <c r="G1547" s="10"/>
      <c r="H1547" s="10"/>
      <c r="I1547" s="7"/>
      <c r="J1547" s="12"/>
      <c r="K1547" s="13"/>
      <c r="L1547" s="14"/>
      <c r="M1547" s="15"/>
      <c r="N1547" s="15"/>
      <c r="O1547" s="16"/>
      <c r="Q1547" s="16"/>
    </row>
    <row r="1548" spans="1:17" x14ac:dyDescent="0.3">
      <c r="A1548" s="5"/>
      <c r="B1548" s="6"/>
      <c r="C1548" s="7"/>
      <c r="D1548" s="8"/>
      <c r="E1548" s="8"/>
      <c r="F1548" s="10"/>
      <c r="G1548" s="10"/>
      <c r="H1548" s="10"/>
      <c r="I1548" s="7"/>
      <c r="J1548" s="12"/>
      <c r="K1548" s="13"/>
      <c r="L1548" s="14"/>
      <c r="M1548" s="15"/>
      <c r="N1548" s="15"/>
      <c r="O1548" s="16"/>
      <c r="Q1548" s="16"/>
    </row>
    <row r="1549" spans="1:17" x14ac:dyDescent="0.3">
      <c r="A1549" s="5"/>
      <c r="B1549" s="6"/>
      <c r="C1549" s="7"/>
      <c r="D1549" s="8"/>
      <c r="E1549" s="8"/>
      <c r="F1549" s="10"/>
      <c r="G1549" s="10"/>
      <c r="H1549" s="10"/>
      <c r="I1549" s="7"/>
      <c r="J1549" s="12"/>
      <c r="K1549" s="13"/>
      <c r="L1549" s="14"/>
      <c r="M1549" s="15"/>
      <c r="N1549" s="15"/>
      <c r="O1549" s="16"/>
      <c r="Q1549" s="16"/>
    </row>
    <row r="1550" spans="1:17" x14ac:dyDescent="0.3">
      <c r="A1550" s="5"/>
      <c r="B1550" s="6"/>
      <c r="C1550" s="7"/>
      <c r="D1550" s="8"/>
      <c r="E1550" s="8"/>
      <c r="F1550" s="10"/>
      <c r="G1550" s="10"/>
      <c r="H1550" s="10"/>
      <c r="I1550" s="7"/>
      <c r="J1550" s="12"/>
      <c r="K1550" s="13"/>
      <c r="L1550" s="14"/>
      <c r="M1550" s="15"/>
      <c r="N1550" s="15"/>
      <c r="O1550" s="16"/>
      <c r="Q1550" s="16"/>
    </row>
    <row r="1551" spans="1:17" x14ac:dyDescent="0.3">
      <c r="A1551" s="5"/>
      <c r="B1551" s="6"/>
      <c r="C1551" s="7"/>
      <c r="D1551" s="8"/>
      <c r="E1551" s="8"/>
      <c r="F1551" s="10"/>
      <c r="G1551" s="10"/>
      <c r="H1551" s="10"/>
      <c r="I1551" s="7"/>
      <c r="J1551" s="12"/>
      <c r="K1551" s="13"/>
      <c r="L1551" s="14"/>
      <c r="M1551" s="15"/>
      <c r="N1551" s="15"/>
      <c r="O1551" s="16"/>
      <c r="Q1551" s="16"/>
    </row>
    <row r="1552" spans="1:17" x14ac:dyDescent="0.3">
      <c r="A1552" s="5"/>
      <c r="B1552" s="6"/>
      <c r="C1552" s="7"/>
      <c r="D1552" s="8"/>
      <c r="E1552" s="8"/>
      <c r="F1552" s="10"/>
      <c r="G1552" s="10"/>
      <c r="H1552" s="10"/>
      <c r="I1552" s="7"/>
      <c r="J1552" s="12"/>
      <c r="K1552" s="13"/>
      <c r="L1552" s="14"/>
      <c r="M1552" s="15"/>
      <c r="N1552" s="15"/>
      <c r="O1552" s="16"/>
      <c r="Q1552" s="16"/>
    </row>
    <row r="1553" spans="1:17" x14ac:dyDescent="0.3">
      <c r="A1553" s="5"/>
      <c r="B1553" s="6"/>
      <c r="C1553" s="7"/>
      <c r="D1553" s="8"/>
      <c r="E1553" s="8"/>
      <c r="F1553" s="10"/>
      <c r="G1553" s="10"/>
      <c r="H1553" s="10"/>
      <c r="I1553" s="7"/>
      <c r="J1553" s="12"/>
      <c r="K1553" s="13"/>
      <c r="L1553" s="14"/>
      <c r="M1553" s="15"/>
      <c r="N1553" s="15"/>
      <c r="O1553" s="16"/>
      <c r="Q1553" s="16"/>
    </row>
    <row r="1554" spans="1:17" x14ac:dyDescent="0.3">
      <c r="A1554" s="5"/>
      <c r="B1554" s="6"/>
      <c r="C1554" s="7"/>
      <c r="D1554" s="8"/>
      <c r="E1554" s="8"/>
      <c r="F1554" s="10"/>
      <c r="G1554" s="10"/>
      <c r="H1554" s="10"/>
      <c r="I1554" s="7"/>
      <c r="J1554" s="12"/>
      <c r="K1554" s="13"/>
      <c r="L1554" s="14"/>
      <c r="M1554" s="15"/>
      <c r="N1554" s="15"/>
      <c r="O1554" s="16"/>
      <c r="Q1554" s="16"/>
    </row>
    <row r="1555" spans="1:17" x14ac:dyDescent="0.3">
      <c r="A1555" s="5"/>
      <c r="B1555" s="6"/>
      <c r="C1555" s="7"/>
      <c r="D1555" s="8"/>
      <c r="E1555" s="8"/>
      <c r="F1555" s="10"/>
      <c r="G1555" s="10"/>
      <c r="H1555" s="10"/>
      <c r="I1555" s="7"/>
      <c r="J1555" s="12"/>
      <c r="K1555" s="13"/>
      <c r="L1555" s="14"/>
      <c r="M1555" s="15"/>
      <c r="N1555" s="15"/>
      <c r="O1555" s="16"/>
      <c r="Q1555" s="16"/>
    </row>
    <row r="1556" spans="1:17" x14ac:dyDescent="0.3">
      <c r="A1556" s="5"/>
      <c r="B1556" s="6"/>
      <c r="C1556" s="7"/>
      <c r="D1556" s="8"/>
      <c r="E1556" s="8"/>
      <c r="F1556" s="10"/>
      <c r="G1556" s="10"/>
      <c r="H1556" s="10"/>
      <c r="I1556" s="7"/>
      <c r="J1556" s="12"/>
      <c r="K1556" s="13"/>
      <c r="L1556" s="14"/>
      <c r="M1556" s="15"/>
      <c r="N1556" s="15"/>
      <c r="O1556" s="16"/>
      <c r="Q1556" s="16"/>
    </row>
    <row r="1557" spans="1:17" x14ac:dyDescent="0.3">
      <c r="A1557" s="5"/>
      <c r="B1557" s="6"/>
      <c r="C1557" s="7"/>
      <c r="D1557" s="8"/>
      <c r="E1557" s="8"/>
      <c r="F1557" s="10"/>
      <c r="G1557" s="10"/>
      <c r="H1557" s="10"/>
      <c r="I1557" s="7"/>
      <c r="J1557" s="12"/>
      <c r="K1557" s="13"/>
      <c r="L1557" s="14"/>
      <c r="M1557" s="15"/>
      <c r="N1557" s="15"/>
      <c r="O1557" s="16"/>
      <c r="Q1557" s="16"/>
    </row>
    <row r="1558" spans="1:17" x14ac:dyDescent="0.3">
      <c r="A1558" s="5"/>
      <c r="B1558" s="6"/>
      <c r="C1558" s="7"/>
      <c r="D1558" s="8"/>
      <c r="E1558" s="8"/>
      <c r="F1558" s="10"/>
      <c r="G1558" s="10"/>
      <c r="H1558" s="10"/>
      <c r="I1558" s="7"/>
      <c r="J1558" s="12"/>
      <c r="K1558" s="13"/>
      <c r="L1558" s="14"/>
      <c r="M1558" s="15"/>
      <c r="N1558" s="15"/>
      <c r="O1558" s="16"/>
      <c r="Q1558" s="16"/>
    </row>
    <row r="1559" spans="1:17" x14ac:dyDescent="0.3">
      <c r="A1559" s="5"/>
      <c r="B1559" s="6"/>
      <c r="C1559" s="7"/>
      <c r="D1559" s="8"/>
      <c r="E1559" s="8"/>
      <c r="F1559" s="10"/>
      <c r="G1559" s="10"/>
      <c r="H1559" s="10"/>
      <c r="I1559" s="7"/>
      <c r="J1559" s="12"/>
      <c r="K1559" s="13"/>
      <c r="L1559" s="14"/>
      <c r="M1559" s="15"/>
      <c r="N1559" s="15"/>
      <c r="O1559" s="16"/>
      <c r="Q1559" s="16"/>
    </row>
    <row r="1560" spans="1:17" x14ac:dyDescent="0.3">
      <c r="A1560" s="5"/>
      <c r="B1560" s="6"/>
      <c r="C1560" s="7"/>
      <c r="D1560" s="8"/>
      <c r="E1560" s="8"/>
      <c r="F1560" s="10"/>
      <c r="G1560" s="10"/>
      <c r="H1560" s="10"/>
      <c r="I1560" s="7"/>
      <c r="J1560" s="12"/>
      <c r="K1560" s="13"/>
      <c r="L1560" s="14"/>
      <c r="M1560" s="15"/>
      <c r="N1560" s="15"/>
      <c r="O1560" s="16"/>
      <c r="Q1560" s="16"/>
    </row>
    <row r="1561" spans="1:17" x14ac:dyDescent="0.3">
      <c r="A1561" s="5"/>
      <c r="B1561" s="6"/>
      <c r="C1561" s="7"/>
      <c r="D1561" s="8"/>
      <c r="E1561" s="8"/>
      <c r="F1561" s="10"/>
      <c r="G1561" s="10"/>
      <c r="H1561" s="10"/>
      <c r="I1561" s="7"/>
      <c r="J1561" s="12"/>
      <c r="K1561" s="13"/>
      <c r="L1561" s="14"/>
      <c r="M1561" s="15"/>
      <c r="N1561" s="15"/>
      <c r="O1561" s="16"/>
      <c r="Q1561" s="16"/>
    </row>
    <row r="1562" spans="1:17" x14ac:dyDescent="0.3">
      <c r="A1562" s="5"/>
      <c r="B1562" s="6"/>
      <c r="C1562" s="7"/>
      <c r="D1562" s="8"/>
      <c r="E1562" s="8"/>
      <c r="F1562" s="10"/>
      <c r="G1562" s="10"/>
      <c r="H1562" s="10"/>
      <c r="I1562" s="7"/>
      <c r="J1562" s="12"/>
      <c r="K1562" s="13"/>
      <c r="L1562" s="14"/>
      <c r="M1562" s="15"/>
      <c r="N1562" s="15"/>
      <c r="O1562" s="16"/>
      <c r="Q1562" s="16"/>
    </row>
    <row r="1563" spans="1:17" x14ac:dyDescent="0.3">
      <c r="A1563" s="5"/>
      <c r="B1563" s="6"/>
      <c r="C1563" s="7"/>
      <c r="D1563" s="8"/>
      <c r="E1563" s="8"/>
      <c r="F1563" s="10"/>
      <c r="G1563" s="10"/>
      <c r="H1563" s="10"/>
      <c r="I1563" s="7"/>
      <c r="J1563" s="12"/>
      <c r="K1563" s="13"/>
      <c r="L1563" s="14"/>
      <c r="M1563" s="15"/>
      <c r="N1563" s="15"/>
      <c r="O1563" s="16"/>
      <c r="Q1563" s="16"/>
    </row>
    <row r="1564" spans="1:17" x14ac:dyDescent="0.3">
      <c r="A1564" s="5"/>
      <c r="B1564" s="6"/>
      <c r="C1564" s="7"/>
      <c r="D1564" s="8"/>
      <c r="E1564" s="8"/>
      <c r="F1564" s="10"/>
      <c r="G1564" s="10"/>
      <c r="H1564" s="10"/>
      <c r="I1564" s="7"/>
      <c r="J1564" s="12"/>
      <c r="K1564" s="13"/>
      <c r="L1564" s="14"/>
      <c r="M1564" s="15"/>
      <c r="N1564" s="15"/>
      <c r="O1564" s="16"/>
      <c r="Q1564" s="16"/>
    </row>
    <row r="1565" spans="1:17" x14ac:dyDescent="0.3">
      <c r="A1565" s="5"/>
      <c r="B1565" s="6"/>
      <c r="C1565" s="7"/>
      <c r="D1565" s="8"/>
      <c r="E1565" s="8"/>
      <c r="F1565" s="10"/>
      <c r="G1565" s="10"/>
      <c r="H1565" s="10"/>
      <c r="I1565" s="7"/>
      <c r="J1565" s="12"/>
      <c r="K1565" s="13"/>
      <c r="L1565" s="14"/>
      <c r="M1565" s="15"/>
      <c r="N1565" s="15"/>
      <c r="O1565" s="16"/>
      <c r="Q1565" s="16"/>
    </row>
    <row r="1566" spans="1:17" x14ac:dyDescent="0.3">
      <c r="A1566" s="5"/>
      <c r="B1566" s="6"/>
      <c r="C1566" s="7"/>
      <c r="D1566" s="8"/>
      <c r="E1566" s="8"/>
      <c r="F1566" s="10"/>
      <c r="G1566" s="10"/>
      <c r="H1566" s="10"/>
      <c r="I1566" s="7"/>
      <c r="J1566" s="12"/>
      <c r="K1566" s="13"/>
      <c r="L1566" s="14"/>
      <c r="M1566" s="15"/>
      <c r="N1566" s="15"/>
      <c r="O1566" s="16"/>
      <c r="Q1566" s="16"/>
    </row>
    <row r="1567" spans="1:17" x14ac:dyDescent="0.3">
      <c r="A1567" s="5"/>
      <c r="B1567" s="6"/>
      <c r="C1567" s="7"/>
      <c r="D1567" s="8"/>
      <c r="E1567" s="8"/>
      <c r="F1567" s="10"/>
      <c r="G1567" s="10"/>
      <c r="H1567" s="10"/>
      <c r="I1567" s="7"/>
      <c r="J1567" s="12"/>
      <c r="K1567" s="13"/>
      <c r="L1567" s="14"/>
      <c r="M1567" s="15"/>
      <c r="N1567" s="15"/>
      <c r="O1567" s="16"/>
      <c r="Q1567" s="16"/>
    </row>
    <row r="1568" spans="1:17" x14ac:dyDescent="0.3">
      <c r="A1568" s="5"/>
      <c r="B1568" s="6"/>
      <c r="C1568" s="7"/>
      <c r="D1568" s="8"/>
      <c r="E1568" s="8"/>
      <c r="F1568" s="10"/>
      <c r="G1568" s="10"/>
      <c r="H1568" s="10"/>
      <c r="I1568" s="7"/>
      <c r="J1568" s="12"/>
      <c r="K1568" s="13"/>
      <c r="L1568" s="14"/>
      <c r="M1568" s="15"/>
      <c r="N1568" s="15"/>
      <c r="O1568" s="16"/>
      <c r="Q1568" s="16"/>
    </row>
    <row r="1569" spans="1:17" x14ac:dyDescent="0.3">
      <c r="A1569" s="5"/>
      <c r="B1569" s="6"/>
      <c r="C1569" s="7"/>
      <c r="D1569" s="8"/>
      <c r="E1569" s="8"/>
      <c r="F1569" s="10"/>
      <c r="G1569" s="10"/>
      <c r="H1569" s="10"/>
      <c r="I1569" s="7"/>
      <c r="J1569" s="12"/>
      <c r="K1569" s="13"/>
      <c r="L1569" s="14"/>
      <c r="M1569" s="15"/>
      <c r="N1569" s="15"/>
      <c r="O1569" s="16"/>
      <c r="Q1569" s="16"/>
    </row>
    <row r="1570" spans="1:17" x14ac:dyDescent="0.3">
      <c r="A1570" s="5"/>
      <c r="B1570" s="6"/>
      <c r="C1570" s="7"/>
      <c r="D1570" s="8"/>
      <c r="E1570" s="8"/>
      <c r="F1570" s="10"/>
      <c r="G1570" s="10"/>
      <c r="H1570" s="10"/>
      <c r="I1570" s="7"/>
      <c r="J1570" s="12"/>
      <c r="K1570" s="13"/>
      <c r="L1570" s="14"/>
      <c r="M1570" s="15"/>
      <c r="N1570" s="15"/>
      <c r="O1570" s="16"/>
      <c r="Q1570" s="16"/>
    </row>
    <row r="1571" spans="1:17" x14ac:dyDescent="0.3">
      <c r="A1571" s="5"/>
      <c r="B1571" s="6"/>
      <c r="C1571" s="7"/>
      <c r="D1571" s="8"/>
      <c r="E1571" s="8"/>
      <c r="F1571" s="10"/>
      <c r="G1571" s="10"/>
      <c r="H1571" s="10"/>
      <c r="I1571" s="7"/>
      <c r="J1571" s="12"/>
      <c r="K1571" s="13"/>
      <c r="L1571" s="14"/>
      <c r="M1571" s="15"/>
      <c r="N1571" s="15"/>
      <c r="O1571" s="16"/>
      <c r="Q1571" s="16"/>
    </row>
    <row r="1572" spans="1:17" x14ac:dyDescent="0.3">
      <c r="A1572" s="5"/>
      <c r="B1572" s="6"/>
      <c r="C1572" s="7"/>
      <c r="D1572" s="8"/>
      <c r="E1572" s="8"/>
      <c r="F1572" s="10"/>
      <c r="G1572" s="10"/>
      <c r="H1572" s="10"/>
      <c r="I1572" s="7"/>
      <c r="J1572" s="12"/>
      <c r="K1572" s="13"/>
      <c r="L1572" s="14"/>
      <c r="M1572" s="15"/>
      <c r="N1572" s="15"/>
      <c r="O1572" s="16"/>
      <c r="Q1572" s="16"/>
    </row>
    <row r="1573" spans="1:17" x14ac:dyDescent="0.3">
      <c r="A1573" s="5"/>
      <c r="B1573" s="6"/>
      <c r="C1573" s="7"/>
      <c r="D1573" s="8"/>
      <c r="E1573" s="8"/>
      <c r="F1573" s="10"/>
      <c r="G1573" s="10"/>
      <c r="H1573" s="10"/>
      <c r="I1573" s="7"/>
      <c r="J1573" s="12"/>
      <c r="K1573" s="13"/>
      <c r="L1573" s="14"/>
      <c r="M1573" s="15"/>
      <c r="N1573" s="15"/>
      <c r="O1573" s="16"/>
      <c r="Q1573" s="16"/>
    </row>
    <row r="1574" spans="1:17" x14ac:dyDescent="0.3">
      <c r="A1574" s="5"/>
      <c r="B1574" s="6"/>
      <c r="C1574" s="7"/>
      <c r="D1574" s="8"/>
      <c r="E1574" s="8"/>
      <c r="F1574" s="10"/>
      <c r="G1574" s="10"/>
      <c r="H1574" s="10"/>
      <c r="I1574" s="7"/>
      <c r="J1574" s="12"/>
      <c r="K1574" s="13"/>
      <c r="L1574" s="14"/>
      <c r="M1574" s="15"/>
      <c r="N1574" s="15"/>
      <c r="O1574" s="16"/>
      <c r="Q1574" s="16"/>
    </row>
    <row r="1575" spans="1:17" x14ac:dyDescent="0.3">
      <c r="A1575" s="5"/>
      <c r="B1575" s="6"/>
      <c r="C1575" s="7"/>
      <c r="D1575" s="8"/>
      <c r="E1575" s="8"/>
      <c r="F1575" s="10"/>
      <c r="G1575" s="10"/>
      <c r="H1575" s="10"/>
      <c r="I1575" s="7"/>
      <c r="J1575" s="12"/>
      <c r="K1575" s="13"/>
      <c r="L1575" s="14"/>
      <c r="M1575" s="15"/>
      <c r="N1575" s="15"/>
      <c r="O1575" s="16"/>
      <c r="Q1575" s="16"/>
    </row>
    <row r="1576" spans="1:17" x14ac:dyDescent="0.3">
      <c r="A1576" s="5"/>
      <c r="B1576" s="6"/>
      <c r="C1576" s="7"/>
      <c r="D1576" s="8"/>
      <c r="E1576" s="8"/>
      <c r="F1576" s="10"/>
      <c r="G1576" s="10"/>
      <c r="H1576" s="10"/>
      <c r="I1576" s="7"/>
      <c r="J1576" s="12"/>
      <c r="K1576" s="13"/>
      <c r="L1576" s="14"/>
      <c r="M1576" s="15"/>
      <c r="N1576" s="15"/>
      <c r="O1576" s="16"/>
      <c r="Q1576" s="16"/>
    </row>
    <row r="1577" spans="1:17" x14ac:dyDescent="0.3">
      <c r="A1577" s="5"/>
      <c r="B1577" s="6"/>
      <c r="C1577" s="7"/>
      <c r="D1577" s="8"/>
      <c r="E1577" s="8"/>
      <c r="F1577" s="10"/>
      <c r="G1577" s="10"/>
      <c r="H1577" s="10"/>
      <c r="I1577" s="7"/>
      <c r="J1577" s="12"/>
      <c r="K1577" s="13"/>
      <c r="L1577" s="14"/>
      <c r="M1577" s="15"/>
      <c r="N1577" s="15"/>
      <c r="O1577" s="16"/>
      <c r="Q1577" s="16"/>
    </row>
    <row r="1578" spans="1:17" x14ac:dyDescent="0.3">
      <c r="A1578" s="5"/>
      <c r="B1578" s="6"/>
      <c r="C1578" s="7"/>
      <c r="D1578" s="8"/>
      <c r="E1578" s="8"/>
      <c r="F1578" s="10"/>
      <c r="G1578" s="10"/>
      <c r="H1578" s="10"/>
      <c r="I1578" s="7"/>
      <c r="J1578" s="12"/>
      <c r="K1578" s="13"/>
      <c r="L1578" s="14"/>
      <c r="M1578" s="15"/>
      <c r="N1578" s="15"/>
      <c r="O1578" s="16"/>
      <c r="Q1578" s="16"/>
    </row>
    <row r="1579" spans="1:17" x14ac:dyDescent="0.3">
      <c r="A1579" s="5"/>
      <c r="B1579" s="6"/>
      <c r="C1579" s="7"/>
      <c r="D1579" s="8"/>
      <c r="E1579" s="8"/>
      <c r="F1579" s="10"/>
      <c r="G1579" s="10"/>
      <c r="H1579" s="10"/>
      <c r="I1579" s="7"/>
      <c r="J1579" s="12"/>
      <c r="K1579" s="13"/>
      <c r="L1579" s="14"/>
      <c r="M1579" s="15"/>
      <c r="N1579" s="15"/>
      <c r="O1579" s="16"/>
      <c r="Q1579" s="16"/>
    </row>
    <row r="1580" spans="1:17" x14ac:dyDescent="0.3">
      <c r="A1580" s="5"/>
      <c r="B1580" s="6"/>
      <c r="C1580" s="7"/>
      <c r="D1580" s="8"/>
      <c r="E1580" s="8"/>
      <c r="F1580" s="10"/>
      <c r="G1580" s="10"/>
      <c r="H1580" s="10"/>
      <c r="I1580" s="7"/>
      <c r="J1580" s="12"/>
      <c r="K1580" s="13"/>
      <c r="L1580" s="14"/>
      <c r="M1580" s="15"/>
      <c r="N1580" s="15"/>
      <c r="O1580" s="16"/>
      <c r="Q1580" s="16"/>
    </row>
    <row r="1581" spans="1:17" x14ac:dyDescent="0.3">
      <c r="A1581" s="5"/>
      <c r="B1581" s="6"/>
      <c r="C1581" s="7"/>
      <c r="D1581" s="8"/>
      <c r="E1581" s="8"/>
      <c r="F1581" s="10"/>
      <c r="G1581" s="10"/>
      <c r="H1581" s="10"/>
      <c r="I1581" s="7"/>
      <c r="J1581" s="12"/>
      <c r="K1581" s="13"/>
      <c r="L1581" s="14"/>
      <c r="M1581" s="15"/>
      <c r="N1581" s="15"/>
      <c r="O1581" s="16"/>
      <c r="Q1581" s="16"/>
    </row>
    <row r="1582" spans="1:17" x14ac:dyDescent="0.3">
      <c r="A1582" s="5"/>
      <c r="B1582" s="6"/>
      <c r="C1582" s="7"/>
      <c r="D1582" s="8"/>
      <c r="E1582" s="8"/>
      <c r="F1582" s="10"/>
      <c r="G1582" s="10"/>
      <c r="H1582" s="10"/>
      <c r="I1582" s="7"/>
      <c r="J1582" s="12"/>
      <c r="K1582" s="13"/>
      <c r="L1582" s="14"/>
      <c r="M1582" s="15"/>
      <c r="N1582" s="15"/>
      <c r="O1582" s="16"/>
      <c r="Q1582" s="16"/>
    </row>
    <row r="1583" spans="1:17" x14ac:dyDescent="0.3">
      <c r="A1583" s="5"/>
      <c r="B1583" s="6"/>
      <c r="C1583" s="7"/>
      <c r="D1583" s="8"/>
      <c r="E1583" s="8"/>
      <c r="F1583" s="10"/>
      <c r="G1583" s="10"/>
      <c r="H1583" s="10"/>
      <c r="I1583" s="7"/>
      <c r="J1583" s="12"/>
      <c r="K1583" s="13"/>
      <c r="L1583" s="14"/>
      <c r="M1583" s="15"/>
      <c r="N1583" s="15"/>
      <c r="O1583" s="16"/>
      <c r="Q1583" s="16"/>
    </row>
    <row r="1584" spans="1:17" x14ac:dyDescent="0.3">
      <c r="A1584" s="5"/>
      <c r="B1584" s="6"/>
      <c r="C1584" s="7"/>
      <c r="D1584" s="8"/>
      <c r="E1584" s="8"/>
      <c r="F1584" s="10"/>
      <c r="G1584" s="10"/>
      <c r="H1584" s="10"/>
      <c r="I1584" s="7"/>
      <c r="J1584" s="12"/>
      <c r="K1584" s="13"/>
      <c r="L1584" s="14"/>
      <c r="M1584" s="15"/>
      <c r="N1584" s="15"/>
      <c r="O1584" s="16"/>
      <c r="Q1584" s="16"/>
    </row>
    <row r="1585" spans="1:17" x14ac:dyDescent="0.3">
      <c r="A1585" s="5"/>
      <c r="B1585" s="6"/>
      <c r="C1585" s="7"/>
      <c r="D1585" s="8"/>
      <c r="E1585" s="8"/>
      <c r="F1585" s="10"/>
      <c r="G1585" s="10"/>
      <c r="H1585" s="10"/>
      <c r="I1585" s="7"/>
      <c r="J1585" s="12"/>
      <c r="K1585" s="13"/>
      <c r="L1585" s="14"/>
      <c r="M1585" s="15"/>
      <c r="N1585" s="15"/>
      <c r="O1585" s="16"/>
      <c r="Q1585" s="16"/>
    </row>
    <row r="1586" spans="1:17" x14ac:dyDescent="0.3">
      <c r="A1586" s="5"/>
      <c r="B1586" s="6"/>
      <c r="C1586" s="7"/>
      <c r="D1586" s="8"/>
      <c r="E1586" s="8"/>
      <c r="F1586" s="10"/>
      <c r="G1586" s="10"/>
      <c r="H1586" s="10"/>
      <c r="I1586" s="7"/>
      <c r="J1586" s="12"/>
      <c r="K1586" s="13"/>
      <c r="L1586" s="14"/>
      <c r="M1586" s="15"/>
      <c r="N1586" s="15"/>
      <c r="O1586" s="16"/>
      <c r="Q1586" s="16"/>
    </row>
    <row r="1587" spans="1:17" x14ac:dyDescent="0.3">
      <c r="A1587" s="5"/>
      <c r="B1587" s="6"/>
      <c r="C1587" s="7"/>
      <c r="D1587" s="8"/>
      <c r="E1587" s="8"/>
      <c r="F1587" s="10"/>
      <c r="G1587" s="10"/>
      <c r="H1587" s="10"/>
      <c r="I1587" s="7"/>
      <c r="J1587" s="12"/>
      <c r="K1587" s="13"/>
      <c r="L1587" s="14"/>
      <c r="M1587" s="15"/>
      <c r="N1587" s="15"/>
      <c r="O1587" s="16"/>
      <c r="Q1587" s="16"/>
    </row>
    <row r="1588" spans="1:17" x14ac:dyDescent="0.3">
      <c r="A1588" s="5"/>
      <c r="B1588" s="6"/>
      <c r="C1588" s="7"/>
      <c r="D1588" s="8"/>
      <c r="E1588" s="8"/>
      <c r="F1588" s="10"/>
      <c r="G1588" s="10"/>
      <c r="H1588" s="10"/>
      <c r="I1588" s="7"/>
      <c r="J1588" s="12"/>
      <c r="K1588" s="13"/>
      <c r="L1588" s="14"/>
      <c r="M1588" s="15"/>
      <c r="N1588" s="15"/>
      <c r="O1588" s="16"/>
      <c r="Q1588" s="16"/>
    </row>
    <row r="1589" spans="1:17" x14ac:dyDescent="0.3">
      <c r="A1589" s="5"/>
      <c r="B1589" s="6"/>
      <c r="C1589" s="7"/>
      <c r="D1589" s="8"/>
      <c r="E1589" s="8"/>
      <c r="F1589" s="10"/>
      <c r="G1589" s="10"/>
      <c r="H1589" s="10"/>
      <c r="I1589" s="7"/>
      <c r="J1589" s="12"/>
      <c r="K1589" s="13"/>
      <c r="L1589" s="14"/>
      <c r="M1589" s="15"/>
      <c r="N1589" s="15"/>
      <c r="O1589" s="16"/>
      <c r="Q1589" s="16"/>
    </row>
    <row r="1590" spans="1:17" x14ac:dyDescent="0.3">
      <c r="A1590" s="5"/>
      <c r="B1590" s="6"/>
      <c r="C1590" s="7"/>
      <c r="D1590" s="8"/>
      <c r="E1590" s="8"/>
      <c r="F1590" s="10"/>
      <c r="G1590" s="10"/>
      <c r="H1590" s="10"/>
      <c r="I1590" s="7"/>
      <c r="J1590" s="12"/>
      <c r="K1590" s="13"/>
      <c r="L1590" s="14"/>
      <c r="M1590" s="15"/>
      <c r="N1590" s="15"/>
      <c r="O1590" s="16"/>
      <c r="Q1590" s="16"/>
    </row>
    <row r="1591" spans="1:17" x14ac:dyDescent="0.3">
      <c r="A1591" s="5"/>
      <c r="B1591" s="6"/>
      <c r="C1591" s="7"/>
      <c r="D1591" s="8"/>
      <c r="E1591" s="8"/>
      <c r="F1591" s="10"/>
      <c r="G1591" s="10"/>
      <c r="H1591" s="10"/>
      <c r="I1591" s="7"/>
      <c r="J1591" s="12"/>
      <c r="K1591" s="13"/>
      <c r="L1591" s="14"/>
      <c r="M1591" s="15"/>
      <c r="N1591" s="15"/>
      <c r="O1591" s="16"/>
      <c r="Q1591" s="16"/>
    </row>
    <row r="1592" spans="1:17" x14ac:dyDescent="0.3">
      <c r="A1592" s="5"/>
      <c r="B1592" s="6"/>
      <c r="C1592" s="7"/>
      <c r="D1592" s="8"/>
      <c r="E1592" s="8"/>
      <c r="F1592" s="10"/>
      <c r="G1592" s="10"/>
      <c r="H1592" s="10"/>
      <c r="I1592" s="7"/>
      <c r="J1592" s="12"/>
      <c r="K1592" s="13"/>
      <c r="L1592" s="14"/>
      <c r="M1592" s="15"/>
      <c r="N1592" s="15"/>
      <c r="O1592" s="16"/>
      <c r="Q1592" s="16"/>
    </row>
    <row r="1593" spans="1:17" x14ac:dyDescent="0.3">
      <c r="A1593" s="5"/>
      <c r="B1593" s="6"/>
      <c r="C1593" s="7"/>
      <c r="D1593" s="8"/>
      <c r="E1593" s="8"/>
      <c r="F1593" s="10"/>
      <c r="G1593" s="10"/>
      <c r="H1593" s="10"/>
      <c r="I1593" s="7"/>
      <c r="J1593" s="12"/>
      <c r="K1593" s="13"/>
      <c r="L1593" s="14"/>
      <c r="M1593" s="15"/>
      <c r="N1593" s="15"/>
      <c r="O1593" s="16"/>
      <c r="Q1593" s="16"/>
    </row>
    <row r="1594" spans="1:17" x14ac:dyDescent="0.3">
      <c r="A1594" s="5"/>
      <c r="B1594" s="6"/>
      <c r="C1594" s="7"/>
      <c r="D1594" s="8"/>
      <c r="E1594" s="8"/>
      <c r="F1594" s="10"/>
      <c r="G1594" s="10"/>
      <c r="H1594" s="10"/>
      <c r="I1594" s="7"/>
      <c r="J1594" s="12"/>
      <c r="K1594" s="13"/>
      <c r="L1594" s="14"/>
      <c r="M1594" s="15"/>
      <c r="N1594" s="15"/>
      <c r="O1594" s="16"/>
      <c r="Q1594" s="16"/>
    </row>
    <row r="1595" spans="1:17" x14ac:dyDescent="0.3">
      <c r="A1595" s="5"/>
      <c r="B1595" s="6"/>
      <c r="C1595" s="7"/>
      <c r="D1595" s="8"/>
      <c r="E1595" s="8"/>
      <c r="F1595" s="10"/>
      <c r="G1595" s="10"/>
      <c r="H1595" s="10"/>
      <c r="I1595" s="7"/>
      <c r="J1595" s="12"/>
      <c r="K1595" s="13"/>
      <c r="L1595" s="14"/>
      <c r="M1595" s="15"/>
      <c r="N1595" s="15"/>
      <c r="O1595" s="16"/>
      <c r="Q1595" s="16"/>
    </row>
    <row r="1596" spans="1:17" x14ac:dyDescent="0.3">
      <c r="A1596" s="5"/>
      <c r="B1596" s="6"/>
      <c r="C1596" s="7"/>
      <c r="D1596" s="8"/>
      <c r="E1596" s="8"/>
      <c r="F1596" s="10"/>
      <c r="G1596" s="10"/>
      <c r="H1596" s="10"/>
      <c r="I1596" s="7"/>
      <c r="J1596" s="12"/>
      <c r="K1596" s="13"/>
      <c r="L1596" s="14"/>
      <c r="M1596" s="15"/>
      <c r="N1596" s="15"/>
      <c r="O1596" s="16"/>
      <c r="Q1596" s="16"/>
    </row>
    <row r="1597" spans="1:17" x14ac:dyDescent="0.3">
      <c r="A1597" s="5"/>
      <c r="B1597" s="6"/>
      <c r="C1597" s="7"/>
      <c r="D1597" s="8"/>
      <c r="E1597" s="8"/>
      <c r="F1597" s="10"/>
      <c r="G1597" s="10"/>
      <c r="H1597" s="10"/>
      <c r="I1597" s="7"/>
      <c r="J1597" s="12"/>
      <c r="K1597" s="13"/>
      <c r="L1597" s="14"/>
      <c r="M1597" s="15"/>
      <c r="N1597" s="15"/>
      <c r="O1597" s="16"/>
      <c r="Q1597" s="16"/>
    </row>
    <row r="1598" spans="1:17" x14ac:dyDescent="0.3">
      <c r="A1598" s="5"/>
      <c r="B1598" s="6"/>
      <c r="C1598" s="7"/>
      <c r="D1598" s="8"/>
      <c r="E1598" s="8"/>
      <c r="F1598" s="10"/>
      <c r="G1598" s="10"/>
      <c r="H1598" s="10"/>
      <c r="I1598" s="7"/>
      <c r="J1598" s="12"/>
      <c r="K1598" s="13"/>
      <c r="L1598" s="14"/>
      <c r="M1598" s="15"/>
      <c r="N1598" s="15"/>
      <c r="O1598" s="16"/>
      <c r="Q1598" s="16"/>
    </row>
    <row r="1599" spans="1:17" x14ac:dyDescent="0.3">
      <c r="A1599" s="5"/>
      <c r="B1599" s="6"/>
      <c r="C1599" s="7"/>
      <c r="D1599" s="8"/>
      <c r="E1599" s="8"/>
      <c r="F1599" s="10"/>
      <c r="G1599" s="10"/>
      <c r="H1599" s="10"/>
      <c r="I1599" s="7"/>
      <c r="J1599" s="12"/>
      <c r="K1599" s="13"/>
      <c r="L1599" s="14"/>
      <c r="M1599" s="15"/>
      <c r="N1599" s="15"/>
      <c r="O1599" s="16"/>
      <c r="Q1599" s="16"/>
    </row>
    <row r="1600" spans="1:17" x14ac:dyDescent="0.3">
      <c r="A1600" s="5"/>
      <c r="B1600" s="6"/>
      <c r="C1600" s="7"/>
      <c r="D1600" s="8"/>
      <c r="E1600" s="8"/>
      <c r="F1600" s="10"/>
      <c r="G1600" s="10"/>
      <c r="H1600" s="10"/>
      <c r="I1600" s="7"/>
      <c r="J1600" s="12"/>
      <c r="K1600" s="13"/>
      <c r="L1600" s="14"/>
      <c r="M1600" s="15"/>
      <c r="N1600" s="15"/>
      <c r="O1600" s="16"/>
      <c r="Q1600" s="16"/>
    </row>
    <row r="1601" spans="1:17" x14ac:dyDescent="0.3">
      <c r="A1601" s="5"/>
      <c r="B1601" s="6"/>
      <c r="C1601" s="7"/>
      <c r="D1601" s="8"/>
      <c r="E1601" s="8"/>
      <c r="F1601" s="10"/>
      <c r="G1601" s="10"/>
      <c r="H1601" s="10"/>
      <c r="I1601" s="7"/>
      <c r="J1601" s="12"/>
      <c r="K1601" s="13"/>
      <c r="L1601" s="14"/>
      <c r="M1601" s="15"/>
      <c r="N1601" s="15"/>
      <c r="O1601" s="16"/>
      <c r="Q1601" s="16"/>
    </row>
    <row r="1602" spans="1:17" x14ac:dyDescent="0.3">
      <c r="A1602" s="5"/>
      <c r="B1602" s="6"/>
      <c r="C1602" s="7"/>
      <c r="D1602" s="8"/>
      <c r="E1602" s="8"/>
      <c r="F1602" s="10"/>
      <c r="G1602" s="10"/>
      <c r="H1602" s="10"/>
      <c r="I1602" s="7"/>
      <c r="J1602" s="12"/>
      <c r="K1602" s="13"/>
      <c r="L1602" s="14"/>
      <c r="M1602" s="15"/>
      <c r="N1602" s="15"/>
      <c r="O1602" s="16"/>
      <c r="Q1602" s="16"/>
    </row>
    <row r="1603" spans="1:17" x14ac:dyDescent="0.3">
      <c r="A1603" s="5"/>
      <c r="B1603" s="6"/>
      <c r="C1603" s="7"/>
      <c r="D1603" s="8"/>
      <c r="E1603" s="8"/>
      <c r="F1603" s="10"/>
      <c r="G1603" s="10"/>
      <c r="H1603" s="10"/>
      <c r="I1603" s="7"/>
      <c r="J1603" s="12"/>
      <c r="K1603" s="13"/>
      <c r="L1603" s="14"/>
      <c r="M1603" s="15"/>
      <c r="N1603" s="15"/>
      <c r="O1603" s="16"/>
      <c r="Q1603" s="16"/>
    </row>
    <row r="1604" spans="1:17" x14ac:dyDescent="0.3">
      <c r="A1604" s="5"/>
      <c r="B1604" s="6"/>
      <c r="C1604" s="7"/>
      <c r="D1604" s="8"/>
      <c r="E1604" s="8"/>
      <c r="F1604" s="10"/>
      <c r="G1604" s="10"/>
      <c r="H1604" s="10"/>
      <c r="I1604" s="7"/>
      <c r="J1604" s="12"/>
      <c r="K1604" s="13"/>
      <c r="L1604" s="14"/>
      <c r="M1604" s="15"/>
      <c r="N1604" s="15"/>
      <c r="O1604" s="16"/>
      <c r="Q1604" s="16"/>
    </row>
    <row r="1605" spans="1:17" x14ac:dyDescent="0.3">
      <c r="A1605" s="5"/>
      <c r="B1605" s="6"/>
      <c r="C1605" s="7"/>
      <c r="D1605" s="8"/>
      <c r="E1605" s="8"/>
      <c r="F1605" s="10"/>
      <c r="G1605" s="10"/>
      <c r="H1605" s="10"/>
      <c r="I1605" s="7"/>
      <c r="J1605" s="12"/>
      <c r="K1605" s="13"/>
      <c r="L1605" s="14"/>
      <c r="M1605" s="15"/>
      <c r="N1605" s="15"/>
      <c r="O1605" s="16"/>
      <c r="Q1605" s="16"/>
    </row>
    <row r="1606" spans="1:17" x14ac:dyDescent="0.3">
      <c r="A1606" s="5"/>
      <c r="B1606" s="6"/>
      <c r="C1606" s="7"/>
      <c r="D1606" s="8"/>
      <c r="E1606" s="8"/>
      <c r="F1606" s="10"/>
      <c r="G1606" s="10"/>
      <c r="H1606" s="10"/>
      <c r="I1606" s="7"/>
      <c r="J1606" s="12"/>
      <c r="K1606" s="13"/>
      <c r="L1606" s="14"/>
      <c r="M1606" s="15"/>
      <c r="N1606" s="15"/>
      <c r="O1606" s="16"/>
      <c r="Q1606" s="16"/>
    </row>
    <row r="1607" spans="1:17" x14ac:dyDescent="0.3">
      <c r="A1607" s="5"/>
      <c r="B1607" s="6"/>
      <c r="C1607" s="7"/>
      <c r="D1607" s="8"/>
      <c r="E1607" s="8"/>
      <c r="F1607" s="10"/>
      <c r="G1607" s="10"/>
      <c r="H1607" s="10"/>
      <c r="I1607" s="7"/>
      <c r="J1607" s="12"/>
      <c r="K1607" s="13"/>
      <c r="L1607" s="14"/>
      <c r="M1607" s="15"/>
      <c r="N1607" s="15"/>
      <c r="O1607" s="16"/>
      <c r="Q1607" s="16"/>
    </row>
    <row r="1608" spans="1:17" x14ac:dyDescent="0.3">
      <c r="A1608" s="5"/>
      <c r="B1608" s="6"/>
      <c r="C1608" s="7"/>
      <c r="D1608" s="8"/>
      <c r="E1608" s="8"/>
      <c r="F1608" s="10"/>
      <c r="G1608" s="10"/>
      <c r="H1608" s="10"/>
      <c r="I1608" s="7"/>
      <c r="J1608" s="12"/>
      <c r="K1608" s="13"/>
      <c r="L1608" s="14"/>
      <c r="M1608" s="15"/>
      <c r="N1608" s="15"/>
      <c r="O1608" s="16"/>
      <c r="Q1608" s="16"/>
    </row>
    <row r="1609" spans="1:17" x14ac:dyDescent="0.3">
      <c r="A1609" s="5"/>
      <c r="B1609" s="6"/>
      <c r="C1609" s="7"/>
      <c r="D1609" s="8"/>
      <c r="E1609" s="8"/>
      <c r="F1609" s="10"/>
      <c r="G1609" s="10"/>
      <c r="H1609" s="10"/>
      <c r="I1609" s="7"/>
      <c r="J1609" s="12"/>
      <c r="K1609" s="13"/>
      <c r="L1609" s="14"/>
      <c r="M1609" s="15"/>
      <c r="N1609" s="15"/>
      <c r="O1609" s="16"/>
      <c r="Q1609" s="16"/>
    </row>
    <row r="1610" spans="1:17" x14ac:dyDescent="0.3">
      <c r="A1610" s="5"/>
      <c r="B1610" s="6"/>
      <c r="C1610" s="7"/>
      <c r="D1610" s="8"/>
      <c r="E1610" s="8"/>
      <c r="F1610" s="10"/>
      <c r="G1610" s="10"/>
      <c r="H1610" s="10"/>
      <c r="I1610" s="7"/>
      <c r="J1610" s="12"/>
      <c r="K1610" s="13"/>
      <c r="L1610" s="14"/>
      <c r="M1610" s="15"/>
      <c r="N1610" s="15"/>
      <c r="O1610" s="16"/>
      <c r="Q1610" s="16"/>
    </row>
    <row r="1611" spans="1:17" x14ac:dyDescent="0.3">
      <c r="A1611" s="5"/>
      <c r="B1611" s="6"/>
      <c r="C1611" s="7"/>
      <c r="D1611" s="8"/>
      <c r="E1611" s="8"/>
      <c r="F1611" s="10"/>
      <c r="G1611" s="10"/>
      <c r="H1611" s="10"/>
      <c r="I1611" s="7"/>
      <c r="J1611" s="12"/>
      <c r="K1611" s="13"/>
      <c r="L1611" s="14"/>
      <c r="M1611" s="15"/>
      <c r="N1611" s="15"/>
      <c r="O1611" s="16"/>
      <c r="Q1611" s="16"/>
    </row>
    <row r="1612" spans="1:17" x14ac:dyDescent="0.3">
      <c r="A1612" s="5"/>
      <c r="B1612" s="6"/>
      <c r="C1612" s="7"/>
      <c r="D1612" s="8"/>
      <c r="E1612" s="8"/>
      <c r="F1612" s="10"/>
      <c r="G1612" s="10"/>
      <c r="H1612" s="10"/>
      <c r="I1612" s="7"/>
      <c r="J1612" s="12"/>
      <c r="K1612" s="13"/>
      <c r="L1612" s="14"/>
      <c r="M1612" s="15"/>
      <c r="N1612" s="15"/>
      <c r="O1612" s="16"/>
      <c r="Q1612" s="16"/>
    </row>
    <row r="1613" spans="1:17" x14ac:dyDescent="0.3">
      <c r="A1613" s="5"/>
      <c r="B1613" s="6"/>
      <c r="C1613" s="7"/>
      <c r="D1613" s="8"/>
      <c r="E1613" s="8"/>
      <c r="F1613" s="10"/>
      <c r="G1613" s="10"/>
      <c r="H1613" s="10"/>
      <c r="I1613" s="7"/>
      <c r="J1613" s="12"/>
      <c r="K1613" s="13"/>
      <c r="L1613" s="14"/>
      <c r="M1613" s="15"/>
      <c r="N1613" s="15"/>
      <c r="O1613" s="16"/>
      <c r="Q1613" s="16"/>
    </row>
    <row r="1614" spans="1:17" x14ac:dyDescent="0.3">
      <c r="A1614" s="5"/>
      <c r="B1614" s="6"/>
      <c r="C1614" s="7"/>
      <c r="D1614" s="8"/>
      <c r="E1614" s="8"/>
      <c r="F1614" s="10"/>
      <c r="G1614" s="10"/>
      <c r="H1614" s="10"/>
      <c r="I1614" s="7"/>
      <c r="J1614" s="12"/>
      <c r="K1614" s="13"/>
      <c r="L1614" s="14"/>
      <c r="M1614" s="15"/>
      <c r="N1614" s="15"/>
      <c r="O1614" s="16"/>
      <c r="Q1614" s="16"/>
    </row>
    <row r="1615" spans="1:17" x14ac:dyDescent="0.3">
      <c r="A1615" s="5"/>
      <c r="B1615" s="6"/>
      <c r="C1615" s="7"/>
      <c r="D1615" s="8"/>
      <c r="E1615" s="8"/>
      <c r="F1615" s="10"/>
      <c r="G1615" s="10"/>
      <c r="H1615" s="10"/>
      <c r="I1615" s="7"/>
      <c r="J1615" s="12"/>
      <c r="K1615" s="13"/>
      <c r="L1615" s="14"/>
      <c r="M1615" s="15"/>
      <c r="N1615" s="15"/>
      <c r="O1615" s="16"/>
      <c r="Q1615" s="16"/>
    </row>
    <row r="1616" spans="1:17" x14ac:dyDescent="0.3">
      <c r="A1616" s="5"/>
      <c r="B1616" s="6"/>
      <c r="C1616" s="7"/>
      <c r="D1616" s="8"/>
      <c r="E1616" s="8"/>
      <c r="F1616" s="10"/>
      <c r="G1616" s="10"/>
      <c r="H1616" s="10"/>
      <c r="I1616" s="7"/>
      <c r="J1616" s="12"/>
      <c r="K1616" s="13"/>
      <c r="L1616" s="14"/>
      <c r="M1616" s="15"/>
      <c r="N1616" s="15"/>
      <c r="O1616" s="16"/>
      <c r="Q1616" s="16"/>
    </row>
    <row r="1617" spans="1:17" x14ac:dyDescent="0.3">
      <c r="A1617" s="5"/>
      <c r="B1617" s="6"/>
      <c r="C1617" s="7"/>
      <c r="D1617" s="8"/>
      <c r="E1617" s="8"/>
      <c r="F1617" s="10"/>
      <c r="G1617" s="10"/>
      <c r="H1617" s="10"/>
      <c r="I1617" s="7"/>
      <c r="J1617" s="12"/>
      <c r="K1617" s="13"/>
      <c r="L1617" s="14"/>
      <c r="M1617" s="15"/>
      <c r="N1617" s="15"/>
      <c r="O1617" s="16"/>
      <c r="Q1617" s="16"/>
    </row>
    <row r="1618" spans="1:17" x14ac:dyDescent="0.3">
      <c r="A1618" s="5"/>
      <c r="B1618" s="6"/>
      <c r="C1618" s="7"/>
      <c r="D1618" s="8"/>
      <c r="E1618" s="8"/>
      <c r="F1618" s="10"/>
      <c r="G1618" s="10"/>
      <c r="H1618" s="10"/>
      <c r="I1618" s="7"/>
      <c r="J1618" s="12"/>
      <c r="K1618" s="13"/>
      <c r="L1618" s="14"/>
      <c r="M1618" s="15"/>
      <c r="N1618" s="15"/>
      <c r="O1618" s="16"/>
      <c r="Q1618" s="16"/>
    </row>
    <row r="1619" spans="1:17" x14ac:dyDescent="0.3">
      <c r="A1619" s="5"/>
      <c r="B1619" s="6"/>
      <c r="C1619" s="7"/>
      <c r="D1619" s="8"/>
      <c r="E1619" s="8"/>
      <c r="F1619" s="10"/>
      <c r="G1619" s="10"/>
      <c r="H1619" s="10"/>
      <c r="I1619" s="7"/>
      <c r="J1619" s="12"/>
      <c r="K1619" s="13"/>
      <c r="L1619" s="14"/>
      <c r="M1619" s="15"/>
      <c r="N1619" s="15"/>
      <c r="O1619" s="16"/>
      <c r="Q1619" s="16"/>
    </row>
    <row r="1620" spans="1:17" x14ac:dyDescent="0.3">
      <c r="A1620" s="5"/>
      <c r="B1620" s="6"/>
      <c r="C1620" s="7"/>
      <c r="D1620" s="8"/>
      <c r="E1620" s="8"/>
      <c r="F1620" s="10"/>
      <c r="G1620" s="10"/>
      <c r="H1620" s="10"/>
      <c r="I1620" s="7"/>
      <c r="J1620" s="12"/>
      <c r="K1620" s="13"/>
      <c r="L1620" s="14"/>
      <c r="M1620" s="15"/>
      <c r="N1620" s="15"/>
      <c r="O1620" s="16"/>
      <c r="Q1620" s="16"/>
    </row>
    <row r="1621" spans="1:17" x14ac:dyDescent="0.3">
      <c r="A1621" s="5"/>
      <c r="B1621" s="6"/>
      <c r="C1621" s="7"/>
      <c r="D1621" s="8"/>
      <c r="E1621" s="8"/>
      <c r="F1621" s="10"/>
      <c r="G1621" s="10"/>
      <c r="H1621" s="10"/>
      <c r="I1621" s="7"/>
      <c r="J1621" s="12"/>
      <c r="K1621" s="13"/>
      <c r="L1621" s="14"/>
      <c r="M1621" s="15"/>
      <c r="N1621" s="15"/>
      <c r="O1621" s="16"/>
      <c r="Q1621" s="16"/>
    </row>
    <row r="1622" spans="1:17" x14ac:dyDescent="0.3">
      <c r="A1622" s="5"/>
      <c r="B1622" s="6"/>
      <c r="C1622" s="7"/>
      <c r="D1622" s="8"/>
      <c r="E1622" s="8"/>
      <c r="F1622" s="10"/>
      <c r="G1622" s="10"/>
      <c r="H1622" s="10"/>
      <c r="I1622" s="7"/>
      <c r="J1622" s="12"/>
      <c r="K1622" s="13"/>
      <c r="L1622" s="14"/>
      <c r="M1622" s="15"/>
      <c r="N1622" s="15"/>
      <c r="O1622" s="16"/>
      <c r="Q1622" s="16"/>
    </row>
    <row r="1623" spans="1:17" x14ac:dyDescent="0.3">
      <c r="A1623" s="5"/>
      <c r="B1623" s="6"/>
      <c r="C1623" s="7"/>
      <c r="D1623" s="8"/>
      <c r="E1623" s="8"/>
      <c r="F1623" s="10"/>
      <c r="G1623" s="10"/>
      <c r="H1623" s="10"/>
      <c r="I1623" s="7"/>
      <c r="J1623" s="12"/>
      <c r="K1623" s="13"/>
      <c r="L1623" s="14"/>
      <c r="M1623" s="15"/>
      <c r="N1623" s="15"/>
      <c r="O1623" s="16"/>
      <c r="Q1623" s="16"/>
    </row>
    <row r="1624" spans="1:17" x14ac:dyDescent="0.3">
      <c r="A1624" s="5"/>
      <c r="B1624" s="6"/>
      <c r="C1624" s="7"/>
      <c r="D1624" s="8"/>
      <c r="E1624" s="8"/>
      <c r="F1624" s="10"/>
      <c r="G1624" s="10"/>
      <c r="H1624" s="10"/>
      <c r="I1624" s="7"/>
      <c r="J1624" s="12"/>
      <c r="K1624" s="13"/>
      <c r="L1624" s="14"/>
      <c r="M1624" s="15"/>
      <c r="N1624" s="15"/>
      <c r="O1624" s="16"/>
      <c r="Q1624" s="16"/>
    </row>
    <row r="1625" spans="1:17" x14ac:dyDescent="0.3">
      <c r="A1625" s="5"/>
      <c r="B1625" s="6"/>
      <c r="C1625" s="7"/>
      <c r="D1625" s="8"/>
      <c r="E1625" s="8"/>
      <c r="F1625" s="10"/>
      <c r="G1625" s="10"/>
      <c r="H1625" s="10"/>
      <c r="I1625" s="7"/>
      <c r="J1625" s="12"/>
      <c r="K1625" s="13"/>
      <c r="L1625" s="14"/>
      <c r="M1625" s="15"/>
      <c r="N1625" s="15"/>
      <c r="O1625" s="16"/>
      <c r="Q1625" s="16"/>
    </row>
    <row r="1626" spans="1:17" x14ac:dyDescent="0.3">
      <c r="A1626" s="5"/>
      <c r="B1626" s="6"/>
      <c r="C1626" s="7"/>
      <c r="D1626" s="8"/>
      <c r="E1626" s="8"/>
      <c r="F1626" s="10"/>
      <c r="G1626" s="10"/>
      <c r="H1626" s="10"/>
      <c r="I1626" s="7"/>
      <c r="J1626" s="12"/>
      <c r="K1626" s="13"/>
      <c r="L1626" s="14"/>
      <c r="M1626" s="15"/>
      <c r="N1626" s="15"/>
      <c r="O1626" s="16"/>
      <c r="Q1626" s="16"/>
    </row>
    <row r="1627" spans="1:17" x14ac:dyDescent="0.3">
      <c r="A1627" s="5"/>
      <c r="B1627" s="6"/>
      <c r="C1627" s="7"/>
      <c r="D1627" s="8"/>
      <c r="E1627" s="8"/>
      <c r="F1627" s="10"/>
      <c r="G1627" s="10"/>
      <c r="H1627" s="10"/>
      <c r="I1627" s="7"/>
      <c r="J1627" s="12"/>
      <c r="K1627" s="13"/>
      <c r="L1627" s="14"/>
      <c r="M1627" s="15"/>
      <c r="N1627" s="15"/>
      <c r="O1627" s="16"/>
      <c r="Q1627" s="16"/>
    </row>
    <row r="1628" spans="1:17" x14ac:dyDescent="0.3">
      <c r="A1628" s="5"/>
      <c r="B1628" s="6"/>
      <c r="C1628" s="7"/>
      <c r="D1628" s="8"/>
      <c r="E1628" s="8"/>
      <c r="F1628" s="10"/>
      <c r="G1628" s="10"/>
      <c r="H1628" s="10"/>
      <c r="I1628" s="7"/>
      <c r="J1628" s="12"/>
      <c r="K1628" s="13"/>
      <c r="L1628" s="14"/>
      <c r="M1628" s="15"/>
      <c r="N1628" s="15"/>
      <c r="O1628" s="16"/>
      <c r="Q1628" s="16"/>
    </row>
    <row r="1629" spans="1:17" x14ac:dyDescent="0.3">
      <c r="A1629" s="5"/>
      <c r="B1629" s="6"/>
      <c r="C1629" s="7"/>
      <c r="D1629" s="8"/>
      <c r="E1629" s="8"/>
      <c r="F1629" s="10"/>
      <c r="G1629" s="10"/>
      <c r="H1629" s="10"/>
      <c r="I1629" s="7"/>
      <c r="J1629" s="12"/>
      <c r="K1629" s="13"/>
      <c r="L1629" s="14"/>
      <c r="M1629" s="15"/>
      <c r="N1629" s="15"/>
      <c r="O1629" s="16"/>
      <c r="Q1629" s="16"/>
    </row>
    <row r="1630" spans="1:17" x14ac:dyDescent="0.3">
      <c r="A1630" s="5"/>
      <c r="B1630" s="6"/>
      <c r="C1630" s="7"/>
      <c r="D1630" s="8"/>
      <c r="E1630" s="8"/>
      <c r="F1630" s="10"/>
      <c r="G1630" s="10"/>
      <c r="H1630" s="10"/>
      <c r="I1630" s="7"/>
      <c r="J1630" s="12"/>
      <c r="K1630" s="13"/>
      <c r="L1630" s="14"/>
      <c r="M1630" s="15"/>
      <c r="N1630" s="15"/>
      <c r="O1630" s="16"/>
      <c r="Q1630" s="16"/>
    </row>
    <row r="1631" spans="1:17" x14ac:dyDescent="0.3">
      <c r="A1631" s="5"/>
      <c r="B1631" s="6"/>
      <c r="C1631" s="7"/>
      <c r="D1631" s="8"/>
      <c r="E1631" s="8"/>
      <c r="F1631" s="10"/>
      <c r="G1631" s="10"/>
      <c r="H1631" s="10"/>
      <c r="I1631" s="7"/>
      <c r="J1631" s="12"/>
      <c r="K1631" s="13"/>
      <c r="L1631" s="14"/>
      <c r="M1631" s="15"/>
      <c r="N1631" s="15"/>
      <c r="O1631" s="16"/>
      <c r="Q1631" s="16"/>
    </row>
    <row r="1632" spans="1:17" x14ac:dyDescent="0.3">
      <c r="A1632" s="5"/>
      <c r="B1632" s="6"/>
      <c r="C1632" s="7"/>
      <c r="D1632" s="8"/>
      <c r="E1632" s="8"/>
      <c r="F1632" s="10"/>
      <c r="G1632" s="10"/>
      <c r="H1632" s="10"/>
      <c r="I1632" s="7"/>
      <c r="J1632" s="12"/>
      <c r="K1632" s="13"/>
      <c r="L1632" s="14"/>
      <c r="M1632" s="15"/>
      <c r="N1632" s="15"/>
      <c r="O1632" s="16"/>
      <c r="Q1632" s="16"/>
    </row>
    <row r="1633" spans="1:17" x14ac:dyDescent="0.3">
      <c r="A1633" s="5"/>
      <c r="B1633" s="6"/>
      <c r="C1633" s="7"/>
      <c r="D1633" s="8"/>
      <c r="E1633" s="8"/>
      <c r="F1633" s="10"/>
      <c r="G1633" s="10"/>
      <c r="H1633" s="10"/>
      <c r="I1633" s="7"/>
      <c r="J1633" s="12"/>
      <c r="K1633" s="13"/>
      <c r="L1633" s="14"/>
      <c r="M1633" s="15"/>
      <c r="N1633" s="15"/>
      <c r="O1633" s="16"/>
      <c r="Q1633" s="16"/>
    </row>
    <row r="1634" spans="1:17" x14ac:dyDescent="0.3">
      <c r="A1634" s="5"/>
      <c r="B1634" s="6"/>
      <c r="C1634" s="7"/>
      <c r="D1634" s="8"/>
      <c r="E1634" s="8"/>
      <c r="F1634" s="10"/>
      <c r="G1634" s="10"/>
      <c r="H1634" s="10"/>
      <c r="I1634" s="7"/>
      <c r="J1634" s="12"/>
      <c r="K1634" s="13"/>
      <c r="L1634" s="14"/>
      <c r="M1634" s="15"/>
      <c r="N1634" s="15"/>
      <c r="O1634" s="16"/>
      <c r="Q1634" s="16"/>
    </row>
    <row r="1635" spans="1:17" x14ac:dyDescent="0.3">
      <c r="A1635" s="5"/>
      <c r="B1635" s="6"/>
      <c r="C1635" s="7"/>
      <c r="D1635" s="8"/>
      <c r="E1635" s="8"/>
      <c r="F1635" s="10"/>
      <c r="G1635" s="10"/>
      <c r="H1635" s="10"/>
      <c r="I1635" s="7"/>
      <c r="J1635" s="12"/>
      <c r="K1635" s="13"/>
      <c r="L1635" s="14"/>
      <c r="M1635" s="15"/>
      <c r="N1635" s="15"/>
      <c r="O1635" s="16"/>
      <c r="Q1635" s="16"/>
    </row>
    <row r="1636" spans="1:17" x14ac:dyDescent="0.3">
      <c r="A1636" s="5"/>
      <c r="B1636" s="6"/>
      <c r="C1636" s="7"/>
      <c r="D1636" s="8"/>
      <c r="E1636" s="8"/>
      <c r="F1636" s="10"/>
      <c r="G1636" s="10"/>
      <c r="H1636" s="10"/>
      <c r="I1636" s="7"/>
      <c r="J1636" s="12"/>
      <c r="K1636" s="13"/>
      <c r="L1636" s="14"/>
      <c r="M1636" s="15"/>
      <c r="N1636" s="15"/>
      <c r="O1636" s="16"/>
      <c r="Q1636" s="16"/>
    </row>
    <row r="1637" spans="1:17" x14ac:dyDescent="0.3">
      <c r="A1637" s="5"/>
      <c r="B1637" s="6"/>
      <c r="C1637" s="7"/>
      <c r="D1637" s="8"/>
      <c r="E1637" s="8"/>
      <c r="F1637" s="10"/>
      <c r="G1637" s="10"/>
      <c r="H1637" s="10"/>
      <c r="I1637" s="7"/>
      <c r="J1637" s="12"/>
      <c r="K1637" s="13"/>
      <c r="L1637" s="14"/>
      <c r="M1637" s="15"/>
      <c r="N1637" s="15"/>
      <c r="O1637" s="16"/>
      <c r="Q1637" s="16"/>
    </row>
    <row r="1638" spans="1:17" x14ac:dyDescent="0.3">
      <c r="A1638" s="5"/>
      <c r="B1638" s="6"/>
      <c r="C1638" s="7"/>
      <c r="D1638" s="8"/>
      <c r="E1638" s="8"/>
      <c r="F1638" s="10"/>
      <c r="G1638" s="10"/>
      <c r="H1638" s="10"/>
      <c r="I1638" s="7"/>
      <c r="J1638" s="12"/>
      <c r="K1638" s="13"/>
      <c r="L1638" s="14"/>
      <c r="M1638" s="15"/>
      <c r="N1638" s="15"/>
      <c r="O1638" s="16"/>
      <c r="Q1638" s="16"/>
    </row>
    <row r="1639" spans="1:17" x14ac:dyDescent="0.3">
      <c r="A1639" s="5"/>
      <c r="B1639" s="6"/>
      <c r="C1639" s="7"/>
      <c r="D1639" s="8"/>
      <c r="E1639" s="8"/>
      <c r="F1639" s="10"/>
      <c r="G1639" s="10"/>
      <c r="H1639" s="10"/>
      <c r="I1639" s="7"/>
      <c r="J1639" s="12"/>
      <c r="K1639" s="13"/>
      <c r="L1639" s="14"/>
      <c r="M1639" s="15"/>
      <c r="N1639" s="15"/>
      <c r="O1639" s="16"/>
      <c r="Q1639" s="16"/>
    </row>
    <row r="1640" spans="1:17" x14ac:dyDescent="0.3">
      <c r="A1640" s="5"/>
      <c r="B1640" s="6"/>
      <c r="C1640" s="7"/>
      <c r="D1640" s="8"/>
      <c r="E1640" s="8"/>
      <c r="F1640" s="10"/>
      <c r="G1640" s="10"/>
      <c r="H1640" s="10"/>
      <c r="I1640" s="7"/>
      <c r="J1640" s="12"/>
      <c r="K1640" s="13"/>
      <c r="L1640" s="14"/>
      <c r="M1640" s="15"/>
      <c r="N1640" s="15"/>
      <c r="O1640" s="16"/>
      <c r="Q1640" s="16"/>
    </row>
    <row r="1641" spans="1:17" x14ac:dyDescent="0.3">
      <c r="A1641" s="5"/>
      <c r="B1641" s="6"/>
      <c r="C1641" s="7"/>
      <c r="D1641" s="8"/>
      <c r="E1641" s="8"/>
      <c r="F1641" s="10"/>
      <c r="G1641" s="10"/>
      <c r="H1641" s="10"/>
      <c r="I1641" s="7"/>
      <c r="J1641" s="12"/>
      <c r="K1641" s="13"/>
      <c r="L1641" s="14"/>
      <c r="M1641" s="15"/>
      <c r="N1641" s="15"/>
      <c r="O1641" s="16"/>
      <c r="Q1641" s="16"/>
    </row>
    <row r="1642" spans="1:17" x14ac:dyDescent="0.3">
      <c r="A1642" s="5"/>
      <c r="B1642" s="6"/>
      <c r="C1642" s="7"/>
      <c r="D1642" s="8"/>
      <c r="E1642" s="8"/>
      <c r="F1642" s="10"/>
      <c r="G1642" s="10"/>
      <c r="H1642" s="10"/>
      <c r="I1642" s="7"/>
      <c r="J1642" s="12"/>
      <c r="K1642" s="13"/>
      <c r="L1642" s="14"/>
      <c r="M1642" s="15"/>
      <c r="N1642" s="15"/>
      <c r="O1642" s="16"/>
      <c r="Q1642" s="16"/>
    </row>
    <row r="1643" spans="1:17" x14ac:dyDescent="0.3">
      <c r="A1643" s="5"/>
      <c r="B1643" s="6"/>
      <c r="C1643" s="7"/>
      <c r="D1643" s="8"/>
      <c r="E1643" s="8"/>
      <c r="F1643" s="10"/>
      <c r="G1643" s="10"/>
      <c r="H1643" s="10"/>
      <c r="I1643" s="7"/>
      <c r="J1643" s="12"/>
      <c r="K1643" s="13"/>
      <c r="L1643" s="14"/>
      <c r="M1643" s="15"/>
      <c r="N1643" s="15"/>
      <c r="O1643" s="16"/>
      <c r="Q1643" s="16"/>
    </row>
    <row r="1644" spans="1:17" x14ac:dyDescent="0.3">
      <c r="A1644" s="5"/>
      <c r="B1644" s="6"/>
      <c r="C1644" s="7"/>
      <c r="D1644" s="8"/>
      <c r="E1644" s="8"/>
      <c r="F1644" s="10"/>
      <c r="G1644" s="10"/>
      <c r="H1644" s="10"/>
      <c r="I1644" s="7"/>
      <c r="J1644" s="12"/>
      <c r="K1644" s="13"/>
      <c r="L1644" s="14"/>
      <c r="M1644" s="15"/>
      <c r="N1644" s="15"/>
      <c r="O1644" s="16"/>
      <c r="Q1644" s="16"/>
    </row>
    <row r="1645" spans="1:17" x14ac:dyDescent="0.3">
      <c r="A1645" s="5"/>
      <c r="B1645" s="6"/>
      <c r="C1645" s="7"/>
      <c r="D1645" s="8"/>
      <c r="E1645" s="8"/>
      <c r="F1645" s="10"/>
      <c r="G1645" s="10"/>
      <c r="H1645" s="10"/>
      <c r="I1645" s="7"/>
      <c r="J1645" s="12"/>
      <c r="K1645" s="13"/>
      <c r="L1645" s="14"/>
      <c r="M1645" s="15"/>
      <c r="N1645" s="15"/>
      <c r="O1645" s="16"/>
      <c r="Q1645" s="16"/>
    </row>
    <row r="1646" spans="1:17" x14ac:dyDescent="0.3">
      <c r="A1646" s="5"/>
      <c r="B1646" s="6"/>
      <c r="C1646" s="7"/>
      <c r="D1646" s="8"/>
      <c r="E1646" s="8"/>
      <c r="F1646" s="10"/>
      <c r="G1646" s="10"/>
      <c r="H1646" s="10"/>
      <c r="I1646" s="7"/>
      <c r="J1646" s="12"/>
      <c r="K1646" s="13"/>
      <c r="L1646" s="14"/>
      <c r="M1646" s="15"/>
      <c r="N1646" s="15"/>
      <c r="O1646" s="16"/>
      <c r="Q1646" s="16"/>
    </row>
    <row r="1647" spans="1:17" x14ac:dyDescent="0.3">
      <c r="A1647" s="5"/>
      <c r="B1647" s="6"/>
      <c r="C1647" s="7"/>
      <c r="D1647" s="8"/>
      <c r="E1647" s="8"/>
      <c r="F1647" s="10"/>
      <c r="G1647" s="10"/>
      <c r="H1647" s="10"/>
      <c r="I1647" s="7"/>
      <c r="J1647" s="12"/>
      <c r="K1647" s="13"/>
      <c r="L1647" s="14"/>
      <c r="M1647" s="15"/>
      <c r="N1647" s="15"/>
      <c r="O1647" s="16"/>
      <c r="Q1647" s="16"/>
    </row>
    <row r="1648" spans="1:17" x14ac:dyDescent="0.3">
      <c r="A1648" s="5"/>
      <c r="B1648" s="6"/>
      <c r="C1648" s="7"/>
      <c r="D1648" s="8"/>
      <c r="E1648" s="8"/>
      <c r="F1648" s="10"/>
      <c r="G1648" s="10"/>
      <c r="H1648" s="10"/>
      <c r="I1648" s="7"/>
      <c r="J1648" s="12"/>
      <c r="K1648" s="13"/>
      <c r="L1648" s="14"/>
      <c r="M1648" s="15"/>
      <c r="N1648" s="15"/>
      <c r="O1648" s="16"/>
      <c r="Q1648" s="16"/>
    </row>
    <row r="1649" spans="1:17" x14ac:dyDescent="0.3">
      <c r="A1649" s="5"/>
      <c r="B1649" s="6"/>
      <c r="C1649" s="7"/>
      <c r="D1649" s="8"/>
      <c r="E1649" s="8"/>
      <c r="F1649" s="10"/>
      <c r="G1649" s="10"/>
      <c r="H1649" s="10"/>
      <c r="I1649" s="7"/>
      <c r="J1649" s="12"/>
      <c r="K1649" s="13"/>
      <c r="L1649" s="14"/>
      <c r="M1649" s="15"/>
      <c r="N1649" s="15"/>
      <c r="O1649" s="16"/>
      <c r="Q1649" s="16"/>
    </row>
    <row r="1650" spans="1:17" x14ac:dyDescent="0.3">
      <c r="A1650" s="5"/>
      <c r="B1650" s="6"/>
      <c r="C1650" s="7"/>
      <c r="D1650" s="8"/>
      <c r="E1650" s="8"/>
      <c r="F1650" s="10"/>
      <c r="G1650" s="10"/>
      <c r="H1650" s="10"/>
      <c r="I1650" s="7"/>
      <c r="J1650" s="12"/>
      <c r="K1650" s="13"/>
      <c r="L1650" s="14"/>
      <c r="M1650" s="15"/>
      <c r="N1650" s="15"/>
      <c r="O1650" s="16"/>
      <c r="Q1650" s="16"/>
    </row>
    <row r="1651" spans="1:17" x14ac:dyDescent="0.3">
      <c r="A1651" s="5"/>
      <c r="B1651" s="6"/>
      <c r="C1651" s="7"/>
      <c r="D1651" s="8"/>
      <c r="E1651" s="8"/>
      <c r="F1651" s="10"/>
      <c r="G1651" s="10"/>
      <c r="H1651" s="10"/>
      <c r="I1651" s="7"/>
      <c r="J1651" s="12"/>
      <c r="K1651" s="13"/>
      <c r="L1651" s="14"/>
      <c r="M1651" s="15"/>
      <c r="N1651" s="15"/>
      <c r="O1651" s="16"/>
      <c r="Q1651" s="16"/>
    </row>
    <row r="1652" spans="1:17" x14ac:dyDescent="0.3">
      <c r="A1652" s="5"/>
      <c r="B1652" s="6"/>
      <c r="C1652" s="7"/>
      <c r="D1652" s="8"/>
      <c r="E1652" s="8"/>
      <c r="F1652" s="10"/>
      <c r="G1652" s="10"/>
      <c r="H1652" s="10"/>
      <c r="I1652" s="7"/>
      <c r="J1652" s="12"/>
      <c r="K1652" s="13"/>
      <c r="L1652" s="14"/>
      <c r="M1652" s="15"/>
      <c r="N1652" s="15"/>
      <c r="O1652" s="16"/>
      <c r="Q1652" s="16"/>
    </row>
    <row r="1653" spans="1:17" x14ac:dyDescent="0.3">
      <c r="A1653" s="5"/>
      <c r="B1653" s="6"/>
      <c r="C1653" s="7"/>
      <c r="D1653" s="8"/>
      <c r="E1653" s="8"/>
      <c r="F1653" s="10"/>
      <c r="G1653" s="10"/>
      <c r="H1653" s="10"/>
      <c r="I1653" s="7"/>
      <c r="J1653" s="12"/>
      <c r="K1653" s="13"/>
      <c r="L1653" s="14"/>
      <c r="M1653" s="15"/>
      <c r="N1653" s="15"/>
      <c r="O1653" s="16"/>
      <c r="Q1653" s="16"/>
    </row>
    <row r="1654" spans="1:17" x14ac:dyDescent="0.3">
      <c r="A1654" s="5"/>
      <c r="B1654" s="6"/>
      <c r="C1654" s="7"/>
      <c r="D1654" s="8"/>
      <c r="E1654" s="8"/>
      <c r="F1654" s="10"/>
      <c r="G1654" s="10"/>
      <c r="H1654" s="10"/>
      <c r="I1654" s="7"/>
      <c r="J1654" s="12"/>
      <c r="K1654" s="13"/>
      <c r="L1654" s="14"/>
      <c r="M1654" s="15"/>
      <c r="N1654" s="15"/>
      <c r="O1654" s="16"/>
      <c r="Q1654" s="16"/>
    </row>
    <row r="1655" spans="1:17" x14ac:dyDescent="0.3">
      <c r="A1655" s="5"/>
      <c r="B1655" s="6"/>
      <c r="C1655" s="7"/>
      <c r="D1655" s="8"/>
      <c r="E1655" s="8"/>
      <c r="F1655" s="10"/>
      <c r="G1655" s="10"/>
      <c r="H1655" s="10"/>
      <c r="I1655" s="7"/>
      <c r="J1655" s="12"/>
      <c r="K1655" s="13"/>
      <c r="L1655" s="14"/>
      <c r="M1655" s="15"/>
      <c r="N1655" s="15"/>
      <c r="O1655" s="16"/>
      <c r="Q1655" s="16"/>
    </row>
    <row r="1656" spans="1:17" x14ac:dyDescent="0.3">
      <c r="A1656" s="5"/>
      <c r="B1656" s="6"/>
      <c r="C1656" s="7"/>
      <c r="D1656" s="8"/>
      <c r="E1656" s="8"/>
      <c r="F1656" s="10"/>
      <c r="G1656" s="10"/>
      <c r="H1656" s="10"/>
      <c r="I1656" s="7"/>
      <c r="J1656" s="12"/>
      <c r="K1656" s="13"/>
      <c r="L1656" s="14"/>
      <c r="M1656" s="15"/>
      <c r="N1656" s="15"/>
      <c r="O1656" s="16"/>
      <c r="Q1656" s="16"/>
    </row>
    <row r="1657" spans="1:17" x14ac:dyDescent="0.3">
      <c r="A1657" s="5"/>
      <c r="B1657" s="6"/>
      <c r="C1657" s="7"/>
      <c r="D1657" s="8"/>
      <c r="E1657" s="8"/>
      <c r="F1657" s="10"/>
      <c r="G1657" s="10"/>
      <c r="H1657" s="10"/>
      <c r="I1657" s="7"/>
      <c r="J1657" s="12"/>
      <c r="K1657" s="13"/>
      <c r="L1657" s="14"/>
      <c r="M1657" s="15"/>
      <c r="N1657" s="15"/>
      <c r="O1657" s="16"/>
      <c r="Q1657" s="16"/>
    </row>
    <row r="1658" spans="1:17" x14ac:dyDescent="0.3">
      <c r="A1658" s="5"/>
      <c r="B1658" s="6"/>
      <c r="C1658" s="7"/>
      <c r="D1658" s="8"/>
      <c r="E1658" s="8"/>
      <c r="F1658" s="10"/>
      <c r="G1658" s="10"/>
      <c r="H1658" s="10"/>
      <c r="I1658" s="7"/>
      <c r="J1658" s="12"/>
      <c r="K1658" s="13"/>
      <c r="L1658" s="14"/>
      <c r="M1658" s="15"/>
      <c r="N1658" s="15"/>
      <c r="O1658" s="16"/>
      <c r="Q1658" s="16"/>
    </row>
    <row r="1659" spans="1:17" x14ac:dyDescent="0.3">
      <c r="A1659" s="5"/>
      <c r="B1659" s="6"/>
      <c r="C1659" s="7"/>
      <c r="D1659" s="8"/>
      <c r="E1659" s="8"/>
      <c r="F1659" s="10"/>
      <c r="G1659" s="10"/>
      <c r="H1659" s="10"/>
      <c r="I1659" s="7"/>
      <c r="J1659" s="12"/>
      <c r="K1659" s="13"/>
      <c r="L1659" s="14"/>
      <c r="M1659" s="15"/>
      <c r="N1659" s="15"/>
      <c r="O1659" s="16"/>
      <c r="Q1659" s="16"/>
    </row>
    <row r="1660" spans="1:17" x14ac:dyDescent="0.3">
      <c r="A1660" s="5"/>
      <c r="B1660" s="6"/>
      <c r="C1660" s="7"/>
      <c r="D1660" s="8"/>
      <c r="E1660" s="8"/>
      <c r="F1660" s="10"/>
      <c r="G1660" s="10"/>
      <c r="H1660" s="10"/>
      <c r="I1660" s="7"/>
      <c r="J1660" s="12"/>
      <c r="K1660" s="13"/>
      <c r="L1660" s="14"/>
      <c r="M1660" s="15"/>
      <c r="N1660" s="15"/>
      <c r="O1660" s="16"/>
      <c r="Q1660" s="16"/>
    </row>
    <row r="1661" spans="1:17" x14ac:dyDescent="0.3">
      <c r="A1661" s="5"/>
      <c r="B1661" s="6"/>
      <c r="C1661" s="7"/>
      <c r="D1661" s="8"/>
      <c r="E1661" s="8"/>
      <c r="F1661" s="10"/>
      <c r="G1661" s="10"/>
      <c r="H1661" s="10"/>
      <c r="I1661" s="7"/>
      <c r="J1661" s="12"/>
      <c r="K1661" s="13"/>
      <c r="L1661" s="14"/>
      <c r="M1661" s="15"/>
      <c r="N1661" s="15"/>
      <c r="O1661" s="16"/>
      <c r="Q1661" s="16"/>
    </row>
    <row r="1662" spans="1:17" x14ac:dyDescent="0.3">
      <c r="A1662" s="5"/>
      <c r="B1662" s="6"/>
      <c r="C1662" s="7"/>
      <c r="D1662" s="8"/>
      <c r="E1662" s="8"/>
      <c r="F1662" s="10"/>
      <c r="G1662" s="10"/>
      <c r="H1662" s="10"/>
      <c r="I1662" s="7"/>
      <c r="J1662" s="12"/>
      <c r="K1662" s="13"/>
      <c r="L1662" s="14"/>
      <c r="M1662" s="15"/>
      <c r="N1662" s="15"/>
      <c r="O1662" s="16"/>
      <c r="Q1662" s="16"/>
    </row>
    <row r="1663" spans="1:17" x14ac:dyDescent="0.3">
      <c r="A1663" s="5"/>
      <c r="B1663" s="6"/>
      <c r="C1663" s="7"/>
      <c r="D1663" s="8"/>
      <c r="E1663" s="8"/>
      <c r="F1663" s="10"/>
      <c r="G1663" s="10"/>
      <c r="H1663" s="10"/>
      <c r="I1663" s="7"/>
      <c r="J1663" s="12"/>
      <c r="K1663" s="13"/>
      <c r="L1663" s="14"/>
      <c r="M1663" s="15"/>
      <c r="N1663" s="15"/>
      <c r="O1663" s="16"/>
      <c r="Q1663" s="16"/>
    </row>
    <row r="1664" spans="1:17" x14ac:dyDescent="0.3">
      <c r="A1664" s="5"/>
      <c r="B1664" s="6"/>
      <c r="C1664" s="7"/>
      <c r="D1664" s="8"/>
      <c r="E1664" s="8"/>
      <c r="F1664" s="10"/>
      <c r="G1664" s="10"/>
      <c r="H1664" s="10"/>
      <c r="I1664" s="7"/>
      <c r="J1664" s="12"/>
      <c r="K1664" s="13"/>
      <c r="L1664" s="14"/>
      <c r="M1664" s="15"/>
      <c r="N1664" s="15"/>
      <c r="O1664" s="16"/>
      <c r="Q1664" s="16"/>
    </row>
    <row r="1665" spans="1:17" x14ac:dyDescent="0.3">
      <c r="A1665" s="5"/>
      <c r="B1665" s="6"/>
      <c r="C1665" s="7"/>
      <c r="D1665" s="8"/>
      <c r="E1665" s="8"/>
      <c r="F1665" s="10"/>
      <c r="G1665" s="10"/>
      <c r="H1665" s="10"/>
      <c r="I1665" s="7"/>
      <c r="J1665" s="12"/>
      <c r="K1665" s="13"/>
      <c r="L1665" s="14"/>
      <c r="M1665" s="15"/>
      <c r="N1665" s="15"/>
      <c r="O1665" s="16"/>
      <c r="Q1665" s="16"/>
    </row>
    <row r="1666" spans="1:17" x14ac:dyDescent="0.3">
      <c r="A1666" s="5"/>
      <c r="B1666" s="6"/>
      <c r="C1666" s="7"/>
      <c r="D1666" s="8"/>
      <c r="E1666" s="8"/>
      <c r="F1666" s="10"/>
      <c r="G1666" s="10"/>
      <c r="H1666" s="10"/>
      <c r="I1666" s="7"/>
      <c r="J1666" s="12"/>
      <c r="K1666" s="13"/>
      <c r="L1666" s="14"/>
      <c r="M1666" s="15"/>
      <c r="N1666" s="15"/>
      <c r="O1666" s="16"/>
      <c r="Q1666" s="16"/>
    </row>
    <row r="1667" spans="1:17" x14ac:dyDescent="0.3">
      <c r="A1667" s="5"/>
      <c r="B1667" s="6"/>
      <c r="C1667" s="7"/>
      <c r="D1667" s="8"/>
      <c r="E1667" s="8"/>
      <c r="F1667" s="10"/>
      <c r="G1667" s="10"/>
      <c r="H1667" s="10"/>
      <c r="I1667" s="7"/>
      <c r="J1667" s="12"/>
      <c r="K1667" s="13"/>
      <c r="L1667" s="14"/>
      <c r="M1667" s="15"/>
      <c r="N1667" s="15"/>
      <c r="O1667" s="16"/>
      <c r="Q1667" s="16"/>
    </row>
    <row r="1668" spans="1:17" x14ac:dyDescent="0.3">
      <c r="A1668" s="5"/>
      <c r="B1668" s="6"/>
      <c r="C1668" s="7"/>
      <c r="D1668" s="8"/>
      <c r="E1668" s="8"/>
      <c r="F1668" s="10"/>
      <c r="G1668" s="10"/>
      <c r="H1668" s="10"/>
      <c r="I1668" s="7"/>
      <c r="J1668" s="12"/>
      <c r="K1668" s="13"/>
      <c r="L1668" s="14"/>
      <c r="M1668" s="15"/>
      <c r="N1668" s="15"/>
      <c r="O1668" s="16"/>
      <c r="Q1668" s="16"/>
    </row>
    <row r="1669" spans="1:17" x14ac:dyDescent="0.3">
      <c r="A1669" s="5"/>
      <c r="B1669" s="6"/>
      <c r="C1669" s="7"/>
      <c r="D1669" s="8"/>
      <c r="E1669" s="8"/>
      <c r="F1669" s="10"/>
      <c r="G1669" s="10"/>
      <c r="H1669" s="10"/>
      <c r="I1669" s="7"/>
      <c r="J1669" s="12"/>
      <c r="K1669" s="13"/>
      <c r="L1669" s="14"/>
      <c r="M1669" s="15"/>
      <c r="N1669" s="15"/>
      <c r="O1669" s="16"/>
      <c r="Q1669" s="16"/>
    </row>
    <row r="1670" spans="1:17" x14ac:dyDescent="0.3">
      <c r="A1670" s="5"/>
      <c r="B1670" s="6"/>
      <c r="C1670" s="7"/>
      <c r="D1670" s="8"/>
      <c r="E1670" s="8"/>
      <c r="F1670" s="10"/>
      <c r="G1670" s="10"/>
      <c r="H1670" s="10"/>
      <c r="I1670" s="7"/>
      <c r="J1670" s="12"/>
      <c r="K1670" s="13"/>
      <c r="L1670" s="14"/>
      <c r="M1670" s="15"/>
      <c r="N1670" s="15"/>
      <c r="O1670" s="16"/>
      <c r="Q1670" s="16"/>
    </row>
    <row r="1671" spans="1:17" x14ac:dyDescent="0.3">
      <c r="A1671" s="5"/>
      <c r="B1671" s="6"/>
      <c r="C1671" s="7"/>
      <c r="D1671" s="8"/>
      <c r="E1671" s="8"/>
      <c r="F1671" s="10"/>
      <c r="G1671" s="10"/>
      <c r="H1671" s="10"/>
      <c r="I1671" s="7"/>
      <c r="J1671" s="12"/>
      <c r="K1671" s="13"/>
      <c r="L1671" s="14"/>
      <c r="M1671" s="15"/>
      <c r="N1671" s="15"/>
      <c r="O1671" s="16"/>
      <c r="Q1671" s="16"/>
    </row>
    <row r="1672" spans="1:17" x14ac:dyDescent="0.3">
      <c r="A1672" s="5"/>
      <c r="B1672" s="6"/>
      <c r="C1672" s="7"/>
      <c r="D1672" s="8"/>
      <c r="E1672" s="8"/>
      <c r="F1672" s="10"/>
      <c r="G1672" s="10"/>
      <c r="H1672" s="10"/>
      <c r="I1672" s="7"/>
      <c r="J1672" s="12"/>
      <c r="K1672" s="13"/>
      <c r="L1672" s="14"/>
      <c r="M1672" s="15"/>
      <c r="N1672" s="15"/>
      <c r="O1672" s="16"/>
      <c r="Q1672" s="16"/>
    </row>
    <row r="1673" spans="1:17" x14ac:dyDescent="0.3">
      <c r="A1673" s="5"/>
      <c r="B1673" s="6"/>
      <c r="C1673" s="7"/>
      <c r="D1673" s="8"/>
      <c r="E1673" s="8"/>
      <c r="F1673" s="10"/>
      <c r="G1673" s="10"/>
      <c r="H1673" s="10"/>
      <c r="I1673" s="7"/>
      <c r="J1673" s="12"/>
      <c r="K1673" s="13"/>
      <c r="L1673" s="14"/>
      <c r="M1673" s="15"/>
      <c r="N1673" s="15"/>
      <c r="O1673" s="16"/>
      <c r="Q1673" s="16"/>
    </row>
    <row r="1674" spans="1:17" x14ac:dyDescent="0.3">
      <c r="A1674" s="5"/>
      <c r="B1674" s="6"/>
      <c r="C1674" s="7"/>
      <c r="D1674" s="8"/>
      <c r="E1674" s="8"/>
      <c r="F1674" s="10"/>
      <c r="G1674" s="10"/>
      <c r="H1674" s="10"/>
      <c r="I1674" s="7"/>
      <c r="J1674" s="12"/>
      <c r="K1674" s="13"/>
      <c r="L1674" s="14"/>
      <c r="M1674" s="15"/>
      <c r="N1674" s="15"/>
      <c r="O1674" s="16"/>
      <c r="Q1674" s="16"/>
    </row>
    <row r="1675" spans="1:17" x14ac:dyDescent="0.3">
      <c r="A1675" s="5"/>
      <c r="B1675" s="6"/>
      <c r="C1675" s="7"/>
      <c r="D1675" s="8"/>
      <c r="E1675" s="8"/>
      <c r="F1675" s="10"/>
      <c r="G1675" s="10"/>
      <c r="H1675" s="10"/>
      <c r="I1675" s="7"/>
      <c r="J1675" s="12"/>
      <c r="K1675" s="13"/>
      <c r="L1675" s="14"/>
      <c r="M1675" s="15"/>
      <c r="N1675" s="15"/>
      <c r="O1675" s="16"/>
      <c r="Q1675" s="16"/>
    </row>
    <row r="1676" spans="1:17" x14ac:dyDescent="0.3">
      <c r="A1676" s="5"/>
      <c r="B1676" s="6"/>
      <c r="C1676" s="7"/>
      <c r="D1676" s="8"/>
      <c r="E1676" s="8"/>
      <c r="F1676" s="10"/>
      <c r="G1676" s="10"/>
      <c r="H1676" s="10"/>
      <c r="I1676" s="7"/>
      <c r="J1676" s="12"/>
      <c r="K1676" s="13"/>
      <c r="L1676" s="14"/>
      <c r="M1676" s="15"/>
      <c r="N1676" s="15"/>
      <c r="O1676" s="16"/>
      <c r="Q1676" s="16"/>
    </row>
    <row r="1677" spans="1:17" x14ac:dyDescent="0.3">
      <c r="A1677" s="5"/>
      <c r="B1677" s="6"/>
      <c r="C1677" s="7"/>
      <c r="D1677" s="8"/>
      <c r="E1677" s="8"/>
      <c r="F1677" s="10"/>
      <c r="G1677" s="10"/>
      <c r="H1677" s="10"/>
      <c r="I1677" s="7"/>
      <c r="J1677" s="12"/>
      <c r="K1677" s="13"/>
      <c r="L1677" s="14"/>
      <c r="M1677" s="15"/>
      <c r="N1677" s="15"/>
      <c r="O1677" s="16"/>
      <c r="Q1677" s="16"/>
    </row>
    <row r="1678" spans="1:17" x14ac:dyDescent="0.3">
      <c r="A1678" s="5"/>
      <c r="B1678" s="6"/>
      <c r="C1678" s="7"/>
      <c r="D1678" s="8"/>
      <c r="E1678" s="8"/>
      <c r="F1678" s="10"/>
      <c r="G1678" s="10"/>
      <c r="H1678" s="10"/>
      <c r="I1678" s="7"/>
      <c r="J1678" s="12"/>
      <c r="K1678" s="13"/>
      <c r="L1678" s="14"/>
      <c r="M1678" s="15"/>
      <c r="N1678" s="15"/>
      <c r="O1678" s="16"/>
      <c r="Q1678" s="16"/>
    </row>
    <row r="1679" spans="1:17" x14ac:dyDescent="0.3">
      <c r="A1679" s="5"/>
      <c r="B1679" s="6"/>
      <c r="C1679" s="7"/>
      <c r="D1679" s="8"/>
      <c r="E1679" s="8"/>
      <c r="F1679" s="10"/>
      <c r="G1679" s="10"/>
      <c r="H1679" s="10"/>
      <c r="I1679" s="7"/>
      <c r="J1679" s="12"/>
      <c r="K1679" s="13"/>
      <c r="L1679" s="14"/>
      <c r="M1679" s="15"/>
      <c r="N1679" s="15"/>
      <c r="O1679" s="16"/>
      <c r="Q1679" s="16"/>
    </row>
    <row r="1680" spans="1:17" x14ac:dyDescent="0.3">
      <c r="A1680" s="5"/>
      <c r="B1680" s="6"/>
      <c r="C1680" s="7"/>
      <c r="D1680" s="8"/>
      <c r="E1680" s="8"/>
      <c r="F1680" s="10"/>
      <c r="G1680" s="10"/>
      <c r="H1680" s="10"/>
      <c r="I1680" s="7"/>
      <c r="J1680" s="12"/>
      <c r="K1680" s="13"/>
      <c r="L1680" s="14"/>
      <c r="M1680" s="15"/>
      <c r="N1680" s="15"/>
      <c r="O1680" s="16"/>
      <c r="Q1680" s="16"/>
    </row>
    <row r="1681" spans="1:17" x14ac:dyDescent="0.3">
      <c r="A1681" s="5"/>
      <c r="B1681" s="6"/>
      <c r="C1681" s="7"/>
      <c r="D1681" s="8"/>
      <c r="E1681" s="8"/>
      <c r="F1681" s="10"/>
      <c r="G1681" s="10"/>
      <c r="H1681" s="10"/>
      <c r="I1681" s="7"/>
      <c r="J1681" s="12"/>
      <c r="K1681" s="13"/>
      <c r="L1681" s="14"/>
      <c r="M1681" s="15"/>
      <c r="N1681" s="15"/>
      <c r="O1681" s="16"/>
      <c r="Q1681" s="16"/>
    </row>
    <row r="1682" spans="1:17" x14ac:dyDescent="0.3">
      <c r="A1682" s="5"/>
      <c r="B1682" s="6"/>
      <c r="C1682" s="7"/>
      <c r="D1682" s="8"/>
      <c r="E1682" s="8"/>
      <c r="F1682" s="10"/>
      <c r="G1682" s="10"/>
      <c r="H1682" s="10"/>
      <c r="I1682" s="7"/>
      <c r="J1682" s="12"/>
      <c r="K1682" s="13"/>
      <c r="L1682" s="14"/>
      <c r="M1682" s="15"/>
      <c r="N1682" s="15"/>
      <c r="O1682" s="16"/>
      <c r="Q1682" s="16"/>
    </row>
    <row r="1683" spans="1:17" x14ac:dyDescent="0.3">
      <c r="A1683" s="5"/>
      <c r="B1683" s="6"/>
      <c r="C1683" s="7"/>
      <c r="D1683" s="8"/>
      <c r="E1683" s="8"/>
      <c r="F1683" s="10"/>
      <c r="G1683" s="10"/>
      <c r="H1683" s="10"/>
      <c r="I1683" s="7"/>
      <c r="J1683" s="12"/>
      <c r="K1683" s="13"/>
      <c r="L1683" s="14"/>
      <c r="M1683" s="15"/>
      <c r="N1683" s="15"/>
      <c r="O1683" s="16"/>
      <c r="Q1683" s="16"/>
    </row>
    <row r="1684" spans="1:17" x14ac:dyDescent="0.3">
      <c r="A1684" s="5"/>
      <c r="B1684" s="6"/>
      <c r="C1684" s="7"/>
      <c r="D1684" s="8"/>
      <c r="E1684" s="8"/>
      <c r="F1684" s="10"/>
      <c r="G1684" s="10"/>
      <c r="H1684" s="10"/>
      <c r="I1684" s="7"/>
      <c r="J1684" s="12"/>
      <c r="K1684" s="13"/>
      <c r="L1684" s="14"/>
      <c r="M1684" s="15"/>
      <c r="N1684" s="15"/>
      <c r="O1684" s="16"/>
      <c r="Q1684" s="16"/>
    </row>
    <row r="1685" spans="1:17" x14ac:dyDescent="0.3">
      <c r="A1685" s="5"/>
      <c r="B1685" s="6"/>
      <c r="C1685" s="7"/>
      <c r="D1685" s="8"/>
      <c r="E1685" s="8"/>
      <c r="F1685" s="10"/>
      <c r="G1685" s="10"/>
      <c r="H1685" s="10"/>
      <c r="I1685" s="7"/>
      <c r="J1685" s="12"/>
      <c r="K1685" s="13"/>
      <c r="L1685" s="14"/>
      <c r="M1685" s="15"/>
      <c r="N1685" s="15"/>
      <c r="O1685" s="16"/>
      <c r="Q1685" s="16"/>
    </row>
    <row r="1686" spans="1:17" x14ac:dyDescent="0.3">
      <c r="A1686" s="5"/>
      <c r="B1686" s="6"/>
      <c r="C1686" s="7"/>
      <c r="D1686" s="8"/>
      <c r="E1686" s="8"/>
      <c r="F1686" s="10"/>
      <c r="G1686" s="10"/>
      <c r="H1686" s="10"/>
      <c r="I1686" s="7"/>
      <c r="J1686" s="12"/>
      <c r="K1686" s="13"/>
      <c r="L1686" s="14"/>
      <c r="M1686" s="15"/>
      <c r="N1686" s="15"/>
      <c r="O1686" s="16"/>
      <c r="Q1686" s="16"/>
    </row>
    <row r="1687" spans="1:17" x14ac:dyDescent="0.3">
      <c r="A1687" s="5"/>
      <c r="B1687" s="6"/>
      <c r="C1687" s="7"/>
      <c r="D1687" s="8"/>
      <c r="E1687" s="8"/>
      <c r="F1687" s="10"/>
      <c r="G1687" s="10"/>
      <c r="H1687" s="10"/>
      <c r="I1687" s="7"/>
      <c r="J1687" s="12"/>
      <c r="K1687" s="13"/>
      <c r="L1687" s="14"/>
      <c r="M1687" s="15"/>
      <c r="N1687" s="15"/>
      <c r="O1687" s="16"/>
      <c r="Q1687" s="16"/>
    </row>
    <row r="1688" spans="1:17" x14ac:dyDescent="0.3">
      <c r="A1688" s="5"/>
      <c r="B1688" s="6"/>
      <c r="C1688" s="7"/>
      <c r="D1688" s="8"/>
      <c r="E1688" s="8"/>
      <c r="F1688" s="10"/>
      <c r="G1688" s="10"/>
      <c r="H1688" s="10"/>
      <c r="I1688" s="7"/>
      <c r="J1688" s="12"/>
      <c r="K1688" s="13"/>
      <c r="L1688" s="14"/>
      <c r="M1688" s="15"/>
      <c r="N1688" s="15"/>
      <c r="O1688" s="16"/>
      <c r="Q1688" s="16"/>
    </row>
    <row r="1689" spans="1:17" x14ac:dyDescent="0.3">
      <c r="A1689" s="5"/>
      <c r="B1689" s="6"/>
      <c r="C1689" s="7"/>
      <c r="D1689" s="8"/>
      <c r="E1689" s="8"/>
      <c r="F1689" s="10"/>
      <c r="G1689" s="10"/>
      <c r="H1689" s="10"/>
      <c r="I1689" s="7"/>
      <c r="J1689" s="12"/>
      <c r="K1689" s="13"/>
      <c r="L1689" s="14"/>
      <c r="M1689" s="15"/>
      <c r="N1689" s="15"/>
      <c r="O1689" s="16"/>
      <c r="Q1689" s="16"/>
    </row>
    <row r="1690" spans="1:17" x14ac:dyDescent="0.3">
      <c r="A1690" s="5"/>
      <c r="B1690" s="6"/>
      <c r="C1690" s="7"/>
      <c r="D1690" s="8"/>
      <c r="E1690" s="8"/>
      <c r="F1690" s="10"/>
      <c r="G1690" s="10"/>
      <c r="H1690" s="10"/>
      <c r="I1690" s="7"/>
      <c r="J1690" s="12"/>
      <c r="K1690" s="13"/>
      <c r="L1690" s="14"/>
      <c r="M1690" s="15"/>
      <c r="N1690" s="15"/>
      <c r="O1690" s="16"/>
      <c r="Q1690" s="16"/>
    </row>
    <row r="1691" spans="1:17" x14ac:dyDescent="0.3">
      <c r="A1691" s="5"/>
      <c r="B1691" s="6"/>
      <c r="C1691" s="7"/>
      <c r="D1691" s="8"/>
      <c r="E1691" s="8"/>
      <c r="F1691" s="10"/>
      <c r="G1691" s="10"/>
      <c r="H1691" s="10"/>
      <c r="I1691" s="7"/>
      <c r="J1691" s="12"/>
      <c r="K1691" s="13"/>
      <c r="L1691" s="14"/>
      <c r="M1691" s="15"/>
      <c r="N1691" s="15"/>
      <c r="O1691" s="16"/>
      <c r="Q1691" s="16"/>
    </row>
    <row r="1692" spans="1:17" x14ac:dyDescent="0.3">
      <c r="A1692" s="5"/>
      <c r="B1692" s="6"/>
      <c r="C1692" s="7"/>
      <c r="D1692" s="8"/>
      <c r="E1692" s="8"/>
      <c r="F1692" s="10"/>
      <c r="G1692" s="10"/>
      <c r="H1692" s="10"/>
      <c r="I1692" s="7"/>
      <c r="J1692" s="12"/>
      <c r="K1692" s="13"/>
      <c r="L1692" s="14"/>
      <c r="M1692" s="15"/>
      <c r="N1692" s="15"/>
      <c r="O1692" s="16"/>
      <c r="Q1692" s="16"/>
    </row>
    <row r="1693" spans="1:17" x14ac:dyDescent="0.3">
      <c r="A1693" s="5"/>
      <c r="B1693" s="6"/>
      <c r="C1693" s="7"/>
      <c r="D1693" s="8"/>
      <c r="E1693" s="8"/>
      <c r="F1693" s="10"/>
      <c r="G1693" s="10"/>
      <c r="H1693" s="10"/>
      <c r="I1693" s="7"/>
      <c r="J1693" s="12"/>
      <c r="K1693" s="13"/>
      <c r="L1693" s="14"/>
      <c r="M1693" s="15"/>
      <c r="N1693" s="15"/>
      <c r="O1693" s="16"/>
      <c r="Q1693" s="16"/>
    </row>
    <row r="1694" spans="1:17" x14ac:dyDescent="0.3">
      <c r="A1694" s="5"/>
      <c r="B1694" s="6"/>
      <c r="C1694" s="7"/>
      <c r="D1694" s="8"/>
      <c r="E1694" s="8"/>
      <c r="F1694" s="10"/>
      <c r="G1694" s="10"/>
      <c r="H1694" s="10"/>
      <c r="I1694" s="7"/>
      <c r="J1694" s="12"/>
      <c r="K1694" s="13"/>
      <c r="L1694" s="14"/>
      <c r="M1694" s="15"/>
      <c r="N1694" s="15"/>
      <c r="O1694" s="16"/>
      <c r="Q1694" s="16"/>
    </row>
    <row r="1695" spans="1:17" x14ac:dyDescent="0.3">
      <c r="A1695" s="5"/>
      <c r="B1695" s="6"/>
      <c r="C1695" s="7"/>
      <c r="D1695" s="8"/>
      <c r="E1695" s="8"/>
      <c r="F1695" s="10"/>
      <c r="G1695" s="10"/>
      <c r="H1695" s="10"/>
      <c r="I1695" s="7"/>
      <c r="J1695" s="12"/>
      <c r="K1695" s="13"/>
      <c r="L1695" s="14"/>
      <c r="M1695" s="15"/>
      <c r="N1695" s="15"/>
      <c r="O1695" s="16"/>
      <c r="Q1695" s="16"/>
    </row>
    <row r="1696" spans="1:17" x14ac:dyDescent="0.3">
      <c r="A1696" s="5"/>
      <c r="B1696" s="6"/>
      <c r="C1696" s="7"/>
      <c r="D1696" s="8"/>
      <c r="E1696" s="8"/>
      <c r="F1696" s="10"/>
      <c r="G1696" s="10"/>
      <c r="H1696" s="10"/>
      <c r="I1696" s="7"/>
      <c r="J1696" s="12"/>
      <c r="K1696" s="13"/>
      <c r="L1696" s="14"/>
      <c r="M1696" s="15"/>
      <c r="N1696" s="15"/>
      <c r="O1696" s="16"/>
      <c r="Q1696" s="16"/>
    </row>
    <row r="1697" spans="1:17" x14ac:dyDescent="0.3">
      <c r="A1697" s="5"/>
      <c r="B1697" s="6"/>
      <c r="C1697" s="7"/>
      <c r="D1697" s="8"/>
      <c r="E1697" s="8"/>
      <c r="F1697" s="10"/>
      <c r="G1697" s="10"/>
      <c r="H1697" s="10"/>
      <c r="I1697" s="7"/>
      <c r="J1697" s="12"/>
      <c r="K1697" s="13"/>
      <c r="L1697" s="14"/>
      <c r="M1697" s="15"/>
      <c r="N1697" s="15"/>
      <c r="O1697" s="16"/>
      <c r="Q1697" s="16"/>
    </row>
    <row r="1698" spans="1:17" x14ac:dyDescent="0.3">
      <c r="A1698" s="5"/>
      <c r="B1698" s="6"/>
      <c r="C1698" s="7"/>
      <c r="D1698" s="8"/>
      <c r="E1698" s="8"/>
      <c r="F1698" s="10"/>
      <c r="G1698" s="10"/>
      <c r="H1698" s="10"/>
      <c r="I1698" s="7"/>
      <c r="J1698" s="12"/>
      <c r="K1698" s="13"/>
      <c r="L1698" s="14"/>
      <c r="M1698" s="15"/>
      <c r="N1698" s="15"/>
      <c r="O1698" s="16"/>
      <c r="Q1698" s="16"/>
    </row>
    <row r="1699" spans="1:17" x14ac:dyDescent="0.3">
      <c r="A1699" s="5"/>
      <c r="B1699" s="6"/>
      <c r="C1699" s="7"/>
      <c r="D1699" s="8"/>
      <c r="E1699" s="8"/>
      <c r="F1699" s="10"/>
      <c r="G1699" s="10"/>
      <c r="H1699" s="10"/>
      <c r="I1699" s="7"/>
      <c r="J1699" s="12"/>
      <c r="K1699" s="13"/>
      <c r="L1699" s="14"/>
      <c r="M1699" s="15"/>
      <c r="N1699" s="15"/>
      <c r="O1699" s="16"/>
      <c r="Q1699" s="16"/>
    </row>
    <row r="1700" spans="1:17" x14ac:dyDescent="0.3">
      <c r="A1700" s="5"/>
      <c r="B1700" s="6"/>
      <c r="C1700" s="7"/>
      <c r="D1700" s="8"/>
      <c r="E1700" s="8"/>
      <c r="F1700" s="10"/>
      <c r="G1700" s="10"/>
      <c r="H1700" s="10"/>
      <c r="I1700" s="7"/>
      <c r="J1700" s="12"/>
      <c r="K1700" s="13"/>
      <c r="L1700" s="14"/>
      <c r="M1700" s="15"/>
      <c r="N1700" s="15"/>
      <c r="O1700" s="16"/>
      <c r="Q1700" s="16"/>
    </row>
    <row r="1701" spans="1:17" x14ac:dyDescent="0.3">
      <c r="A1701" s="5"/>
      <c r="B1701" s="6"/>
      <c r="C1701" s="7"/>
      <c r="D1701" s="8"/>
      <c r="E1701" s="8"/>
      <c r="F1701" s="10"/>
      <c r="G1701" s="10"/>
      <c r="H1701" s="10"/>
      <c r="I1701" s="7"/>
      <c r="J1701" s="12"/>
      <c r="K1701" s="13"/>
      <c r="L1701" s="14"/>
      <c r="M1701" s="15"/>
      <c r="N1701" s="15"/>
      <c r="O1701" s="16"/>
      <c r="Q1701" s="16"/>
    </row>
    <row r="1702" spans="1:17" x14ac:dyDescent="0.3">
      <c r="A1702" s="5"/>
      <c r="B1702" s="6"/>
      <c r="C1702" s="7"/>
      <c r="D1702" s="8"/>
      <c r="E1702" s="8"/>
      <c r="F1702" s="10"/>
      <c r="G1702" s="10"/>
      <c r="H1702" s="10"/>
      <c r="I1702" s="7"/>
      <c r="J1702" s="12"/>
      <c r="K1702" s="13"/>
      <c r="L1702" s="14"/>
      <c r="M1702" s="15"/>
      <c r="N1702" s="15"/>
      <c r="O1702" s="16"/>
      <c r="Q1702" s="16"/>
    </row>
    <row r="1703" spans="1:17" x14ac:dyDescent="0.3">
      <c r="A1703" s="5"/>
      <c r="B1703" s="6"/>
      <c r="C1703" s="7"/>
      <c r="D1703" s="8"/>
      <c r="E1703" s="8"/>
      <c r="F1703" s="10"/>
      <c r="G1703" s="10"/>
      <c r="H1703" s="10"/>
      <c r="I1703" s="7"/>
      <c r="J1703" s="12"/>
      <c r="K1703" s="13"/>
      <c r="L1703" s="14"/>
      <c r="M1703" s="15"/>
      <c r="N1703" s="15"/>
      <c r="O1703" s="16"/>
      <c r="Q1703" s="16"/>
    </row>
    <row r="1704" spans="1:17" x14ac:dyDescent="0.3">
      <c r="A1704" s="5"/>
      <c r="B1704" s="6"/>
      <c r="C1704" s="7"/>
      <c r="D1704" s="8"/>
      <c r="E1704" s="8"/>
      <c r="F1704" s="10"/>
      <c r="G1704" s="10"/>
      <c r="H1704" s="10"/>
      <c r="I1704" s="7"/>
      <c r="J1704" s="12"/>
      <c r="K1704" s="13"/>
      <c r="L1704" s="14"/>
      <c r="M1704" s="15"/>
      <c r="N1704" s="15"/>
      <c r="O1704" s="16"/>
      <c r="Q1704" s="16"/>
    </row>
    <row r="1705" spans="1:17" x14ac:dyDescent="0.3">
      <c r="A1705" s="5"/>
      <c r="B1705" s="6"/>
      <c r="C1705" s="7"/>
      <c r="D1705" s="8"/>
      <c r="E1705" s="8"/>
      <c r="F1705" s="10"/>
      <c r="G1705" s="10"/>
      <c r="H1705" s="10"/>
      <c r="I1705" s="7"/>
      <c r="J1705" s="12"/>
      <c r="K1705" s="13"/>
      <c r="L1705" s="14"/>
      <c r="M1705" s="15"/>
      <c r="N1705" s="15"/>
      <c r="O1705" s="16"/>
      <c r="Q1705" s="16"/>
    </row>
    <row r="1706" spans="1:17" x14ac:dyDescent="0.3">
      <c r="A1706" s="5"/>
      <c r="B1706" s="6"/>
      <c r="C1706" s="7"/>
      <c r="D1706" s="8"/>
      <c r="E1706" s="8"/>
      <c r="F1706" s="10"/>
      <c r="G1706" s="10"/>
      <c r="H1706" s="10"/>
      <c r="I1706" s="7"/>
      <c r="J1706" s="12"/>
      <c r="K1706" s="13"/>
      <c r="L1706" s="14"/>
      <c r="M1706" s="15"/>
      <c r="N1706" s="15"/>
      <c r="O1706" s="16"/>
      <c r="Q1706" s="16"/>
    </row>
    <row r="1707" spans="1:17" x14ac:dyDescent="0.3">
      <c r="A1707" s="5"/>
      <c r="B1707" s="6"/>
      <c r="C1707" s="7"/>
      <c r="D1707" s="8"/>
      <c r="E1707" s="8"/>
      <c r="F1707" s="10"/>
      <c r="G1707" s="10"/>
      <c r="H1707" s="10"/>
      <c r="I1707" s="7"/>
      <c r="J1707" s="12"/>
      <c r="K1707" s="13"/>
      <c r="L1707" s="14"/>
      <c r="M1707" s="15"/>
      <c r="N1707" s="15"/>
      <c r="O1707" s="16"/>
      <c r="Q1707" s="16"/>
    </row>
    <row r="1708" spans="1:17" x14ac:dyDescent="0.3">
      <c r="A1708" s="5"/>
      <c r="B1708" s="6"/>
      <c r="C1708" s="7"/>
      <c r="D1708" s="8"/>
      <c r="E1708" s="8"/>
      <c r="F1708" s="10"/>
      <c r="G1708" s="10"/>
      <c r="H1708" s="10"/>
      <c r="I1708" s="7"/>
      <c r="J1708" s="12"/>
      <c r="K1708" s="13"/>
      <c r="L1708" s="14"/>
      <c r="M1708" s="15"/>
      <c r="N1708" s="15"/>
      <c r="O1708" s="16"/>
      <c r="Q1708" s="16"/>
    </row>
    <row r="1709" spans="1:17" x14ac:dyDescent="0.3">
      <c r="A1709" s="5"/>
      <c r="B1709" s="6"/>
      <c r="C1709" s="7"/>
      <c r="D1709" s="8"/>
      <c r="E1709" s="8"/>
      <c r="F1709" s="10"/>
      <c r="G1709" s="10"/>
      <c r="H1709" s="10"/>
      <c r="I1709" s="7"/>
      <c r="J1709" s="12"/>
      <c r="K1709" s="13"/>
      <c r="L1709" s="14"/>
      <c r="M1709" s="15"/>
      <c r="N1709" s="15"/>
      <c r="O1709" s="16"/>
      <c r="Q1709" s="16"/>
    </row>
    <row r="1710" spans="1:17" x14ac:dyDescent="0.3">
      <c r="A1710" s="5"/>
      <c r="B1710" s="6"/>
      <c r="C1710" s="7"/>
      <c r="D1710" s="8"/>
      <c r="E1710" s="8"/>
      <c r="F1710" s="10"/>
      <c r="G1710" s="10"/>
      <c r="H1710" s="10"/>
      <c r="I1710" s="7"/>
      <c r="J1710" s="12"/>
      <c r="K1710" s="13"/>
      <c r="L1710" s="14"/>
      <c r="M1710" s="15"/>
      <c r="N1710" s="15"/>
      <c r="O1710" s="16"/>
      <c r="Q1710" s="16"/>
    </row>
    <row r="1711" spans="1:17" x14ac:dyDescent="0.3">
      <c r="A1711" s="5"/>
      <c r="B1711" s="6"/>
      <c r="C1711" s="7"/>
      <c r="D1711" s="8"/>
      <c r="E1711" s="8"/>
      <c r="F1711" s="10"/>
      <c r="G1711" s="10"/>
      <c r="H1711" s="10"/>
      <c r="I1711" s="7"/>
      <c r="J1711" s="12"/>
      <c r="K1711" s="13"/>
      <c r="L1711" s="14"/>
      <c r="M1711" s="15"/>
      <c r="N1711" s="15"/>
      <c r="O1711" s="16"/>
      <c r="Q1711" s="16"/>
    </row>
    <row r="1712" spans="1:17" x14ac:dyDescent="0.3">
      <c r="A1712" s="5"/>
      <c r="B1712" s="6"/>
      <c r="C1712" s="7"/>
      <c r="D1712" s="8"/>
      <c r="E1712" s="8"/>
      <c r="F1712" s="10"/>
      <c r="G1712" s="10"/>
      <c r="H1712" s="10"/>
      <c r="I1712" s="7"/>
      <c r="J1712" s="12"/>
      <c r="K1712" s="13"/>
      <c r="L1712" s="14"/>
      <c r="M1712" s="15"/>
      <c r="N1712" s="15"/>
      <c r="O1712" s="16"/>
      <c r="Q1712" s="16"/>
    </row>
    <row r="1713" spans="1:17" x14ac:dyDescent="0.3">
      <c r="A1713" s="5"/>
      <c r="B1713" s="6"/>
      <c r="C1713" s="7"/>
      <c r="D1713" s="8"/>
      <c r="E1713" s="8"/>
      <c r="F1713" s="10"/>
      <c r="G1713" s="10"/>
      <c r="H1713" s="10"/>
      <c r="I1713" s="7"/>
      <c r="J1713" s="12"/>
      <c r="K1713" s="13"/>
      <c r="L1713" s="14"/>
      <c r="M1713" s="15"/>
      <c r="N1713" s="15"/>
      <c r="O1713" s="16"/>
      <c r="Q1713" s="16"/>
    </row>
    <row r="1714" spans="1:17" x14ac:dyDescent="0.3">
      <c r="A1714" s="5"/>
      <c r="B1714" s="6"/>
      <c r="C1714" s="7"/>
      <c r="D1714" s="8"/>
      <c r="E1714" s="8"/>
      <c r="F1714" s="10"/>
      <c r="G1714" s="10"/>
      <c r="H1714" s="10"/>
      <c r="I1714" s="7"/>
      <c r="J1714" s="12"/>
      <c r="K1714" s="13"/>
      <c r="L1714" s="14"/>
      <c r="M1714" s="15"/>
      <c r="N1714" s="15"/>
      <c r="O1714" s="16"/>
      <c r="Q1714" s="16"/>
    </row>
    <row r="1715" spans="1:17" x14ac:dyDescent="0.3">
      <c r="A1715" s="5"/>
      <c r="B1715" s="6"/>
      <c r="C1715" s="7"/>
      <c r="D1715" s="8"/>
      <c r="E1715" s="8"/>
      <c r="F1715" s="10"/>
      <c r="G1715" s="10"/>
      <c r="H1715" s="10"/>
      <c r="I1715" s="7"/>
      <c r="J1715" s="12"/>
      <c r="K1715" s="13"/>
      <c r="L1715" s="14"/>
      <c r="M1715" s="15"/>
      <c r="N1715" s="15"/>
      <c r="O1715" s="16"/>
      <c r="Q1715" s="16"/>
    </row>
    <row r="1716" spans="1:17" x14ac:dyDescent="0.3">
      <c r="A1716" s="5"/>
      <c r="B1716" s="6"/>
      <c r="C1716" s="7"/>
      <c r="D1716" s="8"/>
      <c r="E1716" s="8"/>
      <c r="F1716" s="10"/>
      <c r="G1716" s="10"/>
      <c r="H1716" s="10"/>
      <c r="I1716" s="7"/>
      <c r="J1716" s="12"/>
      <c r="K1716" s="13"/>
      <c r="L1716" s="14"/>
      <c r="M1716" s="15"/>
      <c r="N1716" s="15"/>
      <c r="O1716" s="16"/>
      <c r="Q1716" s="16"/>
    </row>
    <row r="1717" spans="1:17" x14ac:dyDescent="0.3">
      <c r="A1717" s="5"/>
      <c r="B1717" s="6"/>
      <c r="C1717" s="7"/>
      <c r="D1717" s="8"/>
      <c r="E1717" s="8"/>
      <c r="F1717" s="10"/>
      <c r="G1717" s="10"/>
      <c r="H1717" s="10"/>
      <c r="I1717" s="7"/>
      <c r="J1717" s="12"/>
      <c r="K1717" s="13"/>
      <c r="L1717" s="14"/>
      <c r="M1717" s="15"/>
      <c r="N1717" s="15"/>
      <c r="O1717" s="16"/>
      <c r="Q1717" s="16"/>
    </row>
    <row r="1718" spans="1:17" x14ac:dyDescent="0.3">
      <c r="A1718" s="5"/>
      <c r="B1718" s="6"/>
      <c r="C1718" s="7"/>
      <c r="D1718" s="8"/>
      <c r="E1718" s="8"/>
      <c r="F1718" s="10"/>
      <c r="G1718" s="10"/>
      <c r="H1718" s="10"/>
      <c r="I1718" s="7"/>
      <c r="J1718" s="12"/>
      <c r="K1718" s="13"/>
      <c r="L1718" s="14"/>
      <c r="M1718" s="15"/>
      <c r="N1718" s="15"/>
      <c r="O1718" s="16"/>
      <c r="Q1718" s="16"/>
    </row>
    <row r="1719" spans="1:17" x14ac:dyDescent="0.3">
      <c r="A1719" s="5"/>
      <c r="B1719" s="6"/>
      <c r="C1719" s="7"/>
      <c r="D1719" s="8"/>
      <c r="E1719" s="8"/>
      <c r="F1719" s="10"/>
      <c r="G1719" s="10"/>
      <c r="H1719" s="10"/>
      <c r="I1719" s="7"/>
      <c r="J1719" s="12"/>
      <c r="K1719" s="13"/>
      <c r="L1719" s="14"/>
      <c r="M1719" s="15"/>
      <c r="N1719" s="15"/>
      <c r="O1719" s="16"/>
      <c r="Q1719" s="16"/>
    </row>
    <row r="1720" spans="1:17" x14ac:dyDescent="0.3">
      <c r="A1720" s="5"/>
      <c r="B1720" s="6"/>
      <c r="C1720" s="7"/>
      <c r="D1720" s="8"/>
      <c r="E1720" s="8"/>
      <c r="F1720" s="10"/>
      <c r="G1720" s="10"/>
      <c r="H1720" s="10"/>
      <c r="I1720" s="7"/>
      <c r="J1720" s="12"/>
      <c r="K1720" s="13"/>
      <c r="L1720" s="14"/>
      <c r="M1720" s="15"/>
      <c r="N1720" s="15"/>
      <c r="O1720" s="16"/>
      <c r="Q1720" s="16"/>
    </row>
    <row r="1721" spans="1:17" x14ac:dyDescent="0.3">
      <c r="A1721" s="5"/>
      <c r="B1721" s="6"/>
      <c r="C1721" s="7"/>
      <c r="D1721" s="8"/>
      <c r="E1721" s="8"/>
      <c r="F1721" s="10"/>
      <c r="G1721" s="10"/>
      <c r="H1721" s="10"/>
      <c r="I1721" s="7"/>
      <c r="J1721" s="12"/>
      <c r="K1721" s="13"/>
      <c r="L1721" s="14"/>
      <c r="M1721" s="15"/>
      <c r="N1721" s="15"/>
      <c r="O1721" s="16"/>
      <c r="Q1721" s="16"/>
    </row>
    <row r="1722" spans="1:17" x14ac:dyDescent="0.3">
      <c r="A1722" s="5"/>
      <c r="B1722" s="6"/>
      <c r="C1722" s="7"/>
      <c r="D1722" s="8"/>
      <c r="E1722" s="8"/>
      <c r="F1722" s="10"/>
      <c r="G1722" s="10"/>
      <c r="H1722" s="10"/>
      <c r="I1722" s="7"/>
      <c r="J1722" s="12"/>
      <c r="K1722" s="13"/>
      <c r="L1722" s="14"/>
      <c r="M1722" s="15"/>
      <c r="N1722" s="15"/>
      <c r="O1722" s="16"/>
      <c r="Q1722" s="16"/>
    </row>
    <row r="1723" spans="1:17" x14ac:dyDescent="0.3">
      <c r="A1723" s="5"/>
      <c r="B1723" s="6"/>
      <c r="C1723" s="7"/>
      <c r="D1723" s="8"/>
      <c r="E1723" s="8"/>
      <c r="F1723" s="10"/>
      <c r="G1723" s="10"/>
      <c r="H1723" s="10"/>
      <c r="I1723" s="7"/>
      <c r="J1723" s="12"/>
      <c r="K1723" s="13"/>
      <c r="L1723" s="14"/>
      <c r="M1723" s="15"/>
      <c r="N1723" s="15"/>
      <c r="O1723" s="16"/>
      <c r="Q1723" s="16"/>
    </row>
    <row r="1724" spans="1:17" x14ac:dyDescent="0.3">
      <c r="A1724" s="5"/>
      <c r="B1724" s="6"/>
      <c r="C1724" s="7"/>
      <c r="D1724" s="8"/>
      <c r="E1724" s="8"/>
      <c r="F1724" s="10"/>
      <c r="G1724" s="10"/>
      <c r="H1724" s="10"/>
      <c r="I1724" s="7"/>
      <c r="J1724" s="12"/>
      <c r="K1724" s="13"/>
      <c r="L1724" s="14"/>
      <c r="M1724" s="15"/>
      <c r="N1724" s="15"/>
      <c r="O1724" s="16"/>
      <c r="Q1724" s="16"/>
    </row>
    <row r="1725" spans="1:17" x14ac:dyDescent="0.3">
      <c r="A1725" s="5"/>
      <c r="B1725" s="6"/>
      <c r="C1725" s="7"/>
      <c r="D1725" s="8"/>
      <c r="E1725" s="8"/>
      <c r="F1725" s="10"/>
      <c r="G1725" s="10"/>
      <c r="H1725" s="10"/>
      <c r="I1725" s="7"/>
      <c r="J1725" s="12"/>
      <c r="K1725" s="13"/>
      <c r="L1725" s="14"/>
      <c r="M1725" s="15"/>
      <c r="N1725" s="15"/>
      <c r="O1725" s="16"/>
      <c r="Q1725" s="16"/>
    </row>
    <row r="1726" spans="1:17" x14ac:dyDescent="0.3">
      <c r="A1726" s="5"/>
      <c r="B1726" s="6"/>
      <c r="C1726" s="7"/>
      <c r="D1726" s="8"/>
      <c r="E1726" s="8"/>
      <c r="F1726" s="10"/>
      <c r="G1726" s="10"/>
      <c r="H1726" s="10"/>
      <c r="I1726" s="7"/>
      <c r="J1726" s="12"/>
      <c r="K1726" s="13"/>
      <c r="L1726" s="14"/>
      <c r="M1726" s="15"/>
      <c r="N1726" s="15"/>
      <c r="O1726" s="16"/>
      <c r="Q1726" s="16"/>
    </row>
    <row r="1727" spans="1:17" x14ac:dyDescent="0.3">
      <c r="A1727" s="5"/>
      <c r="B1727" s="6"/>
      <c r="C1727" s="7"/>
      <c r="D1727" s="8"/>
      <c r="E1727" s="8"/>
      <c r="F1727" s="10"/>
      <c r="G1727" s="10"/>
      <c r="H1727" s="10"/>
      <c r="I1727" s="7"/>
      <c r="J1727" s="12"/>
      <c r="K1727" s="13"/>
      <c r="L1727" s="14"/>
      <c r="M1727" s="15"/>
      <c r="N1727" s="15"/>
      <c r="O1727" s="16"/>
      <c r="Q1727" s="16"/>
    </row>
    <row r="1728" spans="1:17" x14ac:dyDescent="0.3">
      <c r="A1728" s="5"/>
      <c r="B1728" s="6"/>
      <c r="C1728" s="7"/>
      <c r="D1728" s="8"/>
      <c r="E1728" s="8"/>
      <c r="F1728" s="10"/>
      <c r="G1728" s="10"/>
      <c r="H1728" s="10"/>
      <c r="I1728" s="7"/>
      <c r="J1728" s="12"/>
      <c r="K1728" s="13"/>
      <c r="L1728" s="14"/>
      <c r="M1728" s="15"/>
      <c r="N1728" s="15"/>
      <c r="O1728" s="16"/>
      <c r="Q1728" s="16"/>
    </row>
    <row r="1729" spans="1:17" x14ac:dyDescent="0.3">
      <c r="A1729" s="5"/>
      <c r="B1729" s="6"/>
      <c r="C1729" s="7"/>
      <c r="D1729" s="8"/>
      <c r="E1729" s="8"/>
      <c r="F1729" s="10"/>
      <c r="G1729" s="10"/>
      <c r="H1729" s="10"/>
      <c r="I1729" s="7"/>
      <c r="J1729" s="12"/>
      <c r="K1729" s="13"/>
      <c r="L1729" s="14"/>
      <c r="M1729" s="15"/>
      <c r="N1729" s="15"/>
      <c r="O1729" s="16"/>
      <c r="Q1729" s="16"/>
    </row>
    <row r="1730" spans="1:17" x14ac:dyDescent="0.3">
      <c r="A1730" s="5"/>
      <c r="B1730" s="6"/>
      <c r="C1730" s="7"/>
      <c r="D1730" s="8"/>
      <c r="E1730" s="8"/>
      <c r="F1730" s="10"/>
      <c r="G1730" s="10"/>
      <c r="H1730" s="10"/>
      <c r="I1730" s="7"/>
      <c r="J1730" s="12"/>
      <c r="K1730" s="13"/>
      <c r="L1730" s="14"/>
      <c r="M1730" s="15"/>
      <c r="N1730" s="15"/>
      <c r="O1730" s="16"/>
      <c r="Q1730" s="16"/>
    </row>
    <row r="1731" spans="1:17" x14ac:dyDescent="0.3">
      <c r="A1731" s="5"/>
      <c r="B1731" s="6"/>
      <c r="C1731" s="7"/>
      <c r="D1731" s="8"/>
      <c r="E1731" s="8"/>
      <c r="F1731" s="10"/>
      <c r="G1731" s="10"/>
      <c r="H1731" s="10"/>
      <c r="I1731" s="7"/>
      <c r="J1731" s="12"/>
      <c r="K1731" s="13"/>
      <c r="L1731" s="14"/>
      <c r="M1731" s="15"/>
      <c r="N1731" s="15"/>
      <c r="O1731" s="16"/>
      <c r="Q1731" s="16"/>
    </row>
    <row r="1732" spans="1:17" x14ac:dyDescent="0.3">
      <c r="A1732" s="5"/>
      <c r="B1732" s="6"/>
      <c r="C1732" s="7"/>
      <c r="D1732" s="8"/>
      <c r="E1732" s="8"/>
      <c r="F1732" s="10"/>
      <c r="G1732" s="10"/>
      <c r="H1732" s="10"/>
      <c r="I1732" s="7"/>
      <c r="J1732" s="12"/>
      <c r="K1732" s="13"/>
      <c r="L1732" s="14"/>
      <c r="M1732" s="15"/>
      <c r="N1732" s="15"/>
      <c r="O1732" s="16"/>
      <c r="Q1732" s="16"/>
    </row>
    <row r="1733" spans="1:17" x14ac:dyDescent="0.3">
      <c r="A1733" s="5"/>
      <c r="B1733" s="6"/>
      <c r="C1733" s="7"/>
      <c r="D1733" s="8"/>
      <c r="E1733" s="8"/>
      <c r="F1733" s="10"/>
      <c r="G1733" s="10"/>
      <c r="H1733" s="10"/>
      <c r="I1733" s="7"/>
      <c r="J1733" s="12"/>
      <c r="K1733" s="13"/>
      <c r="L1733" s="14"/>
      <c r="M1733" s="15"/>
      <c r="N1733" s="15"/>
      <c r="O1733" s="16"/>
      <c r="Q1733" s="16"/>
    </row>
    <row r="1734" spans="1:17" x14ac:dyDescent="0.3">
      <c r="A1734" s="5"/>
      <c r="B1734" s="6"/>
      <c r="C1734" s="7"/>
      <c r="D1734" s="8"/>
      <c r="E1734" s="8"/>
      <c r="F1734" s="10"/>
      <c r="G1734" s="10"/>
      <c r="H1734" s="10"/>
      <c r="I1734" s="7"/>
      <c r="J1734" s="12"/>
      <c r="K1734" s="13"/>
      <c r="L1734" s="14"/>
      <c r="M1734" s="15"/>
      <c r="N1734" s="15"/>
      <c r="O1734" s="16"/>
      <c r="Q1734" s="16"/>
    </row>
    <row r="1735" spans="1:17" x14ac:dyDescent="0.3">
      <c r="A1735" s="5"/>
      <c r="B1735" s="6"/>
      <c r="C1735" s="7"/>
      <c r="D1735" s="8"/>
      <c r="E1735" s="8"/>
      <c r="F1735" s="10"/>
      <c r="G1735" s="10"/>
      <c r="H1735" s="10"/>
      <c r="I1735" s="7"/>
      <c r="J1735" s="12"/>
      <c r="K1735" s="13"/>
      <c r="L1735" s="14"/>
      <c r="M1735" s="15"/>
      <c r="N1735" s="15"/>
      <c r="O1735" s="16"/>
      <c r="Q1735" s="16"/>
    </row>
    <row r="1736" spans="1:17" x14ac:dyDescent="0.3">
      <c r="A1736" s="5"/>
      <c r="B1736" s="6"/>
      <c r="C1736" s="7"/>
      <c r="D1736" s="8"/>
      <c r="E1736" s="8"/>
      <c r="F1736" s="10"/>
      <c r="G1736" s="10"/>
      <c r="H1736" s="10"/>
      <c r="I1736" s="7"/>
      <c r="J1736" s="12"/>
      <c r="K1736" s="13"/>
      <c r="L1736" s="14"/>
      <c r="M1736" s="15"/>
      <c r="N1736" s="15"/>
      <c r="O1736" s="16"/>
      <c r="Q1736" s="16"/>
    </row>
    <row r="1737" spans="1:17" x14ac:dyDescent="0.3">
      <c r="A1737" s="5"/>
      <c r="B1737" s="6"/>
      <c r="C1737" s="7"/>
      <c r="D1737" s="8"/>
      <c r="E1737" s="8"/>
      <c r="F1737" s="10"/>
      <c r="G1737" s="10"/>
      <c r="H1737" s="10"/>
      <c r="I1737" s="7"/>
      <c r="J1737" s="12"/>
      <c r="K1737" s="13"/>
      <c r="L1737" s="14"/>
      <c r="M1737" s="15"/>
      <c r="N1737" s="15"/>
      <c r="O1737" s="16"/>
      <c r="Q1737" s="16"/>
    </row>
    <row r="1738" spans="1:17" x14ac:dyDescent="0.3">
      <c r="A1738" s="5"/>
      <c r="B1738" s="6"/>
      <c r="C1738" s="7"/>
      <c r="D1738" s="8"/>
      <c r="E1738" s="8"/>
      <c r="F1738" s="10"/>
      <c r="G1738" s="10"/>
      <c r="H1738" s="10"/>
      <c r="I1738" s="7"/>
      <c r="J1738" s="12"/>
      <c r="K1738" s="13"/>
      <c r="L1738" s="14"/>
      <c r="M1738" s="15"/>
      <c r="N1738" s="15"/>
      <c r="O1738" s="16"/>
      <c r="Q1738" s="16"/>
    </row>
    <row r="1739" spans="1:17" x14ac:dyDescent="0.3">
      <c r="A1739" s="5"/>
      <c r="B1739" s="6"/>
      <c r="C1739" s="7"/>
      <c r="D1739" s="8"/>
      <c r="E1739" s="8"/>
      <c r="F1739" s="10"/>
      <c r="G1739" s="10"/>
      <c r="H1739" s="10"/>
      <c r="I1739" s="7"/>
      <c r="J1739" s="12"/>
      <c r="K1739" s="13"/>
      <c r="L1739" s="14"/>
      <c r="M1739" s="15"/>
      <c r="N1739" s="15"/>
      <c r="O1739" s="16"/>
      <c r="Q1739" s="16"/>
    </row>
    <row r="1740" spans="1:17" x14ac:dyDescent="0.3">
      <c r="A1740" s="5"/>
      <c r="B1740" s="6"/>
      <c r="C1740" s="7"/>
      <c r="D1740" s="8"/>
      <c r="E1740" s="8"/>
      <c r="F1740" s="10"/>
      <c r="G1740" s="10"/>
      <c r="H1740" s="10"/>
      <c r="I1740" s="7"/>
      <c r="J1740" s="12"/>
      <c r="K1740" s="13"/>
      <c r="L1740" s="14"/>
      <c r="M1740" s="15"/>
      <c r="N1740" s="15"/>
      <c r="O1740" s="16"/>
      <c r="Q1740" s="16"/>
    </row>
    <row r="1741" spans="1:17" x14ac:dyDescent="0.3">
      <c r="A1741" s="5"/>
      <c r="B1741" s="6"/>
      <c r="C1741" s="7"/>
      <c r="D1741" s="8"/>
      <c r="E1741" s="8"/>
      <c r="F1741" s="10"/>
      <c r="G1741" s="10"/>
      <c r="H1741" s="10"/>
      <c r="I1741" s="7"/>
      <c r="J1741" s="12"/>
      <c r="K1741" s="13"/>
      <c r="L1741" s="14"/>
      <c r="M1741" s="15"/>
      <c r="N1741" s="15"/>
      <c r="O1741" s="16"/>
      <c r="Q1741" s="16"/>
    </row>
    <row r="1742" spans="1:17" x14ac:dyDescent="0.3">
      <c r="A1742" s="5"/>
      <c r="B1742" s="6"/>
      <c r="C1742" s="7"/>
      <c r="D1742" s="8"/>
      <c r="E1742" s="8"/>
      <c r="F1742" s="10"/>
      <c r="G1742" s="10"/>
      <c r="H1742" s="10"/>
      <c r="I1742" s="7"/>
      <c r="J1742" s="12"/>
      <c r="K1742" s="13"/>
      <c r="L1742" s="14"/>
      <c r="M1742" s="15"/>
      <c r="N1742" s="15"/>
      <c r="O1742" s="16"/>
      <c r="Q1742" s="16"/>
    </row>
    <row r="1743" spans="1:17" x14ac:dyDescent="0.3">
      <c r="A1743" s="5"/>
      <c r="B1743" s="6"/>
      <c r="C1743" s="7"/>
      <c r="D1743" s="8"/>
      <c r="E1743" s="8"/>
      <c r="F1743" s="10"/>
      <c r="G1743" s="10"/>
      <c r="H1743" s="10"/>
      <c r="I1743" s="7"/>
      <c r="J1743" s="12"/>
      <c r="K1743" s="13"/>
      <c r="L1743" s="14"/>
      <c r="M1743" s="15"/>
      <c r="N1743" s="15"/>
      <c r="O1743" s="16"/>
      <c r="Q1743" s="16"/>
    </row>
    <row r="1744" spans="1:17" x14ac:dyDescent="0.3">
      <c r="A1744" s="5"/>
      <c r="B1744" s="6"/>
      <c r="C1744" s="7"/>
      <c r="D1744" s="8"/>
      <c r="E1744" s="8"/>
      <c r="F1744" s="10"/>
      <c r="G1744" s="10"/>
      <c r="H1744" s="10"/>
      <c r="I1744" s="7"/>
      <c r="J1744" s="12"/>
      <c r="K1744" s="13"/>
      <c r="L1744" s="14"/>
      <c r="M1744" s="15"/>
      <c r="N1744" s="15"/>
      <c r="O1744" s="16"/>
      <c r="Q1744" s="16"/>
    </row>
    <row r="1745" spans="1:17" x14ac:dyDescent="0.3">
      <c r="A1745" s="5"/>
      <c r="B1745" s="6"/>
      <c r="C1745" s="7"/>
      <c r="D1745" s="8"/>
      <c r="E1745" s="8"/>
      <c r="F1745" s="10"/>
      <c r="G1745" s="10"/>
      <c r="H1745" s="10"/>
      <c r="I1745" s="7"/>
      <c r="J1745" s="12"/>
      <c r="K1745" s="13"/>
      <c r="L1745" s="14"/>
      <c r="M1745" s="15"/>
      <c r="N1745" s="15"/>
      <c r="O1745" s="16"/>
      <c r="Q1745" s="16"/>
    </row>
    <row r="1746" spans="1:17" x14ac:dyDescent="0.3">
      <c r="A1746" s="5"/>
      <c r="B1746" s="6"/>
      <c r="C1746" s="7"/>
      <c r="D1746" s="8"/>
      <c r="E1746" s="8"/>
      <c r="F1746" s="10"/>
      <c r="G1746" s="10"/>
      <c r="H1746" s="10"/>
      <c r="I1746" s="7"/>
      <c r="J1746" s="12"/>
      <c r="K1746" s="13"/>
      <c r="L1746" s="14"/>
      <c r="M1746" s="15"/>
      <c r="N1746" s="15"/>
      <c r="O1746" s="16"/>
      <c r="Q1746" s="16"/>
    </row>
    <row r="1747" spans="1:17" x14ac:dyDescent="0.3">
      <c r="A1747" s="5"/>
      <c r="B1747" s="6"/>
      <c r="C1747" s="7"/>
      <c r="D1747" s="8"/>
      <c r="E1747" s="8"/>
      <c r="F1747" s="10"/>
      <c r="G1747" s="10"/>
      <c r="H1747" s="10"/>
      <c r="I1747" s="7"/>
      <c r="J1747" s="12"/>
      <c r="K1747" s="13"/>
      <c r="L1747" s="14"/>
      <c r="M1747" s="15"/>
      <c r="N1747" s="15"/>
      <c r="O1747" s="16"/>
      <c r="Q1747" s="16"/>
    </row>
    <row r="1748" spans="1:17" x14ac:dyDescent="0.3">
      <c r="A1748" s="5"/>
      <c r="B1748" s="6"/>
      <c r="C1748" s="7"/>
      <c r="D1748" s="8"/>
      <c r="E1748" s="8"/>
      <c r="F1748" s="10"/>
      <c r="G1748" s="10"/>
      <c r="H1748" s="10"/>
      <c r="I1748" s="7"/>
      <c r="J1748" s="12"/>
      <c r="K1748" s="13"/>
      <c r="L1748" s="14"/>
      <c r="M1748" s="15"/>
      <c r="N1748" s="15"/>
      <c r="O1748" s="16"/>
      <c r="Q1748" s="16"/>
    </row>
    <row r="1749" spans="1:17" x14ac:dyDescent="0.3">
      <c r="A1749" s="5"/>
      <c r="B1749" s="6"/>
      <c r="C1749" s="7"/>
      <c r="D1749" s="8"/>
      <c r="E1749" s="8"/>
      <c r="F1749" s="10"/>
      <c r="G1749" s="10"/>
      <c r="H1749" s="10"/>
      <c r="I1749" s="7"/>
      <c r="J1749" s="12"/>
      <c r="K1749" s="13"/>
      <c r="L1749" s="14"/>
      <c r="M1749" s="15"/>
      <c r="N1749" s="15"/>
      <c r="O1749" s="16"/>
      <c r="Q1749" s="16"/>
    </row>
    <row r="1750" spans="1:17" x14ac:dyDescent="0.3">
      <c r="A1750" s="5"/>
      <c r="B1750" s="6"/>
      <c r="C1750" s="7"/>
      <c r="D1750" s="8"/>
      <c r="E1750" s="8"/>
      <c r="F1750" s="10"/>
      <c r="G1750" s="10"/>
      <c r="H1750" s="10"/>
      <c r="I1750" s="7"/>
      <c r="J1750" s="12"/>
      <c r="K1750" s="13"/>
      <c r="L1750" s="14"/>
      <c r="M1750" s="15"/>
      <c r="N1750" s="15"/>
      <c r="O1750" s="16"/>
      <c r="Q1750" s="16"/>
    </row>
    <row r="1751" spans="1:17" x14ac:dyDescent="0.3">
      <c r="A1751" s="5"/>
      <c r="B1751" s="6"/>
      <c r="C1751" s="7"/>
      <c r="D1751" s="8"/>
      <c r="E1751" s="8"/>
      <c r="F1751" s="10"/>
      <c r="G1751" s="10"/>
      <c r="H1751" s="10"/>
      <c r="I1751" s="7"/>
      <c r="J1751" s="12"/>
      <c r="K1751" s="13"/>
      <c r="L1751" s="14"/>
      <c r="M1751" s="15"/>
      <c r="N1751" s="15"/>
      <c r="O1751" s="16"/>
      <c r="Q1751" s="16"/>
    </row>
    <row r="1752" spans="1:17" x14ac:dyDescent="0.3">
      <c r="A1752" s="5"/>
      <c r="B1752" s="6"/>
      <c r="C1752" s="7"/>
      <c r="D1752" s="8"/>
      <c r="E1752" s="8"/>
      <c r="F1752" s="10"/>
      <c r="G1752" s="10"/>
      <c r="H1752" s="10"/>
      <c r="I1752" s="7"/>
      <c r="J1752" s="12"/>
      <c r="K1752" s="13"/>
      <c r="L1752" s="14"/>
      <c r="M1752" s="15"/>
      <c r="N1752" s="15"/>
      <c r="O1752" s="16"/>
      <c r="Q1752" s="16"/>
    </row>
    <row r="1753" spans="1:17" x14ac:dyDescent="0.3">
      <c r="A1753" s="5"/>
      <c r="B1753" s="6"/>
      <c r="C1753" s="7"/>
      <c r="D1753" s="8"/>
      <c r="E1753" s="8"/>
      <c r="F1753" s="10"/>
      <c r="G1753" s="10"/>
      <c r="H1753" s="10"/>
      <c r="I1753" s="7"/>
      <c r="J1753" s="12"/>
      <c r="K1753" s="13"/>
      <c r="L1753" s="14"/>
      <c r="M1753" s="15"/>
      <c r="N1753" s="15"/>
      <c r="O1753" s="16"/>
      <c r="Q1753" s="16"/>
    </row>
    <row r="1754" spans="1:17" x14ac:dyDescent="0.3">
      <c r="A1754" s="5"/>
      <c r="B1754" s="6"/>
      <c r="C1754" s="7"/>
      <c r="D1754" s="8"/>
      <c r="E1754" s="8"/>
      <c r="F1754" s="10"/>
      <c r="G1754" s="10"/>
      <c r="H1754" s="10"/>
      <c r="I1754" s="7"/>
      <c r="J1754" s="12"/>
      <c r="K1754" s="13"/>
      <c r="L1754" s="14"/>
      <c r="M1754" s="15"/>
      <c r="N1754" s="15"/>
      <c r="O1754" s="16"/>
      <c r="Q1754" s="16"/>
    </row>
    <row r="1755" spans="1:17" x14ac:dyDescent="0.3">
      <c r="A1755" s="5"/>
      <c r="B1755" s="6"/>
      <c r="C1755" s="7"/>
      <c r="D1755" s="8"/>
      <c r="E1755" s="8"/>
      <c r="F1755" s="10"/>
      <c r="G1755" s="10"/>
      <c r="H1755" s="10"/>
      <c r="I1755" s="7"/>
      <c r="J1755" s="12"/>
      <c r="K1755" s="13"/>
      <c r="L1755" s="14"/>
      <c r="M1755" s="15"/>
      <c r="N1755" s="15"/>
      <c r="O1755" s="16"/>
      <c r="Q1755" s="16"/>
    </row>
    <row r="1756" spans="1:17" x14ac:dyDescent="0.3">
      <c r="A1756" s="5"/>
      <c r="B1756" s="6"/>
      <c r="C1756" s="7"/>
      <c r="D1756" s="8"/>
      <c r="E1756" s="8"/>
      <c r="F1756" s="10"/>
      <c r="G1756" s="10"/>
      <c r="H1756" s="10"/>
      <c r="I1756" s="7"/>
      <c r="J1756" s="12"/>
      <c r="K1756" s="13"/>
      <c r="L1756" s="14"/>
      <c r="M1756" s="15"/>
      <c r="N1756" s="15"/>
      <c r="O1756" s="16"/>
      <c r="Q1756" s="16"/>
    </row>
    <row r="1757" spans="1:17" x14ac:dyDescent="0.3">
      <c r="A1757" s="5"/>
      <c r="B1757" s="6"/>
      <c r="C1757" s="7"/>
      <c r="D1757" s="8"/>
      <c r="E1757" s="8"/>
      <c r="F1757" s="10"/>
      <c r="G1757" s="10"/>
      <c r="H1757" s="10"/>
      <c r="I1757" s="7"/>
      <c r="J1757" s="12"/>
      <c r="K1757" s="13"/>
      <c r="L1757" s="14"/>
      <c r="M1757" s="15"/>
      <c r="N1757" s="15"/>
      <c r="O1757" s="16"/>
      <c r="Q1757" s="16"/>
    </row>
    <row r="1758" spans="1:17" x14ac:dyDescent="0.3">
      <c r="A1758" s="5"/>
      <c r="B1758" s="6"/>
      <c r="C1758" s="7"/>
      <c r="D1758" s="8"/>
      <c r="E1758" s="8"/>
      <c r="F1758" s="10"/>
      <c r="G1758" s="10"/>
      <c r="H1758" s="10"/>
      <c r="I1758" s="7"/>
      <c r="J1758" s="12"/>
      <c r="K1758" s="13"/>
      <c r="L1758" s="14"/>
      <c r="M1758" s="15"/>
      <c r="N1758" s="15"/>
      <c r="O1758" s="16"/>
      <c r="Q1758" s="16"/>
    </row>
    <row r="1759" spans="1:17" x14ac:dyDescent="0.3">
      <c r="A1759" s="5"/>
      <c r="B1759" s="6"/>
      <c r="C1759" s="7"/>
      <c r="D1759" s="8"/>
      <c r="E1759" s="8"/>
      <c r="F1759" s="10"/>
      <c r="G1759" s="10"/>
      <c r="H1759" s="10"/>
      <c r="I1759" s="7"/>
      <c r="J1759" s="12"/>
      <c r="K1759" s="13"/>
      <c r="L1759" s="14"/>
      <c r="M1759" s="15"/>
      <c r="N1759" s="15"/>
      <c r="O1759" s="16"/>
      <c r="Q1759" s="16"/>
    </row>
    <row r="1760" spans="1:17" x14ac:dyDescent="0.3">
      <c r="A1760" s="5"/>
      <c r="B1760" s="6"/>
      <c r="C1760" s="7"/>
      <c r="D1760" s="8"/>
      <c r="E1760" s="8"/>
      <c r="F1760" s="10"/>
      <c r="G1760" s="10"/>
      <c r="H1760" s="10"/>
      <c r="I1760" s="7"/>
      <c r="J1760" s="12"/>
      <c r="K1760" s="13"/>
      <c r="L1760" s="14"/>
      <c r="M1760" s="15"/>
      <c r="N1760" s="15"/>
      <c r="O1760" s="16"/>
      <c r="Q1760" s="16"/>
    </row>
    <row r="1761" spans="1:17" x14ac:dyDescent="0.3">
      <c r="A1761" s="5"/>
      <c r="B1761" s="6"/>
      <c r="C1761" s="7"/>
      <c r="D1761" s="8"/>
      <c r="E1761" s="8"/>
      <c r="F1761" s="10"/>
      <c r="G1761" s="10"/>
      <c r="H1761" s="10"/>
      <c r="I1761" s="7"/>
      <c r="J1761" s="12"/>
      <c r="K1761" s="13"/>
      <c r="L1761" s="14"/>
      <c r="M1761" s="15"/>
      <c r="N1761" s="15"/>
      <c r="O1761" s="16"/>
      <c r="Q1761" s="16"/>
    </row>
    <row r="1762" spans="1:17" x14ac:dyDescent="0.3">
      <c r="A1762" s="5"/>
      <c r="B1762" s="6"/>
      <c r="C1762" s="7"/>
      <c r="D1762" s="8"/>
      <c r="E1762" s="8"/>
      <c r="F1762" s="10"/>
      <c r="G1762" s="10"/>
      <c r="H1762" s="10"/>
      <c r="I1762" s="7"/>
      <c r="J1762" s="12"/>
      <c r="K1762" s="13"/>
      <c r="L1762" s="14"/>
      <c r="M1762" s="15"/>
      <c r="N1762" s="15"/>
      <c r="O1762" s="16"/>
      <c r="Q1762" s="16"/>
    </row>
    <row r="1763" spans="1:17" x14ac:dyDescent="0.3">
      <c r="A1763" s="5"/>
      <c r="B1763" s="6"/>
      <c r="C1763" s="7"/>
      <c r="D1763" s="8"/>
      <c r="E1763" s="8"/>
      <c r="F1763" s="10"/>
      <c r="G1763" s="10"/>
      <c r="H1763" s="10"/>
      <c r="I1763" s="7"/>
      <c r="J1763" s="12"/>
      <c r="K1763" s="13"/>
      <c r="L1763" s="14"/>
      <c r="M1763" s="15"/>
      <c r="N1763" s="15"/>
      <c r="O1763" s="16"/>
      <c r="Q1763" s="16"/>
    </row>
    <row r="1764" spans="1:17" x14ac:dyDescent="0.3">
      <c r="A1764" s="5"/>
      <c r="B1764" s="6"/>
      <c r="C1764" s="7"/>
      <c r="D1764" s="8"/>
      <c r="E1764" s="8"/>
      <c r="F1764" s="10"/>
      <c r="G1764" s="10"/>
      <c r="H1764" s="10"/>
      <c r="I1764" s="7"/>
      <c r="J1764" s="12"/>
      <c r="K1764" s="13"/>
      <c r="L1764" s="14"/>
      <c r="M1764" s="15"/>
      <c r="N1764" s="15"/>
      <c r="O1764" s="16"/>
      <c r="Q1764" s="16"/>
    </row>
    <row r="1765" spans="1:17" x14ac:dyDescent="0.3">
      <c r="A1765" s="5"/>
      <c r="B1765" s="6"/>
      <c r="C1765" s="7"/>
      <c r="D1765" s="8"/>
      <c r="E1765" s="8"/>
      <c r="F1765" s="10"/>
      <c r="G1765" s="10"/>
      <c r="H1765" s="10"/>
      <c r="I1765" s="7"/>
      <c r="J1765" s="12"/>
      <c r="K1765" s="13"/>
      <c r="L1765" s="14"/>
      <c r="M1765" s="15"/>
      <c r="N1765" s="15"/>
      <c r="O1765" s="16"/>
      <c r="Q1765" s="16"/>
    </row>
    <row r="1766" spans="1:17" x14ac:dyDescent="0.3">
      <c r="A1766" s="5"/>
      <c r="B1766" s="6"/>
      <c r="C1766" s="7"/>
      <c r="D1766" s="8"/>
      <c r="E1766" s="8"/>
      <c r="F1766" s="10"/>
      <c r="G1766" s="10"/>
      <c r="H1766" s="10"/>
      <c r="I1766" s="7"/>
      <c r="J1766" s="12"/>
      <c r="K1766" s="13"/>
      <c r="L1766" s="14"/>
      <c r="M1766" s="15"/>
      <c r="N1766" s="15"/>
      <c r="O1766" s="16"/>
      <c r="Q1766" s="16"/>
    </row>
    <row r="1767" spans="1:17" x14ac:dyDescent="0.3">
      <c r="A1767" s="5"/>
      <c r="B1767" s="6"/>
      <c r="C1767" s="7"/>
      <c r="D1767" s="8"/>
      <c r="E1767" s="8"/>
      <c r="F1767" s="10"/>
      <c r="G1767" s="10"/>
      <c r="H1767" s="10"/>
      <c r="I1767" s="7"/>
      <c r="J1767" s="12"/>
      <c r="K1767" s="13"/>
      <c r="L1767" s="14"/>
      <c r="M1767" s="15"/>
      <c r="N1767" s="15"/>
      <c r="O1767" s="16"/>
      <c r="Q1767" s="16"/>
    </row>
    <row r="1768" spans="1:17" x14ac:dyDescent="0.3">
      <c r="A1768" s="5"/>
      <c r="B1768" s="6"/>
      <c r="C1768" s="7"/>
      <c r="D1768" s="8"/>
      <c r="E1768" s="8"/>
      <c r="F1768" s="10"/>
      <c r="G1768" s="10"/>
      <c r="H1768" s="10"/>
      <c r="I1768" s="7"/>
      <c r="J1768" s="12"/>
      <c r="K1768" s="13"/>
      <c r="L1768" s="14"/>
      <c r="M1768" s="15"/>
      <c r="N1768" s="15"/>
      <c r="O1768" s="16"/>
      <c r="Q1768" s="16"/>
    </row>
    <row r="1769" spans="1:17" x14ac:dyDescent="0.3">
      <c r="A1769" s="5"/>
      <c r="B1769" s="6"/>
      <c r="C1769" s="7"/>
      <c r="D1769" s="8"/>
      <c r="E1769" s="8"/>
      <c r="F1769" s="10"/>
      <c r="G1769" s="10"/>
      <c r="H1769" s="10"/>
      <c r="I1769" s="7"/>
      <c r="J1769" s="12"/>
      <c r="K1769" s="13"/>
      <c r="L1769" s="14"/>
      <c r="M1769" s="15"/>
      <c r="N1769" s="15"/>
      <c r="O1769" s="16"/>
      <c r="Q1769" s="16"/>
    </row>
    <row r="1770" spans="1:17" x14ac:dyDescent="0.3">
      <c r="A1770" s="5"/>
      <c r="B1770" s="6"/>
      <c r="C1770" s="7"/>
      <c r="D1770" s="8"/>
      <c r="E1770" s="8"/>
      <c r="F1770" s="10"/>
      <c r="G1770" s="10"/>
      <c r="H1770" s="10"/>
      <c r="I1770" s="7"/>
      <c r="J1770" s="12"/>
      <c r="K1770" s="13"/>
      <c r="L1770" s="14"/>
      <c r="M1770" s="15"/>
      <c r="N1770" s="15"/>
      <c r="O1770" s="16"/>
      <c r="Q1770" s="16"/>
    </row>
    <row r="1771" spans="1:17" x14ac:dyDescent="0.3">
      <c r="A1771" s="5"/>
      <c r="B1771" s="6"/>
      <c r="C1771" s="7"/>
      <c r="D1771" s="8"/>
      <c r="E1771" s="8"/>
      <c r="F1771" s="10"/>
      <c r="G1771" s="10"/>
      <c r="H1771" s="10"/>
      <c r="I1771" s="7"/>
      <c r="J1771" s="12"/>
      <c r="K1771" s="13"/>
      <c r="L1771" s="14"/>
      <c r="M1771" s="15"/>
      <c r="N1771" s="15"/>
      <c r="O1771" s="16"/>
      <c r="Q1771" s="16"/>
    </row>
    <row r="1772" spans="1:17" x14ac:dyDescent="0.3">
      <c r="A1772" s="5"/>
      <c r="B1772" s="6"/>
      <c r="C1772" s="7"/>
      <c r="D1772" s="8"/>
      <c r="E1772" s="8"/>
      <c r="F1772" s="10"/>
      <c r="G1772" s="10"/>
      <c r="H1772" s="10"/>
      <c r="I1772" s="7"/>
      <c r="J1772" s="12"/>
      <c r="K1772" s="13"/>
      <c r="L1772" s="14"/>
      <c r="M1772" s="15"/>
      <c r="N1772" s="15"/>
      <c r="O1772" s="16"/>
      <c r="Q1772" s="16"/>
    </row>
    <row r="1773" spans="1:17" x14ac:dyDescent="0.3">
      <c r="A1773" s="5"/>
      <c r="B1773" s="6"/>
      <c r="C1773" s="7"/>
      <c r="D1773" s="8"/>
      <c r="E1773" s="8"/>
      <c r="F1773" s="10"/>
      <c r="G1773" s="10"/>
      <c r="H1773" s="10"/>
      <c r="I1773" s="7"/>
      <c r="J1773" s="12"/>
      <c r="K1773" s="13"/>
      <c r="L1773" s="14"/>
      <c r="M1773" s="15"/>
      <c r="N1773" s="15"/>
      <c r="O1773" s="16"/>
      <c r="Q1773" s="16"/>
    </row>
    <row r="1774" spans="1:17" x14ac:dyDescent="0.3">
      <c r="A1774" s="5"/>
      <c r="B1774" s="6"/>
      <c r="C1774" s="7"/>
      <c r="D1774" s="8"/>
      <c r="E1774" s="8"/>
      <c r="F1774" s="10"/>
      <c r="G1774" s="10"/>
      <c r="H1774" s="10"/>
      <c r="I1774" s="7"/>
      <c r="J1774" s="12"/>
      <c r="K1774" s="13"/>
      <c r="L1774" s="14"/>
      <c r="M1774" s="15"/>
      <c r="N1774" s="15"/>
      <c r="O1774" s="16"/>
      <c r="Q1774" s="16"/>
    </row>
    <row r="1775" spans="1:17" x14ac:dyDescent="0.3">
      <c r="A1775" s="5"/>
      <c r="B1775" s="6"/>
      <c r="C1775" s="7"/>
      <c r="D1775" s="8"/>
      <c r="E1775" s="8"/>
      <c r="F1775" s="10"/>
      <c r="G1775" s="10"/>
      <c r="H1775" s="10"/>
      <c r="I1775" s="7"/>
      <c r="J1775" s="12"/>
      <c r="K1775" s="13"/>
      <c r="L1775" s="14"/>
      <c r="M1775" s="15"/>
      <c r="N1775" s="15"/>
      <c r="O1775" s="16"/>
      <c r="Q1775" s="16"/>
    </row>
    <row r="1776" spans="1:17" x14ac:dyDescent="0.3">
      <c r="A1776" s="5"/>
      <c r="B1776" s="6"/>
      <c r="C1776" s="7"/>
      <c r="D1776" s="8"/>
      <c r="E1776" s="8"/>
      <c r="F1776" s="10"/>
      <c r="G1776" s="10"/>
      <c r="H1776" s="10"/>
      <c r="I1776" s="7"/>
      <c r="J1776" s="12"/>
      <c r="K1776" s="13"/>
      <c r="L1776" s="14"/>
      <c r="M1776" s="15"/>
      <c r="N1776" s="15"/>
      <c r="O1776" s="16"/>
      <c r="Q1776" s="16"/>
    </row>
    <row r="1777" spans="1:17" x14ac:dyDescent="0.3">
      <c r="A1777" s="5"/>
      <c r="B1777" s="6"/>
      <c r="C1777" s="7"/>
      <c r="D1777" s="8"/>
      <c r="E1777" s="8"/>
      <c r="F1777" s="10"/>
      <c r="G1777" s="10"/>
      <c r="H1777" s="10"/>
      <c r="I1777" s="7"/>
      <c r="J1777" s="12"/>
      <c r="K1777" s="13"/>
      <c r="L1777" s="14"/>
      <c r="M1777" s="15"/>
      <c r="N1777" s="15"/>
      <c r="O1777" s="16"/>
      <c r="Q1777" s="16"/>
    </row>
    <row r="1778" spans="1:17" x14ac:dyDescent="0.3">
      <c r="A1778" s="5"/>
      <c r="B1778" s="6"/>
      <c r="C1778" s="7"/>
      <c r="D1778" s="8"/>
      <c r="E1778" s="8"/>
      <c r="F1778" s="10"/>
      <c r="G1778" s="10"/>
      <c r="H1778" s="10"/>
      <c r="I1778" s="7"/>
      <c r="J1778" s="12"/>
      <c r="K1778" s="13"/>
      <c r="L1778" s="14"/>
      <c r="M1778" s="15"/>
      <c r="N1778" s="15"/>
      <c r="O1778" s="16"/>
      <c r="Q1778" s="16"/>
    </row>
    <row r="1779" spans="1:17" x14ac:dyDescent="0.3">
      <c r="A1779" s="5"/>
      <c r="B1779" s="6"/>
      <c r="C1779" s="7"/>
      <c r="D1779" s="8"/>
      <c r="E1779" s="8"/>
      <c r="F1779" s="10"/>
      <c r="G1779" s="10"/>
      <c r="H1779" s="10"/>
      <c r="I1779" s="7"/>
      <c r="J1779" s="12"/>
      <c r="K1779" s="13"/>
      <c r="L1779" s="14"/>
      <c r="M1779" s="15"/>
      <c r="N1779" s="15"/>
      <c r="O1779" s="16"/>
      <c r="Q1779" s="16"/>
    </row>
    <row r="1780" spans="1:17" x14ac:dyDescent="0.3">
      <c r="A1780" s="5"/>
      <c r="B1780" s="6"/>
      <c r="C1780" s="7"/>
      <c r="D1780" s="8"/>
      <c r="E1780" s="8"/>
      <c r="F1780" s="10"/>
      <c r="G1780" s="10"/>
      <c r="H1780" s="10"/>
      <c r="I1780" s="7"/>
      <c r="J1780" s="12"/>
      <c r="K1780" s="13"/>
      <c r="L1780" s="14"/>
      <c r="M1780" s="15"/>
      <c r="N1780" s="15"/>
      <c r="O1780" s="16"/>
      <c r="Q1780" s="16"/>
    </row>
    <row r="1781" spans="1:17" x14ac:dyDescent="0.3">
      <c r="A1781" s="5"/>
      <c r="B1781" s="6"/>
      <c r="C1781" s="7"/>
      <c r="D1781" s="8"/>
      <c r="E1781" s="8"/>
      <c r="F1781" s="10"/>
      <c r="G1781" s="10"/>
      <c r="H1781" s="10"/>
      <c r="I1781" s="7"/>
      <c r="J1781" s="12"/>
      <c r="K1781" s="13"/>
      <c r="L1781" s="14"/>
      <c r="M1781" s="15"/>
      <c r="N1781" s="15"/>
      <c r="O1781" s="16"/>
      <c r="Q1781" s="16"/>
    </row>
    <row r="1782" spans="1:17" x14ac:dyDescent="0.3">
      <c r="A1782" s="5"/>
      <c r="B1782" s="6"/>
      <c r="C1782" s="7"/>
      <c r="D1782" s="8"/>
      <c r="E1782" s="8"/>
      <c r="F1782" s="10"/>
      <c r="G1782" s="10"/>
      <c r="H1782" s="10"/>
      <c r="I1782" s="7"/>
      <c r="J1782" s="12"/>
      <c r="K1782" s="13"/>
      <c r="L1782" s="14"/>
      <c r="M1782" s="15"/>
      <c r="N1782" s="15"/>
      <c r="O1782" s="16"/>
      <c r="Q1782" s="16"/>
    </row>
    <row r="1783" spans="1:17" x14ac:dyDescent="0.3">
      <c r="A1783" s="5"/>
      <c r="B1783" s="6"/>
      <c r="C1783" s="7"/>
      <c r="D1783" s="8"/>
      <c r="E1783" s="8"/>
      <c r="F1783" s="10"/>
      <c r="G1783" s="10"/>
      <c r="H1783" s="10"/>
      <c r="I1783" s="7"/>
      <c r="J1783" s="12"/>
      <c r="K1783" s="13"/>
      <c r="L1783" s="14"/>
      <c r="M1783" s="15"/>
      <c r="N1783" s="15"/>
      <c r="O1783" s="16"/>
      <c r="Q1783" s="16"/>
    </row>
    <row r="1784" spans="1:17" x14ac:dyDescent="0.3">
      <c r="A1784" s="5"/>
      <c r="B1784" s="6"/>
      <c r="C1784" s="7"/>
      <c r="D1784" s="8"/>
      <c r="E1784" s="8"/>
      <c r="F1784" s="10"/>
      <c r="G1784" s="10"/>
      <c r="H1784" s="10"/>
      <c r="I1784" s="7"/>
      <c r="J1784" s="12"/>
      <c r="K1784" s="13"/>
      <c r="L1784" s="14"/>
      <c r="M1784" s="15"/>
      <c r="N1784" s="15"/>
      <c r="O1784" s="16"/>
      <c r="Q1784" s="16"/>
    </row>
    <row r="1785" spans="1:17" x14ac:dyDescent="0.3">
      <c r="A1785" s="5"/>
      <c r="B1785" s="6"/>
      <c r="C1785" s="7"/>
      <c r="D1785" s="8"/>
      <c r="E1785" s="8"/>
      <c r="F1785" s="10"/>
      <c r="G1785" s="10"/>
      <c r="H1785" s="10"/>
      <c r="I1785" s="7"/>
      <c r="J1785" s="12"/>
      <c r="K1785" s="13"/>
      <c r="L1785" s="14"/>
      <c r="M1785" s="15"/>
      <c r="N1785" s="15"/>
      <c r="O1785" s="16"/>
      <c r="Q1785" s="16"/>
    </row>
    <row r="1786" spans="1:17" x14ac:dyDescent="0.3">
      <c r="A1786" s="5"/>
      <c r="B1786" s="6"/>
      <c r="C1786" s="7"/>
      <c r="D1786" s="8"/>
      <c r="E1786" s="8"/>
      <c r="F1786" s="10"/>
      <c r="G1786" s="10"/>
      <c r="H1786" s="10"/>
      <c r="I1786" s="7"/>
      <c r="J1786" s="12"/>
      <c r="K1786" s="13"/>
      <c r="L1786" s="14"/>
      <c r="M1786" s="15"/>
      <c r="N1786" s="15"/>
      <c r="O1786" s="16"/>
      <c r="Q1786" s="16"/>
    </row>
    <row r="1787" spans="1:17" x14ac:dyDescent="0.3">
      <c r="A1787" s="5"/>
      <c r="B1787" s="6"/>
      <c r="C1787" s="7"/>
      <c r="D1787" s="8"/>
      <c r="E1787" s="8"/>
      <c r="F1787" s="10"/>
      <c r="G1787" s="10"/>
      <c r="H1787" s="10"/>
      <c r="I1787" s="7"/>
      <c r="J1787" s="12"/>
      <c r="K1787" s="13"/>
      <c r="L1787" s="14"/>
      <c r="M1787" s="15"/>
      <c r="N1787" s="15"/>
      <c r="O1787" s="16"/>
      <c r="Q1787" s="16"/>
    </row>
    <row r="1788" spans="1:17" x14ac:dyDescent="0.3">
      <c r="A1788" s="5"/>
      <c r="B1788" s="6"/>
      <c r="C1788" s="7"/>
      <c r="D1788" s="8"/>
      <c r="E1788" s="8"/>
      <c r="F1788" s="10"/>
      <c r="G1788" s="10"/>
      <c r="H1788" s="10"/>
      <c r="I1788" s="7"/>
      <c r="J1788" s="12"/>
      <c r="K1788" s="13"/>
      <c r="L1788" s="14"/>
      <c r="M1788" s="15"/>
      <c r="N1788" s="15"/>
      <c r="O1788" s="16"/>
      <c r="Q1788" s="16"/>
    </row>
    <row r="1789" spans="1:17" x14ac:dyDescent="0.3">
      <c r="A1789" s="5"/>
      <c r="B1789" s="6"/>
      <c r="C1789" s="7"/>
      <c r="D1789" s="8"/>
      <c r="E1789" s="8"/>
      <c r="F1789" s="10"/>
      <c r="G1789" s="10"/>
      <c r="H1789" s="10"/>
      <c r="I1789" s="7"/>
      <c r="J1789" s="12"/>
      <c r="K1789" s="13"/>
      <c r="L1789" s="14"/>
      <c r="M1789" s="15"/>
      <c r="N1789" s="15"/>
      <c r="O1789" s="16"/>
      <c r="Q1789" s="16"/>
    </row>
    <row r="1790" spans="1:17" x14ac:dyDescent="0.3">
      <c r="A1790" s="5"/>
      <c r="B1790" s="6"/>
      <c r="C1790" s="7"/>
      <c r="D1790" s="8"/>
      <c r="E1790" s="8"/>
      <c r="F1790" s="10"/>
      <c r="G1790" s="10"/>
      <c r="H1790" s="10"/>
      <c r="I1790" s="7"/>
      <c r="J1790" s="12"/>
      <c r="K1790" s="13"/>
      <c r="L1790" s="14"/>
      <c r="M1790" s="15"/>
      <c r="N1790" s="15"/>
      <c r="O1790" s="16"/>
      <c r="Q1790" s="16"/>
    </row>
    <row r="1791" spans="1:17" x14ac:dyDescent="0.3">
      <c r="A1791" s="5"/>
      <c r="B1791" s="6"/>
      <c r="C1791" s="7"/>
      <c r="D1791" s="8"/>
      <c r="E1791" s="8"/>
      <c r="F1791" s="10"/>
      <c r="G1791" s="10"/>
      <c r="H1791" s="10"/>
      <c r="I1791" s="7"/>
      <c r="J1791" s="12"/>
      <c r="K1791" s="13"/>
      <c r="L1791" s="14"/>
      <c r="M1791" s="15"/>
      <c r="N1791" s="15"/>
      <c r="O1791" s="16"/>
      <c r="Q1791" s="16"/>
    </row>
    <row r="1792" spans="1:17" x14ac:dyDescent="0.3">
      <c r="A1792" s="5"/>
      <c r="B1792" s="6"/>
      <c r="C1792" s="7"/>
      <c r="D1792" s="8"/>
      <c r="E1792" s="8"/>
      <c r="F1792" s="10"/>
      <c r="G1792" s="10"/>
      <c r="H1792" s="10"/>
      <c r="I1792" s="7"/>
      <c r="J1792" s="12"/>
      <c r="K1792" s="13"/>
      <c r="L1792" s="14"/>
      <c r="M1792" s="15"/>
      <c r="N1792" s="15"/>
      <c r="O1792" s="16"/>
      <c r="Q1792" s="16"/>
    </row>
    <row r="1793" spans="1:17" x14ac:dyDescent="0.3">
      <c r="A1793" s="5"/>
      <c r="B1793" s="6"/>
      <c r="C1793" s="7"/>
      <c r="D1793" s="8"/>
      <c r="E1793" s="8"/>
      <c r="F1793" s="10"/>
      <c r="G1793" s="10"/>
      <c r="H1793" s="10"/>
      <c r="I1793" s="7"/>
      <c r="J1793" s="12"/>
      <c r="K1793" s="13"/>
      <c r="L1793" s="14"/>
      <c r="M1793" s="15"/>
      <c r="N1793" s="15"/>
      <c r="O1793" s="16"/>
      <c r="Q1793" s="16"/>
    </row>
    <row r="1794" spans="1:17" x14ac:dyDescent="0.3">
      <c r="A1794" s="5"/>
      <c r="B1794" s="6"/>
      <c r="C1794" s="7"/>
      <c r="D1794" s="8"/>
      <c r="E1794" s="8"/>
      <c r="F1794" s="10"/>
      <c r="G1794" s="10"/>
      <c r="H1794" s="10"/>
      <c r="I1794" s="7"/>
      <c r="J1794" s="12"/>
      <c r="K1794" s="13"/>
      <c r="L1794" s="14"/>
      <c r="M1794" s="15"/>
      <c r="N1794" s="15"/>
      <c r="O1794" s="16"/>
      <c r="Q1794" s="16"/>
    </row>
    <row r="1795" spans="1:17" x14ac:dyDescent="0.3">
      <c r="A1795" s="5"/>
      <c r="B1795" s="6"/>
      <c r="C1795" s="7"/>
      <c r="D1795" s="8"/>
      <c r="E1795" s="8"/>
      <c r="F1795" s="10"/>
      <c r="G1795" s="10"/>
      <c r="H1795" s="10"/>
      <c r="I1795" s="7"/>
      <c r="J1795" s="12"/>
      <c r="K1795" s="13"/>
      <c r="L1795" s="14"/>
      <c r="M1795" s="15"/>
      <c r="N1795" s="15"/>
      <c r="O1795" s="16"/>
      <c r="Q1795" s="16"/>
    </row>
    <row r="1796" spans="1:17" x14ac:dyDescent="0.3">
      <c r="A1796" s="5"/>
      <c r="B1796" s="6"/>
      <c r="C1796" s="7"/>
      <c r="D1796" s="8"/>
      <c r="E1796" s="8"/>
      <c r="F1796" s="10"/>
      <c r="G1796" s="10"/>
      <c r="H1796" s="10"/>
      <c r="I1796" s="7"/>
      <c r="J1796" s="12"/>
      <c r="K1796" s="13"/>
      <c r="L1796" s="14"/>
      <c r="M1796" s="15"/>
      <c r="N1796" s="15"/>
      <c r="O1796" s="16"/>
      <c r="Q1796" s="16"/>
    </row>
    <row r="1797" spans="1:17" x14ac:dyDescent="0.3">
      <c r="A1797" s="5"/>
      <c r="B1797" s="6"/>
      <c r="C1797" s="7"/>
      <c r="D1797" s="8"/>
      <c r="E1797" s="8"/>
      <c r="F1797" s="10"/>
      <c r="G1797" s="10"/>
      <c r="H1797" s="10"/>
      <c r="I1797" s="7"/>
      <c r="J1797" s="12"/>
      <c r="K1797" s="13"/>
      <c r="L1797" s="14"/>
      <c r="M1797" s="15"/>
      <c r="N1797" s="15"/>
      <c r="O1797" s="16"/>
      <c r="Q1797" s="16"/>
    </row>
    <row r="1798" spans="1:17" x14ac:dyDescent="0.3">
      <c r="A1798" s="5"/>
      <c r="B1798" s="6"/>
      <c r="C1798" s="7"/>
      <c r="D1798" s="8"/>
      <c r="E1798" s="8"/>
      <c r="F1798" s="10"/>
      <c r="G1798" s="10"/>
      <c r="H1798" s="10"/>
      <c r="I1798" s="7"/>
      <c r="J1798" s="12"/>
      <c r="K1798" s="13"/>
      <c r="L1798" s="14"/>
      <c r="M1798" s="15"/>
      <c r="N1798" s="15"/>
      <c r="O1798" s="16"/>
      <c r="Q1798" s="16"/>
    </row>
    <row r="1799" spans="1:17" x14ac:dyDescent="0.3">
      <c r="A1799" s="5"/>
      <c r="B1799" s="6"/>
      <c r="C1799" s="7"/>
      <c r="D1799" s="8"/>
      <c r="E1799" s="8"/>
      <c r="F1799" s="10"/>
      <c r="G1799" s="10"/>
      <c r="H1799" s="10"/>
      <c r="I1799" s="7"/>
      <c r="J1799" s="12"/>
      <c r="K1799" s="13"/>
      <c r="L1799" s="14"/>
      <c r="M1799" s="15"/>
      <c r="N1799" s="15"/>
      <c r="O1799" s="16"/>
      <c r="Q1799" s="16"/>
    </row>
    <row r="1800" spans="1:17" x14ac:dyDescent="0.3">
      <c r="A1800" s="5"/>
      <c r="B1800" s="6"/>
      <c r="C1800" s="7"/>
      <c r="D1800" s="8"/>
      <c r="E1800" s="8"/>
      <c r="F1800" s="10"/>
      <c r="G1800" s="10"/>
      <c r="H1800" s="10"/>
      <c r="I1800" s="7"/>
      <c r="J1800" s="12"/>
      <c r="K1800" s="13"/>
      <c r="L1800" s="14"/>
      <c r="M1800" s="15"/>
      <c r="N1800" s="15"/>
      <c r="O1800" s="16"/>
      <c r="Q1800" s="16"/>
    </row>
    <row r="1801" spans="1:17" x14ac:dyDescent="0.3">
      <c r="A1801" s="5"/>
      <c r="B1801" s="6"/>
      <c r="C1801" s="7"/>
      <c r="D1801" s="8"/>
      <c r="E1801" s="8"/>
      <c r="F1801" s="10"/>
      <c r="G1801" s="10"/>
      <c r="H1801" s="10"/>
      <c r="I1801" s="7"/>
      <c r="J1801" s="12"/>
      <c r="K1801" s="13"/>
      <c r="L1801" s="14"/>
      <c r="M1801" s="15"/>
      <c r="N1801" s="15"/>
      <c r="O1801" s="16"/>
      <c r="Q1801" s="16"/>
    </row>
    <row r="1802" spans="1:17" x14ac:dyDescent="0.3">
      <c r="A1802" s="5"/>
      <c r="B1802" s="6"/>
      <c r="C1802" s="7"/>
      <c r="D1802" s="8"/>
      <c r="E1802" s="8"/>
      <c r="F1802" s="10"/>
      <c r="G1802" s="10"/>
      <c r="H1802" s="10"/>
      <c r="I1802" s="7"/>
      <c r="J1802" s="12"/>
      <c r="K1802" s="13"/>
      <c r="L1802" s="14"/>
      <c r="M1802" s="15"/>
      <c r="N1802" s="15"/>
      <c r="O1802" s="16"/>
      <c r="Q1802" s="16"/>
    </row>
    <row r="1803" spans="1:17" x14ac:dyDescent="0.3">
      <c r="A1803" s="5"/>
      <c r="B1803" s="6"/>
      <c r="C1803" s="7"/>
      <c r="D1803" s="8"/>
      <c r="E1803" s="8"/>
      <c r="F1803" s="10"/>
      <c r="G1803" s="10"/>
      <c r="H1803" s="10"/>
      <c r="I1803" s="7"/>
      <c r="J1803" s="12"/>
      <c r="K1803" s="13"/>
      <c r="L1803" s="14"/>
      <c r="M1803" s="15"/>
      <c r="N1803" s="15"/>
      <c r="O1803" s="16"/>
      <c r="Q1803" s="16"/>
    </row>
    <row r="1804" spans="1:17" x14ac:dyDescent="0.3">
      <c r="A1804" s="5"/>
      <c r="B1804" s="6"/>
      <c r="C1804" s="7"/>
      <c r="D1804" s="8"/>
      <c r="E1804" s="8"/>
      <c r="F1804" s="10"/>
      <c r="G1804" s="10"/>
      <c r="H1804" s="10"/>
      <c r="I1804" s="7"/>
      <c r="J1804" s="12"/>
      <c r="K1804" s="13"/>
      <c r="L1804" s="14"/>
      <c r="M1804" s="15"/>
      <c r="N1804" s="15"/>
      <c r="O1804" s="16"/>
      <c r="Q1804" s="16"/>
    </row>
    <row r="1805" spans="1:17" x14ac:dyDescent="0.3">
      <c r="A1805" s="5"/>
      <c r="B1805" s="6"/>
      <c r="C1805" s="7"/>
      <c r="D1805" s="8"/>
      <c r="E1805" s="8"/>
      <c r="F1805" s="10"/>
      <c r="G1805" s="10"/>
      <c r="H1805" s="10"/>
      <c r="I1805" s="7"/>
      <c r="J1805" s="12"/>
      <c r="K1805" s="13"/>
      <c r="L1805" s="14"/>
      <c r="M1805" s="15"/>
      <c r="N1805" s="15"/>
      <c r="O1805" s="16"/>
      <c r="Q1805" s="16"/>
    </row>
    <row r="1806" spans="1:17" x14ac:dyDescent="0.3">
      <c r="A1806" s="5"/>
      <c r="B1806" s="6"/>
      <c r="C1806" s="7"/>
      <c r="D1806" s="8"/>
      <c r="E1806" s="8"/>
      <c r="F1806" s="10"/>
      <c r="G1806" s="10"/>
      <c r="H1806" s="10"/>
      <c r="I1806" s="7"/>
      <c r="J1806" s="12"/>
      <c r="K1806" s="13"/>
      <c r="L1806" s="14"/>
      <c r="M1806" s="15"/>
      <c r="N1806" s="15"/>
      <c r="O1806" s="16"/>
      <c r="Q1806" s="16"/>
    </row>
    <row r="1807" spans="1:17" x14ac:dyDescent="0.3">
      <c r="A1807" s="5"/>
      <c r="B1807" s="6"/>
      <c r="C1807" s="7"/>
      <c r="D1807" s="8"/>
      <c r="E1807" s="8"/>
      <c r="F1807" s="10"/>
      <c r="G1807" s="10"/>
      <c r="H1807" s="10"/>
      <c r="I1807" s="7"/>
      <c r="J1807" s="12"/>
      <c r="K1807" s="13"/>
      <c r="L1807" s="14"/>
      <c r="M1807" s="15"/>
      <c r="N1807" s="15"/>
      <c r="O1807" s="16"/>
      <c r="Q1807" s="16"/>
    </row>
    <row r="1808" spans="1:17" x14ac:dyDescent="0.3">
      <c r="A1808" s="5"/>
      <c r="B1808" s="6"/>
      <c r="C1808" s="7"/>
      <c r="D1808" s="8"/>
      <c r="E1808" s="8"/>
      <c r="F1808" s="10"/>
      <c r="G1808" s="10"/>
      <c r="H1808" s="10"/>
      <c r="I1808" s="7"/>
      <c r="J1808" s="12"/>
      <c r="K1808" s="13"/>
      <c r="L1808" s="14"/>
      <c r="M1808" s="15"/>
      <c r="N1808" s="15"/>
      <c r="O1808" s="16"/>
      <c r="Q1808" s="16"/>
    </row>
    <row r="1809" spans="1:17" x14ac:dyDescent="0.3">
      <c r="A1809" s="5"/>
      <c r="B1809" s="6"/>
      <c r="C1809" s="7"/>
      <c r="D1809" s="8"/>
      <c r="E1809" s="8"/>
      <c r="F1809" s="10"/>
      <c r="G1809" s="10"/>
      <c r="H1809" s="10"/>
      <c r="I1809" s="7"/>
      <c r="J1809" s="12"/>
      <c r="K1809" s="13"/>
      <c r="L1809" s="14"/>
      <c r="M1809" s="15"/>
      <c r="N1809" s="15"/>
      <c r="O1809" s="16"/>
      <c r="Q1809" s="16"/>
    </row>
    <row r="1810" spans="1:17" x14ac:dyDescent="0.3">
      <c r="A1810" s="5"/>
      <c r="B1810" s="6"/>
      <c r="C1810" s="7"/>
      <c r="D1810" s="8"/>
      <c r="E1810" s="8"/>
      <c r="F1810" s="10"/>
      <c r="G1810" s="10"/>
      <c r="H1810" s="10"/>
      <c r="I1810" s="7"/>
      <c r="J1810" s="12"/>
      <c r="K1810" s="13"/>
      <c r="L1810" s="14"/>
      <c r="M1810" s="15"/>
      <c r="N1810" s="15"/>
      <c r="O1810" s="16"/>
      <c r="Q1810" s="16"/>
    </row>
    <row r="1811" spans="1:17" x14ac:dyDescent="0.3">
      <c r="A1811" s="5"/>
      <c r="B1811" s="6"/>
      <c r="C1811" s="7"/>
      <c r="D1811" s="8"/>
      <c r="E1811" s="8"/>
      <c r="F1811" s="10"/>
      <c r="G1811" s="10"/>
      <c r="H1811" s="10"/>
      <c r="I1811" s="7"/>
      <c r="J1811" s="12"/>
      <c r="K1811" s="13"/>
      <c r="L1811" s="14"/>
      <c r="M1811" s="15"/>
      <c r="N1811" s="15"/>
      <c r="O1811" s="16"/>
      <c r="Q1811" s="16"/>
    </row>
    <row r="1812" spans="1:17" x14ac:dyDescent="0.3">
      <c r="A1812" s="5"/>
      <c r="B1812" s="6"/>
      <c r="C1812" s="7"/>
      <c r="D1812" s="8"/>
      <c r="E1812" s="8"/>
      <c r="F1812" s="10"/>
      <c r="G1812" s="10"/>
      <c r="H1812" s="10"/>
      <c r="I1812" s="7"/>
      <c r="J1812" s="12"/>
      <c r="K1812" s="13"/>
      <c r="L1812" s="14"/>
      <c r="M1812" s="15"/>
      <c r="N1812" s="15"/>
      <c r="O1812" s="16"/>
      <c r="Q1812" s="16"/>
    </row>
    <row r="1813" spans="1:17" x14ac:dyDescent="0.3">
      <c r="A1813" s="5"/>
      <c r="B1813" s="6"/>
      <c r="C1813" s="7"/>
      <c r="D1813" s="8"/>
      <c r="E1813" s="8"/>
      <c r="F1813" s="10"/>
      <c r="G1813" s="10"/>
      <c r="H1813" s="10"/>
      <c r="I1813" s="7"/>
      <c r="J1813" s="12"/>
      <c r="K1813" s="13"/>
      <c r="L1813" s="14"/>
      <c r="M1813" s="15"/>
      <c r="N1813" s="15"/>
      <c r="O1813" s="16"/>
      <c r="Q1813" s="16"/>
    </row>
    <row r="1814" spans="1:17" x14ac:dyDescent="0.3">
      <c r="A1814" s="5"/>
      <c r="B1814" s="6"/>
      <c r="C1814" s="7"/>
      <c r="D1814" s="8"/>
      <c r="E1814" s="8"/>
      <c r="F1814" s="10"/>
      <c r="G1814" s="10"/>
      <c r="H1814" s="10"/>
      <c r="I1814" s="7"/>
      <c r="J1814" s="12"/>
      <c r="K1814" s="13"/>
      <c r="L1814" s="14"/>
      <c r="M1814" s="15"/>
      <c r="N1814" s="15"/>
      <c r="O1814" s="16"/>
      <c r="Q1814" s="16"/>
    </row>
    <row r="1815" spans="1:17" x14ac:dyDescent="0.3">
      <c r="A1815" s="5"/>
      <c r="B1815" s="6"/>
      <c r="C1815" s="7"/>
      <c r="D1815" s="8"/>
      <c r="E1815" s="8"/>
      <c r="F1815" s="10"/>
      <c r="G1815" s="10"/>
      <c r="H1815" s="10"/>
      <c r="I1815" s="7"/>
      <c r="J1815" s="12"/>
      <c r="K1815" s="13"/>
      <c r="L1815" s="14"/>
      <c r="M1815" s="15"/>
      <c r="N1815" s="15"/>
      <c r="O1815" s="16"/>
      <c r="Q1815" s="16"/>
    </row>
    <row r="1816" spans="1:17" x14ac:dyDescent="0.3">
      <c r="A1816" s="5"/>
      <c r="B1816" s="6"/>
      <c r="C1816" s="7"/>
      <c r="D1816" s="8"/>
      <c r="E1816" s="9"/>
      <c r="F1816" s="10"/>
      <c r="G1816" s="10"/>
      <c r="H1816" s="10"/>
      <c r="I1816" s="7"/>
      <c r="J1816" s="12"/>
      <c r="K1816" s="13"/>
      <c r="L1816" s="14"/>
      <c r="M1816" s="15"/>
      <c r="N1816" s="15"/>
      <c r="O1816" s="16"/>
      <c r="Q1816" s="16"/>
    </row>
    <row r="1817" spans="1:17" x14ac:dyDescent="0.3">
      <c r="A1817" s="5"/>
      <c r="B1817" s="6"/>
      <c r="C1817" s="7"/>
      <c r="D1817" s="8"/>
      <c r="E1817" s="8"/>
      <c r="F1817" s="10"/>
      <c r="G1817" s="10"/>
      <c r="H1817" s="10"/>
      <c r="I1817" s="7"/>
      <c r="J1817" s="12"/>
      <c r="K1817" s="13"/>
      <c r="L1817" s="14"/>
      <c r="M1817" s="15"/>
      <c r="N1817" s="15"/>
      <c r="O1817" s="16"/>
      <c r="Q1817" s="16"/>
    </row>
    <row r="1818" spans="1:17" x14ac:dyDescent="0.3">
      <c r="A1818" s="5"/>
      <c r="B1818" s="6"/>
      <c r="C1818" s="7"/>
      <c r="D1818" s="8"/>
      <c r="E1818" s="8"/>
      <c r="F1818" s="10"/>
      <c r="G1818" s="10"/>
      <c r="H1818" s="10"/>
      <c r="I1818" s="7"/>
      <c r="J1818" s="12"/>
      <c r="K1818" s="13"/>
      <c r="L1818" s="14"/>
      <c r="M1818" s="15"/>
      <c r="N1818" s="15"/>
      <c r="O1818" s="16"/>
      <c r="Q1818" s="16"/>
    </row>
    <row r="1819" spans="1:17" x14ac:dyDescent="0.3">
      <c r="A1819" s="5"/>
      <c r="B1819" s="6"/>
      <c r="C1819" s="7"/>
      <c r="D1819" s="8"/>
      <c r="E1819" s="8"/>
      <c r="F1819" s="10"/>
      <c r="G1819" s="10"/>
      <c r="H1819" s="10"/>
      <c r="I1819" s="7"/>
      <c r="J1819" s="12"/>
      <c r="K1819" s="13"/>
      <c r="L1819" s="14"/>
      <c r="M1819" s="15"/>
      <c r="N1819" s="15"/>
      <c r="O1819" s="16"/>
      <c r="Q1819" s="16"/>
    </row>
    <row r="1820" spans="1:17" x14ac:dyDescent="0.3">
      <c r="A1820" s="5"/>
      <c r="B1820" s="6"/>
      <c r="C1820" s="7"/>
      <c r="D1820" s="8"/>
      <c r="E1820" s="8"/>
      <c r="F1820" s="10"/>
      <c r="G1820" s="10"/>
      <c r="H1820" s="10"/>
      <c r="I1820" s="7"/>
      <c r="J1820" s="12"/>
      <c r="K1820" s="13"/>
      <c r="L1820" s="14"/>
      <c r="M1820" s="15"/>
      <c r="N1820" s="15"/>
      <c r="O1820" s="16"/>
      <c r="Q1820" s="16"/>
    </row>
    <row r="1821" spans="1:17" x14ac:dyDescent="0.3">
      <c r="A1821" s="5"/>
      <c r="B1821" s="6"/>
      <c r="C1821" s="7"/>
      <c r="D1821" s="8"/>
      <c r="E1821" s="8"/>
      <c r="F1821" s="10"/>
      <c r="G1821" s="10"/>
      <c r="H1821" s="10"/>
      <c r="I1821" s="7"/>
      <c r="J1821" s="12"/>
      <c r="K1821" s="13"/>
      <c r="L1821" s="14"/>
      <c r="M1821" s="15"/>
      <c r="N1821" s="15"/>
      <c r="O1821" s="16"/>
      <c r="Q1821" s="16"/>
    </row>
    <row r="1822" spans="1:17" x14ac:dyDescent="0.3">
      <c r="A1822" s="5"/>
      <c r="B1822" s="6"/>
      <c r="C1822" s="7"/>
      <c r="D1822" s="8"/>
      <c r="E1822" s="8"/>
      <c r="F1822" s="10"/>
      <c r="G1822" s="10"/>
      <c r="H1822" s="10"/>
      <c r="I1822" s="7"/>
      <c r="J1822" s="12"/>
      <c r="K1822" s="13"/>
      <c r="L1822" s="14"/>
      <c r="M1822" s="15"/>
      <c r="N1822" s="15"/>
      <c r="O1822" s="16"/>
      <c r="Q1822" s="16"/>
    </row>
    <row r="1823" spans="1:17" x14ac:dyDescent="0.3">
      <c r="A1823" s="5"/>
      <c r="B1823" s="6"/>
      <c r="C1823" s="7"/>
      <c r="D1823" s="8"/>
      <c r="E1823" s="8"/>
      <c r="F1823" s="10"/>
      <c r="G1823" s="10"/>
      <c r="H1823" s="10"/>
      <c r="I1823" s="7"/>
      <c r="J1823" s="12"/>
      <c r="K1823" s="13"/>
      <c r="L1823" s="14"/>
      <c r="M1823" s="15"/>
      <c r="N1823" s="15"/>
      <c r="O1823" s="16"/>
      <c r="Q1823" s="16"/>
    </row>
    <row r="1824" spans="1:17" x14ac:dyDescent="0.3">
      <c r="A1824" s="5"/>
      <c r="B1824" s="6"/>
      <c r="C1824" s="7"/>
      <c r="D1824" s="8"/>
      <c r="E1824" s="8"/>
      <c r="F1824" s="10"/>
      <c r="G1824" s="10"/>
      <c r="H1824" s="10"/>
      <c r="I1824" s="7"/>
      <c r="J1824" s="12"/>
      <c r="K1824" s="13"/>
      <c r="L1824" s="14"/>
      <c r="M1824" s="15"/>
      <c r="N1824" s="15"/>
      <c r="O1824" s="16"/>
      <c r="Q1824" s="16"/>
    </row>
    <row r="1825" spans="1:17" x14ac:dyDescent="0.3">
      <c r="A1825" s="5"/>
      <c r="B1825" s="6"/>
      <c r="C1825" s="7"/>
      <c r="D1825" s="8"/>
      <c r="E1825" s="8"/>
      <c r="F1825" s="10"/>
      <c r="G1825" s="10"/>
      <c r="H1825" s="10"/>
      <c r="I1825" s="7"/>
      <c r="J1825" s="12"/>
      <c r="K1825" s="13"/>
      <c r="L1825" s="14"/>
      <c r="M1825" s="15"/>
      <c r="N1825" s="15"/>
      <c r="O1825" s="16"/>
      <c r="Q1825" s="16"/>
    </row>
    <row r="1826" spans="1:17" x14ac:dyDescent="0.3">
      <c r="A1826" s="5"/>
      <c r="B1826" s="6"/>
      <c r="C1826" s="7"/>
      <c r="D1826" s="8"/>
      <c r="E1826" s="8"/>
      <c r="F1826" s="10"/>
      <c r="G1826" s="10"/>
      <c r="H1826" s="10"/>
      <c r="I1826" s="7"/>
      <c r="J1826" s="12"/>
      <c r="K1826" s="13"/>
      <c r="L1826" s="14"/>
      <c r="M1826" s="15"/>
      <c r="N1826" s="15"/>
      <c r="O1826" s="16"/>
      <c r="Q1826" s="16"/>
    </row>
    <row r="1827" spans="1:17" x14ac:dyDescent="0.3">
      <c r="A1827" s="5"/>
      <c r="B1827" s="6"/>
      <c r="C1827" s="7"/>
      <c r="D1827" s="8"/>
      <c r="E1827" s="8"/>
      <c r="F1827" s="10"/>
      <c r="G1827" s="10"/>
      <c r="H1827" s="10"/>
      <c r="I1827" s="7"/>
      <c r="J1827" s="12"/>
      <c r="K1827" s="13"/>
      <c r="L1827" s="14"/>
      <c r="M1827" s="15"/>
      <c r="N1827" s="15"/>
      <c r="O1827" s="16"/>
      <c r="Q1827" s="16"/>
    </row>
    <row r="1828" spans="1:17" x14ac:dyDescent="0.3">
      <c r="A1828" s="5"/>
      <c r="B1828" s="6"/>
      <c r="C1828" s="7"/>
      <c r="D1828" s="8"/>
      <c r="E1828" s="8"/>
      <c r="F1828" s="10"/>
      <c r="G1828" s="10"/>
      <c r="H1828" s="10"/>
      <c r="I1828" s="7"/>
      <c r="J1828" s="12"/>
      <c r="K1828" s="13"/>
      <c r="L1828" s="14"/>
      <c r="M1828" s="15"/>
      <c r="N1828" s="15"/>
      <c r="O1828" s="16"/>
      <c r="Q1828" s="16"/>
    </row>
    <row r="1829" spans="1:17" x14ac:dyDescent="0.3">
      <c r="A1829" s="5"/>
      <c r="B1829" s="6"/>
      <c r="C1829" s="7"/>
      <c r="D1829" s="8"/>
      <c r="E1829" s="8"/>
      <c r="F1829" s="10"/>
      <c r="G1829" s="10"/>
      <c r="H1829" s="10"/>
      <c r="I1829" s="7"/>
      <c r="J1829" s="12"/>
      <c r="K1829" s="13"/>
      <c r="L1829" s="14"/>
      <c r="M1829" s="15"/>
      <c r="N1829" s="15"/>
      <c r="O1829" s="16"/>
      <c r="Q1829" s="16"/>
    </row>
    <row r="1830" spans="1:17" x14ac:dyDescent="0.3">
      <c r="A1830" s="5"/>
      <c r="B1830" s="6"/>
      <c r="C1830" s="7"/>
      <c r="D1830" s="8"/>
      <c r="E1830" s="8"/>
      <c r="F1830" s="10"/>
      <c r="G1830" s="10"/>
      <c r="H1830" s="10"/>
      <c r="I1830" s="7"/>
      <c r="J1830" s="12"/>
      <c r="K1830" s="13"/>
      <c r="L1830" s="14"/>
      <c r="M1830" s="15"/>
      <c r="N1830" s="15"/>
      <c r="O1830" s="16"/>
      <c r="Q1830" s="16"/>
    </row>
    <row r="1831" spans="1:17" x14ac:dyDescent="0.3">
      <c r="A1831" s="5"/>
      <c r="B1831" s="6"/>
      <c r="C1831" s="7"/>
      <c r="D1831" s="8"/>
      <c r="E1831" s="8"/>
      <c r="F1831" s="10"/>
      <c r="G1831" s="10"/>
      <c r="H1831" s="10"/>
      <c r="I1831" s="7"/>
      <c r="J1831" s="12"/>
      <c r="K1831" s="13"/>
      <c r="L1831" s="14"/>
      <c r="M1831" s="15"/>
      <c r="N1831" s="15"/>
      <c r="O1831" s="16"/>
      <c r="Q1831" s="16"/>
    </row>
    <row r="1832" spans="1:17" x14ac:dyDescent="0.3">
      <c r="A1832" s="5"/>
      <c r="B1832" s="6"/>
      <c r="C1832" s="7"/>
      <c r="D1832" s="8"/>
      <c r="E1832" s="8"/>
      <c r="F1832" s="10"/>
      <c r="G1832" s="10"/>
      <c r="H1832" s="10"/>
      <c r="I1832" s="7"/>
      <c r="J1832" s="12"/>
      <c r="K1832" s="13"/>
      <c r="L1832" s="14"/>
      <c r="M1832" s="15"/>
      <c r="N1832" s="15"/>
      <c r="O1832" s="16"/>
      <c r="Q1832" s="16"/>
    </row>
    <row r="1833" spans="1:17" x14ac:dyDescent="0.3">
      <c r="A1833" s="5"/>
      <c r="B1833" s="6"/>
      <c r="C1833" s="7"/>
      <c r="D1833" s="8"/>
      <c r="E1833" s="8"/>
      <c r="F1833" s="10"/>
      <c r="G1833" s="10"/>
      <c r="H1833" s="10"/>
      <c r="I1833" s="7"/>
      <c r="J1833" s="12"/>
      <c r="K1833" s="13"/>
      <c r="L1833" s="14"/>
      <c r="M1833" s="15"/>
      <c r="N1833" s="15"/>
      <c r="O1833" s="16"/>
      <c r="Q1833" s="16"/>
    </row>
    <row r="1834" spans="1:17" x14ac:dyDescent="0.3">
      <c r="A1834" s="5"/>
      <c r="B1834" s="6"/>
      <c r="C1834" s="7"/>
      <c r="D1834" s="8"/>
      <c r="E1834" s="8"/>
      <c r="F1834" s="10"/>
      <c r="G1834" s="10"/>
      <c r="H1834" s="10"/>
      <c r="I1834" s="7"/>
      <c r="J1834" s="12"/>
      <c r="K1834" s="13"/>
      <c r="L1834" s="14"/>
      <c r="M1834" s="15"/>
      <c r="N1834" s="15"/>
      <c r="O1834" s="16"/>
      <c r="Q1834" s="16"/>
    </row>
    <row r="1835" spans="1:17" x14ac:dyDescent="0.3">
      <c r="A1835" s="5"/>
      <c r="B1835" s="6"/>
      <c r="C1835" s="7"/>
      <c r="D1835" s="8"/>
      <c r="E1835" s="8"/>
      <c r="F1835" s="10"/>
      <c r="G1835" s="10"/>
      <c r="H1835" s="10"/>
      <c r="I1835" s="7"/>
      <c r="J1835" s="12"/>
      <c r="K1835" s="13"/>
      <c r="L1835" s="14"/>
      <c r="M1835" s="15"/>
      <c r="N1835" s="15"/>
      <c r="O1835" s="16"/>
      <c r="Q1835" s="16"/>
    </row>
    <row r="1836" spans="1:17" x14ac:dyDescent="0.3">
      <c r="A1836" s="5"/>
      <c r="B1836" s="6"/>
      <c r="C1836" s="7"/>
      <c r="D1836" s="8"/>
      <c r="E1836" s="8"/>
      <c r="F1836" s="10"/>
      <c r="G1836" s="10"/>
      <c r="H1836" s="10"/>
      <c r="I1836" s="7"/>
      <c r="J1836" s="12"/>
      <c r="K1836" s="13"/>
      <c r="L1836" s="14"/>
      <c r="M1836" s="15"/>
      <c r="N1836" s="15"/>
      <c r="O1836" s="16"/>
      <c r="Q1836" s="16"/>
    </row>
    <row r="1837" spans="1:17" x14ac:dyDescent="0.3">
      <c r="A1837" s="5"/>
      <c r="B1837" s="6"/>
      <c r="C1837" s="7"/>
      <c r="D1837" s="8"/>
      <c r="E1837" s="8"/>
      <c r="F1837" s="10"/>
      <c r="G1837" s="10"/>
      <c r="H1837" s="10"/>
      <c r="I1837" s="7"/>
      <c r="J1837" s="12"/>
      <c r="K1837" s="13"/>
      <c r="L1837" s="14"/>
      <c r="M1837" s="15"/>
      <c r="N1837" s="15"/>
      <c r="O1837" s="16"/>
      <c r="Q1837" s="16"/>
    </row>
    <row r="1838" spans="1:17" x14ac:dyDescent="0.3">
      <c r="A1838" s="5"/>
      <c r="B1838" s="6"/>
      <c r="C1838" s="7"/>
      <c r="D1838" s="8"/>
      <c r="E1838" s="8"/>
      <c r="F1838" s="10"/>
      <c r="G1838" s="10"/>
      <c r="H1838" s="10"/>
      <c r="I1838" s="7"/>
      <c r="J1838" s="12"/>
      <c r="K1838" s="13"/>
      <c r="L1838" s="14"/>
      <c r="M1838" s="15"/>
      <c r="N1838" s="15"/>
      <c r="O1838" s="16"/>
      <c r="Q1838" s="16"/>
    </row>
    <row r="1839" spans="1:17" x14ac:dyDescent="0.3">
      <c r="A1839" s="5"/>
      <c r="B1839" s="6"/>
      <c r="C1839" s="7"/>
      <c r="D1839" s="8"/>
      <c r="E1839" s="8"/>
      <c r="F1839" s="10"/>
      <c r="G1839" s="10"/>
      <c r="H1839" s="10"/>
      <c r="I1839" s="7"/>
      <c r="J1839" s="12"/>
      <c r="K1839" s="13"/>
      <c r="L1839" s="14"/>
      <c r="M1839" s="15"/>
      <c r="N1839" s="15"/>
      <c r="O1839" s="16"/>
      <c r="Q1839" s="16"/>
    </row>
    <row r="1840" spans="1:17" x14ac:dyDescent="0.3">
      <c r="A1840" s="5"/>
      <c r="B1840" s="6"/>
      <c r="C1840" s="7"/>
      <c r="D1840" s="8"/>
      <c r="E1840" s="8"/>
      <c r="F1840" s="10"/>
      <c r="G1840" s="10"/>
      <c r="H1840" s="10"/>
      <c r="I1840" s="7"/>
      <c r="J1840" s="12"/>
      <c r="K1840" s="13"/>
      <c r="L1840" s="14"/>
      <c r="M1840" s="15"/>
      <c r="N1840" s="15"/>
      <c r="O1840" s="16"/>
      <c r="Q1840" s="16"/>
    </row>
    <row r="1841" spans="1:17" x14ac:dyDescent="0.3">
      <c r="A1841" s="5"/>
      <c r="B1841" s="6"/>
      <c r="C1841" s="7"/>
      <c r="D1841" s="8"/>
      <c r="E1841" s="8"/>
      <c r="F1841" s="10"/>
      <c r="G1841" s="10"/>
      <c r="H1841" s="10"/>
      <c r="I1841" s="7"/>
      <c r="J1841" s="12"/>
      <c r="K1841" s="13"/>
      <c r="L1841" s="14"/>
      <c r="M1841" s="15"/>
      <c r="N1841" s="15"/>
      <c r="O1841" s="16"/>
      <c r="Q1841" s="16"/>
    </row>
    <row r="1842" spans="1:17" x14ac:dyDescent="0.3">
      <c r="A1842" s="5"/>
      <c r="B1842" s="6"/>
      <c r="C1842" s="7"/>
      <c r="D1842" s="8"/>
      <c r="E1842" s="8"/>
      <c r="F1842" s="10"/>
      <c r="G1842" s="10"/>
      <c r="H1842" s="10"/>
      <c r="I1842" s="7"/>
      <c r="J1842" s="12"/>
      <c r="K1842" s="13"/>
      <c r="L1842" s="14"/>
      <c r="M1842" s="15"/>
      <c r="N1842" s="15"/>
      <c r="O1842" s="16"/>
      <c r="Q1842" s="16"/>
    </row>
    <row r="1843" spans="1:17" x14ac:dyDescent="0.3">
      <c r="A1843" s="5"/>
      <c r="B1843" s="6"/>
      <c r="C1843" s="7"/>
      <c r="D1843" s="8"/>
      <c r="E1843" s="8"/>
      <c r="F1843" s="10"/>
      <c r="G1843" s="10"/>
      <c r="H1843" s="10"/>
      <c r="I1843" s="7"/>
      <c r="J1843" s="12"/>
      <c r="K1843" s="13"/>
      <c r="L1843" s="14"/>
      <c r="M1843" s="15"/>
      <c r="N1843" s="15"/>
      <c r="O1843" s="16"/>
      <c r="Q1843" s="16"/>
    </row>
    <row r="1844" spans="1:17" x14ac:dyDescent="0.3">
      <c r="A1844" s="5"/>
      <c r="B1844" s="6"/>
      <c r="C1844" s="7"/>
      <c r="D1844" s="8"/>
      <c r="E1844" s="8"/>
      <c r="F1844" s="10"/>
      <c r="G1844" s="10"/>
      <c r="H1844" s="10"/>
      <c r="I1844" s="7"/>
      <c r="J1844" s="12"/>
      <c r="K1844" s="13"/>
      <c r="L1844" s="14"/>
      <c r="M1844" s="15"/>
      <c r="N1844" s="15"/>
      <c r="O1844" s="16"/>
      <c r="Q1844" s="16"/>
    </row>
    <row r="1845" spans="1:17" x14ac:dyDescent="0.3">
      <c r="A1845" s="5"/>
      <c r="B1845" s="6"/>
      <c r="C1845" s="7"/>
      <c r="D1845" s="8"/>
      <c r="E1845" s="8"/>
      <c r="F1845" s="10"/>
      <c r="G1845" s="10"/>
      <c r="H1845" s="10"/>
      <c r="I1845" s="7"/>
      <c r="J1845" s="12"/>
      <c r="K1845" s="13"/>
      <c r="L1845" s="14"/>
      <c r="M1845" s="15"/>
      <c r="N1845" s="15"/>
      <c r="O1845" s="16"/>
      <c r="Q1845" s="16"/>
    </row>
    <row r="1846" spans="1:17" x14ac:dyDescent="0.3">
      <c r="A1846" s="5"/>
      <c r="B1846" s="6"/>
      <c r="C1846" s="7"/>
      <c r="D1846" s="8"/>
      <c r="E1846" s="8"/>
      <c r="F1846" s="10"/>
      <c r="G1846" s="10"/>
      <c r="H1846" s="10"/>
      <c r="I1846" s="7"/>
      <c r="J1846" s="12"/>
      <c r="K1846" s="13"/>
      <c r="L1846" s="14"/>
      <c r="M1846" s="15"/>
      <c r="N1846" s="15"/>
      <c r="O1846" s="16"/>
      <c r="Q1846" s="16"/>
    </row>
    <row r="1847" spans="1:17" x14ac:dyDescent="0.3">
      <c r="A1847" s="5"/>
      <c r="B1847" s="6"/>
      <c r="C1847" s="7"/>
      <c r="D1847" s="8"/>
      <c r="E1847" s="8"/>
      <c r="F1847" s="10"/>
      <c r="G1847" s="10"/>
      <c r="H1847" s="10"/>
      <c r="I1847" s="7"/>
      <c r="J1847" s="12"/>
      <c r="K1847" s="13"/>
      <c r="L1847" s="14"/>
      <c r="M1847" s="15"/>
      <c r="N1847" s="15"/>
      <c r="O1847" s="16"/>
      <c r="Q1847" s="16"/>
    </row>
    <row r="1848" spans="1:17" x14ac:dyDescent="0.3">
      <c r="A1848" s="5"/>
      <c r="B1848" s="6"/>
      <c r="C1848" s="7"/>
      <c r="D1848" s="8"/>
      <c r="E1848" s="8"/>
      <c r="F1848" s="10"/>
      <c r="G1848" s="10"/>
      <c r="H1848" s="10"/>
      <c r="I1848" s="7"/>
      <c r="J1848" s="12"/>
      <c r="K1848" s="13"/>
      <c r="L1848" s="14"/>
      <c r="M1848" s="15"/>
      <c r="N1848" s="15"/>
      <c r="O1848" s="16"/>
      <c r="Q1848" s="16"/>
    </row>
    <row r="1849" spans="1:17" x14ac:dyDescent="0.3">
      <c r="A1849" s="5"/>
      <c r="B1849" s="6"/>
      <c r="C1849" s="7"/>
      <c r="D1849" s="8"/>
      <c r="E1849" s="8"/>
      <c r="F1849" s="10"/>
      <c r="G1849" s="10"/>
      <c r="H1849" s="10"/>
      <c r="I1849" s="7"/>
      <c r="J1849" s="12"/>
      <c r="K1849" s="13"/>
      <c r="L1849" s="14"/>
      <c r="M1849" s="15"/>
      <c r="N1849" s="15"/>
      <c r="O1849" s="16"/>
      <c r="Q1849" s="16"/>
    </row>
    <row r="1850" spans="1:17" x14ac:dyDescent="0.3">
      <c r="A1850" s="5"/>
      <c r="B1850" s="6"/>
      <c r="C1850" s="7"/>
      <c r="D1850" s="8"/>
      <c r="E1850" s="8"/>
      <c r="F1850" s="10"/>
      <c r="G1850" s="10"/>
      <c r="H1850" s="10"/>
      <c r="I1850" s="7"/>
      <c r="J1850" s="12"/>
      <c r="K1850" s="13"/>
      <c r="L1850" s="14"/>
      <c r="M1850" s="15"/>
      <c r="N1850" s="15"/>
      <c r="O1850" s="16"/>
      <c r="Q1850" s="16"/>
    </row>
    <row r="1851" spans="1:17" x14ac:dyDescent="0.3">
      <c r="A1851" s="5"/>
      <c r="B1851" s="6"/>
      <c r="C1851" s="7"/>
      <c r="D1851" s="8"/>
      <c r="E1851" s="8"/>
      <c r="F1851" s="10"/>
      <c r="G1851" s="10"/>
      <c r="H1851" s="10"/>
      <c r="I1851" s="7"/>
      <c r="J1851" s="12"/>
      <c r="K1851" s="13"/>
      <c r="L1851" s="14"/>
      <c r="M1851" s="15"/>
      <c r="N1851" s="15"/>
      <c r="O1851" s="16"/>
      <c r="Q1851" s="16"/>
    </row>
    <row r="1852" spans="1:17" x14ac:dyDescent="0.3">
      <c r="A1852" s="5"/>
      <c r="B1852" s="6"/>
      <c r="C1852" s="7"/>
      <c r="D1852" s="8"/>
      <c r="E1852" s="8"/>
      <c r="F1852" s="10"/>
      <c r="G1852" s="10"/>
      <c r="H1852" s="10"/>
      <c r="I1852" s="7"/>
      <c r="J1852" s="12"/>
      <c r="K1852" s="13"/>
      <c r="L1852" s="14"/>
      <c r="M1852" s="15"/>
      <c r="N1852" s="15"/>
      <c r="O1852" s="16"/>
      <c r="Q1852" s="16"/>
    </row>
    <row r="1853" spans="1:17" x14ac:dyDescent="0.3">
      <c r="A1853" s="5"/>
      <c r="B1853" s="6"/>
      <c r="C1853" s="7"/>
      <c r="D1853" s="8"/>
      <c r="E1853" s="8"/>
      <c r="F1853" s="10"/>
      <c r="G1853" s="10"/>
      <c r="H1853" s="10"/>
      <c r="I1853" s="7"/>
      <c r="J1853" s="12"/>
      <c r="K1853" s="13"/>
      <c r="L1853" s="14"/>
      <c r="M1853" s="15"/>
      <c r="N1853" s="15"/>
      <c r="O1853" s="16"/>
      <c r="Q1853" s="16"/>
    </row>
    <row r="1854" spans="1:17" x14ac:dyDescent="0.3">
      <c r="A1854" s="5"/>
      <c r="B1854" s="6"/>
      <c r="C1854" s="7"/>
      <c r="D1854" s="8"/>
      <c r="E1854" s="8"/>
      <c r="F1854" s="10"/>
      <c r="G1854" s="10"/>
      <c r="H1854" s="10"/>
      <c r="I1854" s="7"/>
      <c r="J1854" s="12"/>
      <c r="K1854" s="13"/>
      <c r="L1854" s="14"/>
      <c r="M1854" s="15"/>
      <c r="N1854" s="15"/>
      <c r="O1854" s="16"/>
      <c r="Q1854" s="16"/>
    </row>
    <row r="1855" spans="1:17" x14ac:dyDescent="0.3">
      <c r="A1855" s="5"/>
      <c r="B1855" s="6"/>
      <c r="C1855" s="7"/>
      <c r="D1855" s="8"/>
      <c r="E1855" s="8"/>
      <c r="F1855" s="10"/>
      <c r="G1855" s="10"/>
      <c r="H1855" s="10"/>
      <c r="I1855" s="7"/>
      <c r="J1855" s="12"/>
      <c r="K1855" s="13"/>
      <c r="L1855" s="14"/>
      <c r="M1855" s="15"/>
      <c r="N1855" s="15"/>
      <c r="O1855" s="16"/>
      <c r="Q1855" s="16"/>
    </row>
    <row r="1856" spans="1:17" x14ac:dyDescent="0.3">
      <c r="A1856" s="5"/>
      <c r="B1856" s="6"/>
      <c r="C1856" s="7"/>
      <c r="D1856" s="8"/>
      <c r="E1856" s="8"/>
      <c r="F1856" s="10"/>
      <c r="G1856" s="10"/>
      <c r="H1856" s="10"/>
      <c r="I1856" s="7"/>
      <c r="J1856" s="12"/>
      <c r="K1856" s="13"/>
      <c r="L1856" s="14"/>
      <c r="M1856" s="15"/>
      <c r="N1856" s="15"/>
      <c r="O1856" s="16"/>
      <c r="Q1856" s="16"/>
    </row>
    <row r="1857" spans="1:17" x14ac:dyDescent="0.3">
      <c r="A1857" s="5"/>
      <c r="B1857" s="6"/>
      <c r="C1857" s="7"/>
      <c r="D1857" s="8"/>
      <c r="E1857" s="8"/>
      <c r="F1857" s="10"/>
      <c r="G1857" s="10"/>
      <c r="H1857" s="10"/>
      <c r="I1857" s="7"/>
      <c r="J1857" s="12"/>
      <c r="K1857" s="13"/>
      <c r="L1857" s="14"/>
      <c r="M1857" s="15"/>
      <c r="N1857" s="15"/>
      <c r="O1857" s="16"/>
      <c r="Q1857" s="16"/>
    </row>
    <row r="1858" spans="1:17" x14ac:dyDescent="0.3">
      <c r="A1858" s="5"/>
      <c r="B1858" s="6"/>
      <c r="C1858" s="7"/>
      <c r="D1858" s="8"/>
      <c r="E1858" s="8"/>
      <c r="F1858" s="10"/>
      <c r="G1858" s="10"/>
      <c r="H1858" s="10"/>
      <c r="I1858" s="7"/>
      <c r="J1858" s="12"/>
      <c r="K1858" s="13"/>
      <c r="L1858" s="14"/>
      <c r="M1858" s="15"/>
      <c r="N1858" s="15"/>
      <c r="O1858" s="16"/>
      <c r="Q1858" s="16"/>
    </row>
    <row r="1859" spans="1:17" x14ac:dyDescent="0.3">
      <c r="A1859" s="5"/>
      <c r="B1859" s="6"/>
      <c r="C1859" s="7"/>
      <c r="D1859" s="8"/>
      <c r="E1859" s="8"/>
      <c r="F1859" s="10"/>
      <c r="G1859" s="10"/>
      <c r="H1859" s="10"/>
      <c r="I1859" s="7"/>
      <c r="J1859" s="12"/>
      <c r="K1859" s="13"/>
      <c r="L1859" s="14"/>
      <c r="M1859" s="15"/>
      <c r="N1859" s="15"/>
      <c r="O1859" s="16"/>
      <c r="Q1859" s="16"/>
    </row>
    <row r="1860" spans="1:17" x14ac:dyDescent="0.3">
      <c r="A1860" s="5"/>
      <c r="B1860" s="6"/>
      <c r="C1860" s="7"/>
      <c r="D1860" s="8"/>
      <c r="E1860" s="8"/>
      <c r="F1860" s="10"/>
      <c r="G1860" s="10"/>
      <c r="H1860" s="10"/>
      <c r="I1860" s="7"/>
      <c r="J1860" s="12"/>
      <c r="K1860" s="13"/>
      <c r="L1860" s="14"/>
      <c r="M1860" s="15"/>
      <c r="N1860" s="15"/>
      <c r="O1860" s="16"/>
      <c r="Q1860" s="16"/>
    </row>
    <row r="1861" spans="1:17" x14ac:dyDescent="0.3">
      <c r="A1861" s="5"/>
      <c r="B1861" s="6"/>
      <c r="C1861" s="7"/>
      <c r="D1861" s="8"/>
      <c r="E1861" s="8"/>
      <c r="F1861" s="10"/>
      <c r="G1861" s="10"/>
      <c r="H1861" s="10"/>
      <c r="I1861" s="7"/>
      <c r="J1861" s="12"/>
      <c r="K1861" s="13"/>
      <c r="L1861" s="14"/>
      <c r="M1861" s="15"/>
      <c r="N1861" s="15"/>
      <c r="O1861" s="16"/>
      <c r="Q1861" s="16"/>
    </row>
    <row r="1862" spans="1:17" x14ac:dyDescent="0.3">
      <c r="A1862" s="5"/>
      <c r="B1862" s="6"/>
      <c r="C1862" s="7"/>
      <c r="D1862" s="8"/>
      <c r="E1862" s="8"/>
      <c r="F1862" s="10"/>
      <c r="G1862" s="10"/>
      <c r="H1862" s="10"/>
      <c r="I1862" s="7"/>
      <c r="J1862" s="12"/>
      <c r="K1862" s="13"/>
      <c r="L1862" s="14"/>
      <c r="M1862" s="15"/>
      <c r="N1862" s="15"/>
      <c r="O1862" s="16"/>
      <c r="Q1862" s="16"/>
    </row>
    <row r="1863" spans="1:17" x14ac:dyDescent="0.3">
      <c r="A1863" s="5"/>
      <c r="B1863" s="6"/>
      <c r="C1863" s="7"/>
      <c r="D1863" s="8"/>
      <c r="E1863" s="8"/>
      <c r="F1863" s="10"/>
      <c r="G1863" s="10"/>
      <c r="H1863" s="10"/>
      <c r="I1863" s="7"/>
      <c r="J1863" s="12"/>
      <c r="K1863" s="13"/>
      <c r="L1863" s="14"/>
      <c r="M1863" s="15"/>
      <c r="N1863" s="15"/>
      <c r="O1863" s="16"/>
      <c r="Q1863" s="16"/>
    </row>
    <row r="1864" spans="1:17" x14ac:dyDescent="0.3">
      <c r="A1864" s="5"/>
      <c r="B1864" s="6"/>
      <c r="C1864" s="7"/>
      <c r="D1864" s="8"/>
      <c r="E1864" s="8"/>
      <c r="F1864" s="10"/>
      <c r="G1864" s="10"/>
      <c r="H1864" s="10"/>
      <c r="I1864" s="7"/>
      <c r="J1864" s="12"/>
      <c r="K1864" s="13"/>
      <c r="L1864" s="14"/>
      <c r="M1864" s="15"/>
      <c r="N1864" s="15"/>
      <c r="O1864" s="16"/>
      <c r="Q1864" s="16"/>
    </row>
    <row r="1865" spans="1:17" x14ac:dyDescent="0.3">
      <c r="A1865" s="5"/>
      <c r="B1865" s="6"/>
      <c r="C1865" s="7"/>
      <c r="D1865" s="8"/>
      <c r="E1865" s="8"/>
      <c r="F1865" s="10"/>
      <c r="G1865" s="10"/>
      <c r="H1865" s="10"/>
      <c r="I1865" s="7"/>
      <c r="J1865" s="12"/>
      <c r="K1865" s="13"/>
      <c r="L1865" s="14"/>
      <c r="M1865" s="15"/>
      <c r="N1865" s="15"/>
      <c r="O1865" s="16"/>
      <c r="Q1865" s="16"/>
    </row>
    <row r="1866" spans="1:17" x14ac:dyDescent="0.3">
      <c r="A1866" s="5"/>
      <c r="B1866" s="6"/>
      <c r="C1866" s="7"/>
      <c r="D1866" s="8"/>
      <c r="E1866" s="8"/>
      <c r="F1866" s="10"/>
      <c r="G1866" s="10"/>
      <c r="H1866" s="10"/>
      <c r="I1866" s="7"/>
      <c r="J1866" s="12"/>
      <c r="K1866" s="13"/>
      <c r="L1866" s="14"/>
      <c r="M1866" s="15"/>
      <c r="N1866" s="15"/>
      <c r="O1866" s="16"/>
      <c r="Q1866" s="16"/>
    </row>
    <row r="1867" spans="1:17" x14ac:dyDescent="0.3">
      <c r="A1867" s="5"/>
      <c r="B1867" s="6"/>
      <c r="C1867" s="7"/>
      <c r="D1867" s="8"/>
      <c r="E1867" s="8"/>
      <c r="F1867" s="10"/>
      <c r="G1867" s="10"/>
      <c r="H1867" s="10"/>
      <c r="I1867" s="7"/>
      <c r="J1867" s="12"/>
      <c r="K1867" s="13"/>
      <c r="L1867" s="14"/>
      <c r="M1867" s="15"/>
      <c r="N1867" s="15"/>
      <c r="O1867" s="16"/>
      <c r="Q1867" s="16"/>
    </row>
    <row r="1868" spans="1:17" x14ac:dyDescent="0.3">
      <c r="A1868" s="5"/>
      <c r="B1868" s="6"/>
      <c r="C1868" s="7"/>
      <c r="D1868" s="8"/>
      <c r="E1868" s="8"/>
      <c r="F1868" s="10"/>
      <c r="G1868" s="10"/>
      <c r="H1868" s="10"/>
      <c r="I1868" s="7"/>
      <c r="J1868" s="12"/>
      <c r="K1868" s="13"/>
      <c r="L1868" s="14"/>
      <c r="M1868" s="15"/>
      <c r="N1868" s="15"/>
      <c r="O1868" s="16"/>
      <c r="Q1868" s="16"/>
    </row>
    <row r="1869" spans="1:17" x14ac:dyDescent="0.3">
      <c r="A1869" s="5"/>
      <c r="B1869" s="6"/>
      <c r="C1869" s="7"/>
      <c r="D1869" s="8"/>
      <c r="E1869" s="8"/>
      <c r="F1869" s="10"/>
      <c r="G1869" s="10"/>
      <c r="H1869" s="10"/>
      <c r="I1869" s="7"/>
      <c r="J1869" s="12"/>
      <c r="K1869" s="13"/>
      <c r="L1869" s="14"/>
      <c r="M1869" s="15"/>
      <c r="N1869" s="15"/>
      <c r="O1869" s="16"/>
      <c r="Q1869" s="16"/>
    </row>
    <row r="1870" spans="1:17" x14ac:dyDescent="0.3">
      <c r="A1870" s="5"/>
      <c r="B1870" s="6"/>
      <c r="C1870" s="7"/>
      <c r="D1870" s="8"/>
      <c r="E1870" s="8"/>
      <c r="F1870" s="10"/>
      <c r="G1870" s="10"/>
      <c r="H1870" s="10"/>
      <c r="I1870" s="7"/>
      <c r="J1870" s="12"/>
      <c r="K1870" s="13"/>
      <c r="L1870" s="14"/>
      <c r="M1870" s="15"/>
      <c r="N1870" s="15"/>
      <c r="O1870" s="16"/>
      <c r="Q1870" s="16"/>
    </row>
    <row r="1871" spans="1:17" x14ac:dyDescent="0.3">
      <c r="A1871" s="5"/>
      <c r="B1871" s="6"/>
      <c r="C1871" s="7"/>
      <c r="D1871" s="8"/>
      <c r="E1871" s="8"/>
      <c r="F1871" s="10"/>
      <c r="G1871" s="10"/>
      <c r="H1871" s="10"/>
      <c r="I1871" s="7"/>
      <c r="J1871" s="12"/>
      <c r="K1871" s="13"/>
      <c r="L1871" s="14"/>
      <c r="M1871" s="15"/>
      <c r="N1871" s="15"/>
      <c r="O1871" s="16"/>
      <c r="Q1871" s="16"/>
    </row>
    <row r="1872" spans="1:17" x14ac:dyDescent="0.3">
      <c r="A1872" s="5"/>
      <c r="B1872" s="6"/>
      <c r="C1872" s="7"/>
      <c r="D1872" s="8"/>
      <c r="E1872" s="8"/>
      <c r="F1872" s="10"/>
      <c r="G1872" s="10"/>
      <c r="H1872" s="10"/>
      <c r="I1872" s="7"/>
      <c r="J1872" s="12"/>
      <c r="K1872" s="13"/>
      <c r="L1872" s="14"/>
      <c r="M1872" s="15"/>
      <c r="N1872" s="15"/>
      <c r="O1872" s="16"/>
      <c r="Q1872" s="16"/>
    </row>
    <row r="1873" spans="1:17" x14ac:dyDescent="0.3">
      <c r="A1873" s="5"/>
      <c r="B1873" s="6"/>
      <c r="C1873" s="7"/>
      <c r="D1873" s="8"/>
      <c r="E1873" s="8"/>
      <c r="F1873" s="10"/>
      <c r="G1873" s="10"/>
      <c r="H1873" s="10"/>
      <c r="I1873" s="7"/>
      <c r="J1873" s="12"/>
      <c r="K1873" s="13"/>
      <c r="L1873" s="14"/>
      <c r="M1873" s="15"/>
      <c r="N1873" s="15"/>
      <c r="O1873" s="16"/>
      <c r="Q1873" s="16"/>
    </row>
    <row r="1874" spans="1:17" x14ac:dyDescent="0.3">
      <c r="A1874" s="5"/>
      <c r="B1874" s="6"/>
      <c r="C1874" s="7"/>
      <c r="D1874" s="8"/>
      <c r="E1874" s="8"/>
      <c r="F1874" s="10"/>
      <c r="G1874" s="10"/>
      <c r="H1874" s="10"/>
      <c r="I1874" s="7"/>
      <c r="J1874" s="12"/>
      <c r="K1874" s="13"/>
      <c r="L1874" s="14"/>
      <c r="M1874" s="15"/>
      <c r="N1874" s="15"/>
      <c r="O1874" s="16"/>
      <c r="Q1874" s="16"/>
    </row>
    <row r="1875" spans="1:17" x14ac:dyDescent="0.3">
      <c r="A1875" s="5"/>
      <c r="B1875" s="6"/>
      <c r="C1875" s="7"/>
      <c r="D1875" s="8"/>
      <c r="E1875" s="8"/>
      <c r="F1875" s="10"/>
      <c r="G1875" s="10"/>
      <c r="H1875" s="10"/>
      <c r="I1875" s="7"/>
      <c r="J1875" s="12"/>
      <c r="K1875" s="13"/>
      <c r="L1875" s="14"/>
      <c r="M1875" s="15"/>
      <c r="N1875" s="15"/>
      <c r="O1875" s="16"/>
      <c r="Q1875" s="16"/>
    </row>
    <row r="1876" spans="1:17" x14ac:dyDescent="0.3">
      <c r="A1876" s="5"/>
      <c r="B1876" s="6"/>
      <c r="C1876" s="7"/>
      <c r="D1876" s="8"/>
      <c r="E1876" s="8"/>
      <c r="F1876" s="10"/>
      <c r="G1876" s="10"/>
      <c r="H1876" s="10"/>
      <c r="I1876" s="7"/>
      <c r="J1876" s="12"/>
      <c r="K1876" s="13"/>
      <c r="L1876" s="14"/>
      <c r="M1876" s="15"/>
      <c r="N1876" s="15"/>
      <c r="O1876" s="16"/>
      <c r="Q1876" s="16"/>
    </row>
    <row r="1877" spans="1:17" x14ac:dyDescent="0.3">
      <c r="A1877" s="5"/>
      <c r="B1877" s="6"/>
      <c r="C1877" s="7"/>
      <c r="D1877" s="8"/>
      <c r="E1877" s="8"/>
      <c r="F1877" s="10"/>
      <c r="G1877" s="10"/>
      <c r="H1877" s="10"/>
      <c r="I1877" s="7"/>
      <c r="J1877" s="12"/>
      <c r="K1877" s="13"/>
      <c r="L1877" s="14"/>
      <c r="M1877" s="15"/>
      <c r="N1877" s="15"/>
      <c r="O1877" s="16"/>
      <c r="Q1877" s="16"/>
    </row>
    <row r="1878" spans="1:17" x14ac:dyDescent="0.3">
      <c r="A1878" s="5"/>
      <c r="B1878" s="6"/>
      <c r="C1878" s="7"/>
      <c r="D1878" s="8"/>
      <c r="E1878" s="8"/>
      <c r="F1878" s="10"/>
      <c r="G1878" s="10"/>
      <c r="H1878" s="10"/>
      <c r="I1878" s="7"/>
      <c r="J1878" s="12"/>
      <c r="K1878" s="13"/>
      <c r="L1878" s="14"/>
      <c r="M1878" s="15"/>
      <c r="N1878" s="15"/>
      <c r="O1878" s="16"/>
      <c r="Q1878" s="16"/>
    </row>
    <row r="1879" spans="1:17" x14ac:dyDescent="0.3">
      <c r="A1879" s="5"/>
      <c r="B1879" s="6"/>
      <c r="C1879" s="7"/>
      <c r="D1879" s="8"/>
      <c r="E1879" s="8"/>
      <c r="F1879" s="10"/>
      <c r="G1879" s="10"/>
      <c r="H1879" s="10"/>
      <c r="I1879" s="7"/>
      <c r="J1879" s="12"/>
      <c r="K1879" s="13"/>
      <c r="L1879" s="14"/>
      <c r="M1879" s="15"/>
      <c r="N1879" s="15"/>
      <c r="O1879" s="16"/>
      <c r="Q1879" s="16"/>
    </row>
    <row r="1880" spans="1:17" x14ac:dyDescent="0.3">
      <c r="A1880" s="5"/>
      <c r="B1880" s="6"/>
      <c r="C1880" s="7"/>
      <c r="D1880" s="8"/>
      <c r="E1880" s="8"/>
      <c r="F1880" s="10"/>
      <c r="G1880" s="10"/>
      <c r="H1880" s="10"/>
      <c r="I1880" s="7"/>
      <c r="J1880" s="12"/>
      <c r="K1880" s="13"/>
      <c r="L1880" s="14"/>
      <c r="M1880" s="15"/>
      <c r="N1880" s="15"/>
      <c r="O1880" s="16"/>
      <c r="Q1880" s="16"/>
    </row>
    <row r="1881" spans="1:17" x14ac:dyDescent="0.3">
      <c r="A1881" s="5"/>
      <c r="B1881" s="6"/>
      <c r="C1881" s="7"/>
      <c r="D1881" s="8"/>
      <c r="E1881" s="8"/>
      <c r="F1881" s="10"/>
      <c r="G1881" s="10"/>
      <c r="H1881" s="10"/>
      <c r="I1881" s="7"/>
      <c r="J1881" s="12"/>
      <c r="K1881" s="13"/>
      <c r="L1881" s="14"/>
      <c r="M1881" s="15"/>
      <c r="N1881" s="15"/>
      <c r="O1881" s="16"/>
      <c r="Q1881" s="16"/>
    </row>
    <row r="1882" spans="1:17" x14ac:dyDescent="0.3">
      <c r="A1882" s="5"/>
      <c r="B1882" s="6"/>
      <c r="C1882" s="7"/>
      <c r="D1882" s="8"/>
      <c r="E1882" s="8"/>
      <c r="F1882" s="10"/>
      <c r="G1882" s="10"/>
      <c r="H1882" s="10"/>
      <c r="I1882" s="7"/>
      <c r="J1882" s="12"/>
      <c r="K1882" s="13"/>
      <c r="L1882" s="14"/>
      <c r="M1882" s="15"/>
      <c r="N1882" s="15"/>
      <c r="O1882" s="16"/>
      <c r="Q1882" s="16"/>
    </row>
    <row r="1883" spans="1:17" x14ac:dyDescent="0.3">
      <c r="A1883" s="5"/>
      <c r="B1883" s="6"/>
      <c r="C1883" s="7"/>
      <c r="D1883" s="8"/>
      <c r="E1883" s="8"/>
      <c r="F1883" s="10"/>
      <c r="G1883" s="10"/>
      <c r="H1883" s="10"/>
      <c r="I1883" s="7"/>
      <c r="J1883" s="12"/>
      <c r="K1883" s="13"/>
      <c r="L1883" s="14"/>
      <c r="M1883" s="15"/>
      <c r="N1883" s="15"/>
      <c r="O1883" s="16"/>
      <c r="Q1883" s="16"/>
    </row>
    <row r="1884" spans="1:17" x14ac:dyDescent="0.3">
      <c r="A1884" s="5"/>
      <c r="B1884" s="6"/>
      <c r="C1884" s="7"/>
      <c r="D1884" s="8"/>
      <c r="E1884" s="8"/>
      <c r="F1884" s="10"/>
      <c r="G1884" s="10"/>
      <c r="H1884" s="10"/>
      <c r="I1884" s="7"/>
      <c r="J1884" s="12"/>
      <c r="K1884" s="13"/>
      <c r="L1884" s="14"/>
      <c r="M1884" s="15"/>
      <c r="N1884" s="15"/>
      <c r="O1884" s="16"/>
      <c r="Q1884" s="16"/>
    </row>
    <row r="1885" spans="1:17" x14ac:dyDescent="0.3">
      <c r="A1885" s="5"/>
      <c r="B1885" s="6"/>
      <c r="C1885" s="7"/>
      <c r="D1885" s="8"/>
      <c r="E1885" s="8"/>
      <c r="F1885" s="10"/>
      <c r="G1885" s="10"/>
      <c r="H1885" s="10"/>
      <c r="I1885" s="7"/>
      <c r="J1885" s="12"/>
      <c r="K1885" s="13"/>
      <c r="L1885" s="14"/>
      <c r="M1885" s="15"/>
      <c r="N1885" s="15"/>
      <c r="O1885" s="16"/>
      <c r="Q1885" s="16"/>
    </row>
    <row r="1886" spans="1:17" x14ac:dyDescent="0.3">
      <c r="A1886" s="5"/>
      <c r="B1886" s="6"/>
      <c r="C1886" s="7"/>
      <c r="D1886" s="8"/>
      <c r="E1886" s="8"/>
      <c r="F1886" s="10"/>
      <c r="G1886" s="10"/>
      <c r="H1886" s="10"/>
      <c r="I1886" s="7"/>
      <c r="J1886" s="12"/>
      <c r="K1886" s="13"/>
      <c r="L1886" s="14"/>
      <c r="M1886" s="15"/>
      <c r="N1886" s="15"/>
      <c r="O1886" s="16"/>
      <c r="Q1886" s="16"/>
    </row>
    <row r="1887" spans="1:17" x14ac:dyDescent="0.3">
      <c r="A1887" s="5"/>
      <c r="B1887" s="6"/>
      <c r="C1887" s="7"/>
      <c r="D1887" s="8"/>
      <c r="E1887" s="8"/>
      <c r="F1887" s="10"/>
      <c r="G1887" s="10"/>
      <c r="H1887" s="10"/>
      <c r="I1887" s="7"/>
      <c r="J1887" s="12"/>
      <c r="K1887" s="13"/>
      <c r="L1887" s="14"/>
      <c r="M1887" s="15"/>
      <c r="N1887" s="15"/>
      <c r="O1887" s="16"/>
      <c r="Q1887" s="16"/>
    </row>
    <row r="1888" spans="1:17" x14ac:dyDescent="0.3">
      <c r="A1888" s="5"/>
      <c r="B1888" s="6"/>
      <c r="C1888" s="7"/>
      <c r="D1888" s="8"/>
      <c r="E1888" s="8"/>
      <c r="F1888" s="10"/>
      <c r="G1888" s="10"/>
      <c r="H1888" s="10"/>
      <c r="I1888" s="7"/>
      <c r="J1888" s="12"/>
      <c r="K1888" s="13"/>
      <c r="L1888" s="14"/>
      <c r="M1888" s="15"/>
      <c r="N1888" s="15"/>
      <c r="O1888" s="16"/>
      <c r="Q1888" s="16"/>
    </row>
    <row r="1889" spans="1:17" x14ac:dyDescent="0.3">
      <c r="A1889" s="5"/>
      <c r="B1889" s="6"/>
      <c r="C1889" s="7"/>
      <c r="D1889" s="8"/>
      <c r="E1889" s="8"/>
      <c r="F1889" s="10"/>
      <c r="G1889" s="10"/>
      <c r="H1889" s="10"/>
      <c r="I1889" s="7"/>
      <c r="J1889" s="12"/>
      <c r="K1889" s="13"/>
      <c r="L1889" s="14"/>
      <c r="M1889" s="15"/>
      <c r="N1889" s="15"/>
      <c r="O1889" s="16"/>
      <c r="Q1889" s="16"/>
    </row>
    <row r="1890" spans="1:17" x14ac:dyDescent="0.3">
      <c r="A1890" s="5"/>
      <c r="B1890" s="6"/>
      <c r="C1890" s="7"/>
      <c r="D1890" s="8"/>
      <c r="E1890" s="8"/>
      <c r="F1890" s="10"/>
      <c r="G1890" s="10"/>
      <c r="H1890" s="10"/>
      <c r="I1890" s="7"/>
      <c r="J1890" s="12"/>
      <c r="K1890" s="13"/>
      <c r="L1890" s="14"/>
      <c r="M1890" s="15"/>
      <c r="N1890" s="15"/>
      <c r="O1890" s="16"/>
      <c r="Q1890" s="16"/>
    </row>
    <row r="1891" spans="1:17" x14ac:dyDescent="0.3">
      <c r="A1891" s="5"/>
      <c r="B1891" s="6"/>
      <c r="C1891" s="7"/>
      <c r="D1891" s="8"/>
      <c r="E1891" s="8"/>
      <c r="F1891" s="10"/>
      <c r="G1891" s="10"/>
      <c r="H1891" s="10"/>
      <c r="I1891" s="7"/>
      <c r="J1891" s="12"/>
      <c r="K1891" s="13"/>
      <c r="L1891" s="14"/>
      <c r="M1891" s="15"/>
      <c r="N1891" s="15"/>
      <c r="O1891" s="16"/>
      <c r="Q1891" s="16"/>
    </row>
    <row r="1892" spans="1:17" x14ac:dyDescent="0.3">
      <c r="A1892" s="5"/>
      <c r="B1892" s="6"/>
      <c r="C1892" s="7"/>
      <c r="D1892" s="8"/>
      <c r="E1892" s="8"/>
      <c r="F1892" s="10"/>
      <c r="G1892" s="10"/>
      <c r="H1892" s="10"/>
      <c r="I1892" s="7"/>
      <c r="J1892" s="12"/>
      <c r="K1892" s="13"/>
      <c r="L1892" s="14"/>
      <c r="M1892" s="15"/>
      <c r="N1892" s="15"/>
      <c r="O1892" s="16"/>
      <c r="Q1892" s="16"/>
    </row>
    <row r="1893" spans="1:17" x14ac:dyDescent="0.3">
      <c r="A1893" s="5"/>
      <c r="B1893" s="6"/>
      <c r="C1893" s="7"/>
      <c r="D1893" s="8"/>
      <c r="E1893" s="8"/>
      <c r="F1893" s="10"/>
      <c r="G1893" s="10"/>
      <c r="H1893" s="10"/>
      <c r="I1893" s="7"/>
      <c r="J1893" s="12"/>
      <c r="K1893" s="13"/>
      <c r="L1893" s="14"/>
      <c r="M1893" s="15"/>
      <c r="N1893" s="15"/>
      <c r="O1893" s="16"/>
      <c r="Q1893" s="16"/>
    </row>
    <row r="1894" spans="1:17" x14ac:dyDescent="0.3">
      <c r="A1894" s="5"/>
      <c r="B1894" s="6"/>
      <c r="C1894" s="7"/>
      <c r="D1894" s="8"/>
      <c r="E1894" s="8"/>
      <c r="F1894" s="10"/>
      <c r="G1894" s="10"/>
      <c r="H1894" s="10"/>
      <c r="I1894" s="7"/>
      <c r="J1894" s="12"/>
      <c r="K1894" s="13"/>
      <c r="L1894" s="14"/>
      <c r="M1894" s="15"/>
      <c r="N1894" s="15"/>
      <c r="O1894" s="16"/>
      <c r="Q1894" s="16"/>
    </row>
    <row r="1895" spans="1:17" x14ac:dyDescent="0.3">
      <c r="A1895" s="5"/>
      <c r="B1895" s="6"/>
      <c r="C1895" s="7"/>
      <c r="D1895" s="8"/>
      <c r="E1895" s="8"/>
      <c r="F1895" s="10"/>
      <c r="G1895" s="10"/>
      <c r="H1895" s="10"/>
      <c r="I1895" s="7"/>
      <c r="J1895" s="12"/>
      <c r="K1895" s="13"/>
      <c r="L1895" s="14"/>
      <c r="M1895" s="15"/>
      <c r="N1895" s="15"/>
      <c r="O1895" s="16"/>
      <c r="Q1895" s="16"/>
    </row>
    <row r="1896" spans="1:17" x14ac:dyDescent="0.3">
      <c r="A1896" s="5"/>
      <c r="B1896" s="6"/>
      <c r="C1896" s="7"/>
      <c r="D1896" s="8"/>
      <c r="E1896" s="8"/>
      <c r="F1896" s="10"/>
      <c r="G1896" s="10"/>
      <c r="H1896" s="10"/>
      <c r="I1896" s="7"/>
      <c r="J1896" s="12"/>
      <c r="K1896" s="13"/>
      <c r="L1896" s="14"/>
      <c r="M1896" s="15"/>
      <c r="N1896" s="15"/>
      <c r="O1896" s="16"/>
      <c r="Q1896" s="16"/>
    </row>
    <row r="1897" spans="1:17" x14ac:dyDescent="0.3">
      <c r="A1897" s="5"/>
      <c r="B1897" s="6"/>
      <c r="C1897" s="7"/>
      <c r="D1897" s="8"/>
      <c r="E1897" s="8"/>
      <c r="F1897" s="10"/>
      <c r="G1897" s="10"/>
      <c r="H1897" s="10"/>
      <c r="I1897" s="7"/>
      <c r="J1897" s="12"/>
      <c r="K1897" s="13"/>
      <c r="L1897" s="14"/>
      <c r="M1897" s="15"/>
      <c r="N1897" s="15"/>
      <c r="O1897" s="16"/>
      <c r="Q1897" s="16"/>
    </row>
    <row r="1898" spans="1:17" x14ac:dyDescent="0.3">
      <c r="A1898" s="5"/>
      <c r="B1898" s="6"/>
      <c r="C1898" s="7"/>
      <c r="D1898" s="8"/>
      <c r="E1898" s="8"/>
      <c r="F1898" s="10"/>
      <c r="G1898" s="10"/>
      <c r="H1898" s="10"/>
      <c r="I1898" s="7"/>
      <c r="J1898" s="12"/>
      <c r="K1898" s="13"/>
      <c r="L1898" s="14"/>
      <c r="M1898" s="15"/>
      <c r="N1898" s="15"/>
      <c r="O1898" s="16"/>
      <c r="Q1898" s="16"/>
    </row>
    <row r="1899" spans="1:17" x14ac:dyDescent="0.3">
      <c r="A1899" s="5"/>
      <c r="B1899" s="6"/>
      <c r="C1899" s="7"/>
      <c r="D1899" s="8"/>
      <c r="E1899" s="8"/>
      <c r="F1899" s="10"/>
      <c r="G1899" s="10"/>
      <c r="H1899" s="10"/>
      <c r="I1899" s="7"/>
      <c r="J1899" s="12"/>
      <c r="K1899" s="13"/>
      <c r="L1899" s="14"/>
      <c r="M1899" s="15"/>
      <c r="N1899" s="15"/>
      <c r="O1899" s="16"/>
      <c r="Q1899" s="16"/>
    </row>
    <row r="1900" spans="1:17" x14ac:dyDescent="0.3">
      <c r="A1900" s="5"/>
      <c r="B1900" s="6"/>
      <c r="C1900" s="7"/>
      <c r="D1900" s="8"/>
      <c r="E1900" s="8"/>
      <c r="F1900" s="10"/>
      <c r="G1900" s="10"/>
      <c r="H1900" s="10"/>
      <c r="I1900" s="7"/>
      <c r="J1900" s="12"/>
      <c r="K1900" s="13"/>
      <c r="L1900" s="14"/>
      <c r="M1900" s="15"/>
      <c r="N1900" s="15"/>
      <c r="O1900" s="16"/>
      <c r="Q1900" s="16"/>
    </row>
    <row r="1901" spans="1:17" x14ac:dyDescent="0.3">
      <c r="A1901" s="5"/>
      <c r="B1901" s="6"/>
      <c r="C1901" s="7"/>
      <c r="D1901" s="8"/>
      <c r="E1901" s="8"/>
      <c r="F1901" s="10"/>
      <c r="G1901" s="10"/>
      <c r="H1901" s="10"/>
      <c r="I1901" s="7"/>
      <c r="J1901" s="12"/>
      <c r="K1901" s="13"/>
      <c r="L1901" s="14"/>
      <c r="M1901" s="15"/>
      <c r="N1901" s="15"/>
      <c r="O1901" s="16"/>
      <c r="Q1901" s="16"/>
    </row>
    <row r="1902" spans="1:17" x14ac:dyDescent="0.3">
      <c r="A1902" s="5"/>
      <c r="B1902" s="6"/>
      <c r="C1902" s="7"/>
      <c r="D1902" s="8"/>
      <c r="E1902" s="8"/>
      <c r="F1902" s="10"/>
      <c r="G1902" s="10"/>
      <c r="H1902" s="10"/>
      <c r="I1902" s="7"/>
      <c r="J1902" s="12"/>
      <c r="K1902" s="13"/>
      <c r="L1902" s="14"/>
      <c r="M1902" s="15"/>
      <c r="N1902" s="15"/>
      <c r="O1902" s="16"/>
      <c r="Q1902" s="16"/>
    </row>
    <row r="1903" spans="1:17" x14ac:dyDescent="0.3">
      <c r="A1903" s="5"/>
      <c r="B1903" s="6"/>
      <c r="C1903" s="7"/>
      <c r="D1903" s="8"/>
      <c r="E1903" s="8"/>
      <c r="F1903" s="10"/>
      <c r="G1903" s="10"/>
      <c r="H1903" s="10"/>
      <c r="I1903" s="7"/>
      <c r="J1903" s="12"/>
      <c r="K1903" s="13"/>
      <c r="L1903" s="14"/>
      <c r="M1903" s="15"/>
      <c r="N1903" s="15"/>
      <c r="O1903" s="16"/>
      <c r="Q1903" s="16"/>
    </row>
    <row r="1904" spans="1:17" x14ac:dyDescent="0.3">
      <c r="A1904" s="5"/>
      <c r="B1904" s="6"/>
      <c r="C1904" s="7"/>
      <c r="D1904" s="8"/>
      <c r="E1904" s="8"/>
      <c r="F1904" s="10"/>
      <c r="G1904" s="10"/>
      <c r="H1904" s="10"/>
      <c r="I1904" s="7"/>
      <c r="J1904" s="12"/>
      <c r="K1904" s="13"/>
      <c r="L1904" s="14"/>
      <c r="M1904" s="15"/>
      <c r="N1904" s="15"/>
      <c r="O1904" s="16"/>
      <c r="Q1904" s="16"/>
    </row>
    <row r="1905" spans="1:17" x14ac:dyDescent="0.3">
      <c r="A1905" s="5"/>
      <c r="B1905" s="6"/>
      <c r="C1905" s="7"/>
      <c r="D1905" s="8"/>
      <c r="E1905" s="8"/>
      <c r="F1905" s="10"/>
      <c r="G1905" s="10"/>
      <c r="H1905" s="10"/>
      <c r="I1905" s="7"/>
      <c r="J1905" s="12"/>
      <c r="K1905" s="13"/>
      <c r="L1905" s="14"/>
      <c r="M1905" s="15"/>
      <c r="N1905" s="15"/>
      <c r="O1905" s="16"/>
      <c r="Q1905" s="16"/>
    </row>
    <row r="1906" spans="1:17" x14ac:dyDescent="0.3">
      <c r="A1906" s="5"/>
      <c r="B1906" s="6"/>
      <c r="C1906" s="7"/>
      <c r="D1906" s="8"/>
      <c r="E1906" s="8"/>
      <c r="F1906" s="10"/>
      <c r="G1906" s="10"/>
      <c r="H1906" s="10"/>
      <c r="I1906" s="7"/>
      <c r="J1906" s="12"/>
      <c r="K1906" s="13"/>
      <c r="L1906" s="14"/>
      <c r="M1906" s="15"/>
      <c r="N1906" s="15"/>
      <c r="O1906" s="16"/>
      <c r="Q1906" s="16"/>
    </row>
    <row r="1907" spans="1:17" x14ac:dyDescent="0.3">
      <c r="A1907" s="5"/>
      <c r="B1907" s="6"/>
      <c r="C1907" s="7"/>
      <c r="D1907" s="8"/>
      <c r="E1907" s="8"/>
      <c r="F1907" s="10"/>
      <c r="G1907" s="10"/>
      <c r="H1907" s="10"/>
      <c r="I1907" s="7"/>
      <c r="J1907" s="12"/>
      <c r="K1907" s="13"/>
      <c r="L1907" s="14"/>
      <c r="M1907" s="15"/>
      <c r="N1907" s="15"/>
      <c r="O1907" s="16"/>
      <c r="Q1907" s="16"/>
    </row>
    <row r="1908" spans="1:17" x14ac:dyDescent="0.3">
      <c r="A1908" s="5"/>
      <c r="B1908" s="6"/>
      <c r="C1908" s="7"/>
      <c r="D1908" s="8"/>
      <c r="E1908" s="8"/>
      <c r="F1908" s="10"/>
      <c r="G1908" s="10"/>
      <c r="H1908" s="10"/>
      <c r="I1908" s="7"/>
      <c r="J1908" s="12"/>
      <c r="K1908" s="13"/>
      <c r="L1908" s="14"/>
      <c r="M1908" s="15"/>
      <c r="N1908" s="15"/>
      <c r="O1908" s="16"/>
      <c r="Q1908" s="16"/>
    </row>
    <row r="1909" spans="1:17" x14ac:dyDescent="0.3">
      <c r="A1909" s="5"/>
      <c r="B1909" s="6"/>
      <c r="C1909" s="7"/>
      <c r="D1909" s="8"/>
      <c r="E1909" s="8"/>
      <c r="F1909" s="10"/>
      <c r="G1909" s="10"/>
      <c r="H1909" s="10"/>
      <c r="I1909" s="7"/>
      <c r="J1909" s="12"/>
      <c r="K1909" s="13"/>
      <c r="L1909" s="14"/>
      <c r="M1909" s="15"/>
      <c r="N1909" s="15"/>
      <c r="O1909" s="16"/>
      <c r="Q1909" s="16"/>
    </row>
    <row r="1910" spans="1:17" x14ac:dyDescent="0.3">
      <c r="A1910" s="5"/>
      <c r="B1910" s="6"/>
      <c r="C1910" s="7"/>
      <c r="D1910" s="8"/>
      <c r="E1910" s="8"/>
      <c r="F1910" s="10"/>
      <c r="G1910" s="10"/>
      <c r="H1910" s="10"/>
      <c r="I1910" s="7"/>
      <c r="J1910" s="12"/>
      <c r="K1910" s="13"/>
      <c r="L1910" s="14"/>
      <c r="M1910" s="15"/>
      <c r="N1910" s="15"/>
      <c r="O1910" s="16"/>
      <c r="Q1910" s="16"/>
    </row>
    <row r="1911" spans="1:17" x14ac:dyDescent="0.3">
      <c r="A1911" s="5"/>
      <c r="B1911" s="6"/>
      <c r="C1911" s="7"/>
      <c r="D1911" s="8"/>
      <c r="E1911" s="8"/>
      <c r="F1911" s="10"/>
      <c r="G1911" s="10"/>
      <c r="H1911" s="10"/>
      <c r="I1911" s="7"/>
      <c r="J1911" s="12"/>
      <c r="K1911" s="13"/>
      <c r="L1911" s="14"/>
      <c r="M1911" s="15"/>
      <c r="N1911" s="15"/>
      <c r="O1911" s="16"/>
      <c r="Q1911" s="16"/>
    </row>
    <row r="1912" spans="1:17" x14ac:dyDescent="0.3">
      <c r="A1912" s="5"/>
      <c r="B1912" s="6"/>
      <c r="C1912" s="7"/>
      <c r="D1912" s="8"/>
      <c r="E1912" s="8"/>
      <c r="F1912" s="10"/>
      <c r="G1912" s="10"/>
      <c r="H1912" s="10"/>
      <c r="I1912" s="7"/>
      <c r="J1912" s="12"/>
      <c r="K1912" s="13"/>
      <c r="L1912" s="14"/>
      <c r="M1912" s="15"/>
      <c r="N1912" s="15"/>
      <c r="O1912" s="16"/>
      <c r="Q1912" s="16"/>
    </row>
    <row r="1913" spans="1:17" x14ac:dyDescent="0.3">
      <c r="A1913" s="5"/>
      <c r="B1913" s="6"/>
      <c r="C1913" s="7"/>
      <c r="D1913" s="8"/>
      <c r="E1913" s="8"/>
      <c r="F1913" s="10"/>
      <c r="G1913" s="10"/>
      <c r="H1913" s="10"/>
      <c r="I1913" s="7"/>
      <c r="J1913" s="12"/>
      <c r="K1913" s="13"/>
      <c r="L1913" s="14"/>
      <c r="M1913" s="15"/>
      <c r="N1913" s="15"/>
      <c r="O1913" s="16"/>
      <c r="Q1913" s="16"/>
    </row>
    <row r="1914" spans="1:17" x14ac:dyDescent="0.3">
      <c r="A1914" s="5"/>
      <c r="B1914" s="6"/>
      <c r="C1914" s="7"/>
      <c r="D1914" s="8"/>
      <c r="E1914" s="8"/>
      <c r="F1914" s="10"/>
      <c r="G1914" s="10"/>
      <c r="H1914" s="10"/>
      <c r="I1914" s="7"/>
      <c r="J1914" s="12"/>
      <c r="K1914" s="13"/>
      <c r="L1914" s="14"/>
      <c r="M1914" s="15"/>
      <c r="N1914" s="15"/>
      <c r="O1914" s="16"/>
      <c r="Q1914" s="16"/>
    </row>
    <row r="1915" spans="1:17" x14ac:dyDescent="0.3">
      <c r="A1915" s="5"/>
      <c r="B1915" s="6"/>
      <c r="C1915" s="7"/>
      <c r="D1915" s="8"/>
      <c r="E1915" s="8"/>
      <c r="F1915" s="10"/>
      <c r="G1915" s="10"/>
      <c r="H1915" s="10"/>
      <c r="I1915" s="7"/>
      <c r="J1915" s="12"/>
      <c r="K1915" s="13"/>
      <c r="L1915" s="14"/>
      <c r="M1915" s="15"/>
      <c r="N1915" s="15"/>
      <c r="O1915" s="16"/>
      <c r="Q1915" s="16"/>
    </row>
    <row r="1916" spans="1:17" x14ac:dyDescent="0.3">
      <c r="A1916" s="5"/>
      <c r="B1916" s="6"/>
      <c r="C1916" s="7"/>
      <c r="D1916" s="8"/>
      <c r="E1916" s="8"/>
      <c r="F1916" s="10"/>
      <c r="G1916" s="10"/>
      <c r="H1916" s="10"/>
      <c r="I1916" s="7"/>
      <c r="J1916" s="12"/>
      <c r="K1916" s="13"/>
      <c r="L1916" s="14"/>
      <c r="M1916" s="15"/>
      <c r="N1916" s="15"/>
      <c r="O1916" s="16"/>
      <c r="Q1916" s="16"/>
    </row>
    <row r="1917" spans="1:17" x14ac:dyDescent="0.3">
      <c r="A1917" s="5"/>
      <c r="B1917" s="6"/>
      <c r="C1917" s="7"/>
      <c r="D1917" s="8"/>
      <c r="E1917" s="8"/>
      <c r="F1917" s="10"/>
      <c r="G1917" s="10"/>
      <c r="H1917" s="10"/>
      <c r="I1917" s="7"/>
      <c r="J1917" s="12"/>
      <c r="K1917" s="13"/>
      <c r="L1917" s="14"/>
      <c r="M1917" s="15"/>
      <c r="N1917" s="15"/>
      <c r="O1917" s="16"/>
      <c r="Q1917" s="16"/>
    </row>
    <row r="1918" spans="1:17" x14ac:dyDescent="0.3">
      <c r="A1918" s="5"/>
      <c r="B1918" s="6"/>
      <c r="C1918" s="7"/>
      <c r="D1918" s="8"/>
      <c r="E1918" s="8"/>
      <c r="F1918" s="10"/>
      <c r="G1918" s="10"/>
      <c r="H1918" s="10"/>
      <c r="I1918" s="7"/>
      <c r="J1918" s="12"/>
      <c r="K1918" s="13"/>
      <c r="L1918" s="14"/>
      <c r="M1918" s="15"/>
      <c r="N1918" s="15"/>
      <c r="O1918" s="16"/>
      <c r="Q1918" s="16"/>
    </row>
    <row r="1919" spans="1:17" x14ac:dyDescent="0.3">
      <c r="A1919" s="5"/>
      <c r="B1919" s="6"/>
      <c r="C1919" s="7"/>
      <c r="D1919" s="8"/>
      <c r="E1919" s="8"/>
      <c r="F1919" s="10"/>
      <c r="G1919" s="10"/>
      <c r="H1919" s="10"/>
      <c r="I1919" s="7"/>
      <c r="J1919" s="12"/>
      <c r="K1919" s="13"/>
      <c r="L1919" s="14"/>
      <c r="M1919" s="15"/>
      <c r="N1919" s="15"/>
      <c r="O1919" s="16"/>
      <c r="Q1919" s="16"/>
    </row>
    <row r="1920" spans="1:17" x14ac:dyDescent="0.3">
      <c r="A1920" s="5"/>
      <c r="B1920" s="6"/>
      <c r="C1920" s="7"/>
      <c r="D1920" s="8"/>
      <c r="E1920" s="8"/>
      <c r="F1920" s="10"/>
      <c r="G1920" s="10"/>
      <c r="H1920" s="10"/>
      <c r="I1920" s="7"/>
      <c r="J1920" s="12"/>
      <c r="K1920" s="13"/>
      <c r="L1920" s="14"/>
      <c r="M1920" s="15"/>
      <c r="N1920" s="15"/>
      <c r="O1920" s="16"/>
      <c r="Q1920" s="16"/>
    </row>
    <row r="1921" spans="1:17" x14ac:dyDescent="0.3">
      <c r="A1921" s="5"/>
      <c r="B1921" s="6"/>
      <c r="C1921" s="7"/>
      <c r="D1921" s="8"/>
      <c r="E1921" s="8"/>
      <c r="F1921" s="10"/>
      <c r="G1921" s="10"/>
      <c r="H1921" s="10"/>
      <c r="I1921" s="7"/>
      <c r="J1921" s="12"/>
      <c r="K1921" s="13"/>
      <c r="L1921" s="14"/>
      <c r="M1921" s="15"/>
      <c r="N1921" s="15"/>
      <c r="O1921" s="16"/>
      <c r="Q1921" s="16"/>
    </row>
    <row r="1922" spans="1:17" x14ac:dyDescent="0.3">
      <c r="A1922" s="5"/>
      <c r="B1922" s="6"/>
      <c r="C1922" s="7"/>
      <c r="D1922" s="8"/>
      <c r="E1922" s="8"/>
      <c r="F1922" s="10"/>
      <c r="G1922" s="10"/>
      <c r="H1922" s="10"/>
      <c r="I1922" s="7"/>
      <c r="J1922" s="12"/>
      <c r="K1922" s="13"/>
      <c r="L1922" s="14"/>
      <c r="M1922" s="15"/>
      <c r="N1922" s="15"/>
      <c r="O1922" s="16"/>
      <c r="Q1922" s="16"/>
    </row>
    <row r="1923" spans="1:17" x14ac:dyDescent="0.3">
      <c r="A1923" s="5"/>
      <c r="B1923" s="6"/>
      <c r="C1923" s="7"/>
      <c r="D1923" s="8"/>
      <c r="E1923" s="8"/>
      <c r="F1923" s="10"/>
      <c r="G1923" s="10"/>
      <c r="H1923" s="10"/>
      <c r="I1923" s="7"/>
      <c r="J1923" s="12"/>
      <c r="K1923" s="13"/>
      <c r="L1923" s="14"/>
      <c r="M1923" s="15"/>
      <c r="N1923" s="15"/>
      <c r="O1923" s="16"/>
      <c r="Q1923" s="16"/>
    </row>
    <row r="1924" spans="1:17" x14ac:dyDescent="0.3">
      <c r="A1924" s="5"/>
      <c r="B1924" s="6"/>
      <c r="C1924" s="7"/>
      <c r="D1924" s="8"/>
      <c r="E1924" s="8"/>
      <c r="F1924" s="10"/>
      <c r="G1924" s="10"/>
      <c r="H1924" s="10"/>
      <c r="I1924" s="7"/>
      <c r="J1924" s="12"/>
      <c r="K1924" s="13"/>
      <c r="L1924" s="14"/>
      <c r="M1924" s="15"/>
      <c r="N1924" s="15"/>
      <c r="O1924" s="16"/>
      <c r="Q1924" s="16"/>
    </row>
    <row r="1925" spans="1:17" x14ac:dyDescent="0.3">
      <c r="A1925" s="5"/>
      <c r="B1925" s="6"/>
      <c r="C1925" s="7"/>
      <c r="D1925" s="8"/>
      <c r="E1925" s="8"/>
      <c r="F1925" s="10"/>
      <c r="G1925" s="10"/>
      <c r="H1925" s="10"/>
      <c r="I1925" s="7"/>
      <c r="J1925" s="12"/>
      <c r="K1925" s="13"/>
      <c r="L1925" s="14"/>
      <c r="M1925" s="15"/>
      <c r="N1925" s="15"/>
      <c r="O1925" s="16"/>
      <c r="Q1925" s="16"/>
    </row>
    <row r="1926" spans="1:17" x14ac:dyDescent="0.3">
      <c r="A1926" s="5"/>
      <c r="B1926" s="6"/>
      <c r="C1926" s="7"/>
      <c r="D1926" s="8"/>
      <c r="E1926" s="8"/>
      <c r="F1926" s="10"/>
      <c r="G1926" s="10"/>
      <c r="H1926" s="10"/>
      <c r="I1926" s="7"/>
      <c r="J1926" s="12"/>
      <c r="K1926" s="13"/>
      <c r="L1926" s="14"/>
      <c r="M1926" s="15"/>
      <c r="N1926" s="15"/>
      <c r="O1926" s="16"/>
      <c r="Q1926" s="16"/>
    </row>
    <row r="1927" spans="1:17" x14ac:dyDescent="0.3">
      <c r="A1927" s="5"/>
      <c r="B1927" s="6"/>
      <c r="C1927" s="7"/>
      <c r="D1927" s="8"/>
      <c r="E1927" s="8"/>
      <c r="F1927" s="10"/>
      <c r="G1927" s="10"/>
      <c r="H1927" s="10"/>
      <c r="I1927" s="7"/>
      <c r="J1927" s="12"/>
      <c r="K1927" s="13"/>
      <c r="L1927" s="14"/>
      <c r="M1927" s="15"/>
      <c r="N1927" s="15"/>
      <c r="O1927" s="16"/>
      <c r="Q1927" s="16"/>
    </row>
    <row r="1928" spans="1:17" x14ac:dyDescent="0.3">
      <c r="A1928" s="5"/>
      <c r="B1928" s="6"/>
      <c r="C1928" s="7"/>
      <c r="D1928" s="8"/>
      <c r="E1928" s="8"/>
      <c r="F1928" s="10"/>
      <c r="G1928" s="10"/>
      <c r="H1928" s="10"/>
      <c r="I1928" s="7"/>
      <c r="J1928" s="12"/>
      <c r="K1928" s="13"/>
      <c r="L1928" s="14"/>
      <c r="M1928" s="15"/>
      <c r="N1928" s="15"/>
      <c r="O1928" s="16"/>
      <c r="Q1928" s="16"/>
    </row>
    <row r="1929" spans="1:17" x14ac:dyDescent="0.3">
      <c r="A1929" s="5"/>
      <c r="B1929" s="6"/>
      <c r="C1929" s="7"/>
      <c r="D1929" s="8"/>
      <c r="E1929" s="8"/>
      <c r="F1929" s="10"/>
      <c r="G1929" s="10"/>
      <c r="H1929" s="10"/>
      <c r="I1929" s="7"/>
      <c r="J1929" s="12"/>
      <c r="K1929" s="13"/>
      <c r="L1929" s="14"/>
      <c r="M1929" s="15"/>
      <c r="N1929" s="15"/>
      <c r="O1929" s="16"/>
      <c r="Q1929" s="16"/>
    </row>
    <row r="1930" spans="1:17" x14ac:dyDescent="0.3">
      <c r="A1930" s="5"/>
      <c r="B1930" s="6"/>
      <c r="C1930" s="7"/>
      <c r="D1930" s="8"/>
      <c r="E1930" s="8"/>
      <c r="F1930" s="10"/>
      <c r="G1930" s="10"/>
      <c r="H1930" s="10"/>
      <c r="I1930" s="7"/>
      <c r="J1930" s="12"/>
      <c r="K1930" s="13"/>
      <c r="L1930" s="14"/>
      <c r="M1930" s="15"/>
      <c r="N1930" s="15"/>
      <c r="O1930" s="16"/>
      <c r="Q1930" s="16"/>
    </row>
    <row r="1931" spans="1:17" x14ac:dyDescent="0.3">
      <c r="A1931" s="5"/>
      <c r="B1931" s="6"/>
      <c r="C1931" s="7"/>
      <c r="D1931" s="8"/>
      <c r="E1931" s="8"/>
      <c r="F1931" s="10"/>
      <c r="G1931" s="10"/>
      <c r="H1931" s="10"/>
      <c r="I1931" s="7"/>
      <c r="J1931" s="12"/>
      <c r="K1931" s="13"/>
      <c r="L1931" s="14"/>
      <c r="M1931" s="15"/>
      <c r="N1931" s="15"/>
      <c r="O1931" s="16"/>
      <c r="Q1931" s="16"/>
    </row>
    <row r="1932" spans="1:17" x14ac:dyDescent="0.3">
      <c r="A1932" s="5"/>
      <c r="B1932" s="6"/>
      <c r="C1932" s="7"/>
      <c r="D1932" s="8"/>
      <c r="E1932" s="8"/>
      <c r="F1932" s="10"/>
      <c r="G1932" s="10"/>
      <c r="H1932" s="10"/>
      <c r="I1932" s="7"/>
      <c r="J1932" s="12"/>
      <c r="K1932" s="13"/>
      <c r="L1932" s="14"/>
      <c r="M1932" s="15"/>
      <c r="N1932" s="15"/>
      <c r="O1932" s="16"/>
      <c r="Q1932" s="16"/>
    </row>
    <row r="1933" spans="1:17" x14ac:dyDescent="0.3">
      <c r="A1933" s="5"/>
      <c r="B1933" s="6"/>
      <c r="C1933" s="7"/>
      <c r="D1933" s="8"/>
      <c r="E1933" s="8"/>
      <c r="F1933" s="10"/>
      <c r="G1933" s="10"/>
      <c r="H1933" s="10"/>
      <c r="I1933" s="7"/>
      <c r="J1933" s="12"/>
      <c r="K1933" s="13"/>
      <c r="L1933" s="14"/>
      <c r="M1933" s="15"/>
      <c r="N1933" s="15"/>
      <c r="O1933" s="16"/>
      <c r="Q1933" s="16"/>
    </row>
    <row r="1934" spans="1:17" x14ac:dyDescent="0.3">
      <c r="A1934" s="5"/>
      <c r="B1934" s="6"/>
      <c r="C1934" s="7"/>
      <c r="D1934" s="8"/>
      <c r="E1934" s="8"/>
      <c r="F1934" s="10"/>
      <c r="G1934" s="10"/>
      <c r="H1934" s="10"/>
      <c r="I1934" s="7"/>
      <c r="J1934" s="12"/>
      <c r="K1934" s="13"/>
      <c r="L1934" s="14"/>
      <c r="M1934" s="15"/>
      <c r="N1934" s="15"/>
      <c r="O1934" s="16"/>
      <c r="Q1934" s="16"/>
    </row>
    <row r="1935" spans="1:17" x14ac:dyDescent="0.3">
      <c r="A1935" s="5"/>
      <c r="B1935" s="6"/>
      <c r="C1935" s="7"/>
      <c r="D1935" s="8"/>
      <c r="E1935" s="8"/>
      <c r="F1935" s="10"/>
      <c r="G1935" s="10"/>
      <c r="H1935" s="10"/>
      <c r="I1935" s="7"/>
      <c r="J1935" s="12"/>
      <c r="K1935" s="13"/>
      <c r="L1935" s="14"/>
      <c r="M1935" s="15"/>
      <c r="N1935" s="15"/>
      <c r="O1935" s="16"/>
      <c r="Q1935" s="16"/>
    </row>
    <row r="1936" spans="1:17" x14ac:dyDescent="0.3">
      <c r="A1936" s="5"/>
      <c r="B1936" s="6"/>
      <c r="C1936" s="7"/>
      <c r="D1936" s="8"/>
      <c r="E1936" s="8"/>
      <c r="F1936" s="10"/>
      <c r="G1936" s="10"/>
      <c r="H1936" s="10"/>
      <c r="I1936" s="7"/>
      <c r="J1936" s="12"/>
      <c r="K1936" s="13"/>
      <c r="L1936" s="14"/>
      <c r="M1936" s="15"/>
      <c r="N1936" s="15"/>
      <c r="O1936" s="16"/>
      <c r="Q1936" s="16"/>
    </row>
    <row r="1937" spans="1:17" x14ac:dyDescent="0.3">
      <c r="A1937" s="5"/>
      <c r="B1937" s="6"/>
      <c r="C1937" s="7"/>
      <c r="D1937" s="8"/>
      <c r="E1937" s="8"/>
      <c r="F1937" s="10"/>
      <c r="G1937" s="10"/>
      <c r="H1937" s="10"/>
      <c r="I1937" s="7"/>
      <c r="J1937" s="12"/>
      <c r="K1937" s="13"/>
      <c r="L1937" s="14"/>
      <c r="M1937" s="15"/>
      <c r="N1937" s="15"/>
      <c r="O1937" s="16"/>
      <c r="Q1937" s="16"/>
    </row>
    <row r="1938" spans="1:17" x14ac:dyDescent="0.3">
      <c r="A1938" s="5"/>
      <c r="B1938" s="6"/>
      <c r="C1938" s="7"/>
      <c r="D1938" s="8"/>
      <c r="E1938" s="8"/>
      <c r="F1938" s="10"/>
      <c r="G1938" s="10"/>
      <c r="H1938" s="10"/>
      <c r="I1938" s="7"/>
      <c r="J1938" s="12"/>
      <c r="K1938" s="13"/>
      <c r="L1938" s="14"/>
      <c r="M1938" s="15"/>
      <c r="N1938" s="15"/>
      <c r="O1938" s="16"/>
      <c r="Q1938" s="16"/>
    </row>
    <row r="1939" spans="1:17" x14ac:dyDescent="0.3">
      <c r="A1939" s="5"/>
      <c r="B1939" s="6"/>
      <c r="C1939" s="7"/>
      <c r="D1939" s="8"/>
      <c r="E1939" s="8"/>
      <c r="F1939" s="10"/>
      <c r="G1939" s="10"/>
      <c r="H1939" s="10"/>
      <c r="I1939" s="7"/>
      <c r="J1939" s="12"/>
      <c r="K1939" s="13"/>
      <c r="L1939" s="14"/>
      <c r="M1939" s="15"/>
      <c r="N1939" s="15"/>
      <c r="O1939" s="16"/>
      <c r="Q1939" s="16"/>
    </row>
    <row r="1940" spans="1:17" x14ac:dyDescent="0.3">
      <c r="A1940" s="5"/>
      <c r="B1940" s="6"/>
      <c r="C1940" s="7"/>
      <c r="D1940" s="8"/>
      <c r="E1940" s="8"/>
      <c r="F1940" s="10"/>
      <c r="G1940" s="10"/>
      <c r="H1940" s="10"/>
      <c r="I1940" s="7"/>
      <c r="J1940" s="12"/>
      <c r="K1940" s="13"/>
      <c r="L1940" s="14"/>
      <c r="M1940" s="15"/>
      <c r="N1940" s="15"/>
      <c r="O1940" s="16"/>
      <c r="Q1940" s="16"/>
    </row>
    <row r="1941" spans="1:17" x14ac:dyDescent="0.3">
      <c r="A1941" s="5"/>
      <c r="B1941" s="6"/>
      <c r="C1941" s="7"/>
      <c r="D1941" s="8"/>
      <c r="E1941" s="8"/>
      <c r="F1941" s="10"/>
      <c r="G1941" s="10"/>
      <c r="H1941" s="10"/>
      <c r="I1941" s="7"/>
      <c r="J1941" s="12"/>
      <c r="K1941" s="13"/>
      <c r="L1941" s="14"/>
      <c r="M1941" s="15"/>
      <c r="N1941" s="15"/>
      <c r="O1941" s="16"/>
      <c r="Q1941" s="16"/>
    </row>
    <row r="1942" spans="1:17" x14ac:dyDescent="0.3">
      <c r="A1942" s="5"/>
      <c r="B1942" s="6"/>
      <c r="C1942" s="7"/>
      <c r="D1942" s="8"/>
      <c r="E1942" s="8"/>
      <c r="F1942" s="10"/>
      <c r="G1942" s="10"/>
      <c r="H1942" s="10"/>
      <c r="I1942" s="7"/>
      <c r="J1942" s="12"/>
      <c r="K1942" s="13"/>
      <c r="L1942" s="14"/>
      <c r="M1942" s="15"/>
      <c r="N1942" s="15"/>
      <c r="O1942" s="16"/>
      <c r="Q1942" s="16"/>
    </row>
    <row r="1943" spans="1:17" x14ac:dyDescent="0.3">
      <c r="A1943" s="5"/>
      <c r="B1943" s="6"/>
      <c r="C1943" s="7"/>
      <c r="D1943" s="8"/>
      <c r="E1943" s="8"/>
      <c r="F1943" s="10"/>
      <c r="G1943" s="10"/>
      <c r="H1943" s="10"/>
      <c r="I1943" s="7"/>
      <c r="J1943" s="12"/>
      <c r="K1943" s="13"/>
      <c r="L1943" s="14"/>
      <c r="M1943" s="15"/>
      <c r="N1943" s="15"/>
      <c r="O1943" s="16"/>
      <c r="Q1943" s="16"/>
    </row>
    <row r="1944" spans="1:17" x14ac:dyDescent="0.3">
      <c r="A1944" s="5"/>
      <c r="B1944" s="6"/>
      <c r="C1944" s="7"/>
      <c r="D1944" s="8"/>
      <c r="E1944" s="8"/>
      <c r="F1944" s="10"/>
      <c r="G1944" s="10"/>
      <c r="H1944" s="10"/>
      <c r="I1944" s="7"/>
      <c r="J1944" s="12"/>
      <c r="K1944" s="13"/>
      <c r="L1944" s="14"/>
      <c r="M1944" s="15"/>
      <c r="N1944" s="15"/>
      <c r="O1944" s="16"/>
      <c r="Q1944" s="16"/>
    </row>
    <row r="1945" spans="1:17" x14ac:dyDescent="0.3">
      <c r="A1945" s="5"/>
      <c r="B1945" s="6"/>
      <c r="C1945" s="7"/>
      <c r="D1945" s="8"/>
      <c r="E1945" s="8"/>
      <c r="F1945" s="10"/>
      <c r="G1945" s="10"/>
      <c r="H1945" s="10"/>
      <c r="I1945" s="7"/>
      <c r="J1945" s="12"/>
      <c r="K1945" s="13"/>
      <c r="L1945" s="14"/>
      <c r="M1945" s="15"/>
      <c r="N1945" s="15"/>
      <c r="O1945" s="16"/>
      <c r="Q1945" s="16"/>
    </row>
    <row r="1946" spans="1:17" x14ac:dyDescent="0.3">
      <c r="A1946" s="5"/>
      <c r="B1946" s="6"/>
      <c r="C1946" s="7"/>
      <c r="D1946" s="8"/>
      <c r="E1946" s="8"/>
      <c r="F1946" s="10"/>
      <c r="G1946" s="10"/>
      <c r="H1946" s="10"/>
      <c r="I1946" s="7"/>
      <c r="J1946" s="12"/>
      <c r="K1946" s="13"/>
      <c r="L1946" s="14"/>
      <c r="M1946" s="15"/>
      <c r="N1946" s="15"/>
      <c r="O1946" s="16"/>
      <c r="Q1946" s="16"/>
    </row>
    <row r="1947" spans="1:17" x14ac:dyDescent="0.3">
      <c r="A1947" s="5"/>
      <c r="B1947" s="6"/>
      <c r="C1947" s="7"/>
      <c r="D1947" s="8"/>
      <c r="E1947" s="8"/>
      <c r="F1947" s="10"/>
      <c r="G1947" s="10"/>
      <c r="H1947" s="10"/>
      <c r="I1947" s="7"/>
      <c r="J1947" s="12"/>
      <c r="K1947" s="13"/>
      <c r="L1947" s="14"/>
      <c r="M1947" s="15"/>
      <c r="N1947" s="15"/>
      <c r="O1947" s="16"/>
      <c r="Q1947" s="16"/>
    </row>
    <row r="1948" spans="1:17" x14ac:dyDescent="0.3">
      <c r="A1948" s="5"/>
      <c r="B1948" s="6"/>
      <c r="C1948" s="7"/>
      <c r="D1948" s="8"/>
      <c r="E1948" s="8"/>
      <c r="F1948" s="10"/>
      <c r="G1948" s="10"/>
      <c r="H1948" s="10"/>
      <c r="I1948" s="7"/>
      <c r="J1948" s="12"/>
      <c r="K1948" s="13"/>
      <c r="L1948" s="14"/>
      <c r="M1948" s="15"/>
      <c r="N1948" s="15"/>
      <c r="O1948" s="16"/>
      <c r="Q1948" s="16"/>
    </row>
    <row r="1949" spans="1:17" x14ac:dyDescent="0.3">
      <c r="A1949" s="5"/>
      <c r="B1949" s="6"/>
      <c r="C1949" s="7"/>
      <c r="D1949" s="8"/>
      <c r="E1949" s="8"/>
      <c r="F1949" s="10"/>
      <c r="G1949" s="10"/>
      <c r="H1949" s="10"/>
      <c r="I1949" s="7"/>
      <c r="J1949" s="12"/>
      <c r="K1949" s="13"/>
      <c r="L1949" s="14"/>
      <c r="M1949" s="15"/>
      <c r="N1949" s="15"/>
      <c r="O1949" s="16"/>
      <c r="Q1949" s="16"/>
    </row>
    <row r="1950" spans="1:17" x14ac:dyDescent="0.3">
      <c r="A1950" s="5"/>
      <c r="B1950" s="6"/>
      <c r="C1950" s="7"/>
      <c r="D1950" s="8"/>
      <c r="E1950" s="8"/>
      <c r="F1950" s="10"/>
      <c r="G1950" s="10"/>
      <c r="H1950" s="10"/>
      <c r="I1950" s="7"/>
      <c r="J1950" s="12"/>
      <c r="K1950" s="13"/>
      <c r="L1950" s="14"/>
      <c r="M1950" s="15"/>
      <c r="N1950" s="15"/>
      <c r="O1950" s="16"/>
      <c r="Q1950" s="16"/>
    </row>
    <row r="1951" spans="1:17" x14ac:dyDescent="0.3">
      <c r="A1951" s="5"/>
      <c r="B1951" s="6"/>
      <c r="C1951" s="7"/>
      <c r="D1951" s="8"/>
      <c r="E1951" s="8"/>
      <c r="F1951" s="10"/>
      <c r="G1951" s="10"/>
      <c r="H1951" s="10"/>
      <c r="I1951" s="7"/>
      <c r="J1951" s="12"/>
      <c r="K1951" s="13"/>
      <c r="L1951" s="14"/>
      <c r="M1951" s="15"/>
      <c r="N1951" s="15"/>
      <c r="O1951" s="16"/>
      <c r="Q1951" s="16"/>
    </row>
    <row r="1952" spans="1:17" x14ac:dyDescent="0.3">
      <c r="A1952" s="5"/>
      <c r="B1952" s="6"/>
      <c r="C1952" s="7"/>
      <c r="D1952" s="8"/>
      <c r="E1952" s="8"/>
      <c r="F1952" s="10"/>
      <c r="G1952" s="10"/>
      <c r="H1952" s="10"/>
      <c r="I1952" s="7"/>
      <c r="J1952" s="12"/>
      <c r="K1952" s="13"/>
      <c r="L1952" s="14"/>
      <c r="M1952" s="15"/>
      <c r="N1952" s="15"/>
      <c r="O1952" s="16"/>
      <c r="Q1952" s="16"/>
    </row>
    <row r="1953" spans="1:17" x14ac:dyDescent="0.3">
      <c r="A1953" s="5"/>
      <c r="B1953" s="6"/>
      <c r="C1953" s="7"/>
      <c r="D1953" s="8"/>
      <c r="E1953" s="8"/>
      <c r="F1953" s="10"/>
      <c r="G1953" s="10"/>
      <c r="H1953" s="10"/>
      <c r="I1953" s="7"/>
      <c r="J1953" s="12"/>
      <c r="K1953" s="13"/>
      <c r="L1953" s="14"/>
      <c r="M1953" s="15"/>
      <c r="N1953" s="15"/>
      <c r="O1953" s="16"/>
      <c r="Q1953" s="16"/>
    </row>
    <row r="1954" spans="1:17" x14ac:dyDescent="0.3">
      <c r="A1954" s="5"/>
      <c r="B1954" s="6"/>
      <c r="C1954" s="7"/>
      <c r="D1954" s="8"/>
      <c r="E1954" s="8"/>
      <c r="F1954" s="10"/>
      <c r="G1954" s="10"/>
      <c r="H1954" s="10"/>
      <c r="I1954" s="7"/>
      <c r="J1954" s="12"/>
      <c r="K1954" s="13"/>
      <c r="L1954" s="14"/>
      <c r="M1954" s="15"/>
      <c r="N1954" s="15"/>
      <c r="O1954" s="16"/>
      <c r="Q1954" s="16"/>
    </row>
    <row r="1955" spans="1:17" x14ac:dyDescent="0.3">
      <c r="A1955" s="5"/>
      <c r="B1955" s="6"/>
      <c r="C1955" s="7"/>
      <c r="D1955" s="8"/>
      <c r="E1955" s="8"/>
      <c r="F1955" s="10"/>
      <c r="G1955" s="10"/>
      <c r="H1955" s="10"/>
      <c r="I1955" s="7"/>
      <c r="J1955" s="12"/>
      <c r="K1955" s="13"/>
      <c r="L1955" s="14"/>
      <c r="M1955" s="15"/>
      <c r="N1955" s="15"/>
      <c r="O1955" s="16"/>
      <c r="Q1955" s="16"/>
    </row>
    <row r="1956" spans="1:17" x14ac:dyDescent="0.3">
      <c r="A1956" s="5"/>
      <c r="B1956" s="6"/>
      <c r="C1956" s="7"/>
      <c r="D1956" s="8"/>
      <c r="E1956" s="8"/>
      <c r="F1956" s="10"/>
      <c r="G1956" s="10"/>
      <c r="H1956" s="10"/>
      <c r="I1956" s="7"/>
      <c r="J1956" s="12"/>
      <c r="K1956" s="13"/>
      <c r="L1956" s="14"/>
      <c r="M1956" s="15"/>
      <c r="N1956" s="15"/>
      <c r="O1956" s="16"/>
      <c r="Q1956" s="16"/>
    </row>
    <row r="1957" spans="1:17" x14ac:dyDescent="0.3">
      <c r="A1957" s="5"/>
      <c r="B1957" s="6"/>
      <c r="C1957" s="7"/>
      <c r="D1957" s="8"/>
      <c r="E1957" s="8"/>
      <c r="F1957" s="10"/>
      <c r="G1957" s="10"/>
      <c r="H1957" s="10"/>
      <c r="I1957" s="7"/>
      <c r="J1957" s="12"/>
      <c r="K1957" s="13"/>
      <c r="L1957" s="14"/>
      <c r="M1957" s="15"/>
      <c r="N1957" s="15"/>
      <c r="O1957" s="16"/>
      <c r="Q1957" s="16"/>
    </row>
    <row r="1958" spans="1:17" x14ac:dyDescent="0.3">
      <c r="A1958" s="5"/>
      <c r="B1958" s="6"/>
      <c r="C1958" s="7"/>
      <c r="D1958" s="8"/>
      <c r="E1958" s="8"/>
      <c r="F1958" s="10"/>
      <c r="G1958" s="10"/>
      <c r="H1958" s="10"/>
      <c r="I1958" s="7"/>
      <c r="J1958" s="12"/>
      <c r="K1958" s="13"/>
      <c r="L1958" s="14"/>
      <c r="M1958" s="15"/>
      <c r="N1958" s="15"/>
      <c r="O1958" s="16"/>
      <c r="Q1958" s="16"/>
    </row>
    <row r="1959" spans="1:17" x14ac:dyDescent="0.3">
      <c r="A1959" s="5"/>
      <c r="B1959" s="6"/>
      <c r="C1959" s="7"/>
      <c r="D1959" s="8"/>
      <c r="E1959" s="8"/>
      <c r="F1959" s="10"/>
      <c r="G1959" s="10"/>
      <c r="H1959" s="10"/>
      <c r="I1959" s="7"/>
      <c r="J1959" s="12"/>
      <c r="K1959" s="13"/>
      <c r="L1959" s="14"/>
      <c r="M1959" s="15"/>
      <c r="N1959" s="15"/>
      <c r="O1959" s="16"/>
      <c r="Q1959" s="16"/>
    </row>
    <row r="1960" spans="1:17" x14ac:dyDescent="0.3">
      <c r="A1960" s="5"/>
      <c r="B1960" s="6"/>
      <c r="C1960" s="7"/>
      <c r="D1960" s="8"/>
      <c r="E1960" s="8"/>
      <c r="F1960" s="10"/>
      <c r="G1960" s="10"/>
      <c r="H1960" s="10"/>
      <c r="I1960" s="7"/>
      <c r="J1960" s="12"/>
      <c r="K1960" s="13"/>
      <c r="L1960" s="14"/>
      <c r="M1960" s="15"/>
      <c r="N1960" s="15"/>
      <c r="O1960" s="16"/>
      <c r="Q1960" s="16"/>
    </row>
    <row r="1961" spans="1:17" x14ac:dyDescent="0.3">
      <c r="A1961" s="5"/>
      <c r="B1961" s="6"/>
      <c r="C1961" s="7"/>
      <c r="D1961" s="8"/>
      <c r="E1961" s="8"/>
      <c r="F1961" s="10"/>
      <c r="G1961" s="10"/>
      <c r="H1961" s="10"/>
      <c r="I1961" s="7"/>
      <c r="J1961" s="12"/>
      <c r="K1961" s="13"/>
      <c r="L1961" s="14"/>
      <c r="M1961" s="15"/>
      <c r="N1961" s="15"/>
      <c r="O1961" s="16"/>
      <c r="Q1961" s="16"/>
    </row>
    <row r="1962" spans="1:17" x14ac:dyDescent="0.3">
      <c r="A1962" s="5"/>
      <c r="B1962" s="6"/>
      <c r="C1962" s="7"/>
      <c r="D1962" s="8"/>
      <c r="E1962" s="8"/>
      <c r="F1962" s="10"/>
      <c r="G1962" s="10"/>
      <c r="H1962" s="10"/>
      <c r="I1962" s="7"/>
      <c r="J1962" s="12"/>
      <c r="K1962" s="13"/>
      <c r="L1962" s="14"/>
      <c r="M1962" s="15"/>
      <c r="N1962" s="15"/>
      <c r="O1962" s="16"/>
      <c r="Q1962" s="16"/>
    </row>
    <row r="1963" spans="1:17" x14ac:dyDescent="0.3">
      <c r="A1963" s="5"/>
      <c r="B1963" s="6"/>
      <c r="C1963" s="7"/>
      <c r="D1963" s="8"/>
      <c r="E1963" s="8"/>
      <c r="F1963" s="10"/>
      <c r="G1963" s="10"/>
      <c r="H1963" s="10"/>
      <c r="I1963" s="7"/>
      <c r="J1963" s="12"/>
      <c r="K1963" s="13"/>
      <c r="L1963" s="14"/>
      <c r="M1963" s="15"/>
      <c r="N1963" s="15"/>
      <c r="O1963" s="16"/>
      <c r="Q1963" s="16"/>
    </row>
    <row r="1964" spans="1:17" x14ac:dyDescent="0.3">
      <c r="A1964" s="5"/>
      <c r="B1964" s="6"/>
      <c r="C1964" s="7"/>
      <c r="D1964" s="8"/>
      <c r="E1964" s="8"/>
      <c r="F1964" s="10"/>
      <c r="G1964" s="10"/>
      <c r="H1964" s="10"/>
      <c r="I1964" s="7"/>
      <c r="J1964" s="12"/>
      <c r="K1964" s="13"/>
      <c r="L1964" s="14"/>
      <c r="M1964" s="15"/>
      <c r="N1964" s="15"/>
      <c r="O1964" s="16"/>
      <c r="Q1964" s="16"/>
    </row>
    <row r="1965" spans="1:17" x14ac:dyDescent="0.3">
      <c r="A1965" s="5"/>
      <c r="B1965" s="6"/>
      <c r="C1965" s="7"/>
      <c r="D1965" s="8"/>
      <c r="E1965" s="8"/>
      <c r="F1965" s="10"/>
      <c r="G1965" s="10"/>
      <c r="H1965" s="10"/>
      <c r="I1965" s="7"/>
      <c r="J1965" s="12"/>
      <c r="K1965" s="13"/>
      <c r="L1965" s="14"/>
      <c r="M1965" s="15"/>
      <c r="N1965" s="15"/>
      <c r="O1965" s="16"/>
      <c r="Q1965" s="16"/>
    </row>
    <row r="1966" spans="1:17" x14ac:dyDescent="0.3">
      <c r="A1966" s="5"/>
      <c r="B1966" s="6"/>
      <c r="C1966" s="7"/>
      <c r="D1966" s="8"/>
      <c r="E1966" s="8"/>
      <c r="F1966" s="10"/>
      <c r="G1966" s="10"/>
      <c r="H1966" s="10"/>
      <c r="I1966" s="7"/>
      <c r="J1966" s="12"/>
      <c r="K1966" s="13"/>
      <c r="L1966" s="14"/>
      <c r="M1966" s="15"/>
      <c r="N1966" s="15"/>
      <c r="O1966" s="16"/>
      <c r="Q1966" s="16"/>
    </row>
    <row r="1967" spans="1:17" x14ac:dyDescent="0.3">
      <c r="A1967" s="5"/>
      <c r="B1967" s="6"/>
      <c r="C1967" s="7"/>
      <c r="D1967" s="8"/>
      <c r="E1967" s="8"/>
      <c r="F1967" s="10"/>
      <c r="G1967" s="10"/>
      <c r="H1967" s="10"/>
      <c r="I1967" s="7"/>
      <c r="J1967" s="12"/>
      <c r="K1967" s="13"/>
      <c r="L1967" s="14"/>
      <c r="M1967" s="15"/>
      <c r="N1967" s="15"/>
      <c r="O1967" s="16"/>
      <c r="Q1967" s="16"/>
    </row>
    <row r="1968" spans="1:17" x14ac:dyDescent="0.3">
      <c r="A1968" s="5"/>
      <c r="B1968" s="6"/>
      <c r="C1968" s="7"/>
      <c r="D1968" s="8"/>
      <c r="E1968" s="8"/>
      <c r="F1968" s="10"/>
      <c r="G1968" s="10"/>
      <c r="H1968" s="10"/>
      <c r="I1968" s="7"/>
      <c r="J1968" s="12"/>
      <c r="K1968" s="13"/>
      <c r="L1968" s="14"/>
      <c r="M1968" s="15"/>
      <c r="N1968" s="15"/>
      <c r="O1968" s="16"/>
      <c r="Q1968" s="16"/>
    </row>
    <row r="1969" spans="1:17" x14ac:dyDescent="0.3">
      <c r="A1969" s="5"/>
      <c r="B1969" s="6"/>
      <c r="C1969" s="7"/>
      <c r="D1969" s="8"/>
      <c r="E1969" s="8"/>
      <c r="F1969" s="10"/>
      <c r="G1969" s="10"/>
      <c r="H1969" s="10"/>
      <c r="I1969" s="7"/>
      <c r="J1969" s="12"/>
      <c r="K1969" s="13"/>
      <c r="L1969" s="14"/>
      <c r="M1969" s="15"/>
      <c r="N1969" s="15"/>
      <c r="O1969" s="16"/>
      <c r="Q1969" s="16"/>
    </row>
    <row r="1970" spans="1:17" x14ac:dyDescent="0.3">
      <c r="A1970" s="5"/>
      <c r="B1970" s="6"/>
      <c r="C1970" s="7"/>
      <c r="D1970" s="8"/>
      <c r="E1970" s="8"/>
      <c r="F1970" s="10"/>
      <c r="G1970" s="10"/>
      <c r="H1970" s="10"/>
      <c r="I1970" s="7"/>
      <c r="J1970" s="12"/>
      <c r="K1970" s="13"/>
      <c r="L1970" s="14"/>
      <c r="M1970" s="15"/>
      <c r="N1970" s="15"/>
      <c r="O1970" s="16"/>
      <c r="Q1970" s="16"/>
    </row>
    <row r="1971" spans="1:17" x14ac:dyDescent="0.3">
      <c r="A1971" s="5"/>
      <c r="B1971" s="6"/>
      <c r="C1971" s="7"/>
      <c r="D1971" s="8"/>
      <c r="E1971" s="8"/>
      <c r="F1971" s="10"/>
      <c r="G1971" s="10"/>
      <c r="H1971" s="10"/>
      <c r="I1971" s="7"/>
      <c r="J1971" s="12"/>
      <c r="K1971" s="13"/>
      <c r="L1971" s="14"/>
      <c r="M1971" s="15"/>
      <c r="N1971" s="15"/>
      <c r="O1971" s="16"/>
      <c r="Q1971" s="16"/>
    </row>
    <row r="1972" spans="1:17" x14ac:dyDescent="0.3">
      <c r="A1972" s="5"/>
      <c r="B1972" s="6"/>
      <c r="C1972" s="7"/>
      <c r="D1972" s="8"/>
      <c r="E1972" s="8"/>
      <c r="F1972" s="10"/>
      <c r="G1972" s="10"/>
      <c r="H1972" s="10"/>
      <c r="I1972" s="7"/>
      <c r="J1972" s="12"/>
      <c r="K1972" s="13"/>
      <c r="L1972" s="14"/>
      <c r="M1972" s="15"/>
      <c r="N1972" s="15"/>
      <c r="O1972" s="16"/>
      <c r="Q1972" s="16"/>
    </row>
    <row r="1973" spans="1:17" x14ac:dyDescent="0.3">
      <c r="A1973" s="5"/>
      <c r="B1973" s="6"/>
      <c r="C1973" s="7"/>
      <c r="D1973" s="8"/>
      <c r="E1973" s="8"/>
      <c r="F1973" s="10"/>
      <c r="G1973" s="10"/>
      <c r="H1973" s="10"/>
      <c r="I1973" s="7"/>
      <c r="J1973" s="12"/>
      <c r="K1973" s="13"/>
      <c r="L1973" s="14"/>
      <c r="M1973" s="15"/>
      <c r="N1973" s="15"/>
      <c r="O1973" s="16"/>
      <c r="Q1973" s="16"/>
    </row>
    <row r="1974" spans="1:17" x14ac:dyDescent="0.3">
      <c r="A1974" s="5"/>
      <c r="B1974" s="6"/>
      <c r="C1974" s="7"/>
      <c r="D1974" s="8"/>
      <c r="E1974" s="8"/>
      <c r="F1974" s="10"/>
      <c r="G1974" s="10"/>
      <c r="H1974" s="10"/>
      <c r="I1974" s="7"/>
      <c r="J1974" s="12"/>
      <c r="K1974" s="13"/>
      <c r="L1974" s="14"/>
      <c r="M1974" s="15"/>
      <c r="N1974" s="15"/>
      <c r="O1974" s="16"/>
      <c r="Q1974" s="16"/>
    </row>
    <row r="1975" spans="1:17" x14ac:dyDescent="0.3">
      <c r="A1975" s="5"/>
      <c r="B1975" s="6"/>
      <c r="C1975" s="7"/>
      <c r="D1975" s="8"/>
      <c r="E1975" s="8"/>
      <c r="F1975" s="10"/>
      <c r="G1975" s="10"/>
      <c r="H1975" s="10"/>
      <c r="I1975" s="7"/>
      <c r="J1975" s="12"/>
      <c r="K1975" s="13"/>
      <c r="L1975" s="14"/>
      <c r="M1975" s="15"/>
      <c r="N1975" s="15"/>
      <c r="O1975" s="16"/>
      <c r="Q1975" s="16"/>
    </row>
    <row r="1976" spans="1:17" x14ac:dyDescent="0.3">
      <c r="A1976" s="5"/>
      <c r="B1976" s="6"/>
      <c r="C1976" s="7"/>
      <c r="D1976" s="8"/>
      <c r="E1976" s="8"/>
      <c r="F1976" s="10"/>
      <c r="G1976" s="10"/>
      <c r="H1976" s="10"/>
      <c r="I1976" s="7"/>
      <c r="J1976" s="12"/>
      <c r="K1976" s="13"/>
      <c r="L1976" s="14"/>
      <c r="M1976" s="15"/>
      <c r="N1976" s="15"/>
      <c r="O1976" s="16"/>
      <c r="Q1976" s="16"/>
    </row>
    <row r="1977" spans="1:17" x14ac:dyDescent="0.3">
      <c r="A1977" s="5"/>
      <c r="B1977" s="6"/>
      <c r="C1977" s="7"/>
      <c r="D1977" s="8"/>
      <c r="E1977" s="8"/>
      <c r="F1977" s="10"/>
      <c r="G1977" s="10"/>
      <c r="H1977" s="10"/>
      <c r="I1977" s="7"/>
      <c r="J1977" s="12"/>
      <c r="K1977" s="13"/>
      <c r="L1977" s="14"/>
      <c r="M1977" s="15"/>
      <c r="N1977" s="15"/>
      <c r="O1977" s="16"/>
      <c r="Q1977" s="16"/>
    </row>
    <row r="1978" spans="1:17" x14ac:dyDescent="0.3">
      <c r="A1978" s="5"/>
      <c r="B1978" s="6"/>
      <c r="C1978" s="7"/>
      <c r="D1978" s="8"/>
      <c r="E1978" s="8"/>
      <c r="F1978" s="10"/>
      <c r="G1978" s="10"/>
      <c r="H1978" s="10"/>
      <c r="I1978" s="7"/>
      <c r="J1978" s="12"/>
      <c r="K1978" s="13"/>
      <c r="L1978" s="14"/>
      <c r="M1978" s="15"/>
      <c r="N1978" s="15"/>
      <c r="O1978" s="16"/>
      <c r="Q1978" s="16"/>
    </row>
    <row r="1979" spans="1:17" x14ac:dyDescent="0.3">
      <c r="A1979" s="5"/>
      <c r="B1979" s="6"/>
      <c r="C1979" s="7"/>
      <c r="D1979" s="8"/>
      <c r="E1979" s="8"/>
      <c r="F1979" s="10"/>
      <c r="G1979" s="10"/>
      <c r="H1979" s="10"/>
      <c r="I1979" s="7"/>
      <c r="J1979" s="12"/>
      <c r="K1979" s="13"/>
      <c r="L1979" s="14"/>
      <c r="M1979" s="15"/>
      <c r="N1979" s="15"/>
      <c r="O1979" s="16"/>
      <c r="Q1979" s="16"/>
    </row>
    <row r="1980" spans="1:17" x14ac:dyDescent="0.3">
      <c r="A1980" s="5"/>
      <c r="B1980" s="6"/>
      <c r="C1980" s="7"/>
      <c r="D1980" s="8"/>
      <c r="E1980" s="8"/>
      <c r="F1980" s="10"/>
      <c r="G1980" s="10"/>
      <c r="H1980" s="10"/>
      <c r="I1980" s="7"/>
      <c r="J1980" s="12"/>
      <c r="K1980" s="13"/>
      <c r="L1980" s="14"/>
      <c r="M1980" s="15"/>
      <c r="N1980" s="15"/>
      <c r="O1980" s="16"/>
      <c r="Q1980" s="16"/>
    </row>
    <row r="1981" spans="1:17" x14ac:dyDescent="0.3">
      <c r="A1981" s="5"/>
      <c r="B1981" s="6"/>
      <c r="C1981" s="7"/>
      <c r="D1981" s="8"/>
      <c r="E1981" s="8"/>
      <c r="F1981" s="10"/>
      <c r="G1981" s="10"/>
      <c r="H1981" s="10"/>
      <c r="I1981" s="7"/>
      <c r="J1981" s="12"/>
      <c r="K1981" s="13"/>
      <c r="L1981" s="14"/>
      <c r="M1981" s="15"/>
      <c r="N1981" s="15"/>
      <c r="O1981" s="16"/>
      <c r="Q1981" s="16"/>
    </row>
    <row r="1982" spans="1:17" x14ac:dyDescent="0.3">
      <c r="A1982" s="5"/>
      <c r="B1982" s="6"/>
      <c r="C1982" s="7"/>
      <c r="D1982" s="8"/>
      <c r="E1982" s="8"/>
      <c r="F1982" s="10"/>
      <c r="G1982" s="10"/>
      <c r="H1982" s="10"/>
      <c r="I1982" s="7"/>
      <c r="J1982" s="12"/>
      <c r="K1982" s="13"/>
      <c r="L1982" s="14"/>
      <c r="M1982" s="15"/>
      <c r="N1982" s="15"/>
      <c r="O1982" s="16"/>
      <c r="Q1982" s="16"/>
    </row>
    <row r="1983" spans="1:17" x14ac:dyDescent="0.3">
      <c r="A1983" s="5"/>
      <c r="B1983" s="6"/>
      <c r="C1983" s="7"/>
      <c r="D1983" s="8"/>
      <c r="E1983" s="8"/>
      <c r="F1983" s="10"/>
      <c r="G1983" s="10"/>
      <c r="H1983" s="10"/>
      <c r="I1983" s="7"/>
      <c r="J1983" s="12"/>
      <c r="K1983" s="13"/>
      <c r="L1983" s="14"/>
      <c r="M1983" s="15"/>
      <c r="N1983" s="15"/>
      <c r="O1983" s="16"/>
      <c r="Q1983" s="16"/>
    </row>
    <row r="1984" spans="1:17" x14ac:dyDescent="0.3">
      <c r="A1984" s="5"/>
      <c r="B1984" s="6"/>
      <c r="C1984" s="7"/>
      <c r="D1984" s="8"/>
      <c r="E1984" s="8"/>
      <c r="F1984" s="10"/>
      <c r="G1984" s="10"/>
      <c r="H1984" s="10"/>
      <c r="I1984" s="7"/>
      <c r="J1984" s="12"/>
      <c r="K1984" s="13"/>
      <c r="L1984" s="14"/>
      <c r="M1984" s="15"/>
      <c r="N1984" s="15"/>
      <c r="O1984" s="16"/>
      <c r="Q1984" s="16"/>
    </row>
    <row r="1985" spans="1:17" x14ac:dyDescent="0.3">
      <c r="A1985" s="5"/>
      <c r="B1985" s="6"/>
      <c r="C1985" s="7"/>
      <c r="D1985" s="8"/>
      <c r="E1985" s="8"/>
      <c r="F1985" s="10"/>
      <c r="G1985" s="10"/>
      <c r="H1985" s="10"/>
      <c r="I1985" s="7"/>
      <c r="J1985" s="12"/>
      <c r="K1985" s="13"/>
      <c r="L1985" s="14"/>
      <c r="M1985" s="15"/>
      <c r="N1985" s="15"/>
      <c r="O1985" s="16"/>
      <c r="Q1985" s="16"/>
    </row>
    <row r="1986" spans="1:17" x14ac:dyDescent="0.3">
      <c r="A1986" s="5"/>
      <c r="B1986" s="6"/>
      <c r="C1986" s="7"/>
      <c r="D1986" s="8"/>
      <c r="E1986" s="8"/>
      <c r="F1986" s="10"/>
      <c r="G1986" s="10"/>
      <c r="H1986" s="10"/>
      <c r="I1986" s="7"/>
      <c r="J1986" s="12"/>
      <c r="K1986" s="13"/>
      <c r="L1986" s="14"/>
      <c r="M1986" s="15"/>
      <c r="N1986" s="15"/>
      <c r="O1986" s="16"/>
      <c r="Q1986" s="16"/>
    </row>
    <row r="1987" spans="1:17" x14ac:dyDescent="0.3">
      <c r="A1987" s="5"/>
      <c r="B1987" s="6"/>
      <c r="C1987" s="7"/>
      <c r="D1987" s="8"/>
      <c r="E1987" s="8"/>
      <c r="F1987" s="10"/>
      <c r="G1987" s="10"/>
      <c r="H1987" s="10"/>
      <c r="I1987" s="7"/>
      <c r="J1987" s="12"/>
      <c r="K1987" s="13"/>
      <c r="L1987" s="14"/>
      <c r="M1987" s="15"/>
      <c r="N1987" s="15"/>
      <c r="O1987" s="16"/>
      <c r="Q1987" s="16"/>
    </row>
    <row r="1988" spans="1:17" x14ac:dyDescent="0.3">
      <c r="A1988" s="5"/>
      <c r="B1988" s="6"/>
      <c r="C1988" s="7"/>
      <c r="D1988" s="8"/>
      <c r="E1988" s="8"/>
      <c r="F1988" s="10"/>
      <c r="G1988" s="10"/>
      <c r="H1988" s="10"/>
      <c r="I1988" s="7"/>
      <c r="J1988" s="12"/>
      <c r="K1988" s="13"/>
      <c r="L1988" s="14"/>
      <c r="M1988" s="15"/>
      <c r="N1988" s="15"/>
      <c r="O1988" s="16"/>
      <c r="Q1988" s="16"/>
    </row>
    <row r="1989" spans="1:17" x14ac:dyDescent="0.3">
      <c r="A1989" s="5"/>
      <c r="B1989" s="6"/>
      <c r="C1989" s="7"/>
      <c r="D1989" s="8"/>
      <c r="E1989" s="8"/>
      <c r="F1989" s="10"/>
      <c r="G1989" s="10"/>
      <c r="H1989" s="10"/>
      <c r="I1989" s="7"/>
      <c r="J1989" s="12"/>
      <c r="K1989" s="13"/>
      <c r="L1989" s="14"/>
      <c r="M1989" s="15"/>
      <c r="N1989" s="15"/>
      <c r="O1989" s="16"/>
      <c r="Q1989" s="16"/>
    </row>
    <row r="1990" spans="1:17" x14ac:dyDescent="0.3">
      <c r="A1990" s="5"/>
      <c r="B1990" s="6"/>
      <c r="C1990" s="7"/>
      <c r="D1990" s="8"/>
      <c r="E1990" s="8"/>
      <c r="F1990" s="10"/>
      <c r="G1990" s="10"/>
      <c r="H1990" s="10"/>
      <c r="I1990" s="7"/>
      <c r="J1990" s="12"/>
      <c r="K1990" s="13"/>
      <c r="L1990" s="14"/>
      <c r="M1990" s="15"/>
      <c r="N1990" s="15"/>
      <c r="O1990" s="16"/>
      <c r="Q1990" s="16"/>
    </row>
    <row r="1991" spans="1:17" x14ac:dyDescent="0.3">
      <c r="A1991" s="5"/>
      <c r="B1991" s="6"/>
      <c r="C1991" s="7"/>
      <c r="D1991" s="8"/>
      <c r="E1991" s="8"/>
      <c r="F1991" s="10"/>
      <c r="G1991" s="10"/>
      <c r="H1991" s="10"/>
      <c r="I1991" s="7"/>
      <c r="J1991" s="12"/>
      <c r="K1991" s="13"/>
      <c r="L1991" s="14"/>
      <c r="M1991" s="15"/>
      <c r="N1991" s="15"/>
      <c r="O1991" s="16"/>
      <c r="Q1991" s="16"/>
    </row>
    <row r="1992" spans="1:17" x14ac:dyDescent="0.3">
      <c r="A1992" s="5"/>
      <c r="B1992" s="6"/>
      <c r="C1992" s="7"/>
      <c r="D1992" s="8"/>
      <c r="E1992" s="8"/>
      <c r="F1992" s="10"/>
      <c r="G1992" s="10"/>
      <c r="H1992" s="10"/>
      <c r="I1992" s="7"/>
      <c r="J1992" s="12"/>
      <c r="K1992" s="13"/>
      <c r="L1992" s="14"/>
      <c r="M1992" s="15"/>
      <c r="N1992" s="15"/>
      <c r="O1992" s="16"/>
      <c r="Q1992" s="16"/>
    </row>
    <row r="1993" spans="1:17" x14ac:dyDescent="0.3">
      <c r="A1993" s="5"/>
      <c r="B1993" s="6"/>
      <c r="C1993" s="7"/>
      <c r="D1993" s="8"/>
      <c r="E1993" s="8"/>
      <c r="F1993" s="10"/>
      <c r="G1993" s="10"/>
      <c r="H1993" s="10"/>
      <c r="I1993" s="7"/>
      <c r="J1993" s="12"/>
      <c r="K1993" s="13"/>
      <c r="L1993" s="14"/>
      <c r="M1993" s="15"/>
      <c r="N1993" s="15"/>
      <c r="O1993" s="16"/>
      <c r="Q1993" s="16"/>
    </row>
    <row r="1994" spans="1:17" x14ac:dyDescent="0.3">
      <c r="A1994" s="5"/>
      <c r="B1994" s="6"/>
      <c r="C1994" s="7"/>
      <c r="D1994" s="8"/>
      <c r="E1994" s="8"/>
      <c r="F1994" s="10"/>
      <c r="G1994" s="10"/>
      <c r="H1994" s="10"/>
      <c r="I1994" s="7"/>
      <c r="J1994" s="12"/>
      <c r="K1994" s="13"/>
      <c r="L1994" s="14"/>
      <c r="M1994" s="15"/>
      <c r="N1994" s="15"/>
      <c r="O1994" s="16"/>
      <c r="Q1994" s="16"/>
    </row>
    <row r="1995" spans="1:17" x14ac:dyDescent="0.3">
      <c r="A1995" s="5"/>
      <c r="B1995" s="6"/>
      <c r="C1995" s="7"/>
      <c r="D1995" s="8"/>
      <c r="E1995" s="8"/>
      <c r="F1995" s="10"/>
      <c r="G1995" s="10"/>
      <c r="H1995" s="10"/>
      <c r="I1995" s="7"/>
      <c r="J1995" s="12"/>
      <c r="K1995" s="13"/>
      <c r="L1995" s="14"/>
      <c r="M1995" s="15"/>
      <c r="N1995" s="15"/>
      <c r="O1995" s="16"/>
      <c r="Q1995" s="16"/>
    </row>
    <row r="1996" spans="1:17" x14ac:dyDescent="0.3">
      <c r="A1996" s="5"/>
      <c r="B1996" s="6"/>
      <c r="C1996" s="7"/>
      <c r="D1996" s="8"/>
      <c r="E1996" s="8"/>
      <c r="F1996" s="10"/>
      <c r="G1996" s="10"/>
      <c r="H1996" s="10"/>
      <c r="I1996" s="7"/>
      <c r="J1996" s="12"/>
      <c r="K1996" s="13"/>
      <c r="L1996" s="14"/>
      <c r="M1996" s="15"/>
      <c r="N1996" s="15"/>
      <c r="O1996" s="16"/>
      <c r="Q1996" s="16"/>
    </row>
    <row r="1997" spans="1:17" x14ac:dyDescent="0.3">
      <c r="A1997" s="5"/>
      <c r="B1997" s="6"/>
      <c r="C1997" s="7"/>
      <c r="D1997" s="8"/>
      <c r="E1997" s="8"/>
      <c r="F1997" s="10"/>
      <c r="G1997" s="10"/>
      <c r="H1997" s="10"/>
      <c r="I1997" s="7"/>
      <c r="J1997" s="12"/>
      <c r="K1997" s="13"/>
      <c r="L1997" s="14"/>
      <c r="M1997" s="15"/>
      <c r="N1997" s="15"/>
      <c r="O1997" s="16"/>
      <c r="Q1997" s="16"/>
    </row>
    <row r="1998" spans="1:17" x14ac:dyDescent="0.3">
      <c r="A1998" s="5"/>
      <c r="B1998" s="6"/>
      <c r="C1998" s="7"/>
      <c r="D1998" s="8"/>
      <c r="E1998" s="8"/>
      <c r="F1998" s="10"/>
      <c r="G1998" s="10"/>
      <c r="H1998" s="10"/>
      <c r="I1998" s="7"/>
      <c r="J1998" s="12"/>
      <c r="K1998" s="13"/>
      <c r="L1998" s="14"/>
      <c r="M1998" s="15"/>
      <c r="N1998" s="15"/>
      <c r="O1998" s="16"/>
      <c r="Q1998" s="16"/>
    </row>
    <row r="1999" spans="1:17" x14ac:dyDescent="0.3">
      <c r="A1999" s="5"/>
      <c r="B1999" s="6"/>
      <c r="C1999" s="7"/>
      <c r="D1999" s="8"/>
      <c r="E1999" s="8"/>
      <c r="F1999" s="10"/>
      <c r="G1999" s="10"/>
      <c r="H1999" s="10"/>
      <c r="I1999" s="7"/>
      <c r="J1999" s="12"/>
      <c r="K1999" s="13"/>
      <c r="L1999" s="14"/>
      <c r="M1999" s="15"/>
      <c r="N1999" s="15"/>
      <c r="O1999" s="16"/>
      <c r="Q1999" s="16"/>
    </row>
    <row r="2000" spans="1:17" x14ac:dyDescent="0.3">
      <c r="A2000" s="5"/>
      <c r="B2000" s="6"/>
      <c r="C2000" s="7"/>
      <c r="D2000" s="8"/>
      <c r="E2000" s="8"/>
      <c r="F2000" s="10"/>
      <c r="G2000" s="10"/>
      <c r="H2000" s="10"/>
      <c r="I2000" s="7"/>
      <c r="J2000" s="12"/>
      <c r="K2000" s="13"/>
      <c r="L2000" s="14"/>
      <c r="M2000" s="15"/>
      <c r="N2000" s="15"/>
      <c r="O2000" s="16"/>
      <c r="Q2000" s="16"/>
    </row>
    <row r="2001" spans="1:17" x14ac:dyDescent="0.3">
      <c r="A2001" s="5"/>
      <c r="B2001" s="6"/>
      <c r="C2001" s="7"/>
      <c r="D2001" s="8"/>
      <c r="E2001" s="8"/>
      <c r="F2001" s="10"/>
      <c r="G2001" s="10"/>
      <c r="H2001" s="10"/>
      <c r="I2001" s="7"/>
      <c r="J2001" s="12"/>
      <c r="K2001" s="13"/>
      <c r="L2001" s="14"/>
      <c r="M2001" s="15"/>
      <c r="N2001" s="15"/>
      <c r="O2001" s="16"/>
      <c r="Q2001" s="16"/>
    </row>
    <row r="2002" spans="1:17" x14ac:dyDescent="0.3">
      <c r="A2002" s="5"/>
      <c r="B2002" s="6"/>
      <c r="C2002" s="7"/>
      <c r="D2002" s="8"/>
      <c r="E2002" s="8"/>
      <c r="F2002" s="10"/>
      <c r="G2002" s="10"/>
      <c r="H2002" s="10"/>
      <c r="I2002" s="7"/>
      <c r="J2002" s="12"/>
      <c r="K2002" s="13"/>
      <c r="L2002" s="14"/>
      <c r="M2002" s="15"/>
      <c r="N2002" s="15"/>
      <c r="O2002" s="16"/>
      <c r="Q2002" s="16"/>
    </row>
    <row r="2003" spans="1:17" x14ac:dyDescent="0.3">
      <c r="A2003" s="5"/>
      <c r="B2003" s="6"/>
      <c r="C2003" s="7"/>
      <c r="D2003" s="8"/>
      <c r="E2003" s="8"/>
      <c r="F2003" s="10"/>
      <c r="G2003" s="10"/>
      <c r="H2003" s="10"/>
      <c r="I2003" s="7"/>
      <c r="J2003" s="12"/>
      <c r="K2003" s="13"/>
      <c r="L2003" s="14"/>
      <c r="M2003" s="15"/>
      <c r="N2003" s="15"/>
      <c r="O2003" s="16"/>
      <c r="Q2003" s="16"/>
    </row>
    <row r="2004" spans="1:17" x14ac:dyDescent="0.3">
      <c r="A2004" s="5"/>
      <c r="B2004" s="6"/>
      <c r="C2004" s="7"/>
      <c r="D2004" s="8"/>
      <c r="E2004" s="8"/>
      <c r="F2004" s="10"/>
      <c r="G2004" s="10"/>
      <c r="H2004" s="10"/>
      <c r="I2004" s="7"/>
      <c r="J2004" s="12"/>
      <c r="K2004" s="13"/>
      <c r="L2004" s="14"/>
      <c r="M2004" s="15"/>
      <c r="N2004" s="15"/>
      <c r="O2004" s="16"/>
      <c r="Q2004" s="16"/>
    </row>
    <row r="2005" spans="1:17" x14ac:dyDescent="0.3">
      <c r="A2005" s="5"/>
      <c r="B2005" s="6"/>
      <c r="C2005" s="7"/>
      <c r="D2005" s="8"/>
      <c r="E2005" s="8"/>
      <c r="F2005" s="10"/>
      <c r="G2005" s="10"/>
      <c r="H2005" s="10"/>
      <c r="I2005" s="7"/>
      <c r="J2005" s="12"/>
      <c r="K2005" s="13"/>
      <c r="L2005" s="14"/>
      <c r="M2005" s="15"/>
      <c r="N2005" s="15"/>
      <c r="O2005" s="16"/>
      <c r="Q2005" s="16"/>
    </row>
    <row r="2006" spans="1:17" x14ac:dyDescent="0.3">
      <c r="A2006" s="5"/>
      <c r="B2006" s="6"/>
      <c r="C2006" s="7"/>
      <c r="D2006" s="8"/>
      <c r="E2006" s="8"/>
      <c r="F2006" s="10"/>
      <c r="G2006" s="10"/>
      <c r="H2006" s="10"/>
      <c r="I2006" s="7"/>
      <c r="J2006" s="12"/>
      <c r="K2006" s="13"/>
      <c r="L2006" s="14"/>
      <c r="M2006" s="15"/>
      <c r="N2006" s="15"/>
      <c r="O2006" s="16"/>
      <c r="Q2006" s="16"/>
    </row>
    <row r="2007" spans="1:17" x14ac:dyDescent="0.3">
      <c r="A2007" s="5"/>
      <c r="B2007" s="6"/>
      <c r="C2007" s="7"/>
      <c r="D2007" s="8"/>
      <c r="E2007" s="8"/>
      <c r="F2007" s="10"/>
      <c r="G2007" s="10"/>
      <c r="H2007" s="10"/>
      <c r="I2007" s="7"/>
      <c r="J2007" s="12"/>
      <c r="K2007" s="13"/>
      <c r="L2007" s="14"/>
      <c r="M2007" s="15"/>
      <c r="N2007" s="15"/>
      <c r="O2007" s="16"/>
      <c r="Q2007" s="16"/>
    </row>
    <row r="2008" spans="1:17" x14ac:dyDescent="0.3">
      <c r="A2008" s="5"/>
      <c r="B2008" s="6"/>
      <c r="C2008" s="7"/>
      <c r="D2008" s="8"/>
      <c r="E2008" s="8"/>
      <c r="F2008" s="10"/>
      <c r="G2008" s="10"/>
      <c r="H2008" s="10"/>
      <c r="I2008" s="7"/>
      <c r="J2008" s="12"/>
      <c r="K2008" s="13"/>
      <c r="L2008" s="14"/>
      <c r="M2008" s="15"/>
      <c r="N2008" s="15"/>
      <c r="O2008" s="16"/>
      <c r="Q2008" s="16"/>
    </row>
    <row r="2009" spans="1:17" x14ac:dyDescent="0.3">
      <c r="A2009" s="5"/>
      <c r="B2009" s="6"/>
      <c r="C2009" s="7"/>
      <c r="D2009" s="8"/>
      <c r="E2009" s="8"/>
      <c r="F2009" s="10"/>
      <c r="G2009" s="10"/>
      <c r="H2009" s="10"/>
      <c r="I2009" s="7"/>
      <c r="J2009" s="12"/>
      <c r="K2009" s="13"/>
      <c r="L2009" s="14"/>
      <c r="M2009" s="15"/>
      <c r="N2009" s="15"/>
      <c r="O2009" s="16"/>
      <c r="Q2009" s="16"/>
    </row>
    <row r="2010" spans="1:17" x14ac:dyDescent="0.3">
      <c r="A2010" s="5"/>
      <c r="B2010" s="6"/>
      <c r="C2010" s="7"/>
      <c r="D2010" s="8"/>
      <c r="E2010" s="8"/>
      <c r="F2010" s="10"/>
      <c r="G2010" s="10"/>
      <c r="H2010" s="10"/>
      <c r="I2010" s="7"/>
      <c r="J2010" s="12"/>
      <c r="K2010" s="13"/>
      <c r="L2010" s="14"/>
      <c r="M2010" s="15"/>
      <c r="N2010" s="15"/>
      <c r="O2010" s="16"/>
      <c r="Q2010" s="16"/>
    </row>
    <row r="2011" spans="1:17" x14ac:dyDescent="0.3">
      <c r="A2011" s="5"/>
      <c r="B2011" s="6"/>
      <c r="C2011" s="7"/>
      <c r="D2011" s="8"/>
      <c r="E2011" s="8"/>
      <c r="F2011" s="10"/>
      <c r="G2011" s="10"/>
      <c r="H2011" s="10"/>
      <c r="I2011" s="7"/>
      <c r="J2011" s="12"/>
      <c r="K2011" s="13"/>
      <c r="L2011" s="14"/>
      <c r="M2011" s="15"/>
      <c r="N2011" s="15"/>
      <c r="O2011" s="16"/>
      <c r="Q2011" s="16"/>
    </row>
    <row r="2012" spans="1:17" x14ac:dyDescent="0.3">
      <c r="A2012" s="5"/>
      <c r="B2012" s="6"/>
      <c r="C2012" s="7"/>
      <c r="D2012" s="8"/>
      <c r="E2012" s="8"/>
      <c r="F2012" s="10"/>
      <c r="G2012" s="10"/>
      <c r="H2012" s="10"/>
      <c r="I2012" s="7"/>
      <c r="J2012" s="12"/>
      <c r="K2012" s="13"/>
      <c r="L2012" s="14"/>
      <c r="M2012" s="15"/>
      <c r="N2012" s="15"/>
      <c r="O2012" s="16"/>
      <c r="Q2012" s="16"/>
    </row>
    <row r="2013" spans="1:17" x14ac:dyDescent="0.3">
      <c r="A2013" s="5"/>
      <c r="B2013" s="6"/>
      <c r="C2013" s="7"/>
      <c r="D2013" s="8"/>
      <c r="E2013" s="8"/>
      <c r="F2013" s="10"/>
      <c r="G2013" s="10"/>
      <c r="H2013" s="10"/>
      <c r="I2013" s="7"/>
      <c r="J2013" s="12"/>
      <c r="K2013" s="13"/>
      <c r="L2013" s="14"/>
      <c r="M2013" s="15"/>
      <c r="N2013" s="15"/>
      <c r="O2013" s="16"/>
      <c r="Q2013" s="16"/>
    </row>
    <row r="2014" spans="1:17" x14ac:dyDescent="0.3">
      <c r="A2014" s="5"/>
      <c r="B2014" s="6"/>
      <c r="C2014" s="7"/>
      <c r="D2014" s="8"/>
      <c r="E2014" s="8"/>
      <c r="F2014" s="10"/>
      <c r="G2014" s="10"/>
      <c r="H2014" s="10"/>
      <c r="I2014" s="7"/>
      <c r="J2014" s="12"/>
      <c r="K2014" s="13"/>
      <c r="L2014" s="14"/>
      <c r="M2014" s="15"/>
      <c r="N2014" s="15"/>
      <c r="O2014" s="16"/>
      <c r="Q2014" s="16"/>
    </row>
    <row r="2015" spans="1:17" x14ac:dyDescent="0.3">
      <c r="A2015" s="5"/>
      <c r="B2015" s="6"/>
      <c r="C2015" s="7"/>
      <c r="D2015" s="8"/>
      <c r="E2015" s="8"/>
      <c r="F2015" s="10"/>
      <c r="G2015" s="10"/>
      <c r="H2015" s="10"/>
      <c r="I2015" s="7"/>
      <c r="J2015" s="12"/>
      <c r="K2015" s="13"/>
      <c r="L2015" s="14"/>
      <c r="M2015" s="15"/>
      <c r="N2015" s="15"/>
      <c r="O2015" s="16"/>
      <c r="Q2015" s="16"/>
    </row>
    <row r="2016" spans="1:17" x14ac:dyDescent="0.3">
      <c r="A2016" s="5"/>
      <c r="B2016" s="6"/>
      <c r="C2016" s="7"/>
      <c r="D2016" s="8"/>
      <c r="E2016" s="8"/>
      <c r="F2016" s="10"/>
      <c r="G2016" s="10"/>
      <c r="H2016" s="10"/>
      <c r="I2016" s="7"/>
      <c r="J2016" s="12"/>
      <c r="K2016" s="13"/>
      <c r="L2016" s="14"/>
      <c r="M2016" s="15"/>
      <c r="N2016" s="15"/>
      <c r="O2016" s="16"/>
      <c r="Q2016" s="16"/>
    </row>
    <row r="2017" spans="1:17" x14ac:dyDescent="0.3">
      <c r="A2017" s="5"/>
      <c r="B2017" s="6"/>
      <c r="C2017" s="7"/>
      <c r="D2017" s="8"/>
      <c r="E2017" s="8"/>
      <c r="F2017" s="10"/>
      <c r="G2017" s="10"/>
      <c r="H2017" s="10"/>
      <c r="I2017" s="7"/>
      <c r="J2017" s="12"/>
      <c r="K2017" s="13"/>
      <c r="L2017" s="14"/>
      <c r="M2017" s="15"/>
      <c r="N2017" s="15"/>
      <c r="O2017" s="16"/>
      <c r="Q2017" s="16"/>
    </row>
    <row r="2018" spans="1:17" x14ac:dyDescent="0.3">
      <c r="A2018" s="5"/>
      <c r="B2018" s="6"/>
      <c r="C2018" s="7"/>
      <c r="D2018" s="8"/>
      <c r="E2018" s="8"/>
      <c r="F2018" s="10"/>
      <c r="G2018" s="10"/>
      <c r="H2018" s="10"/>
      <c r="I2018" s="7"/>
      <c r="J2018" s="12"/>
      <c r="K2018" s="13"/>
      <c r="L2018" s="14"/>
      <c r="M2018" s="15"/>
      <c r="N2018" s="15"/>
      <c r="O2018" s="16"/>
      <c r="Q2018" s="16"/>
    </row>
    <row r="2019" spans="1:17" x14ac:dyDescent="0.3">
      <c r="A2019" s="5"/>
      <c r="B2019" s="6"/>
      <c r="C2019" s="7"/>
      <c r="D2019" s="8"/>
      <c r="E2019" s="8"/>
      <c r="F2019" s="10"/>
      <c r="G2019" s="10"/>
      <c r="H2019" s="10"/>
      <c r="I2019" s="7"/>
      <c r="J2019" s="12"/>
      <c r="K2019" s="13"/>
      <c r="L2019" s="14"/>
      <c r="M2019" s="15"/>
      <c r="N2019" s="15"/>
      <c r="O2019" s="16"/>
      <c r="Q2019" s="16"/>
    </row>
    <row r="2020" spans="1:17" x14ac:dyDescent="0.3">
      <c r="A2020" s="5"/>
      <c r="B2020" s="6"/>
      <c r="C2020" s="7"/>
      <c r="D2020" s="8"/>
      <c r="E2020" s="8"/>
      <c r="F2020" s="10"/>
      <c r="G2020" s="10"/>
      <c r="H2020" s="10"/>
      <c r="I2020" s="7"/>
      <c r="J2020" s="12"/>
      <c r="K2020" s="13"/>
      <c r="L2020" s="14"/>
      <c r="M2020" s="15"/>
      <c r="N2020" s="15"/>
      <c r="O2020" s="16"/>
      <c r="Q2020" s="16"/>
    </row>
    <row r="2021" spans="1:17" x14ac:dyDescent="0.3">
      <c r="A2021" s="5"/>
      <c r="B2021" s="6"/>
      <c r="C2021" s="7"/>
      <c r="D2021" s="8"/>
      <c r="E2021" s="8"/>
      <c r="F2021" s="10"/>
      <c r="G2021" s="10"/>
      <c r="H2021" s="10"/>
      <c r="I2021" s="7"/>
      <c r="J2021" s="12"/>
      <c r="K2021" s="13"/>
      <c r="L2021" s="14"/>
      <c r="M2021" s="15"/>
      <c r="N2021" s="15"/>
      <c r="O2021" s="16"/>
      <c r="Q2021" s="16"/>
    </row>
    <row r="2022" spans="1:17" x14ac:dyDescent="0.3">
      <c r="A2022" s="5"/>
      <c r="B2022" s="6"/>
      <c r="C2022" s="7"/>
      <c r="D2022" s="8"/>
      <c r="E2022" s="8"/>
      <c r="F2022" s="10"/>
      <c r="G2022" s="10"/>
      <c r="H2022" s="10"/>
      <c r="I2022" s="7"/>
      <c r="J2022" s="12"/>
      <c r="K2022" s="13"/>
      <c r="L2022" s="14"/>
      <c r="M2022" s="15"/>
      <c r="N2022" s="15"/>
      <c r="O2022" s="16"/>
      <c r="Q2022" s="16"/>
    </row>
    <row r="2023" spans="1:17" x14ac:dyDescent="0.3">
      <c r="A2023" s="5"/>
      <c r="B2023" s="6"/>
      <c r="C2023" s="7"/>
      <c r="D2023" s="8"/>
      <c r="E2023" s="8"/>
      <c r="F2023" s="10"/>
      <c r="G2023" s="10"/>
      <c r="H2023" s="10"/>
      <c r="I2023" s="7"/>
      <c r="J2023" s="12"/>
      <c r="K2023" s="13"/>
      <c r="L2023" s="14"/>
      <c r="M2023" s="15"/>
      <c r="N2023" s="15"/>
      <c r="O2023" s="16"/>
      <c r="Q2023" s="16"/>
    </row>
    <row r="2024" spans="1:17" x14ac:dyDescent="0.3">
      <c r="A2024" s="5"/>
      <c r="B2024" s="6"/>
      <c r="C2024" s="7"/>
      <c r="D2024" s="8"/>
      <c r="E2024" s="8"/>
      <c r="F2024" s="10"/>
      <c r="G2024" s="10"/>
      <c r="H2024" s="10"/>
      <c r="I2024" s="7"/>
      <c r="J2024" s="12"/>
      <c r="K2024" s="13"/>
      <c r="L2024" s="14"/>
      <c r="M2024" s="15"/>
      <c r="N2024" s="15"/>
      <c r="O2024" s="16"/>
      <c r="Q2024" s="16"/>
    </row>
    <row r="2025" spans="1:17" x14ac:dyDescent="0.3">
      <c r="A2025" s="5"/>
      <c r="B2025" s="6"/>
      <c r="C2025" s="7"/>
      <c r="D2025" s="8"/>
      <c r="E2025" s="8"/>
      <c r="F2025" s="10"/>
      <c r="G2025" s="10"/>
      <c r="H2025" s="10"/>
      <c r="I2025" s="7"/>
      <c r="J2025" s="12"/>
      <c r="K2025" s="13"/>
      <c r="L2025" s="14"/>
      <c r="M2025" s="15"/>
      <c r="N2025" s="15"/>
      <c r="O2025" s="16"/>
      <c r="Q2025" s="16"/>
    </row>
    <row r="2026" spans="1:17" x14ac:dyDescent="0.3">
      <c r="A2026" s="5"/>
      <c r="B2026" s="6"/>
      <c r="C2026" s="7"/>
      <c r="D2026" s="8"/>
      <c r="E2026" s="8"/>
      <c r="F2026" s="10"/>
      <c r="G2026" s="10"/>
      <c r="H2026" s="10"/>
      <c r="I2026" s="7"/>
      <c r="J2026" s="12"/>
      <c r="K2026" s="13"/>
      <c r="L2026" s="14"/>
      <c r="M2026" s="15"/>
      <c r="N2026" s="15"/>
      <c r="O2026" s="16"/>
      <c r="Q2026" s="16"/>
    </row>
    <row r="2027" spans="1:17" x14ac:dyDescent="0.3">
      <c r="A2027" s="5"/>
      <c r="B2027" s="6"/>
      <c r="C2027" s="7"/>
      <c r="D2027" s="8"/>
      <c r="E2027" s="8"/>
      <c r="F2027" s="10"/>
      <c r="G2027" s="10"/>
      <c r="H2027" s="10"/>
      <c r="I2027" s="7"/>
      <c r="J2027" s="12"/>
      <c r="K2027" s="13"/>
      <c r="L2027" s="14"/>
      <c r="M2027" s="15"/>
      <c r="N2027" s="15"/>
      <c r="O2027" s="16"/>
      <c r="Q2027" s="16"/>
    </row>
    <row r="2028" spans="1:17" x14ac:dyDescent="0.3">
      <c r="A2028" s="5"/>
      <c r="B2028" s="6"/>
      <c r="C2028" s="7"/>
      <c r="D2028" s="8"/>
      <c r="E2028" s="8"/>
      <c r="F2028" s="10"/>
      <c r="G2028" s="10"/>
      <c r="H2028" s="10"/>
      <c r="I2028" s="7"/>
      <c r="J2028" s="12"/>
      <c r="K2028" s="13"/>
      <c r="L2028" s="14"/>
      <c r="M2028" s="15"/>
      <c r="N2028" s="15"/>
      <c r="O2028" s="16"/>
      <c r="Q2028" s="16"/>
    </row>
    <row r="2029" spans="1:17" x14ac:dyDescent="0.3">
      <c r="A2029" s="5"/>
      <c r="B2029" s="6"/>
      <c r="C2029" s="7"/>
      <c r="D2029" s="8"/>
      <c r="E2029" s="8"/>
      <c r="F2029" s="10"/>
      <c r="G2029" s="10"/>
      <c r="H2029" s="10"/>
      <c r="I2029" s="7"/>
      <c r="J2029" s="12"/>
      <c r="K2029" s="13"/>
      <c r="L2029" s="14"/>
      <c r="M2029" s="15"/>
      <c r="N2029" s="15"/>
      <c r="O2029" s="16"/>
      <c r="Q2029" s="16"/>
    </row>
    <row r="2030" spans="1:17" x14ac:dyDescent="0.3">
      <c r="A2030" s="5"/>
      <c r="B2030" s="6"/>
      <c r="C2030" s="7"/>
      <c r="D2030" s="8"/>
      <c r="E2030" s="8"/>
      <c r="F2030" s="10"/>
      <c r="G2030" s="10"/>
      <c r="H2030" s="10"/>
      <c r="I2030" s="7"/>
      <c r="J2030" s="12"/>
      <c r="K2030" s="13"/>
      <c r="L2030" s="14"/>
      <c r="M2030" s="15"/>
      <c r="N2030" s="15"/>
      <c r="O2030" s="16"/>
      <c r="Q2030" s="16"/>
    </row>
    <row r="2031" spans="1:17" x14ac:dyDescent="0.3">
      <c r="A2031" s="5"/>
      <c r="B2031" s="6"/>
      <c r="C2031" s="7"/>
      <c r="D2031" s="8"/>
      <c r="E2031" s="8"/>
      <c r="F2031" s="10"/>
      <c r="G2031" s="10"/>
      <c r="H2031" s="10"/>
      <c r="I2031" s="7"/>
      <c r="J2031" s="12"/>
      <c r="K2031" s="13"/>
      <c r="L2031" s="14"/>
      <c r="M2031" s="15"/>
      <c r="N2031" s="15"/>
      <c r="O2031" s="16"/>
      <c r="Q2031" s="16"/>
    </row>
    <row r="2032" spans="1:17" x14ac:dyDescent="0.3">
      <c r="A2032" s="5"/>
      <c r="B2032" s="6"/>
      <c r="C2032" s="7"/>
      <c r="D2032" s="8"/>
      <c r="E2032" s="8"/>
      <c r="F2032" s="10"/>
      <c r="G2032" s="10"/>
      <c r="H2032" s="10"/>
      <c r="I2032" s="7"/>
      <c r="J2032" s="12"/>
      <c r="K2032" s="13"/>
      <c r="L2032" s="14"/>
      <c r="M2032" s="15"/>
      <c r="N2032" s="15"/>
      <c r="O2032" s="16"/>
      <c r="Q2032" s="16"/>
    </row>
    <row r="2033" spans="1:17" x14ac:dyDescent="0.3">
      <c r="A2033" s="5"/>
      <c r="B2033" s="6"/>
      <c r="C2033" s="7"/>
      <c r="D2033" s="8"/>
      <c r="E2033" s="8"/>
      <c r="F2033" s="10"/>
      <c r="G2033" s="10"/>
      <c r="H2033" s="10"/>
      <c r="I2033" s="7"/>
      <c r="J2033" s="12"/>
      <c r="K2033" s="13"/>
      <c r="L2033" s="14"/>
      <c r="M2033" s="15"/>
      <c r="N2033" s="15"/>
      <c r="O2033" s="16"/>
      <c r="Q2033" s="16"/>
    </row>
    <row r="2034" spans="1:17" x14ac:dyDescent="0.3">
      <c r="A2034" s="5"/>
      <c r="B2034" s="6"/>
      <c r="C2034" s="7"/>
      <c r="D2034" s="8"/>
      <c r="E2034" s="8"/>
      <c r="F2034" s="10"/>
      <c r="G2034" s="10"/>
      <c r="H2034" s="10"/>
      <c r="I2034" s="7"/>
      <c r="J2034" s="12"/>
      <c r="K2034" s="13"/>
      <c r="L2034" s="14"/>
      <c r="M2034" s="15"/>
      <c r="N2034" s="15"/>
      <c r="O2034" s="16"/>
      <c r="Q2034" s="16"/>
    </row>
    <row r="2035" spans="1:17" x14ac:dyDescent="0.3">
      <c r="A2035" s="5"/>
      <c r="B2035" s="6"/>
      <c r="C2035" s="7"/>
      <c r="D2035" s="8"/>
      <c r="E2035" s="8"/>
      <c r="F2035" s="10"/>
      <c r="G2035" s="10"/>
      <c r="H2035" s="10"/>
      <c r="I2035" s="7"/>
      <c r="J2035" s="12"/>
      <c r="K2035" s="13"/>
      <c r="L2035" s="14"/>
      <c r="M2035" s="15"/>
      <c r="N2035" s="15"/>
      <c r="O2035" s="16"/>
      <c r="Q2035" s="16"/>
    </row>
    <row r="2036" spans="1:17" x14ac:dyDescent="0.3">
      <c r="A2036" s="5"/>
      <c r="B2036" s="6"/>
      <c r="C2036" s="7"/>
      <c r="D2036" s="8"/>
      <c r="E2036" s="8"/>
      <c r="F2036" s="10"/>
      <c r="G2036" s="10"/>
      <c r="H2036" s="10"/>
      <c r="I2036" s="7"/>
      <c r="J2036" s="12"/>
      <c r="K2036" s="13"/>
      <c r="L2036" s="14"/>
      <c r="M2036" s="15"/>
      <c r="N2036" s="15"/>
      <c r="O2036" s="16"/>
      <c r="Q2036" s="16"/>
    </row>
    <row r="2037" spans="1:17" x14ac:dyDescent="0.3">
      <c r="A2037" s="5"/>
      <c r="B2037" s="6"/>
      <c r="C2037" s="7"/>
      <c r="D2037" s="8"/>
      <c r="E2037" s="8"/>
      <c r="F2037" s="10"/>
      <c r="G2037" s="10"/>
      <c r="H2037" s="10"/>
      <c r="I2037" s="7"/>
      <c r="J2037" s="12"/>
      <c r="K2037" s="13"/>
      <c r="L2037" s="14"/>
      <c r="M2037" s="15"/>
      <c r="N2037" s="15"/>
      <c r="O2037" s="16"/>
      <c r="Q2037" s="16"/>
    </row>
    <row r="2038" spans="1:17" x14ac:dyDescent="0.3">
      <c r="A2038" s="5"/>
      <c r="B2038" s="6"/>
      <c r="C2038" s="7"/>
      <c r="D2038" s="8"/>
      <c r="E2038" s="8"/>
      <c r="F2038" s="10"/>
      <c r="G2038" s="10"/>
      <c r="H2038" s="10"/>
      <c r="I2038" s="7"/>
      <c r="J2038" s="12"/>
      <c r="K2038" s="13"/>
      <c r="L2038" s="14"/>
      <c r="M2038" s="15"/>
      <c r="N2038" s="15"/>
      <c r="O2038" s="16"/>
      <c r="Q2038" s="16"/>
    </row>
    <row r="2039" spans="1:17" x14ac:dyDescent="0.3">
      <c r="A2039" s="5"/>
      <c r="B2039" s="6"/>
      <c r="C2039" s="7"/>
      <c r="D2039" s="8"/>
      <c r="E2039" s="8"/>
      <c r="F2039" s="10"/>
      <c r="G2039" s="10"/>
      <c r="H2039" s="10"/>
      <c r="I2039" s="7"/>
      <c r="J2039" s="12"/>
      <c r="K2039" s="13"/>
      <c r="L2039" s="14"/>
      <c r="M2039" s="15"/>
      <c r="N2039" s="15"/>
      <c r="O2039" s="16"/>
      <c r="Q2039" s="16"/>
    </row>
    <row r="2040" spans="1:17" x14ac:dyDescent="0.3">
      <c r="A2040" s="5"/>
      <c r="B2040" s="6"/>
      <c r="C2040" s="7"/>
      <c r="D2040" s="8"/>
      <c r="E2040" s="8"/>
      <c r="F2040" s="10"/>
      <c r="G2040" s="10"/>
      <c r="H2040" s="10"/>
      <c r="I2040" s="7"/>
      <c r="J2040" s="12"/>
      <c r="K2040" s="13"/>
      <c r="L2040" s="14"/>
      <c r="M2040" s="15"/>
      <c r="N2040" s="15"/>
      <c r="O2040" s="16"/>
      <c r="Q2040" s="16"/>
    </row>
    <row r="2041" spans="1:17" x14ac:dyDescent="0.3">
      <c r="A2041" s="5"/>
      <c r="B2041" s="6"/>
      <c r="C2041" s="7"/>
      <c r="D2041" s="8"/>
      <c r="E2041" s="8"/>
      <c r="F2041" s="10"/>
      <c r="G2041" s="10"/>
      <c r="H2041" s="10"/>
      <c r="I2041" s="7"/>
      <c r="J2041" s="12"/>
      <c r="K2041" s="13"/>
      <c r="L2041" s="14"/>
      <c r="M2041" s="15"/>
      <c r="N2041" s="15"/>
      <c r="O2041" s="16"/>
      <c r="Q2041" s="16"/>
    </row>
    <row r="2042" spans="1:17" x14ac:dyDescent="0.3">
      <c r="A2042" s="5"/>
      <c r="B2042" s="6"/>
      <c r="C2042" s="7"/>
      <c r="D2042" s="8"/>
      <c r="E2042" s="8"/>
      <c r="F2042" s="10"/>
      <c r="G2042" s="10"/>
      <c r="H2042" s="10"/>
      <c r="I2042" s="7"/>
      <c r="J2042" s="12"/>
      <c r="K2042" s="13"/>
      <c r="L2042" s="14"/>
      <c r="M2042" s="15"/>
      <c r="N2042" s="15"/>
      <c r="O2042" s="16"/>
      <c r="Q2042" s="16"/>
    </row>
    <row r="2043" spans="1:17" x14ac:dyDescent="0.3">
      <c r="A2043" s="5"/>
      <c r="B2043" s="6"/>
      <c r="C2043" s="7"/>
      <c r="D2043" s="8"/>
      <c r="E2043" s="8"/>
      <c r="F2043" s="10"/>
      <c r="G2043" s="10"/>
      <c r="H2043" s="10"/>
      <c r="I2043" s="7"/>
      <c r="J2043" s="12"/>
      <c r="K2043" s="13"/>
      <c r="L2043" s="14"/>
      <c r="M2043" s="15"/>
      <c r="N2043" s="15"/>
      <c r="O2043" s="16"/>
      <c r="Q2043" s="16"/>
    </row>
    <row r="2044" spans="1:17" x14ac:dyDescent="0.3">
      <c r="A2044" s="5"/>
      <c r="B2044" s="6"/>
      <c r="C2044" s="7"/>
      <c r="D2044" s="8"/>
      <c r="E2044" s="8"/>
      <c r="F2044" s="10"/>
      <c r="G2044" s="10"/>
      <c r="H2044" s="10"/>
      <c r="I2044" s="7"/>
      <c r="J2044" s="12"/>
      <c r="K2044" s="13"/>
      <c r="L2044" s="14"/>
      <c r="M2044" s="15"/>
      <c r="N2044" s="15"/>
      <c r="O2044" s="16"/>
      <c r="Q2044" s="16"/>
    </row>
    <row r="2045" spans="1:17" x14ac:dyDescent="0.3">
      <c r="A2045" s="5"/>
      <c r="B2045" s="6"/>
      <c r="C2045" s="7"/>
      <c r="D2045" s="8"/>
      <c r="E2045" s="8"/>
      <c r="F2045" s="10"/>
      <c r="G2045" s="10"/>
      <c r="H2045" s="10"/>
      <c r="I2045" s="7"/>
      <c r="J2045" s="12"/>
      <c r="K2045" s="13"/>
      <c r="L2045" s="14"/>
      <c r="M2045" s="15"/>
      <c r="N2045" s="15"/>
      <c r="O2045" s="16"/>
      <c r="Q2045" s="16"/>
    </row>
    <row r="2046" spans="1:17" x14ac:dyDescent="0.3">
      <c r="A2046" s="5"/>
      <c r="B2046" s="6"/>
      <c r="C2046" s="7"/>
      <c r="D2046" s="8"/>
      <c r="E2046" s="8"/>
      <c r="F2046" s="10"/>
      <c r="G2046" s="10"/>
      <c r="H2046" s="10"/>
      <c r="I2046" s="7"/>
      <c r="J2046" s="12"/>
      <c r="K2046" s="13"/>
      <c r="L2046" s="14"/>
      <c r="M2046" s="15"/>
      <c r="N2046" s="15"/>
      <c r="O2046" s="16"/>
      <c r="Q2046" s="16"/>
    </row>
    <row r="2047" spans="1:17" x14ac:dyDescent="0.3">
      <c r="A2047" s="5"/>
      <c r="B2047" s="6"/>
      <c r="C2047" s="7"/>
      <c r="D2047" s="8"/>
      <c r="E2047" s="8"/>
      <c r="F2047" s="10"/>
      <c r="G2047" s="10"/>
      <c r="H2047" s="10"/>
      <c r="I2047" s="7"/>
      <c r="J2047" s="12"/>
      <c r="K2047" s="13"/>
      <c r="L2047" s="14"/>
      <c r="M2047" s="15"/>
      <c r="N2047" s="15"/>
      <c r="O2047" s="16"/>
      <c r="Q2047" s="16"/>
    </row>
    <row r="2048" spans="1:17" x14ac:dyDescent="0.3">
      <c r="A2048" s="5"/>
      <c r="B2048" s="6"/>
      <c r="C2048" s="7"/>
      <c r="D2048" s="8"/>
      <c r="E2048" s="8"/>
      <c r="F2048" s="10"/>
      <c r="G2048" s="10"/>
      <c r="H2048" s="10"/>
      <c r="I2048" s="7"/>
      <c r="J2048" s="12"/>
      <c r="K2048" s="13"/>
      <c r="L2048" s="14"/>
      <c r="M2048" s="15"/>
      <c r="N2048" s="15"/>
      <c r="O2048" s="16"/>
      <c r="Q2048" s="16"/>
    </row>
    <row r="2049" spans="1:17" x14ac:dyDescent="0.3">
      <c r="A2049" s="5"/>
      <c r="B2049" s="6"/>
      <c r="C2049" s="7"/>
      <c r="D2049" s="8"/>
      <c r="E2049" s="8"/>
      <c r="F2049" s="10"/>
      <c r="G2049" s="10"/>
      <c r="H2049" s="10"/>
      <c r="I2049" s="7"/>
      <c r="J2049" s="12"/>
      <c r="K2049" s="13"/>
      <c r="L2049" s="14"/>
      <c r="M2049" s="15"/>
      <c r="N2049" s="15"/>
      <c r="O2049" s="16"/>
      <c r="Q2049" s="16"/>
    </row>
    <row r="2050" spans="1:17" x14ac:dyDescent="0.3">
      <c r="A2050" s="5"/>
      <c r="B2050" s="6"/>
      <c r="C2050" s="7"/>
      <c r="D2050" s="8"/>
      <c r="E2050" s="8"/>
      <c r="F2050" s="10"/>
      <c r="G2050" s="10"/>
      <c r="H2050" s="10"/>
      <c r="I2050" s="7"/>
      <c r="J2050" s="12"/>
      <c r="K2050" s="13"/>
      <c r="L2050" s="14"/>
      <c r="M2050" s="15"/>
      <c r="N2050" s="15"/>
      <c r="O2050" s="16"/>
      <c r="Q2050" s="16"/>
    </row>
    <row r="2051" spans="1:17" x14ac:dyDescent="0.3">
      <c r="A2051" s="5"/>
      <c r="B2051" s="6"/>
      <c r="C2051" s="7"/>
      <c r="D2051" s="8"/>
      <c r="E2051" s="8"/>
      <c r="F2051" s="10"/>
      <c r="G2051" s="10"/>
      <c r="H2051" s="10"/>
      <c r="I2051" s="7"/>
      <c r="J2051" s="12"/>
      <c r="K2051" s="13"/>
      <c r="L2051" s="14"/>
      <c r="M2051" s="15"/>
      <c r="N2051" s="15"/>
      <c r="O2051" s="16"/>
      <c r="Q2051" s="16"/>
    </row>
    <row r="2052" spans="1:17" x14ac:dyDescent="0.3">
      <c r="A2052" s="5"/>
      <c r="B2052" s="6"/>
      <c r="C2052" s="7"/>
      <c r="D2052" s="8"/>
      <c r="E2052" s="8"/>
      <c r="F2052" s="10"/>
      <c r="G2052" s="10"/>
      <c r="H2052" s="10"/>
      <c r="I2052" s="7"/>
      <c r="J2052" s="12"/>
      <c r="K2052" s="13"/>
      <c r="L2052" s="14"/>
      <c r="M2052" s="15"/>
      <c r="N2052" s="15"/>
      <c r="O2052" s="16"/>
      <c r="Q2052" s="16"/>
    </row>
    <row r="2053" spans="1:17" x14ac:dyDescent="0.3">
      <c r="A2053" s="5"/>
      <c r="B2053" s="6"/>
      <c r="C2053" s="7"/>
      <c r="D2053" s="8"/>
      <c r="E2053" s="8"/>
      <c r="F2053" s="10"/>
      <c r="G2053" s="10"/>
      <c r="H2053" s="10"/>
      <c r="I2053" s="7"/>
      <c r="J2053" s="12"/>
      <c r="K2053" s="13"/>
      <c r="L2053" s="14"/>
      <c r="M2053" s="15"/>
      <c r="N2053" s="15"/>
      <c r="O2053" s="16"/>
      <c r="Q2053" s="16"/>
    </row>
    <row r="2054" spans="1:17" x14ac:dyDescent="0.3">
      <c r="A2054" s="5"/>
      <c r="B2054" s="6"/>
      <c r="C2054" s="7"/>
      <c r="D2054" s="8"/>
      <c r="E2054" s="8"/>
      <c r="F2054" s="10"/>
      <c r="G2054" s="10"/>
      <c r="H2054" s="10"/>
      <c r="I2054" s="7"/>
      <c r="J2054" s="12"/>
      <c r="K2054" s="13"/>
      <c r="L2054" s="14"/>
      <c r="M2054" s="15"/>
      <c r="N2054" s="15"/>
      <c r="O2054" s="16"/>
      <c r="Q2054" s="16"/>
    </row>
    <row r="2055" spans="1:17" x14ac:dyDescent="0.3">
      <c r="A2055" s="5"/>
      <c r="B2055" s="6"/>
      <c r="C2055" s="7"/>
      <c r="D2055" s="8"/>
      <c r="E2055" s="8"/>
      <c r="F2055" s="10"/>
      <c r="G2055" s="10"/>
      <c r="H2055" s="10"/>
      <c r="I2055" s="7"/>
      <c r="J2055" s="12"/>
      <c r="K2055" s="13"/>
      <c r="L2055" s="14"/>
      <c r="M2055" s="15"/>
      <c r="N2055" s="15"/>
      <c r="O2055" s="16"/>
      <c r="Q2055" s="16"/>
    </row>
    <row r="2056" spans="1:17" x14ac:dyDescent="0.3">
      <c r="A2056" s="5"/>
      <c r="B2056" s="6"/>
      <c r="C2056" s="7"/>
      <c r="D2056" s="8"/>
      <c r="E2056" s="8"/>
      <c r="F2056" s="10"/>
      <c r="G2056" s="10"/>
      <c r="H2056" s="10"/>
      <c r="I2056" s="7"/>
      <c r="J2056" s="12"/>
      <c r="K2056" s="13"/>
      <c r="L2056" s="14"/>
      <c r="M2056" s="15"/>
      <c r="N2056" s="15"/>
      <c r="O2056" s="16"/>
      <c r="Q2056" s="16"/>
    </row>
    <row r="2057" spans="1:17" x14ac:dyDescent="0.3">
      <c r="A2057" s="5"/>
      <c r="B2057" s="6"/>
      <c r="C2057" s="7"/>
      <c r="D2057" s="8"/>
      <c r="E2057" s="8"/>
      <c r="F2057" s="10"/>
      <c r="G2057" s="10"/>
      <c r="H2057" s="10"/>
      <c r="I2057" s="7"/>
      <c r="J2057" s="12"/>
      <c r="K2057" s="13"/>
      <c r="L2057" s="14"/>
      <c r="M2057" s="15"/>
      <c r="N2057" s="15"/>
      <c r="O2057" s="16"/>
      <c r="Q2057" s="16"/>
    </row>
    <row r="2058" spans="1:17" x14ac:dyDescent="0.3">
      <c r="A2058" s="5"/>
      <c r="B2058" s="6"/>
      <c r="C2058" s="7"/>
      <c r="D2058" s="8"/>
      <c r="E2058" s="8"/>
      <c r="F2058" s="10"/>
      <c r="G2058" s="10"/>
      <c r="H2058" s="10"/>
      <c r="I2058" s="7"/>
      <c r="J2058" s="12"/>
      <c r="K2058" s="13"/>
      <c r="L2058" s="14"/>
      <c r="M2058" s="15"/>
      <c r="N2058" s="15"/>
      <c r="O2058" s="16"/>
      <c r="Q2058" s="16"/>
    </row>
    <row r="2059" spans="1:17" x14ac:dyDescent="0.3">
      <c r="A2059" s="5"/>
      <c r="B2059" s="6"/>
      <c r="C2059" s="7"/>
      <c r="D2059" s="8"/>
      <c r="E2059" s="8"/>
      <c r="F2059" s="10"/>
      <c r="G2059" s="10"/>
      <c r="H2059" s="10"/>
      <c r="I2059" s="7"/>
      <c r="J2059" s="12"/>
      <c r="K2059" s="13"/>
      <c r="L2059" s="14"/>
      <c r="M2059" s="15"/>
      <c r="N2059" s="15"/>
      <c r="O2059" s="16"/>
      <c r="Q2059" s="16"/>
    </row>
    <row r="2060" spans="1:17" x14ac:dyDescent="0.3">
      <c r="A2060" s="5"/>
      <c r="B2060" s="6"/>
      <c r="C2060" s="7"/>
      <c r="D2060" s="8"/>
      <c r="E2060" s="8"/>
      <c r="F2060" s="10"/>
      <c r="G2060" s="10"/>
      <c r="H2060" s="10"/>
      <c r="I2060" s="7"/>
      <c r="J2060" s="12"/>
      <c r="K2060" s="13"/>
      <c r="L2060" s="14"/>
      <c r="M2060" s="15"/>
      <c r="N2060" s="15"/>
      <c r="O2060" s="16"/>
      <c r="Q2060" s="16"/>
    </row>
    <row r="2061" spans="1:17" x14ac:dyDescent="0.3">
      <c r="A2061" s="5"/>
      <c r="B2061" s="6"/>
      <c r="C2061" s="7"/>
      <c r="D2061" s="8"/>
      <c r="E2061" s="8"/>
      <c r="F2061" s="10"/>
      <c r="G2061" s="10"/>
      <c r="H2061" s="10"/>
      <c r="I2061" s="7"/>
      <c r="J2061" s="12"/>
      <c r="K2061" s="13"/>
      <c r="L2061" s="14"/>
      <c r="M2061" s="15"/>
      <c r="N2061" s="15"/>
      <c r="O2061" s="16"/>
      <c r="Q2061" s="16"/>
    </row>
    <row r="2062" spans="1:17" x14ac:dyDescent="0.3">
      <c r="A2062" s="5"/>
      <c r="B2062" s="6"/>
      <c r="C2062" s="7"/>
      <c r="D2062" s="8"/>
      <c r="E2062" s="8"/>
      <c r="F2062" s="10"/>
      <c r="G2062" s="10"/>
      <c r="H2062" s="10"/>
      <c r="I2062" s="7"/>
      <c r="J2062" s="12"/>
      <c r="K2062" s="13"/>
      <c r="L2062" s="14"/>
      <c r="M2062" s="15"/>
      <c r="N2062" s="15"/>
      <c r="O2062" s="16"/>
      <c r="Q2062" s="16"/>
    </row>
    <row r="2063" spans="1:17" x14ac:dyDescent="0.3">
      <c r="A2063" s="5"/>
      <c r="B2063" s="6"/>
      <c r="C2063" s="7"/>
      <c r="D2063" s="8"/>
      <c r="E2063" s="8"/>
      <c r="F2063" s="10"/>
      <c r="G2063" s="10"/>
      <c r="H2063" s="10"/>
      <c r="I2063" s="7"/>
      <c r="J2063" s="12"/>
      <c r="K2063" s="13"/>
      <c r="L2063" s="14"/>
      <c r="M2063" s="15"/>
      <c r="N2063" s="15"/>
      <c r="O2063" s="16"/>
      <c r="Q2063" s="16"/>
    </row>
    <row r="2064" spans="1:17" x14ac:dyDescent="0.3">
      <c r="A2064" s="5"/>
      <c r="B2064" s="6"/>
      <c r="C2064" s="7"/>
      <c r="D2064" s="8"/>
      <c r="E2064" s="8"/>
      <c r="F2064" s="10"/>
      <c r="G2064" s="10"/>
      <c r="H2064" s="10"/>
      <c r="I2064" s="7"/>
      <c r="J2064" s="12"/>
      <c r="K2064" s="13"/>
      <c r="L2064" s="14"/>
      <c r="M2064" s="15"/>
      <c r="N2064" s="15"/>
      <c r="O2064" s="16"/>
      <c r="Q2064" s="16"/>
    </row>
    <row r="2065" spans="1:17" x14ac:dyDescent="0.3">
      <c r="A2065" s="5"/>
      <c r="B2065" s="6"/>
      <c r="C2065" s="7"/>
      <c r="D2065" s="8"/>
      <c r="E2065" s="8"/>
      <c r="F2065" s="10"/>
      <c r="G2065" s="10"/>
      <c r="H2065" s="10"/>
      <c r="I2065" s="7"/>
      <c r="J2065" s="12"/>
      <c r="K2065" s="13"/>
      <c r="L2065" s="14"/>
      <c r="M2065" s="15"/>
      <c r="N2065" s="15"/>
      <c r="O2065" s="16"/>
      <c r="Q2065" s="16"/>
    </row>
    <row r="2066" spans="1:17" x14ac:dyDescent="0.3">
      <c r="A2066" s="5"/>
      <c r="B2066" s="6"/>
      <c r="C2066" s="7"/>
      <c r="D2066" s="8"/>
      <c r="E2066" s="8"/>
      <c r="F2066" s="10"/>
      <c r="G2066" s="10"/>
      <c r="H2066" s="10"/>
      <c r="I2066" s="7"/>
      <c r="J2066" s="12"/>
      <c r="K2066" s="13"/>
      <c r="L2066" s="14"/>
      <c r="M2066" s="15"/>
      <c r="N2066" s="15"/>
      <c r="O2066" s="16"/>
      <c r="Q2066" s="16"/>
    </row>
    <row r="2067" spans="1:17" x14ac:dyDescent="0.3">
      <c r="A2067" s="5"/>
      <c r="B2067" s="6"/>
      <c r="C2067" s="7"/>
      <c r="D2067" s="8"/>
      <c r="E2067" s="8"/>
      <c r="F2067" s="10"/>
      <c r="G2067" s="10"/>
      <c r="H2067" s="10"/>
      <c r="I2067" s="7"/>
      <c r="J2067" s="12"/>
      <c r="K2067" s="13"/>
      <c r="L2067" s="14"/>
      <c r="M2067" s="15"/>
      <c r="N2067" s="15"/>
      <c r="O2067" s="16"/>
      <c r="Q2067" s="16"/>
    </row>
    <row r="2068" spans="1:17" x14ac:dyDescent="0.3">
      <c r="A2068" s="5"/>
      <c r="B2068" s="6"/>
      <c r="C2068" s="7"/>
      <c r="D2068" s="8"/>
      <c r="E2068" s="8"/>
      <c r="F2068" s="10"/>
      <c r="G2068" s="10"/>
      <c r="H2068" s="10"/>
      <c r="I2068" s="7"/>
      <c r="J2068" s="12"/>
      <c r="K2068" s="13"/>
      <c r="L2068" s="14"/>
      <c r="M2068" s="15"/>
      <c r="N2068" s="15"/>
      <c r="O2068" s="16"/>
      <c r="Q2068" s="16"/>
    </row>
    <row r="2069" spans="1:17" x14ac:dyDescent="0.3">
      <c r="A2069" s="5"/>
      <c r="B2069" s="6"/>
      <c r="C2069" s="7"/>
      <c r="D2069" s="8"/>
      <c r="E2069" s="8"/>
      <c r="F2069" s="10"/>
      <c r="G2069" s="10"/>
      <c r="H2069" s="10"/>
      <c r="I2069" s="7"/>
      <c r="J2069" s="12"/>
      <c r="K2069" s="13"/>
      <c r="L2069" s="14"/>
      <c r="M2069" s="15"/>
      <c r="N2069" s="15"/>
      <c r="O2069" s="16"/>
      <c r="Q2069" s="16"/>
    </row>
    <row r="2070" spans="1:17" x14ac:dyDescent="0.3">
      <c r="A2070" s="5"/>
      <c r="B2070" s="6"/>
      <c r="C2070" s="7"/>
      <c r="D2070" s="8"/>
      <c r="E2070" s="8"/>
      <c r="F2070" s="10"/>
      <c r="G2070" s="10"/>
      <c r="H2070" s="10"/>
      <c r="I2070" s="7"/>
      <c r="J2070" s="12"/>
      <c r="K2070" s="13"/>
      <c r="L2070" s="14"/>
      <c r="M2070" s="15"/>
      <c r="N2070" s="15"/>
      <c r="O2070" s="16"/>
      <c r="Q2070" s="16"/>
    </row>
    <row r="2071" spans="1:17" x14ac:dyDescent="0.3">
      <c r="A2071" s="5"/>
      <c r="B2071" s="6"/>
      <c r="C2071" s="7"/>
      <c r="D2071" s="8"/>
      <c r="E2071" s="8"/>
      <c r="F2071" s="10"/>
      <c r="G2071" s="10"/>
      <c r="H2071" s="10"/>
      <c r="I2071" s="7"/>
      <c r="J2071" s="12"/>
      <c r="K2071" s="13"/>
      <c r="L2071" s="14"/>
      <c r="M2071" s="15"/>
      <c r="N2071" s="15"/>
      <c r="O2071" s="16"/>
      <c r="Q2071" s="16"/>
    </row>
    <row r="2072" spans="1:17" x14ac:dyDescent="0.3">
      <c r="A2072" s="5"/>
      <c r="B2072" s="6"/>
      <c r="C2072" s="7"/>
      <c r="D2072" s="8"/>
      <c r="E2072" s="8"/>
      <c r="F2072" s="10"/>
      <c r="G2072" s="10"/>
      <c r="H2072" s="10"/>
      <c r="I2072" s="7"/>
      <c r="J2072" s="12"/>
      <c r="K2072" s="13"/>
      <c r="L2072" s="14"/>
      <c r="M2072" s="15"/>
      <c r="N2072" s="15"/>
      <c r="O2072" s="16"/>
      <c r="Q2072" s="16"/>
    </row>
    <row r="2073" spans="1:17" x14ac:dyDescent="0.3">
      <c r="A2073" s="5"/>
      <c r="B2073" s="6"/>
      <c r="C2073" s="7"/>
      <c r="D2073" s="8"/>
      <c r="E2073" s="8"/>
      <c r="F2073" s="10"/>
      <c r="G2073" s="10"/>
      <c r="H2073" s="10"/>
      <c r="I2073" s="7"/>
      <c r="J2073" s="12"/>
      <c r="K2073" s="13"/>
      <c r="L2073" s="14"/>
      <c r="M2073" s="15"/>
      <c r="N2073" s="15"/>
      <c r="O2073" s="16"/>
      <c r="Q2073" s="16"/>
    </row>
    <row r="2074" spans="1:17" x14ac:dyDescent="0.3">
      <c r="A2074" s="5"/>
      <c r="B2074" s="6"/>
      <c r="C2074" s="7"/>
      <c r="D2074" s="8"/>
      <c r="E2074" s="8"/>
      <c r="F2074" s="10"/>
      <c r="G2074" s="10"/>
      <c r="H2074" s="10"/>
      <c r="I2074" s="7"/>
      <c r="J2074" s="12"/>
      <c r="K2074" s="13"/>
      <c r="L2074" s="14"/>
      <c r="M2074" s="15"/>
      <c r="N2074" s="15"/>
      <c r="O2074" s="16"/>
      <c r="Q2074" s="16"/>
    </row>
    <row r="2075" spans="1:17" x14ac:dyDescent="0.3">
      <c r="A2075" s="5"/>
      <c r="B2075" s="6"/>
      <c r="C2075" s="7"/>
      <c r="D2075" s="8"/>
      <c r="E2075" s="8"/>
      <c r="F2075" s="10"/>
      <c r="G2075" s="10"/>
      <c r="H2075" s="10"/>
      <c r="I2075" s="7"/>
      <c r="J2075" s="12"/>
      <c r="K2075" s="13"/>
      <c r="L2075" s="14"/>
      <c r="M2075" s="15"/>
      <c r="N2075" s="15"/>
      <c r="O2075" s="16"/>
      <c r="Q2075" s="16"/>
    </row>
    <row r="2076" spans="1:17" x14ac:dyDescent="0.3">
      <c r="A2076" s="5"/>
      <c r="B2076" s="6"/>
      <c r="C2076" s="7"/>
      <c r="D2076" s="8"/>
      <c r="E2076" s="8"/>
      <c r="F2076" s="10"/>
      <c r="G2076" s="10"/>
      <c r="H2076" s="10"/>
      <c r="I2076" s="7"/>
      <c r="J2076" s="12"/>
      <c r="K2076" s="13"/>
      <c r="L2076" s="14"/>
      <c r="M2076" s="15"/>
      <c r="N2076" s="15"/>
      <c r="O2076" s="16"/>
      <c r="Q2076" s="16"/>
    </row>
    <row r="2077" spans="1:17" x14ac:dyDescent="0.3">
      <c r="A2077" s="5"/>
      <c r="B2077" s="6"/>
      <c r="C2077" s="7"/>
      <c r="D2077" s="8"/>
      <c r="E2077" s="8"/>
      <c r="F2077" s="10"/>
      <c r="G2077" s="10"/>
      <c r="H2077" s="10"/>
      <c r="I2077" s="7"/>
      <c r="J2077" s="12"/>
      <c r="K2077" s="13"/>
      <c r="L2077" s="14"/>
      <c r="M2077" s="15"/>
      <c r="N2077" s="15"/>
      <c r="O2077" s="16"/>
      <c r="Q2077" s="16"/>
    </row>
    <row r="2078" spans="1:17" x14ac:dyDescent="0.3">
      <c r="A2078" s="5"/>
      <c r="B2078" s="6"/>
      <c r="C2078" s="7"/>
      <c r="D2078" s="8"/>
      <c r="E2078" s="8"/>
      <c r="F2078" s="10"/>
      <c r="G2078" s="10"/>
      <c r="H2078" s="10"/>
      <c r="I2078" s="7"/>
      <c r="J2078" s="12"/>
      <c r="K2078" s="13"/>
      <c r="L2078" s="14"/>
      <c r="M2078" s="15"/>
      <c r="N2078" s="15"/>
      <c r="O2078" s="16"/>
      <c r="Q2078" s="16"/>
    </row>
    <row r="2079" spans="1:17" x14ac:dyDescent="0.3">
      <c r="A2079" s="5"/>
      <c r="B2079" s="6"/>
      <c r="C2079" s="7"/>
      <c r="D2079" s="8"/>
      <c r="E2079" s="8"/>
      <c r="F2079" s="10"/>
      <c r="G2079" s="10"/>
      <c r="H2079" s="10"/>
      <c r="I2079" s="7"/>
      <c r="J2079" s="12"/>
      <c r="K2079" s="13"/>
      <c r="L2079" s="14"/>
      <c r="M2079" s="15"/>
      <c r="N2079" s="15"/>
      <c r="O2079" s="16"/>
      <c r="Q2079" s="16"/>
    </row>
    <row r="2080" spans="1:17" x14ac:dyDescent="0.3">
      <c r="A2080" s="5"/>
      <c r="B2080" s="6"/>
      <c r="C2080" s="7"/>
      <c r="D2080" s="8"/>
      <c r="E2080" s="8"/>
      <c r="F2080" s="10"/>
      <c r="G2080" s="10"/>
      <c r="H2080" s="10"/>
      <c r="I2080" s="7"/>
      <c r="J2080" s="12"/>
      <c r="K2080" s="13"/>
      <c r="L2080" s="14"/>
      <c r="M2080" s="15"/>
      <c r="N2080" s="15"/>
      <c r="O2080" s="16"/>
      <c r="Q2080" s="16"/>
    </row>
    <row r="2081" spans="1:17" x14ac:dyDescent="0.3">
      <c r="A2081" s="5"/>
      <c r="B2081" s="6"/>
      <c r="C2081" s="7"/>
      <c r="D2081" s="8"/>
      <c r="E2081" s="8"/>
      <c r="F2081" s="10"/>
      <c r="G2081" s="10"/>
      <c r="H2081" s="10"/>
      <c r="I2081" s="7"/>
      <c r="J2081" s="12"/>
      <c r="K2081" s="13"/>
      <c r="L2081" s="14"/>
      <c r="M2081" s="15"/>
      <c r="N2081" s="15"/>
      <c r="O2081" s="16"/>
      <c r="Q2081" s="16"/>
    </row>
    <row r="2082" spans="1:17" x14ac:dyDescent="0.3">
      <c r="A2082" s="5"/>
      <c r="B2082" s="6"/>
      <c r="C2082" s="7"/>
      <c r="D2082" s="8"/>
      <c r="E2082" s="8"/>
      <c r="F2082" s="10"/>
      <c r="G2082" s="10"/>
      <c r="H2082" s="10"/>
      <c r="I2082" s="7"/>
      <c r="J2082" s="12"/>
      <c r="K2082" s="13"/>
      <c r="L2082" s="14"/>
      <c r="M2082" s="15"/>
      <c r="N2082" s="15"/>
      <c r="O2082" s="16"/>
      <c r="Q2082" s="16"/>
    </row>
    <row r="2083" spans="1:17" x14ac:dyDescent="0.3">
      <c r="A2083" s="5"/>
      <c r="B2083" s="6"/>
      <c r="C2083" s="7"/>
      <c r="D2083" s="8"/>
      <c r="E2083" s="8"/>
      <c r="F2083" s="10"/>
      <c r="G2083" s="10"/>
      <c r="H2083" s="10"/>
      <c r="I2083" s="7"/>
      <c r="J2083" s="12"/>
      <c r="K2083" s="13"/>
      <c r="L2083" s="14"/>
      <c r="M2083" s="15"/>
      <c r="N2083" s="15"/>
      <c r="O2083" s="16"/>
      <c r="Q2083" s="16"/>
    </row>
    <row r="2084" spans="1:17" x14ac:dyDescent="0.3">
      <c r="A2084" s="5"/>
      <c r="B2084" s="6"/>
      <c r="C2084" s="7"/>
      <c r="D2084" s="8"/>
      <c r="E2084" s="8"/>
      <c r="F2084" s="10"/>
      <c r="G2084" s="10"/>
      <c r="H2084" s="10"/>
      <c r="I2084" s="7"/>
      <c r="J2084" s="12"/>
      <c r="K2084" s="13"/>
      <c r="L2084" s="14"/>
      <c r="M2084" s="15"/>
      <c r="N2084" s="15"/>
      <c r="O2084" s="16"/>
      <c r="Q2084" s="16"/>
    </row>
    <row r="2085" spans="1:17" x14ac:dyDescent="0.3">
      <c r="A2085" s="5"/>
      <c r="B2085" s="6"/>
      <c r="C2085" s="7"/>
      <c r="D2085" s="8"/>
      <c r="E2085" s="8"/>
      <c r="F2085" s="10"/>
      <c r="G2085" s="10"/>
      <c r="H2085" s="10"/>
      <c r="I2085" s="7"/>
      <c r="J2085" s="12"/>
      <c r="K2085" s="13"/>
      <c r="L2085" s="14"/>
      <c r="M2085" s="15"/>
      <c r="N2085" s="15"/>
      <c r="O2085" s="16"/>
      <c r="Q2085" s="16"/>
    </row>
    <row r="2086" spans="1:17" x14ac:dyDescent="0.3">
      <c r="A2086" s="5"/>
      <c r="B2086" s="6"/>
      <c r="C2086" s="7"/>
      <c r="D2086" s="8"/>
      <c r="E2086" s="8"/>
      <c r="F2086" s="10"/>
      <c r="G2086" s="10"/>
      <c r="H2086" s="10"/>
      <c r="I2086" s="7"/>
      <c r="J2086" s="12"/>
      <c r="K2086" s="13"/>
      <c r="L2086" s="14"/>
      <c r="M2086" s="15"/>
      <c r="N2086" s="15"/>
      <c r="O2086" s="16"/>
      <c r="Q2086" s="16"/>
    </row>
    <row r="2087" spans="1:17" x14ac:dyDescent="0.3">
      <c r="A2087" s="5"/>
      <c r="B2087" s="6"/>
      <c r="C2087" s="7"/>
      <c r="D2087" s="8"/>
      <c r="E2087" s="8"/>
      <c r="F2087" s="10"/>
      <c r="G2087" s="10"/>
      <c r="H2087" s="10"/>
      <c r="I2087" s="7"/>
      <c r="J2087" s="12"/>
      <c r="K2087" s="13"/>
      <c r="L2087" s="14"/>
      <c r="M2087" s="15"/>
      <c r="N2087" s="15"/>
      <c r="O2087" s="16"/>
      <c r="Q2087" s="16"/>
    </row>
    <row r="2088" spans="1:17" x14ac:dyDescent="0.3">
      <c r="A2088" s="5"/>
      <c r="B2088" s="6"/>
      <c r="C2088" s="7"/>
      <c r="D2088" s="8"/>
      <c r="E2088" s="8"/>
      <c r="F2088" s="10"/>
      <c r="G2088" s="10"/>
      <c r="H2088" s="10"/>
      <c r="I2088" s="7"/>
      <c r="J2088" s="12"/>
      <c r="K2088" s="13"/>
      <c r="L2088" s="14"/>
      <c r="M2088" s="15"/>
      <c r="N2088" s="15"/>
      <c r="O2088" s="16"/>
      <c r="Q2088" s="16"/>
    </row>
    <row r="2089" spans="1:17" x14ac:dyDescent="0.3">
      <c r="A2089" s="5"/>
      <c r="B2089" s="6"/>
      <c r="C2089" s="7"/>
      <c r="D2089" s="8"/>
      <c r="E2089" s="8"/>
      <c r="F2089" s="10"/>
      <c r="G2089" s="10"/>
      <c r="H2089" s="10"/>
      <c r="I2089" s="7"/>
      <c r="J2089" s="12"/>
      <c r="K2089" s="13"/>
      <c r="L2089" s="14"/>
      <c r="M2089" s="15"/>
      <c r="N2089" s="15"/>
      <c r="O2089" s="16"/>
      <c r="Q2089" s="16"/>
    </row>
    <row r="2090" spans="1:17" x14ac:dyDescent="0.3">
      <c r="A2090" s="5"/>
      <c r="B2090" s="6"/>
      <c r="C2090" s="7"/>
      <c r="D2090" s="8"/>
      <c r="E2090" s="8"/>
      <c r="F2090" s="10"/>
      <c r="G2090" s="10"/>
      <c r="H2090" s="10"/>
      <c r="I2090" s="7"/>
      <c r="J2090" s="12"/>
      <c r="K2090" s="13"/>
      <c r="L2090" s="14"/>
      <c r="M2090" s="15"/>
      <c r="N2090" s="15"/>
      <c r="O2090" s="16"/>
      <c r="Q2090" s="16"/>
    </row>
    <row r="2091" spans="1:17" x14ac:dyDescent="0.3">
      <c r="A2091" s="5"/>
      <c r="B2091" s="6"/>
      <c r="C2091" s="7"/>
      <c r="D2091" s="8"/>
      <c r="E2091" s="8"/>
      <c r="F2091" s="10"/>
      <c r="G2091" s="10"/>
      <c r="H2091" s="10"/>
      <c r="I2091" s="7"/>
      <c r="J2091" s="12"/>
      <c r="K2091" s="13"/>
      <c r="L2091" s="14"/>
      <c r="M2091" s="15"/>
      <c r="N2091" s="15"/>
      <c r="O2091" s="16"/>
      <c r="Q2091" s="16"/>
    </row>
    <row r="2092" spans="1:17" x14ac:dyDescent="0.3">
      <c r="A2092" s="5"/>
      <c r="B2092" s="6"/>
      <c r="C2092" s="7"/>
      <c r="D2092" s="8"/>
      <c r="E2092" s="8"/>
      <c r="F2092" s="10"/>
      <c r="G2092" s="10"/>
      <c r="H2092" s="10"/>
      <c r="I2092" s="7"/>
      <c r="J2092" s="12"/>
      <c r="K2092" s="13"/>
      <c r="L2092" s="14"/>
      <c r="M2092" s="15"/>
      <c r="N2092" s="15"/>
      <c r="O2092" s="16"/>
      <c r="Q2092" s="16"/>
    </row>
    <row r="2093" spans="1:17" x14ac:dyDescent="0.3">
      <c r="A2093" s="5"/>
      <c r="B2093" s="6"/>
      <c r="C2093" s="7"/>
      <c r="D2093" s="8"/>
      <c r="E2093" s="8"/>
      <c r="F2093" s="10"/>
      <c r="G2093" s="10"/>
      <c r="H2093" s="10"/>
      <c r="I2093" s="7"/>
      <c r="J2093" s="12"/>
      <c r="K2093" s="13"/>
      <c r="L2093" s="14"/>
      <c r="M2093" s="15"/>
      <c r="N2093" s="15"/>
      <c r="O2093" s="16"/>
      <c r="Q2093" s="16"/>
    </row>
    <row r="2094" spans="1:17" x14ac:dyDescent="0.3">
      <c r="A2094" s="5"/>
      <c r="B2094" s="6"/>
      <c r="C2094" s="7"/>
      <c r="D2094" s="8"/>
      <c r="E2094" s="8"/>
      <c r="F2094" s="10"/>
      <c r="G2094" s="10"/>
      <c r="H2094" s="10"/>
      <c r="I2094" s="7"/>
      <c r="J2094" s="12"/>
      <c r="K2094" s="13"/>
      <c r="L2094" s="14"/>
      <c r="M2094" s="15"/>
      <c r="N2094" s="15"/>
      <c r="O2094" s="16"/>
      <c r="Q2094" s="16"/>
    </row>
    <row r="2095" spans="1:17" x14ac:dyDescent="0.3">
      <c r="A2095" s="5"/>
      <c r="B2095" s="6"/>
      <c r="C2095" s="7"/>
      <c r="D2095" s="8"/>
      <c r="E2095" s="8"/>
      <c r="F2095" s="10"/>
      <c r="G2095" s="10"/>
      <c r="H2095" s="10"/>
      <c r="I2095" s="7"/>
      <c r="J2095" s="12"/>
      <c r="K2095" s="13"/>
      <c r="L2095" s="14"/>
      <c r="M2095" s="15"/>
      <c r="N2095" s="15"/>
      <c r="O2095" s="16"/>
      <c r="Q2095" s="16"/>
    </row>
    <row r="2096" spans="1:17" x14ac:dyDescent="0.3">
      <c r="A2096" s="5"/>
      <c r="B2096" s="6"/>
      <c r="C2096" s="7"/>
      <c r="D2096" s="8"/>
      <c r="E2096" s="8"/>
      <c r="F2096" s="10"/>
      <c r="G2096" s="10"/>
      <c r="H2096" s="10"/>
      <c r="I2096" s="7"/>
      <c r="J2096" s="12"/>
      <c r="K2096" s="13"/>
      <c r="L2096" s="14"/>
      <c r="M2096" s="15"/>
      <c r="N2096" s="15"/>
      <c r="O2096" s="16"/>
      <c r="Q2096" s="16"/>
    </row>
    <row r="2097" spans="1:17" x14ac:dyDescent="0.3">
      <c r="A2097" s="5"/>
      <c r="B2097" s="6"/>
      <c r="C2097" s="7"/>
      <c r="D2097" s="8"/>
      <c r="E2097" s="8"/>
      <c r="F2097" s="10"/>
      <c r="G2097" s="10"/>
      <c r="H2097" s="10"/>
      <c r="I2097" s="7"/>
      <c r="J2097" s="12"/>
      <c r="K2097" s="13"/>
      <c r="L2097" s="14"/>
      <c r="M2097" s="15"/>
      <c r="N2097" s="15"/>
      <c r="O2097" s="16"/>
      <c r="Q2097" s="16"/>
    </row>
    <row r="2098" spans="1:17" x14ac:dyDescent="0.3">
      <c r="A2098" s="5"/>
      <c r="B2098" s="6"/>
      <c r="C2098" s="7"/>
      <c r="D2098" s="8"/>
      <c r="E2098" s="8"/>
      <c r="F2098" s="10"/>
      <c r="G2098" s="10"/>
      <c r="H2098" s="10"/>
      <c r="I2098" s="7"/>
      <c r="J2098" s="12"/>
      <c r="K2098" s="13"/>
      <c r="L2098" s="14"/>
      <c r="M2098" s="15"/>
      <c r="N2098" s="15"/>
      <c r="O2098" s="16"/>
      <c r="Q2098" s="16"/>
    </row>
    <row r="2099" spans="1:17" x14ac:dyDescent="0.3">
      <c r="A2099" s="5"/>
      <c r="B2099" s="6"/>
      <c r="C2099" s="7"/>
      <c r="D2099" s="8"/>
      <c r="E2099" s="8"/>
      <c r="F2099" s="10"/>
      <c r="G2099" s="10"/>
      <c r="H2099" s="10"/>
      <c r="I2099" s="7"/>
      <c r="J2099" s="12"/>
      <c r="K2099" s="13"/>
      <c r="L2099" s="14"/>
      <c r="M2099" s="15"/>
      <c r="N2099" s="15"/>
      <c r="O2099" s="16"/>
      <c r="Q2099" s="16"/>
    </row>
    <row r="2100" spans="1:17" x14ac:dyDescent="0.3">
      <c r="A2100" s="5"/>
      <c r="B2100" s="6"/>
      <c r="C2100" s="7"/>
      <c r="D2100" s="8"/>
      <c r="E2100" s="8"/>
      <c r="F2100" s="10"/>
      <c r="G2100" s="10"/>
      <c r="H2100" s="10"/>
      <c r="I2100" s="7"/>
      <c r="J2100" s="12"/>
      <c r="K2100" s="13"/>
      <c r="L2100" s="14"/>
      <c r="M2100" s="15"/>
      <c r="N2100" s="15"/>
      <c r="O2100" s="16"/>
      <c r="Q2100" s="16"/>
    </row>
    <row r="2101" spans="1:17" x14ac:dyDescent="0.3">
      <c r="A2101" s="5"/>
      <c r="B2101" s="6"/>
      <c r="C2101" s="7"/>
      <c r="D2101" s="8"/>
      <c r="E2101" s="8"/>
      <c r="F2101" s="10"/>
      <c r="G2101" s="10"/>
      <c r="H2101" s="10"/>
      <c r="I2101" s="7"/>
      <c r="J2101" s="12"/>
      <c r="K2101" s="13"/>
      <c r="L2101" s="14"/>
      <c r="M2101" s="15"/>
      <c r="N2101" s="15"/>
      <c r="O2101" s="16"/>
      <c r="Q2101" s="16"/>
    </row>
    <row r="2102" spans="1:17" x14ac:dyDescent="0.3">
      <c r="A2102" s="5"/>
      <c r="B2102" s="6"/>
      <c r="C2102" s="7"/>
      <c r="D2102" s="8"/>
      <c r="E2102" s="8"/>
      <c r="F2102" s="10"/>
      <c r="G2102" s="10"/>
      <c r="H2102" s="10"/>
      <c r="I2102" s="7"/>
      <c r="J2102" s="12"/>
      <c r="K2102" s="13"/>
      <c r="L2102" s="14"/>
      <c r="M2102" s="15"/>
      <c r="N2102" s="15"/>
      <c r="O2102" s="16"/>
      <c r="Q2102" s="16"/>
    </row>
    <row r="2103" spans="1:17" x14ac:dyDescent="0.3">
      <c r="A2103" s="5"/>
      <c r="B2103" s="6"/>
      <c r="C2103" s="7"/>
      <c r="D2103" s="8"/>
      <c r="E2103" s="8"/>
      <c r="F2103" s="10"/>
      <c r="G2103" s="10"/>
      <c r="H2103" s="10"/>
      <c r="I2103" s="7"/>
      <c r="J2103" s="12"/>
      <c r="K2103" s="13"/>
      <c r="L2103" s="14"/>
      <c r="M2103" s="15"/>
      <c r="N2103" s="15"/>
      <c r="O2103" s="16"/>
      <c r="Q2103" s="16"/>
    </row>
    <row r="2104" spans="1:17" x14ac:dyDescent="0.3">
      <c r="A2104" s="5"/>
      <c r="B2104" s="6"/>
      <c r="C2104" s="7"/>
      <c r="D2104" s="8"/>
      <c r="E2104" s="8"/>
      <c r="F2104" s="10"/>
      <c r="G2104" s="10"/>
      <c r="H2104" s="10"/>
      <c r="I2104" s="7"/>
      <c r="J2104" s="12"/>
      <c r="K2104" s="13"/>
      <c r="L2104" s="14"/>
      <c r="M2104" s="15"/>
      <c r="N2104" s="15"/>
      <c r="O2104" s="16"/>
      <c r="Q2104" s="16"/>
    </row>
    <row r="2105" spans="1:17" x14ac:dyDescent="0.3">
      <c r="A2105" s="5"/>
      <c r="B2105" s="6"/>
      <c r="C2105" s="7"/>
      <c r="D2105" s="8"/>
      <c r="E2105" s="8"/>
      <c r="F2105" s="10"/>
      <c r="G2105" s="10"/>
      <c r="H2105" s="10"/>
      <c r="I2105" s="7"/>
      <c r="J2105" s="12"/>
      <c r="K2105" s="13"/>
      <c r="L2105" s="14"/>
      <c r="M2105" s="15"/>
      <c r="N2105" s="15"/>
      <c r="O2105" s="16"/>
      <c r="Q2105" s="16"/>
    </row>
    <row r="2106" spans="1:17" x14ac:dyDescent="0.3">
      <c r="A2106" s="5"/>
      <c r="B2106" s="6"/>
      <c r="C2106" s="7"/>
      <c r="D2106" s="8"/>
      <c r="E2106" s="8"/>
      <c r="F2106" s="10"/>
      <c r="G2106" s="10"/>
      <c r="H2106" s="10"/>
      <c r="I2106" s="7"/>
      <c r="J2106" s="12"/>
      <c r="K2106" s="13"/>
      <c r="L2106" s="14"/>
      <c r="M2106" s="15"/>
      <c r="N2106" s="15"/>
      <c r="O2106" s="16"/>
      <c r="Q2106" s="16"/>
    </row>
    <row r="2107" spans="1:17" x14ac:dyDescent="0.3">
      <c r="A2107" s="5"/>
      <c r="B2107" s="6"/>
      <c r="C2107" s="7"/>
      <c r="D2107" s="8"/>
      <c r="E2107" s="8"/>
      <c r="F2107" s="10"/>
      <c r="G2107" s="10"/>
      <c r="H2107" s="10"/>
      <c r="I2107" s="7"/>
      <c r="J2107" s="12"/>
      <c r="K2107" s="13"/>
      <c r="L2107" s="14"/>
      <c r="M2107" s="15"/>
      <c r="N2107" s="15"/>
      <c r="O2107" s="16"/>
      <c r="Q2107" s="16"/>
    </row>
    <row r="2108" spans="1:17" x14ac:dyDescent="0.3">
      <c r="A2108" s="5"/>
      <c r="B2108" s="6"/>
      <c r="C2108" s="7"/>
      <c r="D2108" s="8"/>
      <c r="E2108" s="8"/>
      <c r="F2108" s="10"/>
      <c r="G2108" s="10"/>
      <c r="H2108" s="10"/>
      <c r="I2108" s="7"/>
      <c r="J2108" s="12"/>
      <c r="K2108" s="13"/>
      <c r="L2108" s="14"/>
      <c r="M2108" s="15"/>
      <c r="N2108" s="15"/>
      <c r="O2108" s="16"/>
      <c r="Q2108" s="16"/>
    </row>
    <row r="2109" spans="1:17" x14ac:dyDescent="0.3">
      <c r="A2109" s="5"/>
      <c r="B2109" s="6"/>
      <c r="C2109" s="7"/>
      <c r="D2109" s="8"/>
      <c r="E2109" s="8"/>
      <c r="F2109" s="10"/>
      <c r="G2109" s="10"/>
      <c r="H2109" s="10"/>
      <c r="I2109" s="7"/>
      <c r="J2109" s="12"/>
      <c r="K2109" s="13"/>
      <c r="L2109" s="14"/>
      <c r="M2109" s="15"/>
      <c r="N2109" s="15"/>
      <c r="O2109" s="16"/>
      <c r="Q2109" s="16"/>
    </row>
    <row r="2110" spans="1:17" x14ac:dyDescent="0.3">
      <c r="A2110" s="5"/>
      <c r="B2110" s="6"/>
      <c r="C2110" s="7"/>
      <c r="D2110" s="8"/>
      <c r="E2110" s="8"/>
      <c r="F2110" s="10"/>
      <c r="G2110" s="10"/>
      <c r="H2110" s="10"/>
      <c r="I2110" s="7"/>
      <c r="J2110" s="12"/>
      <c r="K2110" s="13"/>
      <c r="L2110" s="14"/>
      <c r="M2110" s="15"/>
      <c r="N2110" s="15"/>
      <c r="O2110" s="16"/>
      <c r="Q2110" s="16"/>
    </row>
    <row r="2111" spans="1:17" x14ac:dyDescent="0.3">
      <c r="A2111" s="5"/>
      <c r="B2111" s="6"/>
      <c r="C2111" s="7"/>
      <c r="D2111" s="8"/>
      <c r="E2111" s="8"/>
      <c r="F2111" s="10"/>
      <c r="G2111" s="10"/>
      <c r="H2111" s="10"/>
      <c r="I2111" s="7"/>
      <c r="J2111" s="12"/>
      <c r="K2111" s="13"/>
      <c r="L2111" s="14"/>
      <c r="M2111" s="15"/>
      <c r="N2111" s="15"/>
      <c r="O2111" s="16"/>
      <c r="Q2111" s="16"/>
    </row>
    <row r="2112" spans="1:17" x14ac:dyDescent="0.3">
      <c r="A2112" s="5"/>
      <c r="B2112" s="6"/>
      <c r="C2112" s="7"/>
      <c r="D2112" s="8"/>
      <c r="E2112" s="8"/>
      <c r="F2112" s="10"/>
      <c r="G2112" s="10"/>
      <c r="H2112" s="10"/>
      <c r="I2112" s="7"/>
      <c r="J2112" s="12"/>
      <c r="K2112" s="13"/>
      <c r="L2112" s="14"/>
      <c r="M2112" s="15"/>
      <c r="N2112" s="15"/>
      <c r="O2112" s="16"/>
      <c r="Q2112" s="16"/>
    </row>
    <row r="2113" spans="1:17" x14ac:dyDescent="0.3">
      <c r="A2113" s="5"/>
      <c r="B2113" s="6"/>
      <c r="C2113" s="7"/>
      <c r="D2113" s="8"/>
      <c r="E2113" s="8"/>
      <c r="F2113" s="10"/>
      <c r="G2113" s="10"/>
      <c r="H2113" s="10"/>
      <c r="I2113" s="7"/>
      <c r="J2113" s="12"/>
      <c r="K2113" s="13"/>
      <c r="L2113" s="14"/>
      <c r="M2113" s="15"/>
      <c r="N2113" s="15"/>
      <c r="O2113" s="16"/>
      <c r="Q2113" s="16"/>
    </row>
    <row r="2114" spans="1:17" x14ac:dyDescent="0.3">
      <c r="A2114" s="5"/>
      <c r="B2114" s="6"/>
      <c r="C2114" s="7"/>
      <c r="D2114" s="8"/>
      <c r="E2114" s="8"/>
      <c r="F2114" s="10"/>
      <c r="G2114" s="10"/>
      <c r="H2114" s="10"/>
      <c r="I2114" s="7"/>
      <c r="J2114" s="12"/>
      <c r="K2114" s="13"/>
      <c r="L2114" s="14"/>
      <c r="M2114" s="15"/>
      <c r="N2114" s="15"/>
      <c r="O2114" s="16"/>
      <c r="Q2114" s="16"/>
    </row>
    <row r="2115" spans="1:17" x14ac:dyDescent="0.3">
      <c r="A2115" s="5"/>
      <c r="B2115" s="6"/>
      <c r="C2115" s="7"/>
      <c r="D2115" s="8"/>
      <c r="E2115" s="8"/>
      <c r="F2115" s="10"/>
      <c r="G2115" s="10"/>
      <c r="H2115" s="10"/>
      <c r="I2115" s="7"/>
      <c r="J2115" s="12"/>
      <c r="K2115" s="13"/>
      <c r="L2115" s="14"/>
      <c r="M2115" s="15"/>
      <c r="N2115" s="15"/>
      <c r="O2115" s="16"/>
      <c r="Q2115" s="16"/>
    </row>
    <row r="2116" spans="1:17" x14ac:dyDescent="0.3">
      <c r="A2116" s="5"/>
      <c r="B2116" s="6"/>
      <c r="C2116" s="7"/>
      <c r="D2116" s="8"/>
      <c r="E2116" s="8"/>
      <c r="F2116" s="10"/>
      <c r="G2116" s="10"/>
      <c r="H2116" s="10"/>
      <c r="I2116" s="7"/>
      <c r="J2116" s="12"/>
      <c r="K2116" s="13"/>
      <c r="L2116" s="14"/>
      <c r="M2116" s="15"/>
      <c r="N2116" s="15"/>
      <c r="O2116" s="16"/>
      <c r="Q2116" s="16"/>
    </row>
    <row r="2117" spans="1:17" x14ac:dyDescent="0.3">
      <c r="A2117" s="5"/>
      <c r="B2117" s="6"/>
      <c r="C2117" s="7"/>
      <c r="D2117" s="8"/>
      <c r="E2117" s="8"/>
      <c r="F2117" s="10"/>
      <c r="G2117" s="10"/>
      <c r="H2117" s="10"/>
      <c r="I2117" s="7"/>
      <c r="J2117" s="12"/>
      <c r="K2117" s="13"/>
      <c r="L2117" s="14"/>
      <c r="M2117" s="15"/>
      <c r="N2117" s="15"/>
      <c r="O2117" s="16"/>
      <c r="Q2117" s="16"/>
    </row>
    <row r="2118" spans="1:17" x14ac:dyDescent="0.3">
      <c r="A2118" s="5"/>
      <c r="B2118" s="6"/>
      <c r="C2118" s="7"/>
      <c r="D2118" s="8"/>
      <c r="E2118" s="8"/>
      <c r="F2118" s="10"/>
      <c r="G2118" s="10"/>
      <c r="H2118" s="10"/>
      <c r="I2118" s="7"/>
      <c r="J2118" s="12"/>
      <c r="K2118" s="13"/>
      <c r="L2118" s="14"/>
      <c r="M2118" s="15"/>
      <c r="N2118" s="15"/>
      <c r="O2118" s="16"/>
      <c r="Q2118" s="16"/>
    </row>
    <row r="2119" spans="1:17" x14ac:dyDescent="0.3">
      <c r="A2119" s="5"/>
      <c r="B2119" s="6"/>
      <c r="C2119" s="7"/>
      <c r="D2119" s="8"/>
      <c r="E2119" s="8"/>
      <c r="F2119" s="10"/>
      <c r="G2119" s="10"/>
      <c r="H2119" s="10"/>
      <c r="I2119" s="7"/>
      <c r="J2119" s="12"/>
      <c r="K2119" s="13"/>
      <c r="L2119" s="14"/>
      <c r="M2119" s="15"/>
      <c r="N2119" s="15"/>
      <c r="O2119" s="16"/>
      <c r="Q2119" s="16"/>
    </row>
    <row r="2120" spans="1:17" x14ac:dyDescent="0.3">
      <c r="A2120" s="5"/>
      <c r="B2120" s="6"/>
      <c r="C2120" s="7"/>
      <c r="D2120" s="8"/>
      <c r="E2120" s="8"/>
      <c r="F2120" s="10"/>
      <c r="G2120" s="10"/>
      <c r="H2120" s="10"/>
      <c r="I2120" s="7"/>
      <c r="J2120" s="12"/>
      <c r="K2120" s="13"/>
      <c r="L2120" s="14"/>
      <c r="M2120" s="15"/>
      <c r="N2120" s="15"/>
      <c r="O2120" s="16"/>
      <c r="Q2120" s="16"/>
    </row>
    <row r="2121" spans="1:17" x14ac:dyDescent="0.3">
      <c r="A2121" s="5"/>
      <c r="B2121" s="6"/>
      <c r="C2121" s="7"/>
      <c r="D2121" s="8"/>
      <c r="E2121" s="8"/>
      <c r="F2121" s="10"/>
      <c r="G2121" s="10"/>
      <c r="H2121" s="10"/>
      <c r="I2121" s="7"/>
      <c r="J2121" s="12"/>
      <c r="K2121" s="13"/>
      <c r="L2121" s="14"/>
      <c r="M2121" s="15"/>
      <c r="N2121" s="15"/>
      <c r="O2121" s="16"/>
      <c r="Q2121" s="16"/>
    </row>
    <row r="2122" spans="1:17" x14ac:dyDescent="0.3">
      <c r="A2122" s="5"/>
      <c r="B2122" s="6"/>
      <c r="C2122" s="7"/>
      <c r="D2122" s="8"/>
      <c r="E2122" s="8"/>
      <c r="F2122" s="10"/>
      <c r="G2122" s="10"/>
      <c r="H2122" s="10"/>
      <c r="I2122" s="7"/>
      <c r="J2122" s="12"/>
      <c r="K2122" s="13"/>
      <c r="L2122" s="14"/>
      <c r="M2122" s="15"/>
      <c r="N2122" s="15"/>
      <c r="O2122" s="16"/>
      <c r="Q2122" s="16"/>
    </row>
    <row r="2123" spans="1:17" x14ac:dyDescent="0.3">
      <c r="A2123" s="5"/>
      <c r="B2123" s="6"/>
      <c r="C2123" s="7"/>
      <c r="D2123" s="8"/>
      <c r="E2123" s="8"/>
      <c r="F2123" s="10"/>
      <c r="G2123" s="10"/>
      <c r="H2123" s="10"/>
      <c r="I2123" s="7"/>
      <c r="J2123" s="12"/>
      <c r="K2123" s="13"/>
      <c r="L2123" s="14"/>
      <c r="M2123" s="15"/>
      <c r="N2123" s="15"/>
      <c r="O2123" s="16"/>
      <c r="Q2123" s="16"/>
    </row>
    <row r="2124" spans="1:17" x14ac:dyDescent="0.3">
      <c r="A2124" s="5"/>
      <c r="B2124" s="6"/>
      <c r="C2124" s="7"/>
      <c r="D2124" s="8"/>
      <c r="E2124" s="8"/>
      <c r="F2124" s="10"/>
      <c r="G2124" s="10"/>
      <c r="H2124" s="10"/>
      <c r="I2124" s="7"/>
      <c r="J2124" s="12"/>
      <c r="K2124" s="13"/>
      <c r="L2124" s="14"/>
      <c r="M2124" s="15"/>
      <c r="N2124" s="15"/>
      <c r="O2124" s="16"/>
      <c r="Q2124" s="16"/>
    </row>
    <row r="2125" spans="1:17" x14ac:dyDescent="0.3">
      <c r="A2125" s="5"/>
      <c r="B2125" s="6"/>
      <c r="C2125" s="7"/>
      <c r="D2125" s="8"/>
      <c r="E2125" s="8"/>
      <c r="F2125" s="10"/>
      <c r="G2125" s="10"/>
      <c r="H2125" s="10"/>
      <c r="I2125" s="7"/>
      <c r="J2125" s="12"/>
      <c r="K2125" s="13"/>
      <c r="L2125" s="14"/>
      <c r="M2125" s="15"/>
      <c r="N2125" s="15"/>
      <c r="O2125" s="16"/>
      <c r="Q2125" s="16"/>
    </row>
    <row r="2126" spans="1:17" x14ac:dyDescent="0.3">
      <c r="A2126" s="5"/>
      <c r="B2126" s="6"/>
      <c r="C2126" s="7"/>
      <c r="D2126" s="8"/>
      <c r="E2126" s="8"/>
      <c r="F2126" s="10"/>
      <c r="G2126" s="10"/>
      <c r="H2126" s="10"/>
      <c r="I2126" s="7"/>
      <c r="J2126" s="12"/>
      <c r="K2126" s="13"/>
      <c r="L2126" s="14"/>
      <c r="M2126" s="15"/>
      <c r="N2126" s="15"/>
      <c r="O2126" s="16"/>
      <c r="Q2126" s="16"/>
    </row>
    <row r="2127" spans="1:17" x14ac:dyDescent="0.3">
      <c r="A2127" s="5"/>
      <c r="B2127" s="6"/>
      <c r="C2127" s="7"/>
      <c r="D2127" s="8"/>
      <c r="E2127" s="8"/>
      <c r="F2127" s="10"/>
      <c r="G2127" s="10"/>
      <c r="H2127" s="10"/>
      <c r="I2127" s="7"/>
      <c r="J2127" s="12"/>
      <c r="K2127" s="13"/>
      <c r="L2127" s="14"/>
      <c r="M2127" s="15"/>
      <c r="N2127" s="15"/>
      <c r="O2127" s="16"/>
      <c r="Q2127" s="16"/>
    </row>
    <row r="2128" spans="1:17" x14ac:dyDescent="0.3">
      <c r="A2128" s="5"/>
      <c r="B2128" s="6"/>
      <c r="C2128" s="7"/>
      <c r="D2128" s="8"/>
      <c r="E2128" s="8"/>
      <c r="F2128" s="10"/>
      <c r="G2128" s="10"/>
      <c r="H2128" s="10"/>
      <c r="I2128" s="7"/>
      <c r="J2128" s="12"/>
      <c r="K2128" s="13"/>
      <c r="L2128" s="14"/>
      <c r="M2128" s="15"/>
      <c r="N2128" s="15"/>
      <c r="O2128" s="16"/>
      <c r="Q2128" s="16"/>
    </row>
    <row r="2129" spans="1:17" x14ac:dyDescent="0.3">
      <c r="A2129" s="5"/>
      <c r="B2129" s="6"/>
      <c r="C2129" s="7"/>
      <c r="D2129" s="8"/>
      <c r="E2129" s="8"/>
      <c r="F2129" s="10"/>
      <c r="G2129" s="10"/>
      <c r="H2129" s="10"/>
      <c r="I2129" s="7"/>
      <c r="J2129" s="12"/>
      <c r="K2129" s="13"/>
      <c r="L2129" s="14"/>
      <c r="M2129" s="15"/>
      <c r="N2129" s="15"/>
      <c r="O2129" s="16"/>
      <c r="Q2129" s="16"/>
    </row>
    <row r="2130" spans="1:17" x14ac:dyDescent="0.3">
      <c r="A2130" s="5"/>
      <c r="B2130" s="6"/>
      <c r="C2130" s="7"/>
      <c r="D2130" s="8"/>
      <c r="E2130" s="8"/>
      <c r="F2130" s="10"/>
      <c r="G2130" s="10"/>
      <c r="H2130" s="10"/>
      <c r="I2130" s="7"/>
      <c r="J2130" s="12"/>
      <c r="K2130" s="13"/>
      <c r="L2130" s="14"/>
      <c r="M2130" s="15"/>
      <c r="N2130" s="15"/>
      <c r="O2130" s="16"/>
      <c r="Q2130" s="16"/>
    </row>
    <row r="2131" spans="1:17" x14ac:dyDescent="0.3">
      <c r="A2131" s="5"/>
      <c r="B2131" s="6"/>
      <c r="C2131" s="7"/>
      <c r="D2131" s="8"/>
      <c r="E2131" s="8"/>
      <c r="F2131" s="10"/>
      <c r="G2131" s="10"/>
      <c r="H2131" s="10"/>
      <c r="I2131" s="7"/>
      <c r="J2131" s="12"/>
      <c r="K2131" s="13"/>
      <c r="L2131" s="14"/>
      <c r="M2131" s="15"/>
      <c r="N2131" s="15"/>
      <c r="O2131" s="16"/>
      <c r="Q2131" s="16"/>
    </row>
    <row r="2132" spans="1:17" x14ac:dyDescent="0.3">
      <c r="A2132" s="5"/>
      <c r="B2132" s="6"/>
      <c r="C2132" s="7"/>
      <c r="D2132" s="8"/>
      <c r="E2132" s="8"/>
      <c r="F2132" s="10"/>
      <c r="G2132" s="10"/>
      <c r="H2132" s="10"/>
      <c r="I2132" s="7"/>
      <c r="J2132" s="12"/>
      <c r="K2132" s="13"/>
      <c r="L2132" s="14"/>
      <c r="M2132" s="15"/>
      <c r="N2132" s="15"/>
      <c r="O2132" s="16"/>
      <c r="Q2132" s="16"/>
    </row>
    <row r="2133" spans="1:17" x14ac:dyDescent="0.3">
      <c r="A2133" s="5"/>
      <c r="B2133" s="6"/>
      <c r="C2133" s="7"/>
      <c r="D2133" s="8"/>
      <c r="E2133" s="8"/>
      <c r="F2133" s="10"/>
      <c r="G2133" s="10"/>
      <c r="H2133" s="10"/>
      <c r="I2133" s="7"/>
      <c r="J2133" s="12"/>
      <c r="K2133" s="13"/>
      <c r="L2133" s="14"/>
      <c r="M2133" s="15"/>
      <c r="N2133" s="15"/>
      <c r="O2133" s="16"/>
      <c r="Q2133" s="16"/>
    </row>
    <row r="2134" spans="1:17" x14ac:dyDescent="0.3">
      <c r="A2134" s="5"/>
      <c r="B2134" s="6"/>
      <c r="C2134" s="7"/>
      <c r="D2134" s="8"/>
      <c r="E2134" s="8"/>
      <c r="F2134" s="10"/>
      <c r="G2134" s="10"/>
      <c r="H2134" s="10"/>
      <c r="I2134" s="7"/>
      <c r="J2134" s="12"/>
      <c r="K2134" s="13"/>
      <c r="L2134" s="14"/>
      <c r="M2134" s="15"/>
      <c r="N2134" s="15"/>
      <c r="O2134" s="16"/>
      <c r="Q2134" s="16"/>
    </row>
    <row r="2135" spans="1:17" x14ac:dyDescent="0.3">
      <c r="A2135" s="5"/>
      <c r="B2135" s="6"/>
      <c r="C2135" s="7"/>
      <c r="D2135" s="8"/>
      <c r="E2135" s="8"/>
      <c r="F2135" s="10"/>
      <c r="G2135" s="10"/>
      <c r="H2135" s="10"/>
      <c r="I2135" s="7"/>
      <c r="J2135" s="12"/>
      <c r="K2135" s="13"/>
      <c r="L2135" s="14"/>
      <c r="M2135" s="15"/>
      <c r="N2135" s="15"/>
      <c r="O2135" s="16"/>
      <c r="Q2135" s="16"/>
    </row>
    <row r="2136" spans="1:17" x14ac:dyDescent="0.3">
      <c r="A2136" s="5"/>
      <c r="B2136" s="6"/>
      <c r="C2136" s="7"/>
      <c r="D2136" s="8"/>
      <c r="E2136" s="8"/>
      <c r="F2136" s="10"/>
      <c r="G2136" s="10"/>
      <c r="H2136" s="10"/>
      <c r="I2136" s="7"/>
      <c r="J2136" s="12"/>
      <c r="K2136" s="13"/>
      <c r="L2136" s="14"/>
      <c r="M2136" s="15"/>
      <c r="N2136" s="15"/>
      <c r="O2136" s="16"/>
      <c r="Q2136" s="16"/>
    </row>
    <row r="2137" spans="1:17" x14ac:dyDescent="0.3">
      <c r="A2137" s="5"/>
      <c r="B2137" s="6"/>
      <c r="C2137" s="7"/>
      <c r="D2137" s="8"/>
      <c r="E2137" s="8"/>
      <c r="F2137" s="10"/>
      <c r="G2137" s="10"/>
      <c r="H2137" s="10"/>
      <c r="I2137" s="7"/>
      <c r="J2137" s="12"/>
      <c r="K2137" s="13"/>
      <c r="L2137" s="14"/>
      <c r="M2137" s="15"/>
      <c r="N2137" s="15"/>
      <c r="O2137" s="16"/>
      <c r="Q2137" s="16"/>
    </row>
    <row r="2138" spans="1:17" x14ac:dyDescent="0.3">
      <c r="A2138" s="5"/>
      <c r="B2138" s="6"/>
      <c r="C2138" s="7"/>
      <c r="D2138" s="8"/>
      <c r="E2138" s="8"/>
      <c r="F2138" s="10"/>
      <c r="G2138" s="10"/>
      <c r="H2138" s="10"/>
      <c r="I2138" s="7"/>
      <c r="J2138" s="12"/>
      <c r="K2138" s="13"/>
      <c r="L2138" s="14"/>
      <c r="M2138" s="15"/>
      <c r="N2138" s="15"/>
      <c r="O2138" s="16"/>
      <c r="Q2138" s="16"/>
    </row>
    <row r="2139" spans="1:17" x14ac:dyDescent="0.3">
      <c r="A2139" s="5"/>
      <c r="B2139" s="6"/>
      <c r="C2139" s="7"/>
      <c r="D2139" s="8"/>
      <c r="E2139" s="8"/>
      <c r="F2139" s="10"/>
      <c r="G2139" s="10"/>
      <c r="H2139" s="10"/>
      <c r="I2139" s="7"/>
      <c r="J2139" s="12"/>
      <c r="K2139" s="13"/>
      <c r="L2139" s="14"/>
      <c r="M2139" s="15"/>
      <c r="N2139" s="15"/>
      <c r="O2139" s="16"/>
      <c r="Q2139" s="16"/>
    </row>
    <row r="2140" spans="1:17" x14ac:dyDescent="0.3">
      <c r="A2140" s="5"/>
      <c r="B2140" s="6"/>
      <c r="C2140" s="7"/>
      <c r="D2140" s="8"/>
      <c r="E2140" s="8"/>
      <c r="F2140" s="10"/>
      <c r="G2140" s="10"/>
      <c r="H2140" s="10"/>
      <c r="I2140" s="7"/>
      <c r="J2140" s="12"/>
      <c r="K2140" s="13"/>
      <c r="L2140" s="14"/>
      <c r="M2140" s="15"/>
      <c r="N2140" s="15"/>
      <c r="O2140" s="16"/>
      <c r="Q2140" s="16"/>
    </row>
    <row r="2141" spans="1:17" x14ac:dyDescent="0.3">
      <c r="A2141" s="5"/>
      <c r="B2141" s="6"/>
      <c r="C2141" s="7"/>
      <c r="D2141" s="8"/>
      <c r="E2141" s="8"/>
      <c r="F2141" s="10"/>
      <c r="G2141" s="10"/>
      <c r="H2141" s="10"/>
      <c r="I2141" s="7"/>
      <c r="J2141" s="12"/>
      <c r="K2141" s="13"/>
      <c r="L2141" s="14"/>
      <c r="M2141" s="15"/>
      <c r="N2141" s="15"/>
      <c r="O2141" s="16"/>
      <c r="Q2141" s="16"/>
    </row>
    <row r="2142" spans="1:17" x14ac:dyDescent="0.3">
      <c r="A2142" s="5"/>
      <c r="B2142" s="6"/>
      <c r="C2142" s="7"/>
      <c r="D2142" s="8"/>
      <c r="E2142" s="8"/>
      <c r="F2142" s="10"/>
      <c r="G2142" s="10"/>
      <c r="H2142" s="10"/>
      <c r="I2142" s="7"/>
      <c r="J2142" s="12"/>
      <c r="K2142" s="13"/>
      <c r="L2142" s="14"/>
      <c r="M2142" s="15"/>
      <c r="N2142" s="15"/>
      <c r="O2142" s="16"/>
      <c r="Q2142" s="16"/>
    </row>
    <row r="2143" spans="1:17" x14ac:dyDescent="0.3">
      <c r="A2143" s="5"/>
      <c r="B2143" s="6"/>
      <c r="C2143" s="7"/>
      <c r="D2143" s="8"/>
      <c r="E2143" s="8"/>
      <c r="F2143" s="10"/>
      <c r="G2143" s="10"/>
      <c r="H2143" s="10"/>
      <c r="I2143" s="7"/>
      <c r="J2143" s="12"/>
      <c r="K2143" s="13"/>
      <c r="L2143" s="14"/>
      <c r="M2143" s="15"/>
      <c r="N2143" s="15"/>
      <c r="O2143" s="16"/>
      <c r="Q2143" s="16"/>
    </row>
    <row r="2144" spans="1:17" x14ac:dyDescent="0.3">
      <c r="A2144" s="5"/>
      <c r="B2144" s="6"/>
      <c r="C2144" s="7"/>
      <c r="D2144" s="8"/>
      <c r="E2144" s="8"/>
      <c r="F2144" s="10"/>
      <c r="G2144" s="10"/>
      <c r="H2144" s="10"/>
      <c r="I2144" s="7"/>
      <c r="J2144" s="12"/>
      <c r="K2144" s="13"/>
      <c r="L2144" s="14"/>
      <c r="M2144" s="15"/>
      <c r="N2144" s="15"/>
      <c r="O2144" s="16"/>
      <c r="Q2144" s="16"/>
    </row>
    <row r="2145" spans="1:17" x14ac:dyDescent="0.3">
      <c r="A2145" s="5"/>
      <c r="B2145" s="6"/>
      <c r="C2145" s="7"/>
      <c r="D2145" s="8"/>
      <c r="E2145" s="8"/>
      <c r="F2145" s="10"/>
      <c r="G2145" s="10"/>
      <c r="H2145" s="10"/>
      <c r="I2145" s="7"/>
      <c r="J2145" s="12"/>
      <c r="K2145" s="13"/>
      <c r="L2145" s="14"/>
      <c r="M2145" s="15"/>
      <c r="N2145" s="15"/>
      <c r="O2145" s="16"/>
      <c r="Q2145" s="16"/>
    </row>
    <row r="2146" spans="1:17" x14ac:dyDescent="0.3">
      <c r="A2146" s="5"/>
      <c r="B2146" s="6"/>
      <c r="C2146" s="7"/>
      <c r="D2146" s="8"/>
      <c r="E2146" s="8"/>
      <c r="F2146" s="10"/>
      <c r="G2146" s="10"/>
      <c r="H2146" s="10"/>
      <c r="I2146" s="7"/>
      <c r="J2146" s="12"/>
      <c r="K2146" s="13"/>
      <c r="L2146" s="14"/>
      <c r="M2146" s="15"/>
      <c r="N2146" s="15"/>
      <c r="O2146" s="16"/>
      <c r="Q2146" s="16"/>
    </row>
    <row r="2147" spans="1:17" x14ac:dyDescent="0.3">
      <c r="A2147" s="5"/>
      <c r="B2147" s="6"/>
      <c r="C2147" s="7"/>
      <c r="D2147" s="8"/>
      <c r="E2147" s="8"/>
      <c r="F2147" s="10"/>
      <c r="G2147" s="10"/>
      <c r="H2147" s="10"/>
      <c r="I2147" s="7"/>
      <c r="J2147" s="12"/>
      <c r="K2147" s="13"/>
      <c r="L2147" s="14"/>
      <c r="M2147" s="15"/>
      <c r="N2147" s="15"/>
      <c r="O2147" s="16"/>
      <c r="Q2147" s="16"/>
    </row>
    <row r="2148" spans="1:17" x14ac:dyDescent="0.3">
      <c r="A2148" s="5"/>
      <c r="B2148" s="6"/>
      <c r="C2148" s="7"/>
      <c r="D2148" s="8"/>
      <c r="E2148" s="8"/>
      <c r="F2148" s="10"/>
      <c r="G2148" s="10"/>
      <c r="H2148" s="10"/>
      <c r="I2148" s="7"/>
      <c r="J2148" s="12"/>
      <c r="K2148" s="13"/>
      <c r="L2148" s="14"/>
      <c r="M2148" s="15"/>
      <c r="N2148" s="15"/>
      <c r="O2148" s="16"/>
      <c r="Q2148" s="16"/>
    </row>
    <row r="2149" spans="1:17" x14ac:dyDescent="0.3">
      <c r="A2149" s="5"/>
      <c r="B2149" s="6"/>
      <c r="C2149" s="7"/>
      <c r="D2149" s="8"/>
      <c r="E2149" s="8"/>
      <c r="F2149" s="10"/>
      <c r="G2149" s="10"/>
      <c r="H2149" s="10"/>
      <c r="I2149" s="7"/>
      <c r="J2149" s="12"/>
      <c r="K2149" s="13"/>
      <c r="L2149" s="14"/>
      <c r="M2149" s="15"/>
      <c r="N2149" s="15"/>
      <c r="O2149" s="16"/>
      <c r="Q2149" s="16"/>
    </row>
    <row r="2150" spans="1:17" x14ac:dyDescent="0.3">
      <c r="A2150" s="5"/>
      <c r="B2150" s="6"/>
      <c r="C2150" s="7"/>
      <c r="D2150" s="8"/>
      <c r="E2150" s="8"/>
      <c r="F2150" s="10"/>
      <c r="G2150" s="10"/>
      <c r="H2150" s="10"/>
      <c r="I2150" s="7"/>
      <c r="J2150" s="12"/>
      <c r="K2150" s="13"/>
      <c r="L2150" s="14"/>
      <c r="M2150" s="15"/>
      <c r="N2150" s="15"/>
      <c r="O2150" s="16"/>
      <c r="Q2150" s="16"/>
    </row>
    <row r="2151" spans="1:17" x14ac:dyDescent="0.3">
      <c r="A2151" s="5"/>
      <c r="B2151" s="6"/>
      <c r="C2151" s="7"/>
      <c r="D2151" s="8"/>
      <c r="E2151" s="8"/>
      <c r="F2151" s="10"/>
      <c r="G2151" s="10"/>
      <c r="H2151" s="10"/>
      <c r="I2151" s="7"/>
      <c r="J2151" s="12"/>
      <c r="K2151" s="13"/>
      <c r="L2151" s="14"/>
      <c r="M2151" s="15"/>
      <c r="N2151" s="15"/>
      <c r="O2151" s="16"/>
      <c r="Q2151" s="16"/>
    </row>
    <row r="2152" spans="1:17" x14ac:dyDescent="0.3">
      <c r="A2152" s="5"/>
      <c r="B2152" s="6"/>
      <c r="C2152" s="7"/>
      <c r="D2152" s="8"/>
      <c r="E2152" s="8"/>
      <c r="F2152" s="10"/>
      <c r="G2152" s="10"/>
      <c r="H2152" s="10"/>
      <c r="I2152" s="7"/>
      <c r="J2152" s="12"/>
      <c r="K2152" s="13"/>
      <c r="L2152" s="14"/>
      <c r="M2152" s="15"/>
      <c r="N2152" s="15"/>
      <c r="O2152" s="16"/>
      <c r="Q2152" s="16"/>
    </row>
    <row r="2153" spans="1:17" x14ac:dyDescent="0.3">
      <c r="A2153" s="5"/>
      <c r="B2153" s="6"/>
      <c r="C2153" s="7"/>
      <c r="D2153" s="8"/>
      <c r="E2153" s="8"/>
      <c r="F2153" s="10"/>
      <c r="G2153" s="10"/>
      <c r="H2153" s="10"/>
      <c r="I2153" s="7"/>
      <c r="J2153" s="12"/>
      <c r="K2153" s="13"/>
      <c r="L2153" s="14"/>
      <c r="M2153" s="15"/>
      <c r="N2153" s="15"/>
      <c r="O2153" s="16"/>
      <c r="Q2153" s="16"/>
    </row>
    <row r="2154" spans="1:17" x14ac:dyDescent="0.3">
      <c r="A2154" s="5"/>
      <c r="B2154" s="6"/>
      <c r="C2154" s="7"/>
      <c r="D2154" s="8"/>
      <c r="E2154" s="8"/>
      <c r="F2154" s="10"/>
      <c r="G2154" s="10"/>
      <c r="H2154" s="10"/>
      <c r="I2154" s="7"/>
      <c r="J2154" s="12"/>
      <c r="K2154" s="13"/>
      <c r="L2154" s="14"/>
      <c r="M2154" s="15"/>
      <c r="N2154" s="15"/>
      <c r="O2154" s="16"/>
      <c r="Q2154" s="16"/>
    </row>
    <row r="2155" spans="1:17" x14ac:dyDescent="0.3">
      <c r="A2155" s="5"/>
      <c r="B2155" s="6"/>
      <c r="C2155" s="7"/>
      <c r="D2155" s="8"/>
      <c r="E2155" s="8"/>
      <c r="F2155" s="10"/>
      <c r="G2155" s="10"/>
      <c r="H2155" s="10"/>
      <c r="I2155" s="7"/>
      <c r="J2155" s="12"/>
      <c r="K2155" s="13"/>
      <c r="L2155" s="14"/>
      <c r="M2155" s="15"/>
      <c r="N2155" s="15"/>
      <c r="O2155" s="16"/>
      <c r="Q2155" s="16"/>
    </row>
    <row r="2156" spans="1:17" x14ac:dyDescent="0.3">
      <c r="A2156" s="5"/>
      <c r="B2156" s="6"/>
      <c r="C2156" s="7"/>
      <c r="D2156" s="8"/>
      <c r="E2156" s="8"/>
      <c r="F2156" s="10"/>
      <c r="G2156" s="10"/>
      <c r="H2156" s="10"/>
      <c r="I2156" s="7"/>
      <c r="J2156" s="12"/>
      <c r="K2156" s="13"/>
      <c r="L2156" s="14"/>
      <c r="M2156" s="15"/>
      <c r="N2156" s="15"/>
      <c r="O2156" s="16"/>
      <c r="Q2156" s="16"/>
    </row>
    <row r="2157" spans="1:17" x14ac:dyDescent="0.3">
      <c r="A2157" s="5"/>
      <c r="B2157" s="6"/>
      <c r="C2157" s="7"/>
      <c r="D2157" s="8"/>
      <c r="E2157" s="8"/>
      <c r="F2157" s="10"/>
      <c r="G2157" s="10"/>
      <c r="H2157" s="10"/>
      <c r="I2157" s="7"/>
      <c r="J2157" s="12"/>
      <c r="K2157" s="13"/>
      <c r="L2157" s="14"/>
      <c r="M2157" s="15"/>
      <c r="N2157" s="15"/>
      <c r="O2157" s="16"/>
      <c r="Q2157" s="16"/>
    </row>
    <row r="2158" spans="1:17" x14ac:dyDescent="0.3">
      <c r="A2158" s="5"/>
      <c r="B2158" s="6"/>
      <c r="C2158" s="7"/>
      <c r="D2158" s="8"/>
      <c r="E2158" s="8"/>
      <c r="F2158" s="10"/>
      <c r="G2158" s="10"/>
      <c r="H2158" s="10"/>
      <c r="I2158" s="7"/>
      <c r="J2158" s="12"/>
      <c r="K2158" s="13"/>
      <c r="L2158" s="14"/>
      <c r="M2158" s="15"/>
      <c r="N2158" s="15"/>
      <c r="O2158" s="16"/>
      <c r="Q2158" s="16"/>
    </row>
    <row r="2159" spans="1:17" x14ac:dyDescent="0.3">
      <c r="A2159" s="5"/>
      <c r="B2159" s="6"/>
      <c r="C2159" s="7"/>
      <c r="D2159" s="8"/>
      <c r="E2159" s="8"/>
      <c r="F2159" s="10"/>
      <c r="G2159" s="10"/>
      <c r="H2159" s="10"/>
      <c r="I2159" s="7"/>
      <c r="J2159" s="12"/>
      <c r="K2159" s="13"/>
      <c r="L2159" s="14"/>
      <c r="M2159" s="15"/>
      <c r="N2159" s="15"/>
      <c r="O2159" s="16"/>
      <c r="Q2159" s="16"/>
    </row>
    <row r="2160" spans="1:17" x14ac:dyDescent="0.3">
      <c r="A2160" s="5"/>
      <c r="B2160" s="6"/>
      <c r="C2160" s="7"/>
      <c r="D2160" s="8"/>
      <c r="E2160" s="8"/>
      <c r="F2160" s="10"/>
      <c r="G2160" s="10"/>
      <c r="H2160" s="10"/>
      <c r="I2160" s="7"/>
      <c r="J2160" s="12"/>
      <c r="K2160" s="13"/>
      <c r="L2160" s="14"/>
      <c r="M2160" s="15"/>
      <c r="N2160" s="15"/>
      <c r="O2160" s="16"/>
      <c r="Q2160" s="16"/>
    </row>
    <row r="2161" spans="1:17" x14ac:dyDescent="0.3">
      <c r="A2161" s="5"/>
      <c r="B2161" s="6"/>
      <c r="C2161" s="7"/>
      <c r="D2161" s="8"/>
      <c r="E2161" s="8"/>
      <c r="F2161" s="10"/>
      <c r="G2161" s="10"/>
      <c r="H2161" s="10"/>
      <c r="I2161" s="7"/>
      <c r="J2161" s="12"/>
      <c r="K2161" s="13"/>
      <c r="L2161" s="14"/>
      <c r="M2161" s="15"/>
      <c r="N2161" s="15"/>
      <c r="O2161" s="16"/>
      <c r="Q2161" s="16"/>
    </row>
    <row r="2162" spans="1:17" x14ac:dyDescent="0.3">
      <c r="A2162" s="5"/>
      <c r="B2162" s="6"/>
      <c r="C2162" s="7"/>
      <c r="D2162" s="8"/>
      <c r="E2162" s="8"/>
      <c r="F2162" s="10"/>
      <c r="G2162" s="10"/>
      <c r="H2162" s="10"/>
      <c r="I2162" s="7"/>
      <c r="J2162" s="12"/>
      <c r="K2162" s="13"/>
      <c r="L2162" s="14"/>
      <c r="M2162" s="15"/>
      <c r="N2162" s="15"/>
      <c r="O2162" s="16"/>
      <c r="Q2162" s="16"/>
    </row>
    <row r="2163" spans="1:17" x14ac:dyDescent="0.3">
      <c r="A2163" s="5"/>
      <c r="B2163" s="6"/>
      <c r="C2163" s="7"/>
      <c r="D2163" s="8"/>
      <c r="E2163" s="8"/>
      <c r="F2163" s="10"/>
      <c r="G2163" s="10"/>
      <c r="H2163" s="10"/>
      <c r="I2163" s="7"/>
      <c r="J2163" s="12"/>
      <c r="K2163" s="13"/>
      <c r="L2163" s="14"/>
      <c r="M2163" s="15"/>
      <c r="N2163" s="15"/>
      <c r="O2163" s="16"/>
      <c r="Q2163" s="16"/>
    </row>
    <row r="2164" spans="1:17" x14ac:dyDescent="0.3">
      <c r="A2164" s="5"/>
      <c r="B2164" s="6"/>
      <c r="C2164" s="7"/>
      <c r="D2164" s="8"/>
      <c r="E2164" s="8"/>
      <c r="F2164" s="10"/>
      <c r="G2164" s="10"/>
      <c r="H2164" s="10"/>
      <c r="I2164" s="7"/>
      <c r="J2164" s="12"/>
      <c r="K2164" s="13"/>
      <c r="L2164" s="14"/>
      <c r="M2164" s="15"/>
      <c r="N2164" s="15"/>
      <c r="O2164" s="16"/>
      <c r="Q2164" s="16"/>
    </row>
    <row r="2165" spans="1:17" x14ac:dyDescent="0.3">
      <c r="A2165" s="5"/>
      <c r="B2165" s="6"/>
      <c r="C2165" s="7"/>
      <c r="D2165" s="8"/>
      <c r="E2165" s="8"/>
      <c r="F2165" s="10"/>
      <c r="G2165" s="10"/>
      <c r="H2165" s="10"/>
      <c r="I2165" s="7"/>
      <c r="J2165" s="12"/>
      <c r="K2165" s="13"/>
      <c r="L2165" s="14"/>
      <c r="M2165" s="15"/>
      <c r="N2165" s="15"/>
      <c r="O2165" s="16"/>
      <c r="Q2165" s="16"/>
    </row>
    <row r="2166" spans="1:17" x14ac:dyDescent="0.3">
      <c r="A2166" s="5"/>
      <c r="B2166" s="6"/>
      <c r="C2166" s="7"/>
      <c r="D2166" s="8"/>
      <c r="E2166" s="8"/>
      <c r="F2166" s="10"/>
      <c r="G2166" s="10"/>
      <c r="H2166" s="10"/>
      <c r="I2166" s="7"/>
      <c r="J2166" s="12"/>
      <c r="K2166" s="13"/>
      <c r="L2166" s="14"/>
      <c r="M2166" s="15"/>
      <c r="N2166" s="15"/>
      <c r="O2166" s="16"/>
      <c r="Q2166" s="16"/>
    </row>
    <row r="2167" spans="1:17" x14ac:dyDescent="0.3">
      <c r="A2167" s="5"/>
      <c r="B2167" s="6"/>
      <c r="C2167" s="7"/>
      <c r="D2167" s="8"/>
      <c r="E2167" s="8"/>
      <c r="F2167" s="10"/>
      <c r="G2167" s="10"/>
      <c r="H2167" s="10"/>
      <c r="I2167" s="7"/>
      <c r="J2167" s="12"/>
      <c r="K2167" s="13"/>
      <c r="L2167" s="14"/>
      <c r="M2167" s="15"/>
      <c r="N2167" s="15"/>
      <c r="O2167" s="16"/>
      <c r="Q2167" s="16"/>
    </row>
    <row r="2168" spans="1:17" x14ac:dyDescent="0.3">
      <c r="A2168" s="5"/>
      <c r="B2168" s="6"/>
      <c r="C2168" s="7"/>
      <c r="D2168" s="8"/>
      <c r="E2168" s="8"/>
      <c r="F2168" s="10"/>
      <c r="G2168" s="10"/>
      <c r="H2168" s="10"/>
      <c r="I2168" s="7"/>
      <c r="J2168" s="12"/>
      <c r="K2168" s="13"/>
      <c r="L2168" s="14"/>
      <c r="M2168" s="15"/>
      <c r="N2168" s="15"/>
      <c r="O2168" s="16"/>
      <c r="Q2168" s="16"/>
    </row>
    <row r="2169" spans="1:17" x14ac:dyDescent="0.3">
      <c r="A2169" s="5"/>
      <c r="B2169" s="6"/>
      <c r="C2169" s="7"/>
      <c r="D2169" s="8"/>
      <c r="E2169" s="8"/>
      <c r="F2169" s="10"/>
      <c r="G2169" s="10"/>
      <c r="H2169" s="10"/>
      <c r="I2169" s="7"/>
      <c r="J2169" s="12"/>
      <c r="K2169" s="13"/>
      <c r="L2169" s="14"/>
      <c r="M2169" s="15"/>
      <c r="N2169" s="15"/>
      <c r="O2169" s="16"/>
      <c r="Q2169" s="16"/>
    </row>
    <row r="2170" spans="1:17" x14ac:dyDescent="0.3">
      <c r="A2170" s="5"/>
      <c r="B2170" s="6"/>
      <c r="C2170" s="7"/>
      <c r="D2170" s="8"/>
      <c r="E2170" s="8"/>
      <c r="F2170" s="10"/>
      <c r="G2170" s="10"/>
      <c r="H2170" s="10"/>
      <c r="I2170" s="7"/>
      <c r="J2170" s="12"/>
      <c r="K2170" s="13"/>
      <c r="L2170" s="14"/>
      <c r="M2170" s="15"/>
      <c r="N2170" s="15"/>
      <c r="O2170" s="16"/>
      <c r="Q2170" s="16"/>
    </row>
    <row r="2171" spans="1:17" x14ac:dyDescent="0.3">
      <c r="A2171" s="5"/>
      <c r="B2171" s="6"/>
      <c r="C2171" s="7"/>
      <c r="D2171" s="8"/>
      <c r="E2171" s="8"/>
      <c r="F2171" s="10"/>
      <c r="G2171" s="10"/>
      <c r="H2171" s="10"/>
      <c r="I2171" s="7"/>
      <c r="J2171" s="12"/>
      <c r="K2171" s="13"/>
      <c r="L2171" s="14"/>
      <c r="M2171" s="15"/>
      <c r="N2171" s="15"/>
      <c r="O2171" s="16"/>
      <c r="Q2171" s="16"/>
    </row>
    <row r="2172" spans="1:17" x14ac:dyDescent="0.3">
      <c r="A2172" s="5"/>
      <c r="B2172" s="6"/>
      <c r="C2172" s="7"/>
      <c r="D2172" s="8"/>
      <c r="E2172" s="8"/>
      <c r="F2172" s="10"/>
      <c r="G2172" s="10"/>
      <c r="H2172" s="10"/>
      <c r="I2172" s="7"/>
      <c r="J2172" s="12"/>
      <c r="K2172" s="13"/>
      <c r="L2172" s="14"/>
      <c r="M2172" s="15"/>
      <c r="N2172" s="15"/>
      <c r="O2172" s="16"/>
      <c r="Q2172" s="16"/>
    </row>
    <row r="2173" spans="1:17" x14ac:dyDescent="0.3">
      <c r="A2173" s="5"/>
      <c r="B2173" s="6"/>
      <c r="C2173" s="7"/>
      <c r="D2173" s="8"/>
      <c r="E2173" s="8"/>
      <c r="F2173" s="10"/>
      <c r="G2173" s="10"/>
      <c r="H2173" s="10"/>
      <c r="I2173" s="7"/>
      <c r="J2173" s="12"/>
      <c r="K2173" s="13"/>
      <c r="L2173" s="14"/>
      <c r="M2173" s="15"/>
      <c r="N2173" s="15"/>
      <c r="O2173" s="16"/>
      <c r="Q2173" s="16"/>
    </row>
    <row r="2174" spans="1:17" x14ac:dyDescent="0.3">
      <c r="A2174" s="5"/>
      <c r="B2174" s="6"/>
      <c r="C2174" s="7"/>
      <c r="D2174" s="8"/>
      <c r="E2174" s="8"/>
      <c r="F2174" s="10"/>
      <c r="G2174" s="10"/>
      <c r="H2174" s="10"/>
      <c r="I2174" s="7"/>
      <c r="J2174" s="12"/>
      <c r="K2174" s="13"/>
      <c r="L2174" s="14"/>
      <c r="M2174" s="15"/>
      <c r="N2174" s="15"/>
      <c r="O2174" s="16"/>
      <c r="Q2174" s="16"/>
    </row>
    <row r="2175" spans="1:17" x14ac:dyDescent="0.3">
      <c r="A2175" s="5"/>
      <c r="B2175" s="6"/>
      <c r="C2175" s="7"/>
      <c r="D2175" s="8"/>
      <c r="E2175" s="8"/>
      <c r="F2175" s="10"/>
      <c r="G2175" s="10"/>
      <c r="H2175" s="10"/>
      <c r="I2175" s="7"/>
      <c r="J2175" s="12"/>
      <c r="K2175" s="13"/>
      <c r="L2175" s="14"/>
      <c r="M2175" s="15"/>
      <c r="N2175" s="15"/>
      <c r="O2175" s="16"/>
      <c r="Q2175" s="16"/>
    </row>
    <row r="2176" spans="1:17" x14ac:dyDescent="0.3">
      <c r="A2176" s="5"/>
      <c r="B2176" s="6"/>
      <c r="C2176" s="7"/>
      <c r="D2176" s="8"/>
      <c r="E2176" s="8"/>
      <c r="F2176" s="10"/>
      <c r="G2176" s="10"/>
      <c r="H2176" s="10"/>
      <c r="I2176" s="7"/>
      <c r="J2176" s="12"/>
      <c r="K2176" s="13"/>
      <c r="L2176" s="14"/>
      <c r="M2176" s="15"/>
      <c r="N2176" s="15"/>
      <c r="O2176" s="16"/>
      <c r="Q2176" s="16"/>
    </row>
    <row r="2177" spans="1:17" x14ac:dyDescent="0.3">
      <c r="A2177" s="5"/>
      <c r="B2177" s="6"/>
      <c r="C2177" s="7"/>
      <c r="D2177" s="8"/>
      <c r="E2177" s="8"/>
      <c r="F2177" s="10"/>
      <c r="G2177" s="10"/>
      <c r="H2177" s="10"/>
      <c r="I2177" s="7"/>
      <c r="J2177" s="12"/>
      <c r="K2177" s="13"/>
      <c r="L2177" s="14"/>
      <c r="M2177" s="15"/>
      <c r="N2177" s="15"/>
      <c r="O2177" s="16"/>
      <c r="Q2177" s="16"/>
    </row>
    <row r="2178" spans="1:17" x14ac:dyDescent="0.3">
      <c r="A2178" s="5"/>
      <c r="B2178" s="6"/>
      <c r="C2178" s="7"/>
      <c r="D2178" s="8"/>
      <c r="E2178" s="8"/>
      <c r="F2178" s="10"/>
      <c r="G2178" s="10"/>
      <c r="H2178" s="10"/>
      <c r="I2178" s="7"/>
      <c r="J2178" s="12"/>
      <c r="K2178" s="13"/>
      <c r="L2178" s="14"/>
      <c r="M2178" s="15"/>
      <c r="N2178" s="15"/>
      <c r="O2178" s="16"/>
      <c r="Q2178" s="16"/>
    </row>
    <row r="2179" spans="1:17" x14ac:dyDescent="0.3">
      <c r="A2179" s="5"/>
      <c r="B2179" s="6"/>
      <c r="C2179" s="7"/>
      <c r="D2179" s="8"/>
      <c r="E2179" s="8"/>
      <c r="F2179" s="10"/>
      <c r="G2179" s="10"/>
      <c r="H2179" s="10"/>
      <c r="I2179" s="7"/>
      <c r="J2179" s="12"/>
      <c r="K2179" s="13"/>
      <c r="L2179" s="14"/>
      <c r="M2179" s="15"/>
      <c r="N2179" s="15"/>
      <c r="O2179" s="16"/>
      <c r="Q2179" s="16"/>
    </row>
    <row r="2180" spans="1:17" x14ac:dyDescent="0.3">
      <c r="A2180" s="5"/>
      <c r="B2180" s="6"/>
      <c r="C2180" s="7"/>
      <c r="D2180" s="8"/>
      <c r="E2180" s="8"/>
      <c r="F2180" s="10"/>
      <c r="G2180" s="10"/>
      <c r="H2180" s="10"/>
      <c r="I2180" s="7"/>
      <c r="J2180" s="12"/>
      <c r="K2180" s="13"/>
      <c r="L2180" s="14"/>
      <c r="M2180" s="15"/>
      <c r="N2180" s="15"/>
      <c r="O2180" s="16"/>
      <c r="Q2180" s="16"/>
    </row>
    <row r="2181" spans="1:17" x14ac:dyDescent="0.3">
      <c r="A2181" s="5"/>
      <c r="B2181" s="6"/>
      <c r="C2181" s="7"/>
      <c r="D2181" s="8"/>
      <c r="E2181" s="8"/>
      <c r="F2181" s="10"/>
      <c r="G2181" s="10"/>
      <c r="H2181" s="10"/>
      <c r="I2181" s="7"/>
      <c r="J2181" s="12"/>
      <c r="K2181" s="13"/>
      <c r="L2181" s="14"/>
      <c r="M2181" s="15"/>
      <c r="N2181" s="15"/>
      <c r="O2181" s="16"/>
      <c r="Q2181" s="16"/>
    </row>
    <row r="2182" spans="1:17" x14ac:dyDescent="0.3">
      <c r="A2182" s="5"/>
      <c r="B2182" s="6"/>
      <c r="C2182" s="7"/>
      <c r="D2182" s="8"/>
      <c r="E2182" s="8"/>
      <c r="F2182" s="10"/>
      <c r="G2182" s="10"/>
      <c r="H2182" s="10"/>
      <c r="I2182" s="7"/>
      <c r="J2182" s="12"/>
      <c r="K2182" s="13"/>
      <c r="L2182" s="14"/>
      <c r="M2182" s="15"/>
      <c r="N2182" s="15"/>
      <c r="O2182" s="16"/>
      <c r="Q2182" s="16"/>
    </row>
    <row r="2183" spans="1:17" x14ac:dyDescent="0.3">
      <c r="A2183" s="5"/>
      <c r="B2183" s="6"/>
      <c r="C2183" s="7"/>
      <c r="D2183" s="8"/>
      <c r="E2183" s="8"/>
      <c r="F2183" s="10"/>
      <c r="G2183" s="10"/>
      <c r="H2183" s="10"/>
      <c r="I2183" s="7"/>
      <c r="J2183" s="12"/>
      <c r="K2183" s="13"/>
      <c r="L2183" s="14"/>
      <c r="M2183" s="15"/>
      <c r="N2183" s="15"/>
      <c r="O2183" s="16"/>
      <c r="Q2183" s="16"/>
    </row>
    <row r="2184" spans="1:17" x14ac:dyDescent="0.3">
      <c r="A2184" s="5"/>
      <c r="B2184" s="6"/>
      <c r="C2184" s="7"/>
      <c r="D2184" s="8"/>
      <c r="E2184" s="8"/>
      <c r="F2184" s="10"/>
      <c r="G2184" s="10"/>
      <c r="H2184" s="10"/>
      <c r="I2184" s="7"/>
      <c r="J2184" s="12"/>
      <c r="K2184" s="13"/>
      <c r="L2184" s="14"/>
      <c r="M2184" s="15"/>
      <c r="N2184" s="15"/>
      <c r="O2184" s="16"/>
      <c r="Q2184" s="16"/>
    </row>
    <row r="2185" spans="1:17" x14ac:dyDescent="0.3">
      <c r="A2185" s="5"/>
      <c r="B2185" s="6"/>
      <c r="C2185" s="7"/>
      <c r="D2185" s="8"/>
      <c r="E2185" s="8"/>
      <c r="F2185" s="10"/>
      <c r="G2185" s="10"/>
      <c r="H2185" s="10"/>
      <c r="I2185" s="7"/>
      <c r="J2185" s="12"/>
      <c r="K2185" s="13"/>
      <c r="L2185" s="14"/>
      <c r="M2185" s="15"/>
      <c r="N2185" s="15"/>
      <c r="O2185" s="16"/>
      <c r="Q2185" s="16"/>
    </row>
    <row r="2186" spans="1:17" x14ac:dyDescent="0.3">
      <c r="A2186" s="5"/>
      <c r="B2186" s="6"/>
      <c r="C2186" s="7"/>
      <c r="D2186" s="8"/>
      <c r="E2186" s="8"/>
      <c r="F2186" s="10"/>
      <c r="G2186" s="10"/>
      <c r="H2186" s="10"/>
      <c r="I2186" s="7"/>
      <c r="J2186" s="12"/>
      <c r="K2186" s="13"/>
      <c r="L2186" s="14"/>
      <c r="M2186" s="15"/>
      <c r="N2186" s="15"/>
      <c r="O2186" s="16"/>
      <c r="Q2186" s="16"/>
    </row>
    <row r="2187" spans="1:17" x14ac:dyDescent="0.3">
      <c r="A2187" s="5"/>
      <c r="B2187" s="6"/>
      <c r="C2187" s="7"/>
      <c r="D2187" s="8"/>
      <c r="E2187" s="8"/>
      <c r="F2187" s="10"/>
      <c r="G2187" s="10"/>
      <c r="H2187" s="10"/>
      <c r="I2187" s="7"/>
      <c r="J2187" s="12"/>
      <c r="K2187" s="13"/>
      <c r="L2187" s="14"/>
      <c r="M2187" s="15"/>
      <c r="N2187" s="15"/>
      <c r="O2187" s="16"/>
      <c r="Q2187" s="16"/>
    </row>
    <row r="2188" spans="1:17" x14ac:dyDescent="0.3">
      <c r="A2188" s="5"/>
      <c r="B2188" s="6"/>
      <c r="C2188" s="7"/>
      <c r="D2188" s="8"/>
      <c r="E2188" s="8"/>
      <c r="F2188" s="10"/>
      <c r="G2188" s="10"/>
      <c r="H2188" s="10"/>
      <c r="I2188" s="7"/>
      <c r="J2188" s="12"/>
      <c r="K2188" s="13"/>
      <c r="L2188" s="14"/>
      <c r="M2188" s="15"/>
      <c r="N2188" s="15"/>
      <c r="O2188" s="16"/>
      <c r="Q2188" s="16"/>
    </row>
    <row r="2189" spans="1:17" x14ac:dyDescent="0.3">
      <c r="A2189" s="5"/>
      <c r="B2189" s="6"/>
      <c r="C2189" s="7"/>
      <c r="D2189" s="8"/>
      <c r="E2189" s="8"/>
      <c r="F2189" s="10"/>
      <c r="G2189" s="10"/>
      <c r="H2189" s="10"/>
      <c r="I2189" s="7"/>
      <c r="J2189" s="12"/>
      <c r="K2189" s="13"/>
      <c r="L2189" s="14"/>
      <c r="M2189" s="15"/>
      <c r="N2189" s="15"/>
      <c r="O2189" s="16"/>
      <c r="Q2189" s="16"/>
    </row>
    <row r="2190" spans="1:17" x14ac:dyDescent="0.3">
      <c r="A2190" s="5"/>
      <c r="B2190" s="6"/>
      <c r="C2190" s="7"/>
      <c r="D2190" s="8"/>
      <c r="E2190" s="8"/>
      <c r="F2190" s="10"/>
      <c r="G2190" s="10"/>
      <c r="H2190" s="10"/>
      <c r="I2190" s="7"/>
      <c r="J2190" s="12"/>
      <c r="K2190" s="13"/>
      <c r="L2190" s="14"/>
      <c r="M2190" s="15"/>
      <c r="N2190" s="15"/>
      <c r="O2190" s="16"/>
      <c r="Q2190" s="16"/>
    </row>
    <row r="2191" spans="1:17" x14ac:dyDescent="0.3">
      <c r="A2191" s="5"/>
      <c r="B2191" s="6"/>
      <c r="C2191" s="7"/>
      <c r="D2191" s="8"/>
      <c r="E2191" s="8"/>
      <c r="F2191" s="10"/>
      <c r="G2191" s="10"/>
      <c r="H2191" s="10"/>
      <c r="I2191" s="7"/>
      <c r="J2191" s="12"/>
      <c r="K2191" s="13"/>
      <c r="L2191" s="14"/>
      <c r="M2191" s="15"/>
      <c r="N2191" s="15"/>
      <c r="O2191" s="16"/>
      <c r="Q2191" s="16"/>
    </row>
    <row r="2192" spans="1:17" x14ac:dyDescent="0.3">
      <c r="A2192" s="5"/>
      <c r="B2192" s="6"/>
      <c r="C2192" s="7"/>
      <c r="D2192" s="8"/>
      <c r="E2192" s="8"/>
      <c r="F2192" s="10"/>
      <c r="G2192" s="10"/>
      <c r="H2192" s="10"/>
      <c r="I2192" s="7"/>
      <c r="J2192" s="12"/>
      <c r="K2192" s="13"/>
      <c r="L2192" s="14"/>
      <c r="M2192" s="15"/>
      <c r="N2192" s="15"/>
      <c r="O2192" s="16"/>
      <c r="Q2192" s="16"/>
    </row>
    <row r="2193" spans="1:17" x14ac:dyDescent="0.3">
      <c r="A2193" s="5"/>
      <c r="B2193" s="6"/>
      <c r="C2193" s="7"/>
      <c r="D2193" s="8"/>
      <c r="E2193" s="8"/>
      <c r="F2193" s="10"/>
      <c r="G2193" s="10"/>
      <c r="H2193" s="10"/>
      <c r="I2193" s="7"/>
      <c r="J2193" s="12"/>
      <c r="K2193" s="13"/>
      <c r="L2193" s="14"/>
      <c r="M2193" s="15"/>
      <c r="N2193" s="15"/>
      <c r="O2193" s="16"/>
      <c r="Q2193" s="16"/>
    </row>
    <row r="2194" spans="1:17" x14ac:dyDescent="0.3">
      <c r="A2194" s="5"/>
      <c r="B2194" s="6"/>
      <c r="C2194" s="7"/>
      <c r="D2194" s="8"/>
      <c r="E2194" s="8"/>
      <c r="F2194" s="10"/>
      <c r="G2194" s="10"/>
      <c r="H2194" s="10"/>
      <c r="I2194" s="7"/>
      <c r="J2194" s="12"/>
      <c r="K2194" s="13"/>
      <c r="L2194" s="14"/>
      <c r="M2194" s="15"/>
      <c r="N2194" s="15"/>
      <c r="O2194" s="16"/>
      <c r="Q2194" s="16"/>
    </row>
    <row r="2195" spans="1:17" x14ac:dyDescent="0.3">
      <c r="A2195" s="5"/>
      <c r="B2195" s="6"/>
      <c r="C2195" s="7"/>
      <c r="D2195" s="8"/>
      <c r="E2195" s="8"/>
      <c r="F2195" s="10"/>
      <c r="G2195" s="10"/>
      <c r="H2195" s="10"/>
      <c r="I2195" s="7"/>
      <c r="J2195" s="12"/>
      <c r="K2195" s="13"/>
      <c r="L2195" s="14"/>
      <c r="M2195" s="15"/>
      <c r="N2195" s="15"/>
      <c r="O2195" s="16"/>
      <c r="Q2195" s="16"/>
    </row>
    <row r="2196" spans="1:17" x14ac:dyDescent="0.3">
      <c r="A2196" s="5"/>
      <c r="B2196" s="6"/>
      <c r="C2196" s="7"/>
      <c r="D2196" s="8"/>
      <c r="E2196" s="8"/>
      <c r="F2196" s="10"/>
      <c r="G2196" s="10"/>
      <c r="H2196" s="10"/>
      <c r="I2196" s="7"/>
      <c r="J2196" s="12"/>
      <c r="K2196" s="13"/>
      <c r="L2196" s="14"/>
      <c r="M2196" s="15"/>
      <c r="N2196" s="15"/>
      <c r="O2196" s="16"/>
      <c r="Q2196" s="16"/>
    </row>
    <row r="2197" spans="1:17" x14ac:dyDescent="0.3">
      <c r="A2197" s="5"/>
      <c r="B2197" s="6"/>
      <c r="C2197" s="7"/>
      <c r="D2197" s="8"/>
      <c r="E2197" s="8"/>
      <c r="F2197" s="10"/>
      <c r="G2197" s="10"/>
      <c r="H2197" s="10"/>
      <c r="I2197" s="7"/>
      <c r="J2197" s="12"/>
      <c r="K2197" s="13"/>
      <c r="L2197" s="14"/>
      <c r="M2197" s="15"/>
      <c r="N2197" s="15"/>
      <c r="O2197" s="16"/>
      <c r="Q2197" s="16"/>
    </row>
    <row r="2198" spans="1:17" x14ac:dyDescent="0.3">
      <c r="A2198" s="5"/>
      <c r="B2198" s="6"/>
      <c r="C2198" s="7"/>
      <c r="D2198" s="8"/>
      <c r="E2198" s="8"/>
      <c r="F2198" s="10"/>
      <c r="G2198" s="10"/>
      <c r="H2198" s="10"/>
      <c r="I2198" s="7"/>
      <c r="J2198" s="12"/>
      <c r="K2198" s="13"/>
      <c r="L2198" s="14"/>
      <c r="M2198" s="15"/>
      <c r="N2198" s="15"/>
      <c r="O2198" s="16"/>
      <c r="Q2198" s="16"/>
    </row>
    <row r="2199" spans="1:17" x14ac:dyDescent="0.3">
      <c r="A2199" s="5"/>
      <c r="B2199" s="6"/>
      <c r="C2199" s="7"/>
      <c r="D2199" s="8"/>
      <c r="E2199" s="8"/>
      <c r="F2199" s="10"/>
      <c r="G2199" s="10"/>
      <c r="H2199" s="10"/>
      <c r="I2199" s="7"/>
      <c r="J2199" s="12"/>
      <c r="K2199" s="13"/>
      <c r="L2199" s="14"/>
      <c r="M2199" s="15"/>
      <c r="N2199" s="15"/>
      <c r="O2199" s="16"/>
      <c r="Q2199" s="16"/>
    </row>
    <row r="2200" spans="1:17" x14ac:dyDescent="0.3">
      <c r="A2200" s="5"/>
      <c r="B2200" s="6"/>
      <c r="C2200" s="7"/>
      <c r="D2200" s="8"/>
      <c r="E2200" s="8"/>
      <c r="F2200" s="10"/>
      <c r="G2200" s="10"/>
      <c r="H2200" s="10"/>
      <c r="I2200" s="7"/>
      <c r="J2200" s="12"/>
      <c r="K2200" s="13"/>
      <c r="L2200" s="14"/>
      <c r="M2200" s="15"/>
      <c r="N2200" s="15"/>
      <c r="O2200" s="16"/>
      <c r="Q2200" s="16"/>
    </row>
    <row r="2201" spans="1:17" x14ac:dyDescent="0.3">
      <c r="A2201" s="5"/>
      <c r="B2201" s="6"/>
      <c r="C2201" s="7"/>
      <c r="D2201" s="8"/>
      <c r="E2201" s="8"/>
      <c r="F2201" s="10"/>
      <c r="G2201" s="10"/>
      <c r="H2201" s="10"/>
      <c r="I2201" s="7"/>
      <c r="J2201" s="12"/>
      <c r="K2201" s="13"/>
      <c r="L2201" s="14"/>
      <c r="M2201" s="15"/>
      <c r="N2201" s="15"/>
      <c r="O2201" s="16"/>
      <c r="Q2201" s="16"/>
    </row>
    <row r="2202" spans="1:17" x14ac:dyDescent="0.3">
      <c r="A2202" s="5"/>
      <c r="B2202" s="6"/>
      <c r="C2202" s="7"/>
      <c r="D2202" s="8"/>
      <c r="E2202" s="8"/>
      <c r="F2202" s="10"/>
      <c r="G2202" s="10"/>
      <c r="H2202" s="10"/>
      <c r="I2202" s="7"/>
      <c r="J2202" s="12"/>
      <c r="K2202" s="13"/>
      <c r="L2202" s="14"/>
      <c r="M2202" s="15"/>
      <c r="N2202" s="15"/>
      <c r="O2202" s="16"/>
      <c r="Q2202" s="16"/>
    </row>
    <row r="2203" spans="1:17" x14ac:dyDescent="0.3">
      <c r="A2203" s="5"/>
      <c r="B2203" s="6"/>
      <c r="C2203" s="7"/>
      <c r="D2203" s="8"/>
      <c r="E2203" s="8"/>
      <c r="F2203" s="10"/>
      <c r="G2203" s="10"/>
      <c r="H2203" s="10"/>
      <c r="I2203" s="7"/>
      <c r="J2203" s="12"/>
      <c r="K2203" s="13"/>
      <c r="L2203" s="14"/>
      <c r="M2203" s="15"/>
      <c r="N2203" s="15"/>
      <c r="O2203" s="16"/>
      <c r="Q2203" s="16"/>
    </row>
    <row r="2204" spans="1:17" x14ac:dyDescent="0.3">
      <c r="A2204" s="5"/>
      <c r="B2204" s="6"/>
      <c r="C2204" s="7"/>
      <c r="D2204" s="8"/>
      <c r="E2204" s="8"/>
      <c r="F2204" s="10"/>
      <c r="G2204" s="10"/>
      <c r="H2204" s="10"/>
      <c r="I2204" s="7"/>
      <c r="J2204" s="12"/>
      <c r="K2204" s="13"/>
      <c r="L2204" s="14"/>
      <c r="M2204" s="15"/>
      <c r="N2204" s="15"/>
      <c r="O2204" s="16"/>
      <c r="Q2204" s="16"/>
    </row>
    <row r="2205" spans="1:17" x14ac:dyDescent="0.3">
      <c r="A2205" s="5"/>
      <c r="B2205" s="6"/>
      <c r="C2205" s="7"/>
      <c r="D2205" s="8"/>
      <c r="E2205" s="8"/>
      <c r="F2205" s="10"/>
      <c r="G2205" s="10"/>
      <c r="H2205" s="10"/>
      <c r="I2205" s="7"/>
      <c r="J2205" s="12"/>
      <c r="K2205" s="13"/>
      <c r="L2205" s="14"/>
      <c r="M2205" s="15"/>
      <c r="N2205" s="15"/>
      <c r="O2205" s="16"/>
      <c r="Q2205" s="16"/>
    </row>
    <row r="2206" spans="1:17" x14ac:dyDescent="0.3">
      <c r="A2206" s="5"/>
      <c r="B2206" s="6"/>
      <c r="C2206" s="7"/>
      <c r="D2206" s="8"/>
      <c r="E2206" s="8"/>
      <c r="F2206" s="10"/>
      <c r="G2206" s="10"/>
      <c r="H2206" s="10"/>
      <c r="I2206" s="7"/>
      <c r="J2206" s="12"/>
      <c r="K2206" s="13"/>
      <c r="L2206" s="14"/>
      <c r="M2206" s="15"/>
      <c r="N2206" s="15"/>
      <c r="O2206" s="16"/>
      <c r="Q2206" s="16"/>
    </row>
    <row r="2207" spans="1:17" x14ac:dyDescent="0.3">
      <c r="A2207" s="5"/>
      <c r="B2207" s="6"/>
      <c r="C2207" s="7"/>
      <c r="D2207" s="8"/>
      <c r="E2207" s="8"/>
      <c r="F2207" s="10"/>
      <c r="G2207" s="10"/>
      <c r="H2207" s="10"/>
      <c r="I2207" s="7"/>
      <c r="J2207" s="12"/>
      <c r="K2207" s="13"/>
      <c r="L2207" s="14"/>
      <c r="M2207" s="15"/>
      <c r="N2207" s="15"/>
      <c r="O2207" s="16"/>
      <c r="Q2207" s="16"/>
    </row>
    <row r="2208" spans="1:17" x14ac:dyDescent="0.3">
      <c r="A2208" s="5"/>
      <c r="B2208" s="6"/>
      <c r="C2208" s="7"/>
      <c r="D2208" s="8"/>
      <c r="E2208" s="8"/>
      <c r="F2208" s="10"/>
      <c r="G2208" s="10"/>
      <c r="H2208" s="10"/>
      <c r="I2208" s="7"/>
      <c r="J2208" s="12"/>
      <c r="K2208" s="13"/>
      <c r="L2208" s="14"/>
      <c r="M2208" s="15"/>
      <c r="N2208" s="15"/>
      <c r="O2208" s="16"/>
      <c r="Q2208" s="16"/>
    </row>
    <row r="2209" spans="1:17" x14ac:dyDescent="0.3">
      <c r="A2209" s="5"/>
      <c r="B2209" s="6"/>
      <c r="C2209" s="7"/>
      <c r="D2209" s="8"/>
      <c r="E2209" s="8"/>
      <c r="F2209" s="10"/>
      <c r="G2209" s="10"/>
      <c r="H2209" s="10"/>
      <c r="I2209" s="7"/>
      <c r="J2209" s="12"/>
      <c r="K2209" s="13"/>
      <c r="L2209" s="14"/>
      <c r="M2209" s="15"/>
      <c r="N2209" s="15"/>
      <c r="O2209" s="16"/>
      <c r="Q2209" s="16"/>
    </row>
    <row r="2210" spans="1:17" x14ac:dyDescent="0.3">
      <c r="A2210" s="5"/>
      <c r="B2210" s="6"/>
      <c r="C2210" s="7"/>
      <c r="D2210" s="8"/>
      <c r="E2210" s="8"/>
      <c r="F2210" s="10"/>
      <c r="G2210" s="10"/>
      <c r="H2210" s="10"/>
      <c r="I2210" s="7"/>
      <c r="J2210" s="12"/>
      <c r="K2210" s="13"/>
      <c r="L2210" s="14"/>
      <c r="M2210" s="15"/>
      <c r="N2210" s="15"/>
      <c r="O2210" s="16"/>
      <c r="Q2210" s="16"/>
    </row>
    <row r="2211" spans="1:17" x14ac:dyDescent="0.3">
      <c r="A2211" s="5"/>
      <c r="B2211" s="6"/>
      <c r="C2211" s="7"/>
      <c r="D2211" s="8"/>
      <c r="E2211" s="8"/>
      <c r="F2211" s="10"/>
      <c r="G2211" s="10"/>
      <c r="H2211" s="10"/>
      <c r="I2211" s="7"/>
      <c r="J2211" s="12"/>
      <c r="K2211" s="13"/>
      <c r="L2211" s="14"/>
      <c r="M2211" s="15"/>
      <c r="N2211" s="15"/>
      <c r="O2211" s="16"/>
      <c r="Q2211" s="16"/>
    </row>
    <row r="2212" spans="1:17" x14ac:dyDescent="0.3">
      <c r="A2212" s="5"/>
      <c r="B2212" s="6"/>
      <c r="C2212" s="7"/>
      <c r="D2212" s="8"/>
      <c r="E2212" s="8"/>
      <c r="F2212" s="10"/>
      <c r="G2212" s="10"/>
      <c r="H2212" s="10"/>
      <c r="I2212" s="7"/>
      <c r="J2212" s="12"/>
      <c r="K2212" s="13"/>
      <c r="L2212" s="14"/>
      <c r="M2212" s="15"/>
      <c r="N2212" s="15"/>
      <c r="O2212" s="16"/>
      <c r="Q2212" s="16"/>
    </row>
    <row r="2213" spans="1:17" x14ac:dyDescent="0.3">
      <c r="A2213" s="5"/>
      <c r="B2213" s="6"/>
      <c r="C2213" s="7"/>
      <c r="D2213" s="8"/>
      <c r="E2213" s="8"/>
      <c r="F2213" s="10"/>
      <c r="G2213" s="10"/>
      <c r="H2213" s="10"/>
      <c r="I2213" s="7"/>
      <c r="J2213" s="12"/>
      <c r="K2213" s="13"/>
      <c r="L2213" s="14"/>
      <c r="M2213" s="15"/>
      <c r="N2213" s="15"/>
      <c r="O2213" s="16"/>
      <c r="Q2213" s="16"/>
    </row>
    <row r="2214" spans="1:17" x14ac:dyDescent="0.3">
      <c r="A2214" s="5"/>
      <c r="B2214" s="6"/>
      <c r="C2214" s="7"/>
      <c r="D2214" s="8"/>
      <c r="E2214" s="8"/>
      <c r="F2214" s="10"/>
      <c r="G2214" s="10"/>
      <c r="H2214" s="10"/>
      <c r="I2214" s="7"/>
      <c r="J2214" s="12"/>
      <c r="K2214" s="13"/>
      <c r="L2214" s="14"/>
      <c r="M2214" s="15"/>
      <c r="N2214" s="15"/>
      <c r="O2214" s="16"/>
      <c r="Q2214" s="16"/>
    </row>
    <row r="2215" spans="1:17" x14ac:dyDescent="0.3">
      <c r="A2215" s="5"/>
      <c r="B2215" s="6"/>
      <c r="C2215" s="7"/>
      <c r="D2215" s="8"/>
      <c r="E2215" s="8"/>
      <c r="F2215" s="10"/>
      <c r="G2215" s="10"/>
      <c r="H2215" s="10"/>
      <c r="I2215" s="7"/>
      <c r="J2215" s="12"/>
      <c r="K2215" s="13"/>
      <c r="L2215" s="14"/>
      <c r="M2215" s="15"/>
      <c r="N2215" s="15"/>
      <c r="O2215" s="16"/>
      <c r="Q2215" s="16"/>
    </row>
    <row r="2216" spans="1:17" x14ac:dyDescent="0.3">
      <c r="A2216" s="5"/>
      <c r="B2216" s="6"/>
      <c r="C2216" s="7"/>
      <c r="D2216" s="8"/>
      <c r="E2216" s="8"/>
      <c r="F2216" s="10"/>
      <c r="G2216" s="10"/>
      <c r="H2216" s="10"/>
      <c r="I2216" s="7"/>
      <c r="J2216" s="12"/>
      <c r="K2216" s="13"/>
      <c r="L2216" s="14"/>
      <c r="M2216" s="15"/>
      <c r="N2216" s="15"/>
      <c r="O2216" s="16"/>
      <c r="Q2216" s="16"/>
    </row>
    <row r="2217" spans="1:17" x14ac:dyDescent="0.3">
      <c r="A2217" s="5"/>
      <c r="B2217" s="6"/>
      <c r="C2217" s="7"/>
      <c r="D2217" s="8"/>
      <c r="E2217" s="8"/>
      <c r="F2217" s="10"/>
      <c r="G2217" s="10"/>
      <c r="H2217" s="10"/>
      <c r="I2217" s="7"/>
      <c r="J2217" s="12"/>
      <c r="K2217" s="13"/>
      <c r="L2217" s="14"/>
      <c r="M2217" s="15"/>
      <c r="N2217" s="15"/>
      <c r="O2217" s="16"/>
      <c r="Q2217" s="16"/>
    </row>
    <row r="2218" spans="1:17" x14ac:dyDescent="0.3">
      <c r="A2218" s="5"/>
      <c r="B2218" s="6"/>
      <c r="C2218" s="7"/>
      <c r="D2218" s="8"/>
      <c r="E2218" s="8"/>
      <c r="F2218" s="10"/>
      <c r="G2218" s="10"/>
      <c r="H2218" s="10"/>
      <c r="I2218" s="7"/>
      <c r="J2218" s="12"/>
      <c r="K2218" s="13"/>
      <c r="L2218" s="14"/>
      <c r="M2218" s="15"/>
      <c r="N2218" s="15"/>
      <c r="O2218" s="16"/>
      <c r="Q2218" s="16"/>
    </row>
    <row r="2219" spans="1:17" x14ac:dyDescent="0.3">
      <c r="A2219" s="5"/>
      <c r="B2219" s="6"/>
      <c r="C2219" s="7"/>
      <c r="D2219" s="8"/>
      <c r="E2219" s="8"/>
      <c r="F2219" s="10"/>
      <c r="G2219" s="10"/>
      <c r="H2219" s="10"/>
      <c r="I2219" s="7"/>
      <c r="J2219" s="12"/>
      <c r="K2219" s="13"/>
      <c r="L2219" s="14"/>
      <c r="M2219" s="15"/>
      <c r="N2219" s="15"/>
      <c r="O2219" s="16"/>
      <c r="Q2219" s="16"/>
    </row>
    <row r="2220" spans="1:17" x14ac:dyDescent="0.3">
      <c r="A2220" s="5"/>
      <c r="B2220" s="6"/>
      <c r="C2220" s="7"/>
      <c r="D2220" s="8"/>
      <c r="E2220" s="8"/>
      <c r="F2220" s="10"/>
      <c r="G2220" s="10"/>
      <c r="H2220" s="10"/>
      <c r="I2220" s="7"/>
      <c r="J2220" s="12"/>
      <c r="K2220" s="13"/>
      <c r="L2220" s="14"/>
      <c r="M2220" s="15"/>
      <c r="N2220" s="15"/>
      <c r="O2220" s="16"/>
      <c r="Q2220" s="16"/>
    </row>
    <row r="2221" spans="1:17" x14ac:dyDescent="0.3">
      <c r="A2221" s="5"/>
      <c r="B2221" s="6"/>
      <c r="C2221" s="7"/>
      <c r="D2221" s="8"/>
      <c r="E2221" s="8"/>
      <c r="F2221" s="10"/>
      <c r="G2221" s="10"/>
      <c r="H2221" s="10"/>
      <c r="I2221" s="7"/>
      <c r="J2221" s="12"/>
      <c r="K2221" s="13"/>
      <c r="L2221" s="14"/>
      <c r="M2221" s="15"/>
      <c r="N2221" s="15"/>
      <c r="O2221" s="16"/>
      <c r="Q2221" s="16"/>
    </row>
    <row r="2222" spans="1:17" x14ac:dyDescent="0.3">
      <c r="A2222" s="5"/>
      <c r="B2222" s="6"/>
      <c r="C2222" s="7"/>
      <c r="D2222" s="8"/>
      <c r="E2222" s="8"/>
      <c r="F2222" s="10"/>
      <c r="G2222" s="10"/>
      <c r="H2222" s="10"/>
      <c r="I2222" s="7"/>
      <c r="J2222" s="12"/>
      <c r="K2222" s="13"/>
      <c r="L2222" s="14"/>
      <c r="M2222" s="15"/>
      <c r="N2222" s="15"/>
      <c r="O2222" s="16"/>
      <c r="Q2222" s="16"/>
    </row>
    <row r="2223" spans="1:17" x14ac:dyDescent="0.3">
      <c r="A2223" s="5"/>
      <c r="B2223" s="6"/>
      <c r="C2223" s="7"/>
      <c r="D2223" s="8"/>
      <c r="E2223" s="8"/>
      <c r="F2223" s="10"/>
      <c r="G2223" s="10"/>
      <c r="H2223" s="10"/>
      <c r="I2223" s="7"/>
      <c r="J2223" s="12"/>
      <c r="K2223" s="13"/>
      <c r="L2223" s="14"/>
      <c r="M2223" s="15"/>
      <c r="N2223" s="15"/>
      <c r="O2223" s="16"/>
      <c r="Q2223" s="16"/>
    </row>
    <row r="2224" spans="1:17" x14ac:dyDescent="0.3">
      <c r="A2224" s="5"/>
      <c r="B2224" s="6"/>
      <c r="C2224" s="7"/>
      <c r="D2224" s="8"/>
      <c r="E2224" s="8"/>
      <c r="F2224" s="10"/>
      <c r="G2224" s="10"/>
      <c r="H2224" s="10"/>
      <c r="I2224" s="7"/>
      <c r="J2224" s="12"/>
      <c r="K2224" s="13"/>
      <c r="L2224" s="14"/>
      <c r="M2224" s="15"/>
      <c r="N2224" s="15"/>
      <c r="O2224" s="16"/>
      <c r="Q2224" s="16"/>
    </row>
    <row r="2225" spans="1:17" x14ac:dyDescent="0.3">
      <c r="A2225" s="5"/>
      <c r="B2225" s="6"/>
      <c r="C2225" s="7"/>
      <c r="D2225" s="8"/>
      <c r="E2225" s="8"/>
      <c r="F2225" s="10"/>
      <c r="G2225" s="10"/>
      <c r="H2225" s="10"/>
      <c r="I2225" s="7"/>
      <c r="J2225" s="12"/>
      <c r="K2225" s="13"/>
      <c r="L2225" s="14"/>
      <c r="M2225" s="15"/>
      <c r="N2225" s="15"/>
      <c r="O2225" s="16"/>
      <c r="Q2225" s="16"/>
    </row>
    <row r="2226" spans="1:17" x14ac:dyDescent="0.3">
      <c r="A2226" s="5"/>
      <c r="B2226" s="6"/>
      <c r="C2226" s="7"/>
      <c r="D2226" s="8"/>
      <c r="E2226" s="8"/>
      <c r="F2226" s="10"/>
      <c r="G2226" s="10"/>
      <c r="H2226" s="10"/>
      <c r="I2226" s="7"/>
      <c r="J2226" s="12"/>
      <c r="K2226" s="13"/>
      <c r="L2226" s="14"/>
      <c r="M2226" s="15"/>
      <c r="N2226" s="15"/>
      <c r="O2226" s="16"/>
      <c r="Q2226" s="16"/>
    </row>
    <row r="2227" spans="1:17" x14ac:dyDescent="0.3">
      <c r="A2227" s="5"/>
      <c r="B2227" s="6"/>
      <c r="C2227" s="7"/>
      <c r="D2227" s="8"/>
      <c r="E2227" s="8"/>
      <c r="F2227" s="10"/>
      <c r="G2227" s="10"/>
      <c r="H2227" s="10"/>
      <c r="I2227" s="7"/>
      <c r="J2227" s="12"/>
      <c r="K2227" s="13"/>
      <c r="L2227" s="14"/>
      <c r="M2227" s="15"/>
      <c r="N2227" s="15"/>
      <c r="O2227" s="16"/>
      <c r="Q2227" s="16"/>
    </row>
    <row r="2228" spans="1:17" x14ac:dyDescent="0.3">
      <c r="A2228" s="5"/>
      <c r="B2228" s="6"/>
      <c r="C2228" s="7"/>
      <c r="D2228" s="8"/>
      <c r="E2228" s="8"/>
      <c r="F2228" s="10"/>
      <c r="G2228" s="10"/>
      <c r="H2228" s="10"/>
      <c r="I2228" s="7"/>
      <c r="J2228" s="12"/>
      <c r="K2228" s="13"/>
      <c r="L2228" s="14"/>
      <c r="M2228" s="15"/>
      <c r="N2228" s="15"/>
      <c r="O2228" s="16"/>
      <c r="Q2228" s="16"/>
    </row>
    <row r="2229" spans="1:17" x14ac:dyDescent="0.3">
      <c r="A2229" s="5"/>
      <c r="B2229" s="6"/>
      <c r="C2229" s="7"/>
      <c r="D2229" s="8"/>
      <c r="E2229" s="8"/>
      <c r="F2229" s="10"/>
      <c r="G2229" s="10"/>
      <c r="H2229" s="10"/>
      <c r="I2229" s="7"/>
      <c r="J2229" s="12"/>
      <c r="K2229" s="13"/>
      <c r="L2229" s="14"/>
      <c r="M2229" s="15"/>
      <c r="N2229" s="15"/>
      <c r="O2229" s="16"/>
      <c r="Q2229" s="16"/>
    </row>
    <row r="2230" spans="1:17" x14ac:dyDescent="0.3">
      <c r="A2230" s="5"/>
      <c r="B2230" s="6"/>
      <c r="C2230" s="7"/>
      <c r="D2230" s="8"/>
      <c r="E2230" s="8"/>
      <c r="F2230" s="10"/>
      <c r="G2230" s="10"/>
      <c r="H2230" s="10"/>
      <c r="I2230" s="7"/>
      <c r="J2230" s="12"/>
      <c r="K2230" s="13"/>
      <c r="L2230" s="14"/>
      <c r="M2230" s="15"/>
      <c r="N2230" s="15"/>
      <c r="O2230" s="16"/>
      <c r="Q2230" s="16"/>
    </row>
    <row r="2231" spans="1:17" x14ac:dyDescent="0.3">
      <c r="A2231" s="5"/>
      <c r="B2231" s="6"/>
      <c r="C2231" s="7"/>
      <c r="D2231" s="8"/>
      <c r="E2231" s="8"/>
      <c r="F2231" s="10"/>
      <c r="G2231" s="10"/>
      <c r="H2231" s="10"/>
      <c r="I2231" s="7"/>
      <c r="J2231" s="12"/>
      <c r="K2231" s="13"/>
      <c r="L2231" s="14"/>
      <c r="M2231" s="15"/>
      <c r="N2231" s="15"/>
      <c r="O2231" s="16"/>
      <c r="Q2231" s="16"/>
    </row>
    <row r="2232" spans="1:17" x14ac:dyDescent="0.3">
      <c r="A2232" s="5"/>
      <c r="B2232" s="6"/>
      <c r="C2232" s="7"/>
      <c r="D2232" s="8"/>
      <c r="E2232" s="8"/>
      <c r="F2232" s="10"/>
      <c r="G2232" s="10"/>
      <c r="H2232" s="10"/>
      <c r="I2232" s="7"/>
      <c r="J2232" s="12"/>
      <c r="K2232" s="13"/>
      <c r="L2232" s="14"/>
      <c r="M2232" s="15"/>
      <c r="N2232" s="15"/>
      <c r="O2232" s="16"/>
      <c r="Q2232" s="16"/>
    </row>
    <row r="2233" spans="1:17" x14ac:dyDescent="0.3">
      <c r="A2233" s="5"/>
      <c r="B2233" s="6"/>
      <c r="C2233" s="7"/>
      <c r="D2233" s="8"/>
      <c r="E2233" s="8"/>
      <c r="F2233" s="10"/>
      <c r="G2233" s="10"/>
      <c r="H2233" s="10"/>
      <c r="I2233" s="7"/>
      <c r="J2233" s="12"/>
      <c r="K2233" s="13"/>
      <c r="L2233" s="14"/>
      <c r="M2233" s="15"/>
      <c r="N2233" s="15"/>
      <c r="O2233" s="16"/>
      <c r="Q2233" s="16"/>
    </row>
    <row r="2234" spans="1:17" x14ac:dyDescent="0.3">
      <c r="A2234" s="5"/>
      <c r="B2234" s="6"/>
      <c r="C2234" s="7"/>
      <c r="D2234" s="8"/>
      <c r="E2234" s="8"/>
      <c r="F2234" s="10"/>
      <c r="G2234" s="10"/>
      <c r="H2234" s="10"/>
      <c r="I2234" s="7"/>
      <c r="J2234" s="12"/>
      <c r="K2234" s="13"/>
      <c r="L2234" s="14"/>
      <c r="M2234" s="15"/>
      <c r="N2234" s="15"/>
      <c r="O2234" s="16"/>
      <c r="Q2234" s="16"/>
    </row>
    <row r="2235" spans="1:17" x14ac:dyDescent="0.3">
      <c r="A2235" s="5"/>
      <c r="B2235" s="6"/>
      <c r="C2235" s="7"/>
      <c r="D2235" s="8"/>
      <c r="E2235" s="8"/>
      <c r="F2235" s="10"/>
      <c r="G2235" s="10"/>
      <c r="H2235" s="10"/>
      <c r="I2235" s="7"/>
      <c r="J2235" s="12"/>
      <c r="K2235" s="13"/>
      <c r="L2235" s="14"/>
      <c r="M2235" s="15"/>
      <c r="N2235" s="15"/>
      <c r="O2235" s="16"/>
      <c r="Q2235" s="16"/>
    </row>
    <row r="2236" spans="1:17" x14ac:dyDescent="0.3">
      <c r="A2236" s="5"/>
      <c r="B2236" s="6"/>
      <c r="C2236" s="7"/>
      <c r="D2236" s="8"/>
      <c r="E2236" s="8"/>
      <c r="F2236" s="10"/>
      <c r="G2236" s="10"/>
      <c r="H2236" s="10"/>
      <c r="I2236" s="7"/>
      <c r="J2236" s="12"/>
      <c r="K2236" s="13"/>
      <c r="L2236" s="14"/>
      <c r="M2236" s="15"/>
      <c r="N2236" s="15"/>
      <c r="O2236" s="16"/>
      <c r="Q2236" s="16"/>
    </row>
    <row r="2237" spans="1:17" x14ac:dyDescent="0.3">
      <c r="A2237" s="5"/>
      <c r="B2237" s="6"/>
      <c r="C2237" s="7"/>
      <c r="D2237" s="8"/>
      <c r="E2237" s="8"/>
      <c r="F2237" s="10"/>
      <c r="G2237" s="10"/>
      <c r="H2237" s="10"/>
      <c r="I2237" s="7"/>
      <c r="J2237" s="12"/>
      <c r="K2237" s="13"/>
      <c r="L2237" s="14"/>
      <c r="M2237" s="15"/>
      <c r="N2237" s="15"/>
      <c r="O2237" s="16"/>
      <c r="Q2237" s="16"/>
    </row>
    <row r="2238" spans="1:17" x14ac:dyDescent="0.3">
      <c r="A2238" s="5"/>
      <c r="B2238" s="6"/>
      <c r="C2238" s="7"/>
      <c r="D2238" s="8"/>
      <c r="E2238" s="8"/>
      <c r="F2238" s="10"/>
      <c r="G2238" s="10"/>
      <c r="H2238" s="10"/>
      <c r="I2238" s="7"/>
      <c r="J2238" s="12"/>
      <c r="K2238" s="13"/>
      <c r="L2238" s="14"/>
      <c r="M2238" s="15"/>
      <c r="N2238" s="15"/>
      <c r="O2238" s="16"/>
      <c r="Q2238" s="16"/>
    </row>
    <row r="2239" spans="1:17" x14ac:dyDescent="0.3">
      <c r="A2239" s="5"/>
      <c r="B2239" s="6"/>
      <c r="C2239" s="7"/>
      <c r="D2239" s="8"/>
      <c r="E2239" s="8"/>
      <c r="F2239" s="10"/>
      <c r="G2239" s="10"/>
      <c r="H2239" s="10"/>
      <c r="I2239" s="7"/>
      <c r="J2239" s="12"/>
      <c r="K2239" s="13"/>
      <c r="L2239" s="14"/>
      <c r="M2239" s="15"/>
      <c r="N2239" s="15"/>
      <c r="O2239" s="16"/>
      <c r="Q2239" s="16"/>
    </row>
    <row r="2240" spans="1:17" x14ac:dyDescent="0.3">
      <c r="A2240" s="5"/>
      <c r="B2240" s="6"/>
      <c r="C2240" s="7"/>
      <c r="D2240" s="8"/>
      <c r="E2240" s="8"/>
      <c r="F2240" s="10"/>
      <c r="G2240" s="10"/>
      <c r="H2240" s="10"/>
      <c r="I2240" s="7"/>
      <c r="J2240" s="12"/>
      <c r="K2240" s="13"/>
      <c r="L2240" s="14"/>
      <c r="M2240" s="15"/>
      <c r="N2240" s="15"/>
      <c r="O2240" s="16"/>
      <c r="Q2240" s="16"/>
    </row>
    <row r="2241" spans="1:17" x14ac:dyDescent="0.3">
      <c r="A2241" s="5"/>
      <c r="B2241" s="6"/>
      <c r="C2241" s="7"/>
      <c r="D2241" s="8"/>
      <c r="E2241" s="8"/>
      <c r="F2241" s="10"/>
      <c r="G2241" s="10"/>
      <c r="H2241" s="10"/>
      <c r="I2241" s="7"/>
      <c r="J2241" s="12"/>
      <c r="K2241" s="13"/>
      <c r="L2241" s="14"/>
      <c r="M2241" s="15"/>
      <c r="N2241" s="15"/>
      <c r="O2241" s="16"/>
      <c r="Q2241" s="16"/>
    </row>
    <row r="2242" spans="1:17" x14ac:dyDescent="0.3">
      <c r="A2242" s="5"/>
      <c r="B2242" s="6"/>
      <c r="C2242" s="7"/>
      <c r="D2242" s="8"/>
      <c r="E2242" s="8"/>
      <c r="F2242" s="10"/>
      <c r="G2242" s="10"/>
      <c r="H2242" s="10"/>
      <c r="I2242" s="7"/>
      <c r="J2242" s="12"/>
      <c r="K2242" s="13"/>
      <c r="L2242" s="14"/>
      <c r="M2242" s="15"/>
      <c r="N2242" s="15"/>
      <c r="O2242" s="16"/>
      <c r="Q2242" s="16"/>
    </row>
    <row r="2243" spans="1:17" x14ac:dyDescent="0.3">
      <c r="A2243" s="5"/>
      <c r="B2243" s="6"/>
      <c r="C2243" s="7"/>
      <c r="D2243" s="8"/>
      <c r="E2243" s="8"/>
      <c r="F2243" s="10"/>
      <c r="G2243" s="10"/>
      <c r="H2243" s="10"/>
      <c r="I2243" s="7"/>
      <c r="J2243" s="12"/>
      <c r="K2243" s="13"/>
      <c r="L2243" s="14"/>
      <c r="M2243" s="15"/>
      <c r="N2243" s="15"/>
      <c r="O2243" s="16"/>
      <c r="Q2243" s="16"/>
    </row>
    <row r="2244" spans="1:17" x14ac:dyDescent="0.3">
      <c r="A2244" s="5"/>
      <c r="B2244" s="6"/>
      <c r="C2244" s="7"/>
      <c r="D2244" s="8"/>
      <c r="E2244" s="8"/>
      <c r="F2244" s="10"/>
      <c r="G2244" s="10"/>
      <c r="H2244" s="10"/>
      <c r="I2244" s="7"/>
      <c r="J2244" s="12"/>
      <c r="K2244" s="13"/>
      <c r="L2244" s="14"/>
      <c r="M2244" s="15"/>
      <c r="N2244" s="15"/>
      <c r="O2244" s="16"/>
      <c r="Q2244" s="16"/>
    </row>
    <row r="2245" spans="1:17" x14ac:dyDescent="0.3">
      <c r="A2245" s="5"/>
      <c r="B2245" s="6"/>
      <c r="C2245" s="7"/>
      <c r="D2245" s="8"/>
      <c r="E2245" s="8"/>
      <c r="F2245" s="10"/>
      <c r="G2245" s="10"/>
      <c r="H2245" s="10"/>
      <c r="I2245" s="7"/>
      <c r="J2245" s="12"/>
      <c r="K2245" s="13"/>
      <c r="L2245" s="14"/>
      <c r="M2245" s="15"/>
      <c r="N2245" s="15"/>
      <c r="O2245" s="16"/>
      <c r="Q2245" s="16"/>
    </row>
    <row r="2246" spans="1:17" x14ac:dyDescent="0.3">
      <c r="A2246" s="5"/>
      <c r="B2246" s="6"/>
      <c r="C2246" s="7"/>
      <c r="D2246" s="8"/>
      <c r="E2246" s="8"/>
      <c r="F2246" s="10"/>
      <c r="G2246" s="10"/>
      <c r="H2246" s="10"/>
      <c r="I2246" s="7"/>
      <c r="J2246" s="12"/>
      <c r="K2246" s="13"/>
      <c r="L2246" s="14"/>
      <c r="M2246" s="15"/>
      <c r="N2246" s="15"/>
      <c r="O2246" s="16"/>
      <c r="Q2246" s="16"/>
    </row>
    <row r="2247" spans="1:17" x14ac:dyDescent="0.3">
      <c r="A2247" s="5"/>
      <c r="B2247" s="6"/>
      <c r="C2247" s="7"/>
      <c r="D2247" s="8"/>
      <c r="E2247" s="8"/>
      <c r="F2247" s="10"/>
      <c r="G2247" s="10"/>
      <c r="H2247" s="10"/>
      <c r="I2247" s="7"/>
      <c r="J2247" s="12"/>
      <c r="K2247" s="13"/>
      <c r="L2247" s="14"/>
      <c r="M2247" s="15"/>
      <c r="N2247" s="15"/>
      <c r="O2247" s="16"/>
      <c r="Q2247" s="16"/>
    </row>
    <row r="2248" spans="1:17" x14ac:dyDescent="0.3">
      <c r="A2248" s="5"/>
      <c r="B2248" s="6"/>
      <c r="C2248" s="7"/>
      <c r="D2248" s="8"/>
      <c r="E2248" s="8"/>
      <c r="F2248" s="10"/>
      <c r="G2248" s="10"/>
      <c r="H2248" s="10"/>
      <c r="I2248" s="7"/>
      <c r="J2248" s="12"/>
      <c r="K2248" s="13"/>
      <c r="L2248" s="14"/>
      <c r="M2248" s="15"/>
      <c r="N2248" s="15"/>
      <c r="O2248" s="16"/>
      <c r="Q2248" s="16"/>
    </row>
    <row r="2249" spans="1:17" x14ac:dyDescent="0.3">
      <c r="A2249" s="5"/>
      <c r="B2249" s="6"/>
      <c r="C2249" s="7"/>
      <c r="D2249" s="8"/>
      <c r="E2249" s="8"/>
      <c r="F2249" s="10"/>
      <c r="G2249" s="10"/>
      <c r="H2249" s="10"/>
      <c r="I2249" s="7"/>
      <c r="J2249" s="12"/>
      <c r="K2249" s="13"/>
      <c r="L2249" s="14"/>
      <c r="M2249" s="15"/>
      <c r="N2249" s="15"/>
      <c r="O2249" s="16"/>
      <c r="Q2249" s="16"/>
    </row>
    <row r="2250" spans="1:17" x14ac:dyDescent="0.3">
      <c r="A2250" s="5"/>
      <c r="B2250" s="6"/>
      <c r="C2250" s="7"/>
      <c r="D2250" s="8"/>
      <c r="E2250" s="8"/>
      <c r="F2250" s="10"/>
      <c r="G2250" s="10"/>
      <c r="H2250" s="10"/>
      <c r="I2250" s="7"/>
      <c r="J2250" s="12"/>
      <c r="K2250" s="13"/>
      <c r="L2250" s="14"/>
      <c r="M2250" s="15"/>
      <c r="N2250" s="15"/>
      <c r="O2250" s="16"/>
      <c r="Q2250" s="16"/>
    </row>
    <row r="2251" spans="1:17" x14ac:dyDescent="0.3">
      <c r="A2251" s="5"/>
      <c r="B2251" s="6"/>
      <c r="C2251" s="7"/>
      <c r="D2251" s="8"/>
      <c r="E2251" s="8"/>
      <c r="F2251" s="10"/>
      <c r="G2251" s="10"/>
      <c r="H2251" s="10"/>
      <c r="I2251" s="7"/>
      <c r="J2251" s="12"/>
      <c r="K2251" s="13"/>
      <c r="L2251" s="14"/>
      <c r="M2251" s="15"/>
      <c r="N2251" s="15"/>
      <c r="O2251" s="16"/>
      <c r="Q2251" s="16"/>
    </row>
    <row r="2252" spans="1:17" x14ac:dyDescent="0.3">
      <c r="A2252" s="5"/>
      <c r="B2252" s="6"/>
      <c r="C2252" s="7"/>
      <c r="D2252" s="8"/>
      <c r="E2252" s="8"/>
      <c r="F2252" s="10"/>
      <c r="G2252" s="10"/>
      <c r="H2252" s="10"/>
      <c r="I2252" s="7"/>
      <c r="J2252" s="12"/>
      <c r="K2252" s="13"/>
      <c r="L2252" s="14"/>
      <c r="M2252" s="15"/>
      <c r="N2252" s="15"/>
      <c r="O2252" s="16"/>
      <c r="Q2252" s="16"/>
    </row>
    <row r="2253" spans="1:17" x14ac:dyDescent="0.3">
      <c r="A2253" s="5"/>
      <c r="B2253" s="6"/>
      <c r="C2253" s="7"/>
      <c r="D2253" s="8"/>
      <c r="E2253" s="8"/>
      <c r="F2253" s="10"/>
      <c r="G2253" s="10"/>
      <c r="H2253" s="10"/>
      <c r="I2253" s="7"/>
      <c r="J2253" s="12"/>
      <c r="K2253" s="13"/>
      <c r="L2253" s="14"/>
      <c r="M2253" s="15"/>
      <c r="N2253" s="15"/>
      <c r="O2253" s="16"/>
      <c r="Q2253" s="16"/>
    </row>
    <row r="2254" spans="1:17" x14ac:dyDescent="0.3">
      <c r="A2254" s="5"/>
      <c r="B2254" s="6"/>
      <c r="C2254" s="7"/>
      <c r="D2254" s="8"/>
      <c r="E2254" s="8"/>
      <c r="F2254" s="10"/>
      <c r="G2254" s="10"/>
      <c r="H2254" s="10"/>
      <c r="I2254" s="7"/>
      <c r="J2254" s="12"/>
      <c r="K2254" s="13"/>
      <c r="L2254" s="14"/>
      <c r="M2254" s="15"/>
      <c r="N2254" s="15"/>
      <c r="O2254" s="16"/>
      <c r="Q2254" s="16"/>
    </row>
    <row r="2255" spans="1:17" x14ac:dyDescent="0.3">
      <c r="A2255" s="5"/>
      <c r="B2255" s="6"/>
      <c r="C2255" s="7"/>
      <c r="D2255" s="8"/>
      <c r="E2255" s="8"/>
      <c r="F2255" s="10"/>
      <c r="G2255" s="10"/>
      <c r="H2255" s="10"/>
      <c r="I2255" s="7"/>
      <c r="J2255" s="12"/>
      <c r="K2255" s="13"/>
      <c r="L2255" s="14"/>
      <c r="M2255" s="15"/>
      <c r="N2255" s="15"/>
      <c r="O2255" s="16"/>
      <c r="Q2255" s="16"/>
    </row>
    <row r="2256" spans="1:17" x14ac:dyDescent="0.3">
      <c r="A2256" s="5"/>
      <c r="B2256" s="6"/>
      <c r="C2256" s="7"/>
      <c r="D2256" s="8"/>
      <c r="E2256" s="8"/>
      <c r="F2256" s="10"/>
      <c r="G2256" s="10"/>
      <c r="H2256" s="10"/>
      <c r="I2256" s="7"/>
      <c r="J2256" s="12"/>
      <c r="K2256" s="13"/>
      <c r="L2256" s="14"/>
      <c r="M2256" s="15"/>
      <c r="N2256" s="15"/>
      <c r="O2256" s="16"/>
      <c r="Q2256" s="16"/>
    </row>
    <row r="2257" spans="1:17" x14ac:dyDescent="0.3">
      <c r="A2257" s="5"/>
      <c r="B2257" s="6"/>
      <c r="C2257" s="7"/>
      <c r="D2257" s="8"/>
      <c r="E2257" s="8"/>
      <c r="F2257" s="10"/>
      <c r="G2257" s="10"/>
      <c r="H2257" s="10"/>
      <c r="I2257" s="7"/>
      <c r="J2257" s="12"/>
      <c r="K2257" s="13"/>
      <c r="L2257" s="14"/>
      <c r="M2257" s="15"/>
      <c r="N2257" s="15"/>
      <c r="O2257" s="16"/>
      <c r="Q2257" s="16"/>
    </row>
    <row r="2258" spans="1:17" x14ac:dyDescent="0.3">
      <c r="A2258" s="5"/>
      <c r="B2258" s="6"/>
      <c r="C2258" s="7"/>
      <c r="D2258" s="8"/>
      <c r="E2258" s="8"/>
      <c r="F2258" s="10"/>
      <c r="G2258" s="10"/>
      <c r="H2258" s="10"/>
      <c r="I2258" s="7"/>
      <c r="J2258" s="12"/>
      <c r="K2258" s="13"/>
      <c r="L2258" s="14"/>
      <c r="M2258" s="15"/>
      <c r="N2258" s="15"/>
      <c r="O2258" s="16"/>
      <c r="Q2258" s="16"/>
    </row>
    <row r="2259" spans="1:17" x14ac:dyDescent="0.3">
      <c r="A2259" s="5"/>
      <c r="B2259" s="6"/>
      <c r="C2259" s="7"/>
      <c r="D2259" s="8"/>
      <c r="E2259" s="8"/>
      <c r="F2259" s="10"/>
      <c r="G2259" s="10"/>
      <c r="H2259" s="10"/>
      <c r="I2259" s="7"/>
      <c r="J2259" s="12"/>
      <c r="K2259" s="13"/>
      <c r="L2259" s="14"/>
      <c r="M2259" s="15"/>
      <c r="N2259" s="15"/>
      <c r="O2259" s="16"/>
      <c r="Q2259" s="16"/>
    </row>
    <row r="2260" spans="1:17" x14ac:dyDescent="0.3">
      <c r="A2260" s="5"/>
      <c r="B2260" s="6"/>
      <c r="C2260" s="7"/>
      <c r="D2260" s="8"/>
      <c r="E2260" s="8"/>
      <c r="F2260" s="10"/>
      <c r="G2260" s="10"/>
      <c r="H2260" s="10"/>
      <c r="I2260" s="7"/>
      <c r="J2260" s="12"/>
      <c r="K2260" s="13"/>
      <c r="L2260" s="14"/>
      <c r="M2260" s="15"/>
      <c r="N2260" s="15"/>
      <c r="O2260" s="16"/>
      <c r="Q2260" s="16"/>
    </row>
    <row r="2261" spans="1:17" x14ac:dyDescent="0.3">
      <c r="A2261" s="5"/>
      <c r="B2261" s="6"/>
      <c r="C2261" s="7"/>
      <c r="D2261" s="8"/>
      <c r="E2261" s="8"/>
      <c r="F2261" s="10"/>
      <c r="G2261" s="10"/>
      <c r="H2261" s="10"/>
      <c r="I2261" s="7"/>
      <c r="J2261" s="12"/>
      <c r="K2261" s="13"/>
      <c r="L2261" s="14"/>
      <c r="M2261" s="15"/>
      <c r="N2261" s="15"/>
      <c r="O2261" s="16"/>
      <c r="Q2261" s="16"/>
    </row>
    <row r="2262" spans="1:17" x14ac:dyDescent="0.3">
      <c r="A2262" s="5"/>
      <c r="B2262" s="6"/>
      <c r="C2262" s="7"/>
      <c r="D2262" s="8"/>
      <c r="E2262" s="8"/>
      <c r="F2262" s="10"/>
      <c r="G2262" s="10"/>
      <c r="H2262" s="10"/>
      <c r="I2262" s="7"/>
      <c r="J2262" s="12"/>
      <c r="K2262" s="13"/>
      <c r="L2262" s="14"/>
      <c r="M2262" s="15"/>
      <c r="N2262" s="15"/>
      <c r="O2262" s="16"/>
      <c r="Q2262" s="16"/>
    </row>
    <row r="2263" spans="1:17" x14ac:dyDescent="0.3">
      <c r="A2263" s="5"/>
      <c r="B2263" s="6"/>
      <c r="C2263" s="7"/>
      <c r="D2263" s="8"/>
      <c r="E2263" s="8"/>
      <c r="F2263" s="10"/>
      <c r="G2263" s="10"/>
      <c r="H2263" s="10"/>
      <c r="I2263" s="7"/>
      <c r="J2263" s="12"/>
      <c r="K2263" s="13"/>
      <c r="L2263" s="14"/>
      <c r="M2263" s="15"/>
      <c r="N2263" s="15"/>
      <c r="O2263" s="16"/>
      <c r="Q2263" s="16"/>
    </row>
    <row r="2264" spans="1:17" x14ac:dyDescent="0.3">
      <c r="A2264" s="5"/>
      <c r="B2264" s="6"/>
      <c r="C2264" s="7"/>
      <c r="D2264" s="8"/>
      <c r="E2264" s="8"/>
      <c r="F2264" s="10"/>
      <c r="G2264" s="10"/>
      <c r="H2264" s="10"/>
      <c r="I2264" s="7"/>
      <c r="J2264" s="12"/>
      <c r="K2264" s="13"/>
      <c r="L2264" s="14"/>
      <c r="M2264" s="15"/>
      <c r="N2264" s="15"/>
      <c r="O2264" s="16"/>
      <c r="Q2264" s="16"/>
    </row>
    <row r="2265" spans="1:17" x14ac:dyDescent="0.3">
      <c r="A2265" s="5"/>
      <c r="B2265" s="6"/>
      <c r="C2265" s="7"/>
      <c r="D2265" s="8"/>
      <c r="E2265" s="8"/>
      <c r="F2265" s="10"/>
      <c r="G2265" s="10"/>
      <c r="H2265" s="10"/>
      <c r="I2265" s="7"/>
      <c r="J2265" s="12"/>
      <c r="K2265" s="13"/>
      <c r="L2265" s="14"/>
      <c r="M2265" s="15"/>
      <c r="N2265" s="15"/>
      <c r="O2265" s="16"/>
      <c r="Q2265" s="16"/>
    </row>
    <row r="2266" spans="1:17" x14ac:dyDescent="0.3">
      <c r="A2266" s="5"/>
      <c r="B2266" s="6"/>
      <c r="C2266" s="7"/>
      <c r="D2266" s="8"/>
      <c r="E2266" s="8"/>
      <c r="F2266" s="10"/>
      <c r="G2266" s="10"/>
      <c r="H2266" s="10"/>
      <c r="I2266" s="7"/>
      <c r="J2266" s="12"/>
      <c r="K2266" s="13"/>
      <c r="L2266" s="14"/>
      <c r="M2266" s="15"/>
      <c r="N2266" s="15"/>
      <c r="O2266" s="16"/>
      <c r="Q2266" s="16"/>
    </row>
    <row r="2267" spans="1:17" x14ac:dyDescent="0.3">
      <c r="A2267" s="5"/>
      <c r="B2267" s="6"/>
      <c r="C2267" s="7"/>
      <c r="D2267" s="8"/>
      <c r="E2267" s="8"/>
      <c r="F2267" s="10"/>
      <c r="G2267" s="10"/>
      <c r="H2267" s="10"/>
      <c r="I2267" s="7"/>
      <c r="J2267" s="12"/>
      <c r="K2267" s="13"/>
      <c r="L2267" s="14"/>
      <c r="M2267" s="15"/>
      <c r="N2267" s="15"/>
      <c r="O2267" s="16"/>
      <c r="Q2267" s="16"/>
    </row>
    <row r="2268" spans="1:17" x14ac:dyDescent="0.3">
      <c r="A2268" s="5"/>
      <c r="B2268" s="6"/>
      <c r="C2268" s="7"/>
      <c r="D2268" s="8"/>
      <c r="E2268" s="8"/>
      <c r="F2268" s="10"/>
      <c r="G2268" s="10"/>
      <c r="H2268" s="10"/>
      <c r="I2268" s="7"/>
      <c r="J2268" s="12"/>
      <c r="K2268" s="13"/>
      <c r="L2268" s="14"/>
      <c r="M2268" s="15"/>
      <c r="N2268" s="15"/>
      <c r="O2268" s="16"/>
      <c r="Q2268" s="16"/>
    </row>
    <row r="2269" spans="1:17" x14ac:dyDescent="0.3">
      <c r="A2269" s="5"/>
      <c r="B2269" s="6"/>
      <c r="C2269" s="7"/>
      <c r="D2269" s="8"/>
      <c r="E2269" s="8"/>
      <c r="F2269" s="10"/>
      <c r="G2269" s="10"/>
      <c r="H2269" s="10"/>
      <c r="I2269" s="7"/>
      <c r="J2269" s="12"/>
      <c r="K2269" s="13"/>
      <c r="L2269" s="14"/>
      <c r="M2269" s="15"/>
      <c r="N2269" s="15"/>
      <c r="O2269" s="16"/>
      <c r="Q2269" s="16"/>
    </row>
    <row r="2270" spans="1:17" x14ac:dyDescent="0.3">
      <c r="A2270" s="5"/>
      <c r="B2270" s="6"/>
      <c r="C2270" s="7"/>
      <c r="D2270" s="8"/>
      <c r="E2270" s="8"/>
      <c r="F2270" s="10"/>
      <c r="G2270" s="10"/>
      <c r="H2270" s="10"/>
      <c r="I2270" s="7"/>
      <c r="J2270" s="12"/>
      <c r="K2270" s="13"/>
      <c r="L2270" s="14"/>
      <c r="M2270" s="15"/>
      <c r="N2270" s="15"/>
      <c r="O2270" s="16"/>
      <c r="Q2270" s="16"/>
    </row>
    <row r="2271" spans="1:17" x14ac:dyDescent="0.3">
      <c r="A2271" s="5"/>
      <c r="B2271" s="6"/>
      <c r="C2271" s="7"/>
      <c r="D2271" s="8"/>
      <c r="E2271" s="8"/>
      <c r="F2271" s="10"/>
      <c r="G2271" s="10"/>
      <c r="H2271" s="10"/>
      <c r="I2271" s="7"/>
      <c r="J2271" s="12"/>
      <c r="K2271" s="13"/>
      <c r="L2271" s="14"/>
      <c r="M2271" s="15"/>
      <c r="N2271" s="15"/>
      <c r="O2271" s="16"/>
      <c r="Q2271" s="16"/>
    </row>
    <row r="2272" spans="1:17" x14ac:dyDescent="0.3">
      <c r="A2272" s="5"/>
      <c r="B2272" s="6"/>
      <c r="C2272" s="7"/>
      <c r="D2272" s="8"/>
      <c r="E2272" s="8"/>
      <c r="F2272" s="10"/>
      <c r="G2272" s="10"/>
      <c r="H2272" s="10"/>
      <c r="I2272" s="7"/>
      <c r="J2272" s="12"/>
      <c r="K2272" s="13"/>
      <c r="L2272" s="14"/>
      <c r="M2272" s="15"/>
      <c r="N2272" s="15"/>
      <c r="O2272" s="16"/>
      <c r="Q2272" s="16"/>
    </row>
    <row r="2273" spans="1:17" x14ac:dyDescent="0.3">
      <c r="A2273" s="5"/>
      <c r="B2273" s="6"/>
      <c r="C2273" s="7"/>
      <c r="D2273" s="8"/>
      <c r="E2273" s="8"/>
      <c r="F2273" s="10"/>
      <c r="G2273" s="10"/>
      <c r="H2273" s="10"/>
      <c r="I2273" s="7"/>
      <c r="J2273" s="12"/>
      <c r="K2273" s="13"/>
      <c r="L2273" s="14"/>
      <c r="M2273" s="15"/>
      <c r="N2273" s="15"/>
      <c r="O2273" s="16"/>
      <c r="Q2273" s="16"/>
    </row>
    <row r="2274" spans="1:17" x14ac:dyDescent="0.3">
      <c r="A2274" s="5"/>
      <c r="B2274" s="6"/>
      <c r="C2274" s="7"/>
      <c r="D2274" s="8"/>
      <c r="E2274" s="8"/>
      <c r="F2274" s="10"/>
      <c r="G2274" s="10"/>
      <c r="H2274" s="10"/>
      <c r="I2274" s="7"/>
      <c r="J2274" s="12"/>
      <c r="K2274" s="13"/>
      <c r="L2274" s="14"/>
      <c r="M2274" s="15"/>
      <c r="N2274" s="15"/>
      <c r="O2274" s="16"/>
      <c r="Q2274" s="16"/>
    </row>
    <row r="2275" spans="1:17" x14ac:dyDescent="0.3">
      <c r="A2275" s="5"/>
      <c r="B2275" s="6"/>
      <c r="C2275" s="7"/>
      <c r="D2275" s="8"/>
      <c r="E2275" s="8"/>
      <c r="F2275" s="10"/>
      <c r="G2275" s="10"/>
      <c r="H2275" s="10"/>
      <c r="I2275" s="7"/>
      <c r="J2275" s="12"/>
      <c r="K2275" s="13"/>
      <c r="L2275" s="14"/>
      <c r="M2275" s="15"/>
      <c r="N2275" s="15"/>
      <c r="O2275" s="16"/>
      <c r="Q2275" s="16"/>
    </row>
    <row r="2276" spans="1:17" x14ac:dyDescent="0.3">
      <c r="A2276" s="5"/>
      <c r="B2276" s="6"/>
      <c r="C2276" s="7"/>
      <c r="D2276" s="8"/>
      <c r="E2276" s="8"/>
      <c r="F2276" s="10"/>
      <c r="G2276" s="10"/>
      <c r="H2276" s="10"/>
      <c r="I2276" s="7"/>
      <c r="J2276" s="12"/>
      <c r="K2276" s="13"/>
      <c r="L2276" s="14"/>
      <c r="M2276" s="15"/>
      <c r="N2276" s="15"/>
      <c r="O2276" s="16"/>
      <c r="Q2276" s="16"/>
    </row>
    <row r="2277" spans="1:17" x14ac:dyDescent="0.3">
      <c r="A2277" s="5"/>
      <c r="B2277" s="6"/>
      <c r="C2277" s="7"/>
      <c r="D2277" s="8"/>
      <c r="E2277" s="8"/>
      <c r="F2277" s="10"/>
      <c r="G2277" s="10"/>
      <c r="H2277" s="10"/>
      <c r="I2277" s="7"/>
      <c r="J2277" s="12"/>
      <c r="K2277" s="13"/>
      <c r="L2277" s="14"/>
      <c r="M2277" s="15"/>
      <c r="N2277" s="15"/>
      <c r="O2277" s="16"/>
      <c r="Q2277" s="16"/>
    </row>
    <row r="2278" spans="1:17" x14ac:dyDescent="0.3">
      <c r="A2278" s="5"/>
      <c r="B2278" s="6"/>
      <c r="C2278" s="7"/>
      <c r="D2278" s="8"/>
      <c r="E2278" s="8"/>
      <c r="F2278" s="10"/>
      <c r="G2278" s="10"/>
      <c r="H2278" s="10"/>
      <c r="I2278" s="7"/>
      <c r="J2278" s="12"/>
      <c r="K2278" s="13"/>
      <c r="L2278" s="14"/>
      <c r="M2278" s="15"/>
      <c r="N2278" s="15"/>
      <c r="O2278" s="16"/>
      <c r="Q2278" s="16"/>
    </row>
    <row r="2279" spans="1:17" x14ac:dyDescent="0.3">
      <c r="A2279" s="5"/>
      <c r="B2279" s="6"/>
      <c r="C2279" s="7"/>
      <c r="D2279" s="8"/>
      <c r="E2279" s="8"/>
      <c r="F2279" s="10"/>
      <c r="G2279" s="10"/>
      <c r="H2279" s="10"/>
      <c r="I2279" s="7"/>
      <c r="J2279" s="12"/>
      <c r="K2279" s="13"/>
      <c r="L2279" s="14"/>
      <c r="M2279" s="15"/>
      <c r="N2279" s="15"/>
      <c r="O2279" s="16"/>
      <c r="Q2279" s="16"/>
    </row>
    <row r="2280" spans="1:17" x14ac:dyDescent="0.3">
      <c r="A2280" s="5"/>
      <c r="B2280" s="6"/>
      <c r="C2280" s="7"/>
      <c r="D2280" s="8"/>
      <c r="E2280" s="8"/>
      <c r="F2280" s="10"/>
      <c r="G2280" s="10"/>
      <c r="H2280" s="10"/>
      <c r="I2280" s="7"/>
      <c r="J2280" s="12"/>
      <c r="K2280" s="13"/>
      <c r="L2280" s="14"/>
      <c r="M2280" s="15"/>
      <c r="N2280" s="15"/>
      <c r="O2280" s="16"/>
      <c r="Q2280" s="16"/>
    </row>
    <row r="2281" spans="1:17" x14ac:dyDescent="0.3">
      <c r="A2281" s="5"/>
      <c r="B2281" s="6"/>
      <c r="C2281" s="7"/>
      <c r="D2281" s="8"/>
      <c r="E2281" s="8"/>
      <c r="F2281" s="10"/>
      <c r="G2281" s="10"/>
      <c r="H2281" s="10"/>
      <c r="I2281" s="7"/>
      <c r="J2281" s="12"/>
      <c r="K2281" s="13"/>
      <c r="L2281" s="14"/>
      <c r="M2281" s="15"/>
      <c r="N2281" s="15"/>
      <c r="O2281" s="16"/>
      <c r="Q2281" s="16"/>
    </row>
    <row r="2282" spans="1:17" x14ac:dyDescent="0.3">
      <c r="A2282" s="5"/>
      <c r="B2282" s="6"/>
      <c r="C2282" s="7"/>
      <c r="D2282" s="8"/>
      <c r="E2282" s="8"/>
      <c r="F2282" s="10"/>
      <c r="G2282" s="10"/>
      <c r="H2282" s="10"/>
      <c r="I2282" s="7"/>
      <c r="J2282" s="12"/>
      <c r="K2282" s="13"/>
      <c r="L2282" s="14"/>
      <c r="M2282" s="15"/>
      <c r="N2282" s="15"/>
      <c r="O2282" s="16"/>
      <c r="Q2282" s="16"/>
    </row>
    <row r="2283" spans="1:17" x14ac:dyDescent="0.3">
      <c r="A2283" s="5"/>
      <c r="B2283" s="6"/>
      <c r="C2283" s="7"/>
      <c r="D2283" s="8"/>
      <c r="E2283" s="8"/>
      <c r="F2283" s="10"/>
      <c r="G2283" s="10"/>
      <c r="H2283" s="10"/>
      <c r="I2283" s="7"/>
      <c r="J2283" s="12"/>
      <c r="K2283" s="13"/>
      <c r="L2283" s="14"/>
      <c r="M2283" s="15"/>
      <c r="N2283" s="15"/>
      <c r="O2283" s="16"/>
      <c r="Q2283" s="16"/>
    </row>
    <row r="2284" spans="1:17" x14ac:dyDescent="0.3">
      <c r="A2284" s="5"/>
      <c r="B2284" s="6"/>
      <c r="C2284" s="7"/>
      <c r="D2284" s="8"/>
      <c r="E2284" s="8"/>
      <c r="F2284" s="10"/>
      <c r="G2284" s="10"/>
      <c r="H2284" s="10"/>
      <c r="I2284" s="7"/>
      <c r="J2284" s="12"/>
      <c r="K2284" s="13"/>
      <c r="L2284" s="14"/>
      <c r="M2284" s="15"/>
      <c r="N2284" s="15"/>
      <c r="O2284" s="16"/>
      <c r="Q2284" s="16"/>
    </row>
    <row r="2285" spans="1:17" x14ac:dyDescent="0.3">
      <c r="A2285" s="5"/>
      <c r="B2285" s="6"/>
      <c r="C2285" s="7"/>
      <c r="D2285" s="8"/>
      <c r="E2285" s="8"/>
      <c r="F2285" s="10"/>
      <c r="G2285" s="10"/>
      <c r="H2285" s="10"/>
      <c r="I2285" s="7"/>
      <c r="J2285" s="12"/>
      <c r="K2285" s="13"/>
      <c r="L2285" s="14"/>
      <c r="M2285" s="15"/>
      <c r="N2285" s="15"/>
      <c r="O2285" s="16"/>
      <c r="Q2285" s="16"/>
    </row>
    <row r="2286" spans="1:17" x14ac:dyDescent="0.3">
      <c r="A2286" s="5"/>
      <c r="B2286" s="6"/>
      <c r="C2286" s="7"/>
      <c r="D2286" s="8"/>
      <c r="E2286" s="8"/>
      <c r="F2286" s="10"/>
      <c r="G2286" s="10"/>
      <c r="H2286" s="10"/>
      <c r="I2286" s="7"/>
      <c r="J2286" s="12"/>
      <c r="K2286" s="13"/>
      <c r="L2286" s="14"/>
      <c r="M2286" s="15"/>
      <c r="N2286" s="15"/>
      <c r="O2286" s="16"/>
      <c r="Q2286" s="16"/>
    </row>
    <row r="2287" spans="1:17" x14ac:dyDescent="0.3">
      <c r="A2287" s="5"/>
      <c r="B2287" s="6"/>
      <c r="C2287" s="7"/>
      <c r="D2287" s="8"/>
      <c r="E2287" s="8"/>
      <c r="F2287" s="10"/>
      <c r="G2287" s="10"/>
      <c r="H2287" s="10"/>
      <c r="I2287" s="7"/>
      <c r="J2287" s="12"/>
      <c r="K2287" s="13"/>
      <c r="L2287" s="14"/>
      <c r="M2287" s="15"/>
      <c r="N2287" s="15"/>
      <c r="O2287" s="16"/>
      <c r="Q2287" s="16"/>
    </row>
    <row r="2288" spans="1:17" x14ac:dyDescent="0.3">
      <c r="A2288" s="5"/>
      <c r="B2288" s="6"/>
      <c r="C2288" s="7"/>
      <c r="D2288" s="8"/>
      <c r="E2288" s="8"/>
      <c r="F2288" s="10"/>
      <c r="G2288" s="10"/>
      <c r="H2288" s="10"/>
      <c r="I2288" s="7"/>
      <c r="J2288" s="12"/>
      <c r="K2288" s="13"/>
      <c r="L2288" s="14"/>
      <c r="M2288" s="15"/>
      <c r="N2288" s="15"/>
      <c r="O2288" s="16"/>
      <c r="Q2288" s="16"/>
    </row>
    <row r="2289" spans="1:17" x14ac:dyDescent="0.3">
      <c r="A2289" s="5"/>
      <c r="B2289" s="6"/>
      <c r="C2289" s="7"/>
      <c r="D2289" s="8"/>
      <c r="E2289" s="8"/>
      <c r="F2289" s="10"/>
      <c r="G2289" s="10"/>
      <c r="H2289" s="10"/>
      <c r="I2289" s="7"/>
      <c r="J2289" s="12"/>
      <c r="K2289" s="13"/>
      <c r="L2289" s="14"/>
      <c r="M2289" s="15"/>
      <c r="N2289" s="15"/>
      <c r="O2289" s="16"/>
      <c r="Q2289" s="16"/>
    </row>
    <row r="2290" spans="1:17" x14ac:dyDescent="0.3">
      <c r="A2290" s="5"/>
      <c r="B2290" s="6"/>
      <c r="C2290" s="7"/>
      <c r="D2290" s="8"/>
      <c r="E2290" s="8"/>
      <c r="F2290" s="10"/>
      <c r="G2290" s="10"/>
      <c r="H2290" s="10"/>
      <c r="I2290" s="7"/>
      <c r="J2290" s="12"/>
      <c r="K2290" s="13"/>
      <c r="L2290" s="14"/>
      <c r="M2290" s="15"/>
      <c r="N2290" s="15"/>
      <c r="O2290" s="16"/>
      <c r="Q2290" s="16"/>
    </row>
    <row r="2291" spans="1:17" x14ac:dyDescent="0.3">
      <c r="A2291" s="5"/>
      <c r="B2291" s="6"/>
      <c r="C2291" s="7"/>
      <c r="D2291" s="8"/>
      <c r="E2291" s="8"/>
      <c r="F2291" s="10"/>
      <c r="G2291" s="10"/>
      <c r="H2291" s="10"/>
      <c r="I2291" s="7"/>
      <c r="J2291" s="12"/>
      <c r="K2291" s="13"/>
      <c r="L2291" s="14"/>
      <c r="M2291" s="15"/>
      <c r="N2291" s="15"/>
      <c r="O2291" s="16"/>
      <c r="Q2291" s="16"/>
    </row>
    <row r="2292" spans="1:17" x14ac:dyDescent="0.3">
      <c r="A2292" s="5"/>
      <c r="B2292" s="6"/>
      <c r="C2292" s="7"/>
      <c r="D2292" s="8"/>
      <c r="E2292" s="8"/>
      <c r="F2292" s="10"/>
      <c r="G2292" s="10"/>
      <c r="H2292" s="10"/>
      <c r="I2292" s="7"/>
      <c r="J2292" s="12"/>
      <c r="K2292" s="13"/>
      <c r="L2292" s="14"/>
      <c r="M2292" s="15"/>
      <c r="N2292" s="15"/>
      <c r="O2292" s="16"/>
      <c r="Q2292" s="16"/>
    </row>
    <row r="2293" spans="1:17" x14ac:dyDescent="0.3">
      <c r="A2293" s="5"/>
      <c r="B2293" s="6"/>
      <c r="C2293" s="7"/>
      <c r="D2293" s="8"/>
      <c r="E2293" s="8"/>
      <c r="F2293" s="10"/>
      <c r="G2293" s="10"/>
      <c r="H2293" s="10"/>
      <c r="I2293" s="7"/>
      <c r="J2293" s="12"/>
      <c r="K2293" s="13"/>
      <c r="L2293" s="14"/>
      <c r="M2293" s="15"/>
      <c r="N2293" s="15"/>
      <c r="O2293" s="16"/>
      <c r="Q2293" s="16"/>
    </row>
    <row r="2294" spans="1:17" x14ac:dyDescent="0.3">
      <c r="A2294" s="5"/>
      <c r="B2294" s="6"/>
      <c r="C2294" s="7"/>
      <c r="D2294" s="8"/>
      <c r="E2294" s="8"/>
      <c r="F2294" s="10"/>
      <c r="G2294" s="10"/>
      <c r="H2294" s="10"/>
      <c r="I2294" s="7"/>
      <c r="J2294" s="12"/>
      <c r="K2294" s="13"/>
      <c r="L2294" s="14"/>
      <c r="M2294" s="15"/>
      <c r="N2294" s="15"/>
      <c r="O2294" s="16"/>
      <c r="Q2294" s="16"/>
    </row>
    <row r="2295" spans="1:17" x14ac:dyDescent="0.3">
      <c r="A2295" s="5"/>
      <c r="B2295" s="6"/>
      <c r="C2295" s="7"/>
      <c r="D2295" s="8"/>
      <c r="E2295" s="8"/>
      <c r="F2295" s="10"/>
      <c r="G2295" s="10"/>
      <c r="H2295" s="10"/>
      <c r="I2295" s="7"/>
      <c r="J2295" s="12"/>
      <c r="K2295" s="13"/>
      <c r="L2295" s="14"/>
      <c r="M2295" s="15"/>
      <c r="N2295" s="15"/>
      <c r="O2295" s="16"/>
      <c r="Q2295" s="16"/>
    </row>
    <row r="2296" spans="1:17" x14ac:dyDescent="0.3">
      <c r="A2296" s="5"/>
      <c r="B2296" s="6"/>
      <c r="C2296" s="7"/>
      <c r="D2296" s="8"/>
      <c r="E2296" s="8"/>
      <c r="F2296" s="10"/>
      <c r="G2296" s="10"/>
      <c r="H2296" s="10"/>
      <c r="I2296" s="7"/>
      <c r="J2296" s="12"/>
      <c r="K2296" s="13"/>
      <c r="L2296" s="14"/>
      <c r="M2296" s="15"/>
      <c r="N2296" s="15"/>
      <c r="O2296" s="16"/>
      <c r="Q2296" s="16"/>
    </row>
    <row r="2297" spans="1:17" x14ac:dyDescent="0.3">
      <c r="A2297" s="5"/>
      <c r="B2297" s="6"/>
      <c r="C2297" s="7"/>
      <c r="D2297" s="8"/>
      <c r="E2297" s="8"/>
      <c r="F2297" s="10"/>
      <c r="G2297" s="10"/>
      <c r="H2297" s="10"/>
      <c r="I2297" s="7"/>
      <c r="J2297" s="12"/>
      <c r="K2297" s="13"/>
      <c r="L2297" s="14"/>
      <c r="M2297" s="15"/>
      <c r="N2297" s="15"/>
      <c r="O2297" s="16"/>
      <c r="Q2297" s="16"/>
    </row>
    <row r="2298" spans="1:17" x14ac:dyDescent="0.3">
      <c r="A2298" s="5"/>
      <c r="B2298" s="6"/>
      <c r="C2298" s="7"/>
      <c r="D2298" s="8"/>
      <c r="E2298" s="8"/>
      <c r="F2298" s="10"/>
      <c r="G2298" s="10"/>
      <c r="H2298" s="10"/>
      <c r="I2298" s="7"/>
      <c r="J2298" s="12"/>
      <c r="K2298" s="13"/>
      <c r="L2298" s="14"/>
      <c r="M2298" s="15"/>
      <c r="N2298" s="15"/>
      <c r="O2298" s="16"/>
      <c r="Q2298" s="16"/>
    </row>
    <row r="2299" spans="1:17" x14ac:dyDescent="0.3">
      <c r="A2299" s="5"/>
      <c r="B2299" s="6"/>
      <c r="C2299" s="7"/>
      <c r="D2299" s="8"/>
      <c r="E2299" s="8"/>
      <c r="F2299" s="10"/>
      <c r="G2299" s="10"/>
      <c r="H2299" s="10"/>
      <c r="I2299" s="7"/>
      <c r="J2299" s="12"/>
      <c r="K2299" s="13"/>
      <c r="L2299" s="14"/>
      <c r="M2299" s="15"/>
      <c r="N2299" s="15"/>
      <c r="O2299" s="16"/>
      <c r="Q2299" s="16"/>
    </row>
    <row r="2300" spans="1:17" x14ac:dyDescent="0.3">
      <c r="A2300" s="5"/>
      <c r="B2300" s="6"/>
      <c r="C2300" s="7"/>
      <c r="D2300" s="8"/>
      <c r="E2300" s="8"/>
      <c r="F2300" s="10"/>
      <c r="G2300" s="10"/>
      <c r="H2300" s="10"/>
      <c r="I2300" s="7"/>
      <c r="J2300" s="12"/>
      <c r="K2300" s="13"/>
      <c r="L2300" s="14"/>
      <c r="M2300" s="15"/>
      <c r="N2300" s="15"/>
      <c r="O2300" s="16"/>
      <c r="Q2300" s="16"/>
    </row>
    <row r="2301" spans="1:17" x14ac:dyDescent="0.3">
      <c r="A2301" s="5"/>
      <c r="B2301" s="6"/>
      <c r="C2301" s="7"/>
      <c r="D2301" s="8"/>
      <c r="E2301" s="8"/>
      <c r="F2301" s="10"/>
      <c r="G2301" s="10"/>
      <c r="H2301" s="10"/>
      <c r="I2301" s="7"/>
      <c r="J2301" s="12"/>
      <c r="K2301" s="13"/>
      <c r="L2301" s="14"/>
      <c r="M2301" s="15"/>
      <c r="N2301" s="15"/>
      <c r="O2301" s="16"/>
      <c r="Q2301" s="16"/>
    </row>
    <row r="2302" spans="1:17" x14ac:dyDescent="0.3">
      <c r="A2302" s="5"/>
      <c r="B2302" s="6"/>
      <c r="C2302" s="7"/>
      <c r="D2302" s="8"/>
      <c r="E2302" s="8"/>
      <c r="F2302" s="10"/>
      <c r="G2302" s="10"/>
      <c r="H2302" s="10"/>
      <c r="I2302" s="7"/>
      <c r="J2302" s="12"/>
      <c r="K2302" s="13"/>
      <c r="L2302" s="14"/>
      <c r="M2302" s="15"/>
      <c r="N2302" s="15"/>
      <c r="O2302" s="16"/>
      <c r="Q2302" s="16"/>
    </row>
    <row r="2303" spans="1:17" x14ac:dyDescent="0.3">
      <c r="A2303" s="5"/>
      <c r="B2303" s="6"/>
      <c r="C2303" s="7"/>
      <c r="D2303" s="8"/>
      <c r="E2303" s="8"/>
      <c r="F2303" s="10"/>
      <c r="G2303" s="10"/>
      <c r="H2303" s="10"/>
      <c r="I2303" s="7"/>
      <c r="J2303" s="12"/>
      <c r="K2303" s="13"/>
      <c r="L2303" s="14"/>
      <c r="M2303" s="15"/>
      <c r="N2303" s="15"/>
      <c r="O2303" s="16"/>
      <c r="Q2303" s="16"/>
    </row>
    <row r="2304" spans="1:17" x14ac:dyDescent="0.3">
      <c r="A2304" s="5"/>
      <c r="B2304" s="6"/>
      <c r="C2304" s="7"/>
      <c r="D2304" s="8"/>
      <c r="E2304" s="8"/>
      <c r="F2304" s="10"/>
      <c r="G2304" s="10"/>
      <c r="H2304" s="10"/>
      <c r="I2304" s="7"/>
      <c r="J2304" s="12"/>
      <c r="K2304" s="13"/>
      <c r="L2304" s="14"/>
      <c r="M2304" s="15"/>
      <c r="N2304" s="15"/>
      <c r="O2304" s="16"/>
      <c r="Q2304" s="16"/>
    </row>
    <row r="2305" spans="1:17" x14ac:dyDescent="0.3">
      <c r="A2305" s="5"/>
      <c r="B2305" s="6"/>
      <c r="C2305" s="7"/>
      <c r="D2305" s="8"/>
      <c r="E2305" s="8"/>
      <c r="F2305" s="10"/>
      <c r="G2305" s="10"/>
      <c r="H2305" s="10"/>
      <c r="I2305" s="7"/>
      <c r="J2305" s="12"/>
      <c r="K2305" s="13"/>
      <c r="L2305" s="14"/>
      <c r="M2305" s="15"/>
      <c r="N2305" s="15"/>
      <c r="O2305" s="16"/>
      <c r="Q2305" s="16"/>
    </row>
    <row r="2306" spans="1:17" x14ac:dyDescent="0.3">
      <c r="A2306" s="5"/>
      <c r="B2306" s="6"/>
      <c r="C2306" s="7"/>
      <c r="D2306" s="8"/>
      <c r="E2306" s="8"/>
      <c r="F2306" s="10"/>
      <c r="G2306" s="10"/>
      <c r="H2306" s="10"/>
      <c r="I2306" s="7"/>
      <c r="J2306" s="12"/>
      <c r="K2306" s="13"/>
      <c r="L2306" s="14"/>
      <c r="M2306" s="15"/>
      <c r="N2306" s="15"/>
      <c r="O2306" s="16"/>
      <c r="Q2306" s="16"/>
    </row>
    <row r="2307" spans="1:17" x14ac:dyDescent="0.3">
      <c r="A2307" s="5"/>
      <c r="B2307" s="6"/>
      <c r="C2307" s="7"/>
      <c r="D2307" s="8"/>
      <c r="E2307" s="8"/>
      <c r="F2307" s="10"/>
      <c r="G2307" s="10"/>
      <c r="H2307" s="10"/>
      <c r="I2307" s="7"/>
      <c r="J2307" s="12"/>
      <c r="K2307" s="13"/>
      <c r="L2307" s="14"/>
      <c r="M2307" s="15"/>
      <c r="N2307" s="15"/>
      <c r="O2307" s="16"/>
      <c r="Q2307" s="16"/>
    </row>
    <row r="2308" spans="1:17" x14ac:dyDescent="0.3">
      <c r="A2308" s="5"/>
      <c r="B2308" s="6"/>
      <c r="C2308" s="7"/>
      <c r="D2308" s="8"/>
      <c r="E2308" s="8"/>
      <c r="F2308" s="10"/>
      <c r="G2308" s="10"/>
      <c r="H2308" s="10"/>
      <c r="I2308" s="7"/>
      <c r="J2308" s="12"/>
      <c r="K2308" s="13"/>
      <c r="L2308" s="14"/>
      <c r="M2308" s="15"/>
      <c r="N2308" s="15"/>
      <c r="O2308" s="16"/>
      <c r="Q2308" s="16"/>
    </row>
    <row r="2309" spans="1:17" x14ac:dyDescent="0.3">
      <c r="A2309" s="5"/>
      <c r="B2309" s="6"/>
      <c r="C2309" s="7"/>
      <c r="D2309" s="8"/>
      <c r="E2309" s="8"/>
      <c r="F2309" s="10"/>
      <c r="G2309" s="10"/>
      <c r="H2309" s="10"/>
      <c r="I2309" s="7"/>
      <c r="J2309" s="12"/>
      <c r="K2309" s="13"/>
      <c r="L2309" s="14"/>
      <c r="M2309" s="15"/>
      <c r="N2309" s="15"/>
      <c r="O2309" s="16"/>
      <c r="Q2309" s="16"/>
    </row>
    <row r="2310" spans="1:17" x14ac:dyDescent="0.3">
      <c r="A2310" s="5"/>
      <c r="B2310" s="6"/>
      <c r="C2310" s="7"/>
      <c r="D2310" s="8"/>
      <c r="E2310" s="8"/>
      <c r="F2310" s="10"/>
      <c r="G2310" s="10"/>
      <c r="H2310" s="10"/>
      <c r="I2310" s="7"/>
      <c r="J2310" s="12"/>
      <c r="K2310" s="13"/>
      <c r="L2310" s="14"/>
      <c r="M2310" s="15"/>
      <c r="N2310" s="15"/>
      <c r="O2310" s="16"/>
      <c r="Q2310" s="16"/>
    </row>
    <row r="2311" spans="1:17" x14ac:dyDescent="0.3">
      <c r="A2311" s="5"/>
      <c r="B2311" s="6"/>
      <c r="C2311" s="7"/>
      <c r="D2311" s="8"/>
      <c r="E2311" s="8"/>
      <c r="F2311" s="10"/>
      <c r="G2311" s="10"/>
      <c r="H2311" s="10"/>
      <c r="I2311" s="7"/>
      <c r="J2311" s="12"/>
      <c r="K2311" s="13"/>
      <c r="L2311" s="14"/>
      <c r="M2311" s="15"/>
      <c r="N2311" s="15"/>
      <c r="O2311" s="16"/>
      <c r="Q2311" s="16"/>
    </row>
    <row r="2312" spans="1:17" x14ac:dyDescent="0.3">
      <c r="A2312" s="5"/>
      <c r="B2312" s="6"/>
      <c r="C2312" s="7"/>
      <c r="D2312" s="8"/>
      <c r="E2312" s="8"/>
      <c r="F2312" s="10"/>
      <c r="G2312" s="10"/>
      <c r="H2312" s="10"/>
      <c r="I2312" s="7"/>
      <c r="J2312" s="12"/>
      <c r="K2312" s="13"/>
      <c r="L2312" s="14"/>
      <c r="M2312" s="15"/>
      <c r="N2312" s="15"/>
      <c r="O2312" s="16"/>
      <c r="Q2312" s="16"/>
    </row>
    <row r="2313" spans="1:17" x14ac:dyDescent="0.3">
      <c r="A2313" s="5"/>
      <c r="B2313" s="6"/>
      <c r="C2313" s="7"/>
      <c r="D2313" s="8"/>
      <c r="E2313" s="8"/>
      <c r="F2313" s="10"/>
      <c r="G2313" s="10"/>
      <c r="H2313" s="10"/>
      <c r="I2313" s="7"/>
      <c r="J2313" s="12"/>
      <c r="K2313" s="13"/>
      <c r="L2313" s="14"/>
      <c r="M2313" s="15"/>
      <c r="N2313" s="15"/>
      <c r="O2313" s="16"/>
      <c r="Q2313" s="16"/>
    </row>
    <row r="2314" spans="1:17" x14ac:dyDescent="0.3">
      <c r="A2314" s="5"/>
      <c r="B2314" s="6"/>
      <c r="C2314" s="7"/>
      <c r="D2314" s="8"/>
      <c r="E2314" s="8"/>
      <c r="F2314" s="10"/>
      <c r="G2314" s="10"/>
      <c r="H2314" s="10"/>
      <c r="I2314" s="7"/>
      <c r="J2314" s="12"/>
      <c r="K2314" s="13"/>
      <c r="L2314" s="14"/>
      <c r="M2314" s="15"/>
      <c r="N2314" s="15"/>
      <c r="O2314" s="16"/>
      <c r="Q2314" s="16"/>
    </row>
    <row r="2315" spans="1:17" x14ac:dyDescent="0.3">
      <c r="A2315" s="5"/>
      <c r="B2315" s="6"/>
      <c r="C2315" s="7"/>
      <c r="D2315" s="8"/>
      <c r="E2315" s="8"/>
      <c r="F2315" s="10"/>
      <c r="G2315" s="10"/>
      <c r="H2315" s="10"/>
      <c r="I2315" s="7"/>
      <c r="J2315" s="12"/>
      <c r="K2315" s="13"/>
      <c r="L2315" s="14"/>
      <c r="M2315" s="15"/>
      <c r="N2315" s="15"/>
      <c r="O2315" s="16"/>
      <c r="Q2315" s="16"/>
    </row>
    <row r="2316" spans="1:17" x14ac:dyDescent="0.3">
      <c r="A2316" s="5"/>
      <c r="B2316" s="6"/>
      <c r="C2316" s="7"/>
      <c r="D2316" s="8"/>
      <c r="E2316" s="8"/>
      <c r="F2316" s="10"/>
      <c r="G2316" s="10"/>
      <c r="H2316" s="10"/>
      <c r="I2316" s="7"/>
      <c r="J2316" s="12"/>
      <c r="K2316" s="13"/>
      <c r="L2316" s="14"/>
      <c r="M2316" s="15"/>
      <c r="N2316" s="15"/>
      <c r="O2316" s="16"/>
      <c r="Q2316" s="16"/>
    </row>
    <row r="2317" spans="1:17" x14ac:dyDescent="0.3">
      <c r="A2317" s="5"/>
      <c r="B2317" s="6"/>
      <c r="C2317" s="7"/>
      <c r="D2317" s="8"/>
      <c r="E2317" s="8"/>
      <c r="F2317" s="10"/>
      <c r="G2317" s="10"/>
      <c r="H2317" s="10"/>
      <c r="I2317" s="7"/>
      <c r="J2317" s="12"/>
      <c r="K2317" s="13"/>
      <c r="L2317" s="14"/>
      <c r="M2317" s="15"/>
      <c r="N2317" s="15"/>
      <c r="O2317" s="16"/>
      <c r="Q2317" s="16"/>
    </row>
    <row r="2318" spans="1:17" x14ac:dyDescent="0.3">
      <c r="A2318" s="5"/>
      <c r="B2318" s="6"/>
      <c r="C2318" s="7"/>
      <c r="D2318" s="8"/>
      <c r="E2318" s="8"/>
      <c r="F2318" s="10"/>
      <c r="G2318" s="10"/>
      <c r="H2318" s="10"/>
      <c r="I2318" s="7"/>
      <c r="J2318" s="12"/>
      <c r="K2318" s="13"/>
      <c r="L2318" s="14"/>
      <c r="M2318" s="15"/>
      <c r="N2318" s="15"/>
      <c r="O2318" s="16"/>
      <c r="Q2318" s="16"/>
    </row>
    <row r="2319" spans="1:17" x14ac:dyDescent="0.3">
      <c r="A2319" s="5"/>
      <c r="B2319" s="6"/>
      <c r="C2319" s="7"/>
      <c r="D2319" s="8"/>
      <c r="E2319" s="8"/>
      <c r="F2319" s="10"/>
      <c r="G2319" s="10"/>
      <c r="H2319" s="10"/>
      <c r="I2319" s="7"/>
      <c r="J2319" s="12"/>
      <c r="K2319" s="13"/>
      <c r="L2319" s="14"/>
      <c r="M2319" s="15"/>
      <c r="N2319" s="15"/>
      <c r="O2319" s="16"/>
      <c r="Q2319" s="16"/>
    </row>
    <row r="2320" spans="1:17" x14ac:dyDescent="0.3">
      <c r="A2320" s="5"/>
      <c r="B2320" s="6"/>
      <c r="C2320" s="7"/>
      <c r="D2320" s="8"/>
      <c r="E2320" s="8"/>
      <c r="F2320" s="10"/>
      <c r="G2320" s="10"/>
      <c r="H2320" s="10"/>
      <c r="I2320" s="7"/>
      <c r="J2320" s="12"/>
      <c r="K2320" s="13"/>
      <c r="L2320" s="14"/>
      <c r="M2320" s="15"/>
      <c r="N2320" s="15"/>
      <c r="O2320" s="16"/>
      <c r="Q2320" s="16"/>
    </row>
    <row r="2321" spans="1:17" x14ac:dyDescent="0.3">
      <c r="A2321" s="5"/>
      <c r="B2321" s="6"/>
      <c r="C2321" s="7"/>
      <c r="D2321" s="8"/>
      <c r="E2321" s="8"/>
      <c r="F2321" s="10"/>
      <c r="G2321" s="10"/>
      <c r="H2321" s="10"/>
      <c r="I2321" s="7"/>
      <c r="J2321" s="12"/>
      <c r="K2321" s="13"/>
      <c r="L2321" s="14"/>
      <c r="M2321" s="15"/>
      <c r="N2321" s="15"/>
      <c r="O2321" s="16"/>
      <c r="Q2321" s="16"/>
    </row>
    <row r="2322" spans="1:17" x14ac:dyDescent="0.3">
      <c r="A2322" s="5"/>
      <c r="B2322" s="6"/>
      <c r="C2322" s="7"/>
      <c r="D2322" s="8"/>
      <c r="E2322" s="8"/>
      <c r="F2322" s="10"/>
      <c r="G2322" s="10"/>
      <c r="H2322" s="10"/>
      <c r="I2322" s="7"/>
      <c r="J2322" s="12"/>
      <c r="K2322" s="13"/>
      <c r="L2322" s="14"/>
      <c r="M2322" s="15"/>
      <c r="N2322" s="15"/>
      <c r="O2322" s="16"/>
      <c r="Q2322" s="16"/>
    </row>
    <row r="2323" spans="1:17" x14ac:dyDescent="0.3">
      <c r="A2323" s="5"/>
      <c r="B2323" s="6"/>
      <c r="C2323" s="7"/>
      <c r="D2323" s="8"/>
      <c r="E2323" s="8"/>
      <c r="F2323" s="10"/>
      <c r="G2323" s="10"/>
      <c r="H2323" s="10"/>
      <c r="I2323" s="7"/>
      <c r="J2323" s="12"/>
      <c r="K2323" s="13"/>
      <c r="L2323" s="14"/>
      <c r="M2323" s="15"/>
      <c r="N2323" s="15"/>
      <c r="O2323" s="16"/>
      <c r="Q2323" s="16"/>
    </row>
    <row r="2324" spans="1:17" x14ac:dyDescent="0.3">
      <c r="A2324" s="5"/>
      <c r="B2324" s="6"/>
      <c r="C2324" s="7"/>
      <c r="D2324" s="8"/>
      <c r="E2324" s="8"/>
      <c r="F2324" s="10"/>
      <c r="G2324" s="10"/>
      <c r="H2324" s="10"/>
      <c r="I2324" s="7"/>
      <c r="J2324" s="12"/>
      <c r="K2324" s="13"/>
      <c r="L2324" s="14"/>
      <c r="M2324" s="15"/>
      <c r="N2324" s="15"/>
      <c r="O2324" s="16"/>
      <c r="Q2324" s="16"/>
    </row>
    <row r="2325" spans="1:17" x14ac:dyDescent="0.3">
      <c r="A2325" s="5"/>
      <c r="B2325" s="6"/>
      <c r="C2325" s="7"/>
      <c r="D2325" s="8"/>
      <c r="E2325" s="8"/>
      <c r="F2325" s="10"/>
      <c r="G2325" s="10"/>
      <c r="H2325" s="10"/>
      <c r="I2325" s="7"/>
      <c r="J2325" s="12"/>
      <c r="K2325" s="13"/>
      <c r="L2325" s="14"/>
      <c r="M2325" s="15"/>
      <c r="N2325" s="15"/>
      <c r="O2325" s="16"/>
      <c r="Q2325" s="16"/>
    </row>
    <row r="2326" spans="1:17" x14ac:dyDescent="0.3">
      <c r="A2326" s="5"/>
      <c r="B2326" s="6"/>
      <c r="C2326" s="7"/>
      <c r="D2326" s="8"/>
      <c r="E2326" s="8"/>
      <c r="F2326" s="10"/>
      <c r="G2326" s="10"/>
      <c r="H2326" s="10"/>
      <c r="I2326" s="7"/>
      <c r="J2326" s="12"/>
      <c r="K2326" s="13"/>
      <c r="L2326" s="14"/>
      <c r="M2326" s="15"/>
      <c r="N2326" s="15"/>
      <c r="O2326" s="16"/>
      <c r="Q2326" s="16"/>
    </row>
    <row r="2327" spans="1:17" x14ac:dyDescent="0.3">
      <c r="A2327" s="5"/>
      <c r="B2327" s="6"/>
      <c r="C2327" s="7"/>
      <c r="D2327" s="8"/>
      <c r="E2327" s="8"/>
      <c r="F2327" s="10"/>
      <c r="G2327" s="10"/>
      <c r="H2327" s="10"/>
      <c r="I2327" s="7"/>
      <c r="J2327" s="12"/>
      <c r="K2327" s="13"/>
      <c r="L2327" s="14"/>
      <c r="M2327" s="15"/>
      <c r="N2327" s="15"/>
      <c r="O2327" s="16"/>
      <c r="Q2327" s="16"/>
    </row>
    <row r="2328" spans="1:17" x14ac:dyDescent="0.3">
      <c r="A2328" s="5"/>
      <c r="B2328" s="6"/>
      <c r="C2328" s="7"/>
      <c r="D2328" s="8"/>
      <c r="E2328" s="8"/>
      <c r="F2328" s="10"/>
      <c r="G2328" s="10"/>
      <c r="H2328" s="10"/>
      <c r="I2328" s="7"/>
      <c r="J2328" s="12"/>
      <c r="K2328" s="13"/>
      <c r="L2328" s="14"/>
      <c r="M2328" s="15"/>
      <c r="N2328" s="15"/>
      <c r="O2328" s="16"/>
      <c r="Q2328" s="16"/>
    </row>
    <row r="2329" spans="1:17" x14ac:dyDescent="0.3">
      <c r="A2329" s="5"/>
      <c r="B2329" s="6"/>
      <c r="C2329" s="7"/>
      <c r="D2329" s="8"/>
      <c r="E2329" s="8"/>
      <c r="F2329" s="10"/>
      <c r="G2329" s="10"/>
      <c r="H2329" s="10"/>
      <c r="I2329" s="7"/>
      <c r="J2329" s="12"/>
      <c r="K2329" s="13"/>
      <c r="L2329" s="14"/>
      <c r="M2329" s="15"/>
      <c r="N2329" s="15"/>
      <c r="O2329" s="16"/>
      <c r="Q2329" s="16"/>
    </row>
    <row r="2330" spans="1:17" x14ac:dyDescent="0.3">
      <c r="A2330" s="5"/>
      <c r="B2330" s="6"/>
      <c r="C2330" s="7"/>
      <c r="D2330" s="8"/>
      <c r="E2330" s="8"/>
      <c r="F2330" s="10"/>
      <c r="G2330" s="10"/>
      <c r="H2330" s="10"/>
      <c r="I2330" s="7"/>
      <c r="J2330" s="12"/>
      <c r="K2330" s="13"/>
      <c r="L2330" s="14"/>
      <c r="M2330" s="15"/>
      <c r="N2330" s="15"/>
      <c r="O2330" s="16"/>
      <c r="Q2330" s="16"/>
    </row>
    <row r="2331" spans="1:17" x14ac:dyDescent="0.3">
      <c r="A2331" s="5"/>
      <c r="B2331" s="6"/>
      <c r="C2331" s="7"/>
      <c r="D2331" s="8"/>
      <c r="E2331" s="8"/>
      <c r="F2331" s="10"/>
      <c r="G2331" s="10"/>
      <c r="H2331" s="10"/>
      <c r="I2331" s="7"/>
      <c r="J2331" s="12"/>
      <c r="K2331" s="13"/>
      <c r="L2331" s="14"/>
      <c r="M2331" s="15"/>
      <c r="N2331" s="15"/>
      <c r="O2331" s="16"/>
      <c r="Q2331" s="16"/>
    </row>
    <row r="2332" spans="1:17" x14ac:dyDescent="0.3">
      <c r="A2332" s="5"/>
      <c r="B2332" s="6"/>
      <c r="C2332" s="7"/>
      <c r="D2332" s="8"/>
      <c r="E2332" s="8"/>
      <c r="F2332" s="10"/>
      <c r="G2332" s="10"/>
      <c r="H2332" s="10"/>
      <c r="I2332" s="7"/>
      <c r="J2332" s="12"/>
      <c r="K2332" s="13"/>
      <c r="L2332" s="14"/>
      <c r="M2332" s="15"/>
      <c r="N2332" s="15"/>
      <c r="O2332" s="16"/>
      <c r="Q2332" s="16"/>
    </row>
    <row r="2333" spans="1:17" x14ac:dyDescent="0.3">
      <c r="A2333" s="5"/>
      <c r="B2333" s="6"/>
      <c r="C2333" s="7"/>
      <c r="D2333" s="8"/>
      <c r="E2333" s="8"/>
      <c r="F2333" s="10"/>
      <c r="G2333" s="10"/>
      <c r="H2333" s="10"/>
      <c r="I2333" s="7"/>
      <c r="J2333" s="12"/>
      <c r="K2333" s="13"/>
      <c r="L2333" s="14"/>
      <c r="M2333" s="15"/>
      <c r="N2333" s="15"/>
      <c r="O2333" s="16"/>
      <c r="Q2333" s="16"/>
    </row>
    <row r="2334" spans="1:17" x14ac:dyDescent="0.3">
      <c r="A2334" s="5"/>
      <c r="B2334" s="6"/>
      <c r="C2334" s="7"/>
      <c r="D2334" s="8"/>
      <c r="E2334" s="8"/>
      <c r="F2334" s="10"/>
      <c r="G2334" s="10"/>
      <c r="H2334" s="10"/>
      <c r="I2334" s="7"/>
      <c r="J2334" s="12"/>
      <c r="K2334" s="13"/>
      <c r="L2334" s="14"/>
      <c r="M2334" s="15"/>
      <c r="N2334" s="15"/>
      <c r="O2334" s="16"/>
      <c r="Q2334" s="16"/>
    </row>
    <row r="2335" spans="1:17" x14ac:dyDescent="0.3">
      <c r="A2335" s="5"/>
      <c r="B2335" s="6"/>
      <c r="C2335" s="7"/>
      <c r="D2335" s="8"/>
      <c r="E2335" s="8"/>
      <c r="F2335" s="10"/>
      <c r="G2335" s="10"/>
      <c r="H2335" s="10"/>
      <c r="I2335" s="7"/>
      <c r="J2335" s="12"/>
      <c r="K2335" s="13"/>
      <c r="L2335" s="14"/>
      <c r="M2335" s="15"/>
      <c r="N2335" s="15"/>
      <c r="O2335" s="16"/>
      <c r="Q2335" s="16"/>
    </row>
    <row r="2336" spans="1:17" x14ac:dyDescent="0.3">
      <c r="A2336" s="5"/>
      <c r="B2336" s="6"/>
      <c r="C2336" s="7"/>
      <c r="D2336" s="8"/>
      <c r="E2336" s="8"/>
      <c r="F2336" s="10"/>
      <c r="G2336" s="10"/>
      <c r="H2336" s="10"/>
      <c r="I2336" s="7"/>
      <c r="J2336" s="12"/>
      <c r="K2336" s="13"/>
      <c r="L2336" s="14"/>
      <c r="M2336" s="15"/>
      <c r="N2336" s="15"/>
      <c r="O2336" s="16"/>
      <c r="Q2336" s="16"/>
    </row>
    <row r="2337" spans="1:17" x14ac:dyDescent="0.3">
      <c r="A2337" s="5"/>
      <c r="B2337" s="6"/>
      <c r="C2337" s="7"/>
      <c r="D2337" s="8"/>
      <c r="E2337" s="8"/>
      <c r="F2337" s="10"/>
      <c r="G2337" s="10"/>
      <c r="H2337" s="10"/>
      <c r="I2337" s="7"/>
      <c r="J2337" s="12"/>
      <c r="K2337" s="13"/>
      <c r="L2337" s="14"/>
      <c r="M2337" s="15"/>
      <c r="N2337" s="15"/>
      <c r="O2337" s="16"/>
      <c r="Q2337" s="16"/>
    </row>
    <row r="2338" spans="1:17" x14ac:dyDescent="0.3">
      <c r="A2338" s="5"/>
      <c r="B2338" s="6"/>
      <c r="C2338" s="7"/>
      <c r="D2338" s="8"/>
      <c r="E2338" s="8"/>
      <c r="F2338" s="10"/>
      <c r="G2338" s="10"/>
      <c r="H2338" s="10"/>
      <c r="I2338" s="7"/>
      <c r="J2338" s="12"/>
      <c r="K2338" s="13"/>
      <c r="L2338" s="14"/>
      <c r="M2338" s="15"/>
      <c r="N2338" s="15"/>
      <c r="O2338" s="16"/>
      <c r="Q2338" s="16"/>
    </row>
    <row r="2339" spans="1:17" x14ac:dyDescent="0.3">
      <c r="A2339" s="5"/>
      <c r="B2339" s="6"/>
      <c r="C2339" s="7"/>
      <c r="D2339" s="8"/>
      <c r="E2339" s="8"/>
      <c r="F2339" s="10"/>
      <c r="G2339" s="10"/>
      <c r="H2339" s="10"/>
      <c r="I2339" s="7"/>
      <c r="J2339" s="12"/>
      <c r="K2339" s="13"/>
      <c r="L2339" s="14"/>
      <c r="M2339" s="15"/>
      <c r="N2339" s="15"/>
      <c r="O2339" s="16"/>
      <c r="Q2339" s="16"/>
    </row>
    <row r="2340" spans="1:17" x14ac:dyDescent="0.3">
      <c r="A2340" s="5"/>
      <c r="B2340" s="6"/>
      <c r="C2340" s="7"/>
      <c r="D2340" s="8"/>
      <c r="E2340" s="8"/>
      <c r="F2340" s="10"/>
      <c r="G2340" s="10"/>
      <c r="H2340" s="10"/>
      <c r="I2340" s="7"/>
      <c r="J2340" s="12"/>
      <c r="K2340" s="13"/>
      <c r="L2340" s="14"/>
      <c r="M2340" s="15"/>
      <c r="N2340" s="15"/>
      <c r="O2340" s="16"/>
      <c r="Q2340" s="16"/>
    </row>
    <row r="2341" spans="1:17" x14ac:dyDescent="0.3">
      <c r="A2341" s="5"/>
      <c r="B2341" s="6"/>
      <c r="C2341" s="7"/>
      <c r="D2341" s="8"/>
      <c r="E2341" s="8"/>
      <c r="F2341" s="10"/>
      <c r="G2341" s="10"/>
      <c r="H2341" s="10"/>
      <c r="I2341" s="7"/>
      <c r="J2341" s="12"/>
      <c r="K2341" s="13"/>
      <c r="L2341" s="14"/>
      <c r="M2341" s="15"/>
      <c r="N2341" s="15"/>
      <c r="O2341" s="16"/>
      <c r="Q2341" s="16"/>
    </row>
    <row r="2342" spans="1:17" x14ac:dyDescent="0.3">
      <c r="A2342" s="5"/>
      <c r="B2342" s="6"/>
      <c r="C2342" s="7"/>
      <c r="D2342" s="8"/>
      <c r="E2342" s="8"/>
      <c r="F2342" s="10"/>
      <c r="G2342" s="10"/>
      <c r="H2342" s="10"/>
      <c r="I2342" s="7"/>
      <c r="J2342" s="12"/>
      <c r="K2342" s="13"/>
      <c r="L2342" s="14"/>
      <c r="M2342" s="15"/>
      <c r="N2342" s="15"/>
      <c r="O2342" s="16"/>
      <c r="Q2342" s="16"/>
    </row>
    <row r="2343" spans="1:17" x14ac:dyDescent="0.3">
      <c r="A2343" s="5"/>
      <c r="B2343" s="6"/>
      <c r="C2343" s="7"/>
      <c r="D2343" s="8"/>
      <c r="E2343" s="8"/>
      <c r="F2343" s="10"/>
      <c r="G2343" s="10"/>
      <c r="H2343" s="10"/>
      <c r="I2343" s="7"/>
      <c r="J2343" s="12"/>
      <c r="K2343" s="13"/>
      <c r="L2343" s="14"/>
      <c r="M2343" s="15"/>
      <c r="N2343" s="15"/>
      <c r="O2343" s="16"/>
      <c r="Q2343" s="16"/>
    </row>
    <row r="2344" spans="1:17" x14ac:dyDescent="0.3">
      <c r="A2344" s="5"/>
      <c r="B2344" s="6"/>
      <c r="C2344" s="7"/>
      <c r="D2344" s="8"/>
      <c r="E2344" s="8"/>
      <c r="F2344" s="10"/>
      <c r="G2344" s="10"/>
      <c r="H2344" s="10"/>
      <c r="I2344" s="7"/>
      <c r="J2344" s="12"/>
      <c r="K2344" s="13"/>
      <c r="L2344" s="14"/>
      <c r="M2344" s="15"/>
      <c r="N2344" s="15"/>
      <c r="O2344" s="16"/>
      <c r="Q2344" s="16"/>
    </row>
    <row r="2345" spans="1:17" x14ac:dyDescent="0.3">
      <c r="A2345" s="5"/>
      <c r="B2345" s="6"/>
      <c r="C2345" s="7"/>
      <c r="D2345" s="8"/>
      <c r="E2345" s="8"/>
      <c r="F2345" s="10"/>
      <c r="G2345" s="10"/>
      <c r="H2345" s="10"/>
      <c r="I2345" s="7"/>
      <c r="J2345" s="12"/>
      <c r="K2345" s="13"/>
      <c r="L2345" s="14"/>
      <c r="M2345" s="15"/>
      <c r="N2345" s="15"/>
      <c r="O2345" s="16"/>
      <c r="Q2345" s="16"/>
    </row>
    <row r="2346" spans="1:17" x14ac:dyDescent="0.3">
      <c r="A2346" s="5"/>
      <c r="B2346" s="6"/>
      <c r="C2346" s="7"/>
      <c r="D2346" s="8"/>
      <c r="E2346" s="8"/>
      <c r="F2346" s="10"/>
      <c r="G2346" s="10"/>
      <c r="H2346" s="10"/>
      <c r="I2346" s="7"/>
      <c r="J2346" s="12"/>
      <c r="K2346" s="13"/>
      <c r="L2346" s="14"/>
      <c r="M2346" s="15"/>
      <c r="N2346" s="15"/>
      <c r="O2346" s="16"/>
      <c r="Q2346" s="16"/>
    </row>
    <row r="2347" spans="1:17" x14ac:dyDescent="0.3">
      <c r="A2347" s="5"/>
      <c r="B2347" s="6"/>
      <c r="C2347" s="7"/>
      <c r="D2347" s="8"/>
      <c r="E2347" s="8"/>
      <c r="F2347" s="10"/>
      <c r="G2347" s="10"/>
      <c r="H2347" s="10"/>
      <c r="I2347" s="7"/>
      <c r="J2347" s="12"/>
      <c r="K2347" s="13"/>
      <c r="L2347" s="14"/>
      <c r="M2347" s="15"/>
      <c r="N2347" s="15"/>
      <c r="O2347" s="16"/>
      <c r="Q2347" s="16"/>
    </row>
    <row r="2348" spans="1:17" x14ac:dyDescent="0.3">
      <c r="A2348" s="5"/>
      <c r="B2348" s="6"/>
      <c r="C2348" s="7"/>
      <c r="D2348" s="8"/>
      <c r="E2348" s="8"/>
      <c r="F2348" s="10"/>
      <c r="G2348" s="10"/>
      <c r="H2348" s="10"/>
      <c r="I2348" s="7"/>
      <c r="J2348" s="12"/>
      <c r="K2348" s="13"/>
      <c r="L2348" s="14"/>
      <c r="M2348" s="15"/>
      <c r="N2348" s="15"/>
      <c r="O2348" s="16"/>
      <c r="Q2348" s="16"/>
    </row>
    <row r="2349" spans="1:17" x14ac:dyDescent="0.3">
      <c r="A2349" s="5"/>
      <c r="B2349" s="6"/>
      <c r="C2349" s="7"/>
      <c r="D2349" s="8"/>
      <c r="E2349" s="8"/>
      <c r="F2349" s="10"/>
      <c r="G2349" s="10"/>
      <c r="H2349" s="10"/>
      <c r="I2349" s="7"/>
      <c r="J2349" s="12"/>
      <c r="K2349" s="13"/>
      <c r="L2349" s="14"/>
      <c r="M2349" s="15"/>
      <c r="N2349" s="15"/>
      <c r="O2349" s="16"/>
      <c r="Q2349" s="16"/>
    </row>
    <row r="2350" spans="1:17" x14ac:dyDescent="0.3">
      <c r="A2350" s="5"/>
      <c r="B2350" s="6"/>
      <c r="C2350" s="7"/>
      <c r="D2350" s="8"/>
      <c r="E2350" s="8"/>
      <c r="F2350" s="10"/>
      <c r="G2350" s="10"/>
      <c r="H2350" s="10"/>
      <c r="I2350" s="7"/>
      <c r="J2350" s="12"/>
      <c r="K2350" s="13"/>
      <c r="L2350" s="14"/>
      <c r="M2350" s="15"/>
      <c r="N2350" s="15"/>
      <c r="O2350" s="16"/>
      <c r="Q2350" s="16"/>
    </row>
    <row r="2351" spans="1:17" x14ac:dyDescent="0.3">
      <c r="A2351" s="5"/>
      <c r="B2351" s="6"/>
      <c r="C2351" s="7"/>
      <c r="D2351" s="8"/>
      <c r="E2351" s="8"/>
      <c r="F2351" s="10"/>
      <c r="G2351" s="10"/>
      <c r="H2351" s="10"/>
      <c r="I2351" s="7"/>
      <c r="J2351" s="12"/>
      <c r="K2351" s="13"/>
      <c r="L2351" s="14"/>
      <c r="M2351" s="15"/>
      <c r="N2351" s="15"/>
      <c r="O2351" s="16"/>
      <c r="Q2351" s="16"/>
    </row>
    <row r="2352" spans="1:17" x14ac:dyDescent="0.3">
      <c r="A2352" s="5"/>
      <c r="B2352" s="6"/>
      <c r="C2352" s="7"/>
      <c r="D2352" s="8"/>
      <c r="E2352" s="8"/>
      <c r="F2352" s="10"/>
      <c r="G2352" s="10"/>
      <c r="H2352" s="10"/>
      <c r="I2352" s="7"/>
      <c r="J2352" s="12"/>
      <c r="K2352" s="13"/>
      <c r="L2352" s="14"/>
      <c r="M2352" s="15"/>
      <c r="N2352" s="15"/>
      <c r="O2352" s="16"/>
      <c r="Q2352" s="16"/>
    </row>
    <row r="2353" spans="1:17" x14ac:dyDescent="0.3">
      <c r="A2353" s="5"/>
      <c r="B2353" s="6"/>
      <c r="C2353" s="7"/>
      <c r="D2353" s="8"/>
      <c r="E2353" s="8"/>
      <c r="F2353" s="10"/>
      <c r="G2353" s="10"/>
      <c r="H2353" s="10"/>
      <c r="I2353" s="7"/>
      <c r="J2353" s="12"/>
      <c r="K2353" s="13"/>
      <c r="L2353" s="14"/>
      <c r="M2353" s="15"/>
      <c r="N2353" s="15"/>
      <c r="O2353" s="16"/>
      <c r="Q2353" s="16"/>
    </row>
    <row r="2354" spans="1:17" x14ac:dyDescent="0.3">
      <c r="A2354" s="5"/>
      <c r="B2354" s="6"/>
      <c r="C2354" s="7"/>
      <c r="D2354" s="8"/>
      <c r="E2354" s="8"/>
      <c r="F2354" s="10"/>
      <c r="G2354" s="10"/>
      <c r="H2354" s="10"/>
      <c r="I2354" s="7"/>
      <c r="J2354" s="12"/>
      <c r="K2354" s="13"/>
      <c r="L2354" s="14"/>
      <c r="M2354" s="15"/>
      <c r="N2354" s="15"/>
      <c r="O2354" s="16"/>
      <c r="Q2354" s="16"/>
    </row>
    <row r="2355" spans="1:17" x14ac:dyDescent="0.3">
      <c r="A2355" s="5"/>
      <c r="B2355" s="6"/>
      <c r="C2355" s="7"/>
      <c r="D2355" s="8"/>
      <c r="E2355" s="8"/>
      <c r="F2355" s="10"/>
      <c r="G2355" s="10"/>
      <c r="H2355" s="10"/>
      <c r="I2355" s="7"/>
      <c r="J2355" s="12"/>
      <c r="K2355" s="13"/>
      <c r="L2355" s="14"/>
      <c r="M2355" s="15"/>
      <c r="N2355" s="15"/>
      <c r="O2355" s="16"/>
      <c r="Q2355" s="16"/>
    </row>
    <row r="2356" spans="1:17" x14ac:dyDescent="0.3">
      <c r="A2356" s="5"/>
      <c r="B2356" s="6"/>
      <c r="C2356" s="7"/>
      <c r="D2356" s="8"/>
      <c r="E2356" s="8"/>
      <c r="F2356" s="10"/>
      <c r="G2356" s="10"/>
      <c r="H2356" s="10"/>
      <c r="I2356" s="7"/>
      <c r="J2356" s="12"/>
      <c r="K2356" s="13"/>
      <c r="L2356" s="14"/>
      <c r="M2356" s="15"/>
      <c r="N2356" s="15"/>
      <c r="O2356" s="16"/>
      <c r="Q2356" s="16"/>
    </row>
    <row r="2357" spans="1:17" x14ac:dyDescent="0.3">
      <c r="A2357" s="5"/>
      <c r="B2357" s="6"/>
      <c r="C2357" s="7"/>
      <c r="D2357" s="8"/>
      <c r="E2357" s="8"/>
      <c r="F2357" s="10"/>
      <c r="G2357" s="10"/>
      <c r="H2357" s="10"/>
      <c r="I2357" s="7"/>
      <c r="J2357" s="12"/>
      <c r="K2357" s="13"/>
      <c r="L2357" s="14"/>
      <c r="M2357" s="15"/>
      <c r="N2357" s="15"/>
      <c r="O2357" s="16"/>
      <c r="Q2357" s="16"/>
    </row>
    <row r="2358" spans="1:17" x14ac:dyDescent="0.3">
      <c r="A2358" s="5"/>
      <c r="B2358" s="6"/>
      <c r="C2358" s="7"/>
      <c r="D2358" s="8"/>
      <c r="E2358" s="8"/>
      <c r="F2358" s="10"/>
      <c r="G2358" s="10"/>
      <c r="H2358" s="10"/>
      <c r="I2358" s="7"/>
      <c r="J2358" s="12"/>
      <c r="K2358" s="13"/>
      <c r="L2358" s="14"/>
      <c r="M2358" s="15"/>
      <c r="N2358" s="15"/>
      <c r="O2358" s="16"/>
      <c r="Q2358" s="16"/>
    </row>
    <row r="2359" spans="1:17" x14ac:dyDescent="0.3">
      <c r="A2359" s="5"/>
      <c r="B2359" s="6"/>
      <c r="C2359" s="7"/>
      <c r="D2359" s="8"/>
      <c r="E2359" s="8"/>
      <c r="F2359" s="10"/>
      <c r="G2359" s="10"/>
      <c r="H2359" s="10"/>
      <c r="I2359" s="7"/>
      <c r="J2359" s="12"/>
      <c r="K2359" s="13"/>
      <c r="L2359" s="14"/>
      <c r="M2359" s="15"/>
      <c r="N2359" s="15"/>
      <c r="O2359" s="16"/>
      <c r="Q2359" s="16"/>
    </row>
    <row r="2360" spans="1:17" x14ac:dyDescent="0.3">
      <c r="A2360" s="5"/>
      <c r="B2360" s="6"/>
      <c r="C2360" s="7"/>
      <c r="D2360" s="8"/>
      <c r="E2360" s="8"/>
      <c r="F2360" s="10"/>
      <c r="G2360" s="10"/>
      <c r="H2360" s="10"/>
      <c r="I2360" s="7"/>
      <c r="J2360" s="12"/>
      <c r="K2360" s="13"/>
      <c r="L2360" s="14"/>
      <c r="M2360" s="15"/>
      <c r="N2360" s="15"/>
      <c r="O2360" s="16"/>
      <c r="Q2360" s="16"/>
    </row>
    <row r="2361" spans="1:17" x14ac:dyDescent="0.3">
      <c r="A2361" s="5"/>
      <c r="B2361" s="6"/>
      <c r="C2361" s="7"/>
      <c r="D2361" s="8"/>
      <c r="E2361" s="8"/>
      <c r="F2361" s="10"/>
      <c r="G2361" s="10"/>
      <c r="H2361" s="10"/>
      <c r="I2361" s="7"/>
      <c r="J2361" s="12"/>
      <c r="K2361" s="13"/>
      <c r="L2361" s="14"/>
      <c r="M2361" s="15"/>
      <c r="N2361" s="15"/>
      <c r="O2361" s="16"/>
      <c r="Q2361" s="16"/>
    </row>
    <row r="2362" spans="1:17" x14ac:dyDescent="0.3">
      <c r="A2362" s="5"/>
      <c r="B2362" s="6"/>
      <c r="C2362" s="7"/>
      <c r="D2362" s="8"/>
      <c r="E2362" s="8"/>
      <c r="F2362" s="10"/>
      <c r="G2362" s="10"/>
      <c r="H2362" s="10"/>
      <c r="I2362" s="7"/>
      <c r="J2362" s="12"/>
      <c r="K2362" s="13"/>
      <c r="L2362" s="14"/>
      <c r="M2362" s="15"/>
      <c r="N2362" s="15"/>
      <c r="O2362" s="16"/>
      <c r="Q2362" s="16"/>
    </row>
    <row r="2363" spans="1:17" x14ac:dyDescent="0.3">
      <c r="A2363" s="5"/>
      <c r="B2363" s="6"/>
      <c r="C2363" s="7"/>
      <c r="D2363" s="8"/>
      <c r="E2363" s="8"/>
      <c r="F2363" s="10"/>
      <c r="G2363" s="10"/>
      <c r="H2363" s="10"/>
      <c r="I2363" s="7"/>
      <c r="J2363" s="12"/>
      <c r="K2363" s="13"/>
      <c r="L2363" s="14"/>
      <c r="M2363" s="15"/>
      <c r="N2363" s="15"/>
      <c r="O2363" s="16"/>
      <c r="Q2363" s="16"/>
    </row>
    <row r="2364" spans="1:17" x14ac:dyDescent="0.3">
      <c r="A2364" s="5"/>
      <c r="B2364" s="6"/>
      <c r="C2364" s="7"/>
      <c r="D2364" s="8"/>
      <c r="E2364" s="8"/>
      <c r="F2364" s="10"/>
      <c r="G2364" s="10"/>
      <c r="H2364" s="10"/>
      <c r="I2364" s="7"/>
      <c r="J2364" s="12"/>
      <c r="K2364" s="13"/>
      <c r="L2364" s="14"/>
      <c r="M2364" s="15"/>
      <c r="N2364" s="15"/>
      <c r="O2364" s="16"/>
      <c r="Q2364" s="16"/>
    </row>
    <row r="2365" spans="1:17" x14ac:dyDescent="0.3">
      <c r="A2365" s="5"/>
      <c r="B2365" s="6"/>
      <c r="C2365" s="7"/>
      <c r="D2365" s="8"/>
      <c r="E2365" s="8"/>
      <c r="F2365" s="10"/>
      <c r="G2365" s="10"/>
      <c r="H2365" s="10"/>
      <c r="I2365" s="7"/>
      <c r="J2365" s="12"/>
      <c r="K2365" s="13"/>
      <c r="L2365" s="14"/>
      <c r="M2365" s="15"/>
      <c r="N2365" s="15"/>
      <c r="O2365" s="16"/>
      <c r="Q2365" s="16"/>
    </row>
    <row r="2366" spans="1:17" x14ac:dyDescent="0.3">
      <c r="A2366" s="5"/>
      <c r="B2366" s="6"/>
      <c r="C2366" s="7"/>
      <c r="D2366" s="8"/>
      <c r="E2366" s="8"/>
      <c r="F2366" s="10"/>
      <c r="G2366" s="10"/>
      <c r="H2366" s="10"/>
      <c r="I2366" s="7"/>
      <c r="J2366" s="12"/>
      <c r="K2366" s="13"/>
      <c r="L2366" s="14"/>
      <c r="M2366" s="15"/>
      <c r="N2366" s="15"/>
      <c r="O2366" s="16"/>
      <c r="Q2366" s="16"/>
    </row>
    <row r="2367" spans="1:17" x14ac:dyDescent="0.3">
      <c r="A2367" s="5"/>
      <c r="B2367" s="6"/>
      <c r="C2367" s="7"/>
      <c r="D2367" s="8"/>
      <c r="E2367" s="8"/>
      <c r="F2367" s="10"/>
      <c r="G2367" s="10"/>
      <c r="H2367" s="10"/>
      <c r="I2367" s="7"/>
      <c r="J2367" s="12"/>
      <c r="K2367" s="13"/>
      <c r="L2367" s="14"/>
      <c r="M2367" s="15"/>
      <c r="N2367" s="15"/>
      <c r="O2367" s="16"/>
      <c r="Q2367" s="16"/>
    </row>
    <row r="2368" spans="1:17" x14ac:dyDescent="0.3">
      <c r="A2368" s="5"/>
      <c r="B2368" s="6"/>
      <c r="C2368" s="7"/>
      <c r="D2368" s="8"/>
      <c r="E2368" s="8"/>
      <c r="F2368" s="10"/>
      <c r="G2368" s="10"/>
      <c r="H2368" s="10"/>
      <c r="I2368" s="7"/>
      <c r="J2368" s="12"/>
      <c r="K2368" s="13"/>
      <c r="L2368" s="14"/>
      <c r="M2368" s="15"/>
      <c r="N2368" s="15"/>
      <c r="O2368" s="16"/>
      <c r="Q2368" s="16"/>
    </row>
    <row r="2369" spans="1:17" x14ac:dyDescent="0.3">
      <c r="A2369" s="5"/>
      <c r="B2369" s="6"/>
      <c r="C2369" s="7"/>
      <c r="D2369" s="8"/>
      <c r="E2369" s="8"/>
      <c r="F2369" s="10"/>
      <c r="G2369" s="10"/>
      <c r="H2369" s="10"/>
      <c r="I2369" s="7"/>
      <c r="J2369" s="12"/>
      <c r="K2369" s="13"/>
      <c r="L2369" s="14"/>
      <c r="M2369" s="15"/>
      <c r="N2369" s="15"/>
      <c r="O2369" s="16"/>
      <c r="Q2369" s="16"/>
    </row>
    <row r="2370" spans="1:17" x14ac:dyDescent="0.3">
      <c r="A2370" s="5"/>
      <c r="B2370" s="6"/>
      <c r="C2370" s="7"/>
      <c r="D2370" s="8"/>
      <c r="E2370" s="8"/>
      <c r="F2370" s="10"/>
      <c r="G2370" s="10"/>
      <c r="H2370" s="10"/>
      <c r="I2370" s="7"/>
      <c r="J2370" s="12"/>
      <c r="K2370" s="13"/>
      <c r="L2370" s="14"/>
      <c r="M2370" s="15"/>
      <c r="N2370" s="15"/>
      <c r="O2370" s="16"/>
      <c r="Q2370" s="16"/>
    </row>
    <row r="2371" spans="1:17" x14ac:dyDescent="0.3">
      <c r="A2371" s="5"/>
      <c r="B2371" s="6"/>
      <c r="C2371" s="7"/>
      <c r="D2371" s="8"/>
      <c r="E2371" s="8"/>
      <c r="F2371" s="10"/>
      <c r="G2371" s="10"/>
      <c r="H2371" s="10"/>
      <c r="I2371" s="7"/>
      <c r="J2371" s="12"/>
      <c r="K2371" s="13"/>
      <c r="L2371" s="14"/>
      <c r="M2371" s="15"/>
      <c r="N2371" s="15"/>
      <c r="O2371" s="16"/>
      <c r="Q2371" s="16"/>
    </row>
    <row r="2372" spans="1:17" x14ac:dyDescent="0.3">
      <c r="A2372" s="5"/>
      <c r="B2372" s="6"/>
      <c r="C2372" s="7"/>
      <c r="D2372" s="8"/>
      <c r="E2372" s="8"/>
      <c r="F2372" s="10"/>
      <c r="G2372" s="10"/>
      <c r="H2372" s="10"/>
      <c r="I2372" s="7"/>
      <c r="J2372" s="12"/>
      <c r="K2372" s="13"/>
      <c r="L2372" s="14"/>
      <c r="M2372" s="15"/>
      <c r="N2372" s="15"/>
      <c r="O2372" s="16"/>
      <c r="Q2372" s="16"/>
    </row>
    <row r="2373" spans="1:17" x14ac:dyDescent="0.3">
      <c r="A2373" s="5"/>
      <c r="B2373" s="6"/>
      <c r="C2373" s="7"/>
      <c r="D2373" s="8"/>
      <c r="E2373" s="8"/>
      <c r="F2373" s="10"/>
      <c r="G2373" s="10"/>
      <c r="H2373" s="10"/>
      <c r="I2373" s="7"/>
      <c r="J2373" s="12"/>
      <c r="K2373" s="13"/>
      <c r="L2373" s="14"/>
      <c r="M2373" s="15"/>
      <c r="N2373" s="15"/>
      <c r="O2373" s="16"/>
      <c r="Q2373" s="16"/>
    </row>
    <row r="2374" spans="1:17" x14ac:dyDescent="0.3">
      <c r="A2374" s="5"/>
      <c r="B2374" s="6"/>
      <c r="C2374" s="7"/>
      <c r="D2374" s="8"/>
      <c r="E2374" s="8"/>
      <c r="F2374" s="10"/>
      <c r="G2374" s="10"/>
      <c r="H2374" s="10"/>
      <c r="I2374" s="7"/>
      <c r="J2374" s="12"/>
      <c r="K2374" s="13"/>
      <c r="L2374" s="14"/>
      <c r="M2374" s="15"/>
      <c r="N2374" s="15"/>
      <c r="O2374" s="16"/>
      <c r="Q2374" s="16"/>
    </row>
    <row r="2375" spans="1:17" x14ac:dyDescent="0.3">
      <c r="A2375" s="5"/>
      <c r="B2375" s="6"/>
      <c r="C2375" s="7"/>
      <c r="D2375" s="8"/>
      <c r="E2375" s="8"/>
      <c r="F2375" s="10"/>
      <c r="G2375" s="10"/>
      <c r="H2375" s="10"/>
      <c r="I2375" s="7"/>
      <c r="J2375" s="12"/>
      <c r="K2375" s="13"/>
      <c r="L2375" s="14"/>
      <c r="M2375" s="15"/>
      <c r="N2375" s="15"/>
      <c r="O2375" s="16"/>
      <c r="Q2375" s="16"/>
    </row>
    <row r="2376" spans="1:17" x14ac:dyDescent="0.3">
      <c r="A2376" s="5"/>
      <c r="B2376" s="6"/>
      <c r="C2376" s="7"/>
      <c r="D2376" s="8"/>
      <c r="E2376" s="8"/>
      <c r="F2376" s="10"/>
      <c r="G2376" s="10"/>
      <c r="H2376" s="10"/>
      <c r="I2376" s="7"/>
      <c r="J2376" s="12"/>
      <c r="K2376" s="13"/>
      <c r="L2376" s="14"/>
      <c r="M2376" s="15"/>
      <c r="N2376" s="15"/>
      <c r="O2376" s="16"/>
      <c r="Q2376" s="16"/>
    </row>
    <row r="2377" spans="1:17" x14ac:dyDescent="0.3">
      <c r="A2377" s="5"/>
      <c r="B2377" s="6"/>
      <c r="C2377" s="7"/>
      <c r="D2377" s="8"/>
      <c r="E2377" s="8"/>
      <c r="F2377" s="10"/>
      <c r="G2377" s="10"/>
      <c r="H2377" s="10"/>
      <c r="I2377" s="7"/>
      <c r="J2377" s="12"/>
      <c r="K2377" s="13"/>
      <c r="L2377" s="14"/>
      <c r="M2377" s="15"/>
      <c r="N2377" s="15"/>
      <c r="O2377" s="16"/>
      <c r="Q2377" s="16"/>
    </row>
    <row r="2378" spans="1:17" x14ac:dyDescent="0.3">
      <c r="A2378" s="5"/>
      <c r="B2378" s="6"/>
      <c r="C2378" s="7"/>
      <c r="D2378" s="8"/>
      <c r="E2378" s="8"/>
      <c r="F2378" s="10"/>
      <c r="G2378" s="10"/>
      <c r="H2378" s="10"/>
      <c r="I2378" s="7"/>
      <c r="J2378" s="12"/>
      <c r="K2378" s="13"/>
      <c r="L2378" s="14"/>
      <c r="M2378" s="15"/>
      <c r="N2378" s="15"/>
      <c r="O2378" s="16"/>
      <c r="Q2378" s="16"/>
    </row>
    <row r="2379" spans="1:17" x14ac:dyDescent="0.3">
      <c r="A2379" s="5"/>
      <c r="B2379" s="6"/>
      <c r="C2379" s="7"/>
      <c r="D2379" s="8"/>
      <c r="E2379" s="8"/>
      <c r="F2379" s="10"/>
      <c r="G2379" s="10"/>
      <c r="H2379" s="10"/>
      <c r="I2379" s="7"/>
      <c r="J2379" s="12"/>
      <c r="K2379" s="13"/>
      <c r="L2379" s="14"/>
      <c r="M2379" s="15"/>
      <c r="N2379" s="15"/>
      <c r="O2379" s="16"/>
      <c r="Q2379" s="16"/>
    </row>
    <row r="2380" spans="1:17" x14ac:dyDescent="0.3">
      <c r="A2380" s="5"/>
      <c r="B2380" s="6"/>
      <c r="C2380" s="7"/>
      <c r="D2380" s="8"/>
      <c r="E2380" s="8"/>
      <c r="F2380" s="10"/>
      <c r="G2380" s="10"/>
      <c r="H2380" s="10"/>
      <c r="I2380" s="7"/>
      <c r="J2380" s="12"/>
      <c r="K2380" s="13"/>
      <c r="L2380" s="14"/>
      <c r="M2380" s="15"/>
      <c r="N2380" s="15"/>
      <c r="O2380" s="16"/>
      <c r="Q2380" s="16"/>
    </row>
    <row r="2381" spans="1:17" x14ac:dyDescent="0.3">
      <c r="A2381" s="5"/>
      <c r="B2381" s="6"/>
      <c r="C2381" s="7"/>
      <c r="D2381" s="8"/>
      <c r="E2381" s="8"/>
      <c r="F2381" s="10"/>
      <c r="G2381" s="10"/>
      <c r="H2381" s="10"/>
      <c r="I2381" s="7"/>
      <c r="J2381" s="12"/>
      <c r="K2381" s="13"/>
      <c r="L2381" s="14"/>
      <c r="M2381" s="15"/>
      <c r="N2381" s="15"/>
      <c r="O2381" s="16"/>
      <c r="Q2381" s="16"/>
    </row>
    <row r="2382" spans="1:17" x14ac:dyDescent="0.3">
      <c r="A2382" s="5"/>
      <c r="B2382" s="6"/>
      <c r="C2382" s="7"/>
      <c r="D2382" s="8"/>
      <c r="E2382" s="8"/>
      <c r="F2382" s="10"/>
      <c r="G2382" s="10"/>
      <c r="H2382" s="10"/>
      <c r="I2382" s="7"/>
      <c r="J2382" s="12"/>
      <c r="K2382" s="13"/>
      <c r="L2382" s="14"/>
      <c r="M2382" s="15"/>
      <c r="N2382" s="15"/>
      <c r="O2382" s="16"/>
      <c r="Q2382" s="16"/>
    </row>
    <row r="2383" spans="1:17" x14ac:dyDescent="0.3">
      <c r="A2383" s="5"/>
      <c r="B2383" s="6"/>
      <c r="C2383" s="7"/>
      <c r="D2383" s="8"/>
      <c r="E2383" s="8"/>
      <c r="F2383" s="10"/>
      <c r="G2383" s="10"/>
      <c r="H2383" s="10"/>
      <c r="I2383" s="7"/>
      <c r="J2383" s="12"/>
      <c r="K2383" s="13"/>
      <c r="L2383" s="14"/>
      <c r="M2383" s="15"/>
      <c r="N2383" s="15"/>
      <c r="O2383" s="16"/>
      <c r="Q2383" s="16"/>
    </row>
    <row r="2384" spans="1:17" x14ac:dyDescent="0.3">
      <c r="A2384" s="5"/>
      <c r="B2384" s="6"/>
      <c r="C2384" s="7"/>
      <c r="D2384" s="8"/>
      <c r="E2384" s="8"/>
      <c r="F2384" s="10"/>
      <c r="G2384" s="10"/>
      <c r="H2384" s="10"/>
      <c r="I2384" s="7"/>
      <c r="J2384" s="12"/>
      <c r="K2384" s="13"/>
      <c r="L2384" s="14"/>
      <c r="M2384" s="15"/>
      <c r="N2384" s="15"/>
      <c r="O2384" s="16"/>
      <c r="Q2384" s="16"/>
    </row>
    <row r="2385" spans="1:17" x14ac:dyDescent="0.3">
      <c r="A2385" s="5"/>
      <c r="B2385" s="6"/>
      <c r="C2385" s="7"/>
      <c r="D2385" s="8"/>
      <c r="E2385" s="8"/>
      <c r="F2385" s="10"/>
      <c r="G2385" s="10"/>
      <c r="H2385" s="10"/>
      <c r="I2385" s="7"/>
      <c r="J2385" s="12"/>
      <c r="K2385" s="13"/>
      <c r="L2385" s="14"/>
      <c r="M2385" s="15"/>
      <c r="N2385" s="15"/>
      <c r="O2385" s="16"/>
      <c r="Q2385" s="16"/>
    </row>
    <row r="2386" spans="1:17" x14ac:dyDescent="0.3">
      <c r="A2386" s="5"/>
      <c r="B2386" s="6"/>
      <c r="C2386" s="7"/>
      <c r="D2386" s="8"/>
      <c r="E2386" s="8"/>
      <c r="F2386" s="10"/>
      <c r="G2386" s="10"/>
      <c r="H2386" s="10"/>
      <c r="I2386" s="7"/>
      <c r="J2386" s="12"/>
      <c r="K2386" s="13"/>
      <c r="L2386" s="14"/>
      <c r="M2386" s="15"/>
      <c r="N2386" s="15"/>
      <c r="O2386" s="16"/>
      <c r="Q2386" s="16"/>
    </row>
    <row r="2387" spans="1:17" x14ac:dyDescent="0.3">
      <c r="A2387" s="5"/>
      <c r="B2387" s="6"/>
      <c r="C2387" s="7"/>
      <c r="D2387" s="8"/>
      <c r="E2387" s="8"/>
      <c r="F2387" s="10"/>
      <c r="G2387" s="10"/>
      <c r="H2387" s="10"/>
      <c r="I2387" s="7"/>
      <c r="J2387" s="12"/>
      <c r="K2387" s="13"/>
      <c r="L2387" s="14"/>
      <c r="M2387" s="15"/>
      <c r="N2387" s="15"/>
      <c r="O2387" s="16"/>
      <c r="Q2387" s="16"/>
    </row>
    <row r="2388" spans="1:17" x14ac:dyDescent="0.3">
      <c r="A2388" s="5"/>
      <c r="B2388" s="6"/>
      <c r="C2388" s="7"/>
      <c r="D2388" s="8"/>
      <c r="E2388" s="8"/>
      <c r="F2388" s="10"/>
      <c r="G2388" s="10"/>
      <c r="H2388" s="10"/>
      <c r="I2388" s="7"/>
      <c r="J2388" s="12"/>
      <c r="K2388" s="13"/>
      <c r="L2388" s="14"/>
      <c r="M2388" s="15"/>
      <c r="N2388" s="15"/>
      <c r="O2388" s="16"/>
      <c r="Q2388" s="16"/>
    </row>
    <row r="2389" spans="1:17" x14ac:dyDescent="0.3">
      <c r="A2389" s="5"/>
      <c r="B2389" s="6"/>
      <c r="C2389" s="7"/>
      <c r="D2389" s="8"/>
      <c r="E2389" s="8"/>
      <c r="F2389" s="10"/>
      <c r="G2389" s="10"/>
      <c r="H2389" s="10"/>
      <c r="I2389" s="7"/>
      <c r="J2389" s="12"/>
      <c r="K2389" s="13"/>
      <c r="L2389" s="14"/>
      <c r="M2389" s="15"/>
      <c r="N2389" s="15"/>
      <c r="O2389" s="16"/>
      <c r="Q2389" s="16"/>
    </row>
    <row r="2390" spans="1:17" x14ac:dyDescent="0.3">
      <c r="A2390" s="5"/>
      <c r="B2390" s="6"/>
      <c r="C2390" s="7"/>
      <c r="D2390" s="8"/>
      <c r="E2390" s="8"/>
      <c r="F2390" s="10"/>
      <c r="G2390" s="10"/>
      <c r="H2390" s="10"/>
      <c r="I2390" s="7"/>
      <c r="J2390" s="12"/>
      <c r="K2390" s="13"/>
      <c r="L2390" s="14"/>
      <c r="M2390" s="15"/>
      <c r="N2390" s="15"/>
      <c r="O2390" s="16"/>
      <c r="Q2390" s="16"/>
    </row>
    <row r="2391" spans="1:17" x14ac:dyDescent="0.3">
      <c r="A2391" s="5"/>
      <c r="B2391" s="6"/>
      <c r="C2391" s="7"/>
      <c r="D2391" s="8"/>
      <c r="E2391" s="8"/>
      <c r="F2391" s="10"/>
      <c r="G2391" s="10"/>
      <c r="H2391" s="10"/>
      <c r="I2391" s="7"/>
      <c r="J2391" s="12"/>
      <c r="K2391" s="13"/>
      <c r="L2391" s="14"/>
      <c r="M2391" s="15"/>
      <c r="N2391" s="15"/>
      <c r="O2391" s="16"/>
      <c r="Q2391" s="16"/>
    </row>
    <row r="2392" spans="1:17" x14ac:dyDescent="0.3">
      <c r="A2392" s="5"/>
      <c r="B2392" s="6"/>
      <c r="C2392" s="7"/>
      <c r="D2392" s="8"/>
      <c r="E2392" s="8"/>
      <c r="F2392" s="10"/>
      <c r="G2392" s="10"/>
      <c r="H2392" s="10"/>
      <c r="I2392" s="7"/>
      <c r="J2392" s="12"/>
      <c r="K2392" s="13"/>
      <c r="L2392" s="14"/>
      <c r="M2392" s="15"/>
      <c r="N2392" s="15"/>
      <c r="O2392" s="16"/>
      <c r="Q2392" s="16"/>
    </row>
    <row r="2393" spans="1:17" x14ac:dyDescent="0.3">
      <c r="A2393" s="5"/>
      <c r="B2393" s="6"/>
      <c r="C2393" s="7"/>
      <c r="D2393" s="8"/>
      <c r="E2393" s="8"/>
      <c r="F2393" s="10"/>
      <c r="G2393" s="10"/>
      <c r="H2393" s="10"/>
      <c r="I2393" s="7"/>
      <c r="J2393" s="12"/>
      <c r="K2393" s="13"/>
      <c r="L2393" s="14"/>
      <c r="M2393" s="15"/>
      <c r="N2393" s="15"/>
      <c r="O2393" s="16"/>
      <c r="Q2393" s="16"/>
    </row>
    <row r="2394" spans="1:17" x14ac:dyDescent="0.3">
      <c r="A2394" s="5"/>
      <c r="B2394" s="6"/>
      <c r="C2394" s="7"/>
      <c r="D2394" s="8"/>
      <c r="E2394" s="8"/>
      <c r="F2394" s="10"/>
      <c r="G2394" s="10"/>
      <c r="H2394" s="10"/>
      <c r="I2394" s="7"/>
      <c r="J2394" s="12"/>
      <c r="K2394" s="13"/>
      <c r="L2394" s="14"/>
      <c r="M2394" s="15"/>
      <c r="N2394" s="15"/>
      <c r="O2394" s="16"/>
      <c r="Q2394" s="16"/>
    </row>
    <row r="2395" spans="1:17" x14ac:dyDescent="0.3">
      <c r="A2395" s="5"/>
      <c r="B2395" s="6"/>
      <c r="C2395" s="7"/>
      <c r="D2395" s="8"/>
      <c r="E2395" s="8"/>
      <c r="F2395" s="10"/>
      <c r="G2395" s="10"/>
      <c r="H2395" s="10"/>
      <c r="I2395" s="7"/>
      <c r="J2395" s="12"/>
      <c r="K2395" s="13"/>
      <c r="L2395" s="14"/>
      <c r="M2395" s="15"/>
      <c r="N2395" s="15"/>
      <c r="O2395" s="16"/>
      <c r="Q2395" s="16"/>
    </row>
    <row r="2396" spans="1:17" x14ac:dyDescent="0.3">
      <c r="A2396" s="5"/>
      <c r="B2396" s="6"/>
      <c r="C2396" s="7"/>
      <c r="D2396" s="8"/>
      <c r="E2396" s="8"/>
      <c r="F2396" s="10"/>
      <c r="G2396" s="10"/>
      <c r="H2396" s="10"/>
      <c r="I2396" s="7"/>
      <c r="J2396" s="12"/>
      <c r="K2396" s="13"/>
      <c r="L2396" s="14"/>
      <c r="M2396" s="15"/>
      <c r="N2396" s="15"/>
      <c r="O2396" s="16"/>
      <c r="Q2396" s="16"/>
    </row>
    <row r="2397" spans="1:17" x14ac:dyDescent="0.3">
      <c r="A2397" s="5"/>
      <c r="B2397" s="6"/>
      <c r="C2397" s="7"/>
      <c r="D2397" s="8"/>
      <c r="E2397" s="8"/>
      <c r="F2397" s="10"/>
      <c r="G2397" s="10"/>
      <c r="H2397" s="10"/>
      <c r="I2397" s="7"/>
      <c r="J2397" s="12"/>
      <c r="K2397" s="13"/>
      <c r="L2397" s="14"/>
      <c r="M2397" s="15"/>
      <c r="N2397" s="15"/>
      <c r="O2397" s="16"/>
      <c r="Q2397" s="16"/>
    </row>
    <row r="2398" spans="1:17" x14ac:dyDescent="0.3">
      <c r="A2398" s="5"/>
      <c r="B2398" s="6"/>
      <c r="C2398" s="7"/>
      <c r="D2398" s="8"/>
      <c r="E2398" s="8"/>
      <c r="F2398" s="10"/>
      <c r="G2398" s="10"/>
      <c r="H2398" s="10"/>
      <c r="I2398" s="7"/>
      <c r="J2398" s="12"/>
      <c r="K2398" s="13"/>
      <c r="L2398" s="14"/>
      <c r="M2398" s="15"/>
      <c r="N2398" s="15"/>
      <c r="O2398" s="16"/>
      <c r="Q2398" s="16"/>
    </row>
    <row r="2399" spans="1:17" x14ac:dyDescent="0.3">
      <c r="A2399" s="5"/>
      <c r="B2399" s="6"/>
      <c r="C2399" s="7"/>
      <c r="D2399" s="8"/>
      <c r="E2399" s="8"/>
      <c r="F2399" s="10"/>
      <c r="G2399" s="10"/>
      <c r="H2399" s="10"/>
      <c r="I2399" s="7"/>
      <c r="J2399" s="12"/>
      <c r="K2399" s="13"/>
      <c r="L2399" s="14"/>
      <c r="M2399" s="15"/>
      <c r="N2399" s="15"/>
      <c r="O2399" s="16"/>
      <c r="Q2399" s="16"/>
    </row>
    <row r="2400" spans="1:17" x14ac:dyDescent="0.3">
      <c r="A2400" s="5"/>
      <c r="B2400" s="6"/>
      <c r="C2400" s="7"/>
      <c r="D2400" s="8"/>
      <c r="E2400" s="8"/>
      <c r="F2400" s="10"/>
      <c r="G2400" s="10"/>
      <c r="H2400" s="10"/>
      <c r="I2400" s="7"/>
      <c r="J2400" s="12"/>
      <c r="K2400" s="13"/>
      <c r="L2400" s="14"/>
      <c r="M2400" s="15"/>
      <c r="N2400" s="15"/>
      <c r="O2400" s="16"/>
      <c r="Q2400" s="16"/>
    </row>
    <row r="2401" spans="1:17" x14ac:dyDescent="0.3">
      <c r="A2401" s="5"/>
      <c r="B2401" s="6"/>
      <c r="C2401" s="7"/>
      <c r="D2401" s="8"/>
      <c r="E2401" s="8"/>
      <c r="F2401" s="10"/>
      <c r="G2401" s="10"/>
      <c r="H2401" s="10"/>
      <c r="I2401" s="7"/>
      <c r="J2401" s="12"/>
      <c r="K2401" s="13"/>
      <c r="L2401" s="14"/>
      <c r="M2401" s="15"/>
      <c r="N2401" s="15"/>
      <c r="O2401" s="16"/>
      <c r="Q2401" s="16"/>
    </row>
    <row r="2402" spans="1:17" x14ac:dyDescent="0.3">
      <c r="A2402" s="5"/>
      <c r="B2402" s="6"/>
      <c r="C2402" s="7"/>
      <c r="D2402" s="8"/>
      <c r="E2402" s="8"/>
      <c r="F2402" s="10"/>
      <c r="G2402" s="10"/>
      <c r="H2402" s="10"/>
      <c r="I2402" s="7"/>
      <c r="J2402" s="12"/>
      <c r="K2402" s="13"/>
      <c r="L2402" s="14"/>
      <c r="M2402" s="15"/>
      <c r="N2402" s="15"/>
      <c r="O2402" s="16"/>
      <c r="Q2402" s="16"/>
    </row>
    <row r="2403" spans="1:17" x14ac:dyDescent="0.3">
      <c r="A2403" s="5"/>
      <c r="B2403" s="6"/>
      <c r="C2403" s="7"/>
      <c r="D2403" s="8"/>
      <c r="E2403" s="8"/>
      <c r="F2403" s="10"/>
      <c r="G2403" s="10"/>
      <c r="H2403" s="10"/>
      <c r="I2403" s="7"/>
      <c r="J2403" s="12"/>
      <c r="K2403" s="13"/>
      <c r="L2403" s="14"/>
      <c r="M2403" s="15"/>
      <c r="N2403" s="15"/>
      <c r="O2403" s="16"/>
      <c r="Q2403" s="16"/>
    </row>
    <row r="2404" spans="1:17" x14ac:dyDescent="0.3">
      <c r="A2404" s="5"/>
      <c r="B2404" s="6"/>
      <c r="C2404" s="7"/>
      <c r="D2404" s="8"/>
      <c r="E2404" s="8"/>
      <c r="F2404" s="10"/>
      <c r="G2404" s="10"/>
      <c r="H2404" s="10"/>
      <c r="I2404" s="7"/>
      <c r="J2404" s="12"/>
      <c r="K2404" s="13"/>
      <c r="L2404" s="14"/>
      <c r="M2404" s="15"/>
      <c r="N2404" s="15"/>
      <c r="O2404" s="16"/>
      <c r="Q2404" s="16"/>
    </row>
    <row r="2405" spans="1:17" x14ac:dyDescent="0.3">
      <c r="A2405" s="5"/>
      <c r="B2405" s="6"/>
      <c r="C2405" s="7"/>
      <c r="D2405" s="8"/>
      <c r="E2405" s="8"/>
      <c r="F2405" s="10"/>
      <c r="G2405" s="10"/>
      <c r="H2405" s="10"/>
      <c r="I2405" s="7"/>
      <c r="J2405" s="12"/>
      <c r="K2405" s="13"/>
      <c r="L2405" s="14"/>
      <c r="M2405" s="15"/>
      <c r="N2405" s="15"/>
      <c r="O2405" s="16"/>
      <c r="Q2405" s="16"/>
    </row>
    <row r="2406" spans="1:17" x14ac:dyDescent="0.3">
      <c r="A2406" s="5"/>
      <c r="B2406" s="6"/>
      <c r="C2406" s="7"/>
      <c r="D2406" s="8"/>
      <c r="E2406" s="8"/>
      <c r="F2406" s="10"/>
      <c r="G2406" s="10"/>
      <c r="H2406" s="10"/>
      <c r="I2406" s="7"/>
      <c r="J2406" s="12"/>
      <c r="K2406" s="13"/>
      <c r="L2406" s="14"/>
      <c r="M2406" s="15"/>
      <c r="N2406" s="15"/>
      <c r="O2406" s="16"/>
      <c r="Q2406" s="16"/>
    </row>
    <row r="2407" spans="1:17" x14ac:dyDescent="0.3">
      <c r="A2407" s="5"/>
      <c r="B2407" s="6"/>
      <c r="C2407" s="7"/>
      <c r="D2407" s="8"/>
      <c r="E2407" s="8"/>
      <c r="F2407" s="10"/>
      <c r="G2407" s="10"/>
      <c r="H2407" s="10"/>
      <c r="I2407" s="7"/>
      <c r="J2407" s="12"/>
      <c r="K2407" s="13"/>
      <c r="L2407" s="14"/>
      <c r="M2407" s="15"/>
      <c r="N2407" s="15"/>
      <c r="O2407" s="16"/>
      <c r="Q2407" s="16"/>
    </row>
    <row r="2408" spans="1:17" x14ac:dyDescent="0.3">
      <c r="A2408" s="5"/>
      <c r="B2408" s="6"/>
      <c r="C2408" s="7"/>
      <c r="D2408" s="8"/>
      <c r="E2408" s="8"/>
      <c r="F2408" s="10"/>
      <c r="G2408" s="10"/>
      <c r="H2408" s="10"/>
      <c r="I2408" s="7"/>
      <c r="J2408" s="12"/>
      <c r="K2408" s="13"/>
      <c r="L2408" s="14"/>
      <c r="M2408" s="15"/>
      <c r="N2408" s="15"/>
      <c r="O2408" s="16"/>
      <c r="Q2408" s="16"/>
    </row>
    <row r="2409" spans="1:17" x14ac:dyDescent="0.3">
      <c r="A2409" s="5"/>
      <c r="B2409" s="6"/>
      <c r="C2409" s="7"/>
      <c r="D2409" s="8"/>
      <c r="E2409" s="8"/>
      <c r="F2409" s="10"/>
      <c r="G2409" s="10"/>
      <c r="H2409" s="10"/>
      <c r="I2409" s="7"/>
      <c r="J2409" s="12"/>
      <c r="K2409" s="13"/>
      <c r="L2409" s="14"/>
      <c r="M2409" s="15"/>
      <c r="N2409" s="15"/>
      <c r="O2409" s="16"/>
      <c r="Q2409" s="16"/>
    </row>
    <row r="2410" spans="1:17" x14ac:dyDescent="0.3">
      <c r="A2410" s="5"/>
      <c r="B2410" s="6"/>
      <c r="C2410" s="7"/>
      <c r="D2410" s="8"/>
      <c r="E2410" s="8"/>
      <c r="F2410" s="10"/>
      <c r="G2410" s="10"/>
      <c r="H2410" s="10"/>
      <c r="I2410" s="7"/>
      <c r="J2410" s="12"/>
      <c r="K2410" s="13"/>
      <c r="L2410" s="14"/>
      <c r="M2410" s="15"/>
      <c r="N2410" s="15"/>
      <c r="O2410" s="16"/>
      <c r="Q2410" s="16"/>
    </row>
    <row r="2411" spans="1:17" x14ac:dyDescent="0.3">
      <c r="A2411" s="5"/>
      <c r="B2411" s="6"/>
      <c r="C2411" s="7"/>
      <c r="D2411" s="8"/>
      <c r="E2411" s="8"/>
      <c r="F2411" s="10"/>
      <c r="G2411" s="10"/>
      <c r="H2411" s="10"/>
      <c r="I2411" s="7"/>
      <c r="J2411" s="12"/>
      <c r="K2411" s="13"/>
      <c r="L2411" s="14"/>
      <c r="M2411" s="15"/>
      <c r="N2411" s="15"/>
      <c r="O2411" s="16"/>
      <c r="Q2411" s="16"/>
    </row>
    <row r="2412" spans="1:17" x14ac:dyDescent="0.3">
      <c r="A2412" s="5"/>
      <c r="B2412" s="6"/>
      <c r="C2412" s="7"/>
      <c r="D2412" s="8"/>
      <c r="E2412" s="8"/>
      <c r="F2412" s="10"/>
      <c r="G2412" s="10"/>
      <c r="H2412" s="10"/>
      <c r="I2412" s="7"/>
      <c r="J2412" s="12"/>
      <c r="K2412" s="13"/>
      <c r="L2412" s="14"/>
      <c r="M2412" s="15"/>
      <c r="N2412" s="15"/>
      <c r="O2412" s="16"/>
      <c r="Q2412" s="16"/>
    </row>
    <row r="2413" spans="1:17" x14ac:dyDescent="0.3">
      <c r="A2413" s="5"/>
      <c r="B2413" s="6"/>
      <c r="C2413" s="7"/>
      <c r="D2413" s="8"/>
      <c r="E2413" s="8"/>
      <c r="F2413" s="10"/>
      <c r="G2413" s="10"/>
      <c r="H2413" s="10"/>
      <c r="I2413" s="7"/>
      <c r="J2413" s="12"/>
      <c r="K2413" s="13"/>
      <c r="L2413" s="14"/>
      <c r="M2413" s="15"/>
      <c r="N2413" s="15"/>
      <c r="O2413" s="16"/>
      <c r="Q2413" s="16"/>
    </row>
    <row r="2414" spans="1:17" x14ac:dyDescent="0.3">
      <c r="A2414" s="5"/>
      <c r="B2414" s="6"/>
      <c r="C2414" s="7"/>
      <c r="D2414" s="8"/>
      <c r="E2414" s="8"/>
      <c r="F2414" s="10"/>
      <c r="G2414" s="10"/>
      <c r="H2414" s="10"/>
      <c r="I2414" s="7"/>
      <c r="J2414" s="12"/>
      <c r="K2414" s="13"/>
      <c r="L2414" s="14"/>
      <c r="M2414" s="15"/>
      <c r="N2414" s="15"/>
      <c r="O2414" s="16"/>
      <c r="Q2414" s="16"/>
    </row>
    <row r="2415" spans="1:17" x14ac:dyDescent="0.3">
      <c r="A2415" s="5"/>
      <c r="B2415" s="6"/>
      <c r="C2415" s="7"/>
      <c r="D2415" s="8"/>
      <c r="E2415" s="8"/>
      <c r="F2415" s="10"/>
      <c r="G2415" s="10"/>
      <c r="H2415" s="10"/>
      <c r="I2415" s="7"/>
      <c r="J2415" s="12"/>
      <c r="K2415" s="13"/>
      <c r="L2415" s="14"/>
      <c r="M2415" s="15"/>
      <c r="N2415" s="15"/>
      <c r="O2415" s="16"/>
      <c r="Q2415" s="16"/>
    </row>
    <row r="2416" spans="1:17" x14ac:dyDescent="0.3">
      <c r="A2416" s="5"/>
      <c r="B2416" s="6"/>
      <c r="C2416" s="7"/>
      <c r="D2416" s="8"/>
      <c r="E2416" s="8"/>
      <c r="F2416" s="10"/>
      <c r="G2416" s="10"/>
      <c r="H2416" s="10"/>
      <c r="I2416" s="7"/>
      <c r="J2416" s="12"/>
      <c r="K2416" s="13"/>
      <c r="L2416" s="14"/>
      <c r="M2416" s="15"/>
      <c r="N2416" s="15"/>
      <c r="O2416" s="16"/>
      <c r="Q2416" s="16"/>
    </row>
    <row r="2417" spans="1:17" x14ac:dyDescent="0.3">
      <c r="A2417" s="5"/>
      <c r="B2417" s="6"/>
      <c r="C2417" s="7"/>
      <c r="D2417" s="8"/>
      <c r="E2417" s="8"/>
      <c r="F2417" s="10"/>
      <c r="G2417" s="10"/>
      <c r="H2417" s="10"/>
      <c r="I2417" s="7"/>
      <c r="J2417" s="12"/>
      <c r="K2417" s="13"/>
      <c r="L2417" s="14"/>
      <c r="M2417" s="15"/>
      <c r="N2417" s="15"/>
      <c r="O2417" s="16"/>
      <c r="Q2417" s="16"/>
    </row>
    <row r="2418" spans="1:17" x14ac:dyDescent="0.3">
      <c r="A2418" s="5"/>
      <c r="B2418" s="6"/>
      <c r="C2418" s="7"/>
      <c r="D2418" s="8"/>
      <c r="E2418" s="8"/>
      <c r="F2418" s="10"/>
      <c r="G2418" s="10"/>
      <c r="H2418" s="10"/>
      <c r="I2418" s="7"/>
      <c r="J2418" s="12"/>
      <c r="K2418" s="13"/>
      <c r="L2418" s="14"/>
      <c r="M2418" s="15"/>
      <c r="N2418" s="15"/>
      <c r="O2418" s="16"/>
      <c r="Q2418" s="16"/>
    </row>
    <row r="2419" spans="1:17" x14ac:dyDescent="0.3">
      <c r="A2419" s="5"/>
      <c r="B2419" s="6"/>
      <c r="C2419" s="7"/>
      <c r="D2419" s="8"/>
      <c r="E2419" s="8"/>
      <c r="F2419" s="10"/>
      <c r="G2419" s="10"/>
      <c r="H2419" s="10"/>
      <c r="I2419" s="7"/>
      <c r="J2419" s="12"/>
      <c r="K2419" s="13"/>
      <c r="L2419" s="14"/>
      <c r="M2419" s="15"/>
      <c r="N2419" s="15"/>
      <c r="O2419" s="16"/>
      <c r="Q2419" s="16"/>
    </row>
    <row r="2420" spans="1:17" x14ac:dyDescent="0.3">
      <c r="A2420" s="5"/>
      <c r="B2420" s="6"/>
      <c r="C2420" s="7"/>
      <c r="D2420" s="8"/>
      <c r="E2420" s="8"/>
      <c r="F2420" s="10"/>
      <c r="G2420" s="10"/>
      <c r="H2420" s="10"/>
      <c r="I2420" s="7"/>
      <c r="J2420" s="12"/>
      <c r="K2420" s="13"/>
      <c r="L2420" s="14"/>
      <c r="M2420" s="15"/>
      <c r="N2420" s="15"/>
      <c r="O2420" s="16"/>
      <c r="Q2420" s="16"/>
    </row>
    <row r="2421" spans="1:17" x14ac:dyDescent="0.3">
      <c r="A2421" s="5"/>
      <c r="B2421" s="6"/>
      <c r="C2421" s="7"/>
      <c r="D2421" s="8"/>
      <c r="E2421" s="8"/>
      <c r="F2421" s="10"/>
      <c r="G2421" s="10"/>
      <c r="H2421" s="10"/>
      <c r="I2421" s="7"/>
      <c r="J2421" s="12"/>
      <c r="K2421" s="13"/>
      <c r="L2421" s="14"/>
      <c r="M2421" s="15"/>
      <c r="N2421" s="15"/>
      <c r="O2421" s="16"/>
      <c r="Q2421" s="16"/>
    </row>
    <row r="2422" spans="1:17" x14ac:dyDescent="0.3">
      <c r="A2422" s="5"/>
      <c r="B2422" s="6"/>
      <c r="C2422" s="7"/>
      <c r="D2422" s="8"/>
      <c r="E2422" s="8"/>
      <c r="F2422" s="10"/>
      <c r="G2422" s="10"/>
      <c r="H2422" s="10"/>
      <c r="I2422" s="7"/>
      <c r="J2422" s="12"/>
      <c r="K2422" s="13"/>
      <c r="L2422" s="14"/>
      <c r="M2422" s="15"/>
      <c r="N2422" s="15"/>
      <c r="O2422" s="16"/>
      <c r="Q2422" s="16"/>
    </row>
    <row r="2423" spans="1:17" x14ac:dyDescent="0.3">
      <c r="A2423" s="5"/>
      <c r="B2423" s="6"/>
      <c r="C2423" s="7"/>
      <c r="D2423" s="8"/>
      <c r="E2423" s="8"/>
      <c r="F2423" s="10"/>
      <c r="G2423" s="10"/>
      <c r="H2423" s="10"/>
      <c r="I2423" s="7"/>
      <c r="J2423" s="12"/>
      <c r="K2423" s="13"/>
      <c r="L2423" s="14"/>
      <c r="M2423" s="15"/>
      <c r="N2423" s="15"/>
      <c r="O2423" s="16"/>
      <c r="Q2423" s="16"/>
    </row>
    <row r="2424" spans="1:17" x14ac:dyDescent="0.3">
      <c r="A2424" s="5"/>
      <c r="B2424" s="6"/>
      <c r="C2424" s="7"/>
      <c r="D2424" s="8"/>
      <c r="E2424" s="8"/>
      <c r="F2424" s="10"/>
      <c r="G2424" s="10"/>
      <c r="H2424" s="10"/>
      <c r="I2424" s="7"/>
      <c r="J2424" s="12"/>
      <c r="K2424" s="13"/>
      <c r="L2424" s="14"/>
      <c r="M2424" s="15"/>
      <c r="N2424" s="15"/>
      <c r="O2424" s="16"/>
      <c r="Q2424" s="16"/>
    </row>
    <row r="2425" spans="1:17" x14ac:dyDescent="0.3">
      <c r="A2425" s="5"/>
      <c r="B2425" s="6"/>
      <c r="C2425" s="7"/>
      <c r="D2425" s="8"/>
      <c r="E2425" s="8"/>
      <c r="F2425" s="10"/>
      <c r="G2425" s="10"/>
      <c r="H2425" s="10"/>
      <c r="I2425" s="7"/>
      <c r="J2425" s="12"/>
      <c r="K2425" s="13"/>
      <c r="L2425" s="14"/>
      <c r="M2425" s="15"/>
      <c r="N2425" s="15"/>
      <c r="O2425" s="16"/>
      <c r="Q2425" s="16"/>
    </row>
    <row r="2426" spans="1:17" x14ac:dyDescent="0.3">
      <c r="A2426" s="5"/>
      <c r="B2426" s="6"/>
      <c r="C2426" s="7"/>
      <c r="D2426" s="8"/>
      <c r="E2426" s="8"/>
      <c r="F2426" s="10"/>
      <c r="G2426" s="10"/>
      <c r="H2426" s="10"/>
      <c r="I2426" s="7"/>
      <c r="J2426" s="12"/>
      <c r="K2426" s="13"/>
      <c r="L2426" s="14"/>
      <c r="M2426" s="15"/>
      <c r="N2426" s="15"/>
      <c r="O2426" s="16"/>
      <c r="Q2426" s="16"/>
    </row>
    <row r="2427" spans="1:17" x14ac:dyDescent="0.3">
      <c r="A2427" s="5"/>
      <c r="B2427" s="6"/>
      <c r="C2427" s="7"/>
      <c r="D2427" s="8"/>
      <c r="E2427" s="8"/>
      <c r="F2427" s="10"/>
      <c r="G2427" s="10"/>
      <c r="H2427" s="10"/>
      <c r="I2427" s="7"/>
      <c r="J2427" s="12"/>
      <c r="K2427" s="13"/>
      <c r="L2427" s="14"/>
      <c r="M2427" s="15"/>
      <c r="N2427" s="15"/>
      <c r="O2427" s="16"/>
      <c r="Q2427" s="16"/>
    </row>
    <row r="2428" spans="1:17" x14ac:dyDescent="0.3">
      <c r="A2428" s="5"/>
      <c r="B2428" s="6"/>
      <c r="C2428" s="7"/>
      <c r="D2428" s="8"/>
      <c r="E2428" s="8"/>
      <c r="F2428" s="10"/>
      <c r="G2428" s="10"/>
      <c r="H2428" s="10"/>
      <c r="I2428" s="7"/>
      <c r="J2428" s="12"/>
      <c r="K2428" s="13"/>
      <c r="L2428" s="14"/>
      <c r="M2428" s="15"/>
      <c r="N2428" s="15"/>
      <c r="O2428" s="16"/>
      <c r="Q2428" s="16"/>
    </row>
    <row r="2429" spans="1:17" x14ac:dyDescent="0.3">
      <c r="A2429" s="5"/>
      <c r="B2429" s="6"/>
      <c r="C2429" s="7"/>
      <c r="D2429" s="8"/>
      <c r="E2429" s="8"/>
      <c r="F2429" s="10"/>
      <c r="G2429" s="10"/>
      <c r="H2429" s="10"/>
      <c r="I2429" s="7"/>
      <c r="J2429" s="12"/>
      <c r="K2429" s="13"/>
      <c r="L2429" s="14"/>
      <c r="M2429" s="15"/>
      <c r="N2429" s="15"/>
      <c r="O2429" s="16"/>
      <c r="Q2429" s="16"/>
    </row>
    <row r="2430" spans="1:17" x14ac:dyDescent="0.3">
      <c r="A2430" s="5"/>
      <c r="B2430" s="6"/>
      <c r="C2430" s="7"/>
      <c r="D2430" s="8"/>
      <c r="E2430" s="8"/>
      <c r="F2430" s="10"/>
      <c r="G2430" s="10"/>
      <c r="H2430" s="10"/>
      <c r="I2430" s="7"/>
      <c r="J2430" s="12"/>
      <c r="K2430" s="13"/>
      <c r="L2430" s="14"/>
      <c r="M2430" s="15"/>
      <c r="N2430" s="15"/>
      <c r="O2430" s="16"/>
      <c r="Q2430" s="16"/>
    </row>
    <row r="2431" spans="1:17" x14ac:dyDescent="0.3">
      <c r="A2431" s="5"/>
      <c r="B2431" s="6"/>
      <c r="C2431" s="7"/>
      <c r="D2431" s="8"/>
      <c r="E2431" s="8"/>
      <c r="F2431" s="10"/>
      <c r="G2431" s="10"/>
      <c r="H2431" s="10"/>
      <c r="I2431" s="7"/>
      <c r="J2431" s="12"/>
      <c r="K2431" s="13"/>
      <c r="L2431" s="14"/>
      <c r="M2431" s="15"/>
      <c r="N2431" s="15"/>
      <c r="O2431" s="16"/>
      <c r="Q2431" s="16"/>
    </row>
    <row r="2432" spans="1:17" x14ac:dyDescent="0.3">
      <c r="A2432" s="5"/>
      <c r="B2432" s="6"/>
      <c r="C2432" s="7"/>
      <c r="D2432" s="8"/>
      <c r="E2432" s="8"/>
      <c r="F2432" s="10"/>
      <c r="G2432" s="10"/>
      <c r="H2432" s="10"/>
      <c r="I2432" s="7"/>
      <c r="J2432" s="12"/>
      <c r="K2432" s="13"/>
      <c r="L2432" s="14"/>
      <c r="M2432" s="15"/>
      <c r="N2432" s="15"/>
      <c r="O2432" s="16"/>
      <c r="Q2432" s="16"/>
    </row>
    <row r="2433" spans="1:17" x14ac:dyDescent="0.3">
      <c r="A2433" s="5"/>
      <c r="B2433" s="6"/>
      <c r="C2433" s="7"/>
      <c r="D2433" s="8"/>
      <c r="E2433" s="8"/>
      <c r="F2433" s="10"/>
      <c r="G2433" s="10"/>
      <c r="H2433" s="10"/>
      <c r="I2433" s="7"/>
      <c r="J2433" s="12"/>
      <c r="K2433" s="13"/>
      <c r="L2433" s="14"/>
      <c r="M2433" s="15"/>
      <c r="N2433" s="15"/>
      <c r="O2433" s="16"/>
      <c r="Q2433" s="16"/>
    </row>
    <row r="2434" spans="1:17" x14ac:dyDescent="0.3">
      <c r="A2434" s="5"/>
      <c r="B2434" s="6"/>
      <c r="C2434" s="7"/>
      <c r="D2434" s="8"/>
      <c r="E2434" s="8"/>
      <c r="F2434" s="10"/>
      <c r="G2434" s="10"/>
      <c r="H2434" s="10"/>
      <c r="I2434" s="7"/>
      <c r="J2434" s="12"/>
      <c r="K2434" s="13"/>
      <c r="L2434" s="14"/>
      <c r="M2434" s="15"/>
      <c r="N2434" s="15"/>
      <c r="O2434" s="16"/>
      <c r="Q2434" s="16"/>
    </row>
    <row r="2435" spans="1:17" x14ac:dyDescent="0.3">
      <c r="A2435" s="5"/>
      <c r="B2435" s="6"/>
      <c r="C2435" s="7"/>
      <c r="D2435" s="8"/>
      <c r="E2435" s="8"/>
      <c r="F2435" s="10"/>
      <c r="G2435" s="10"/>
      <c r="H2435" s="10"/>
      <c r="I2435" s="7"/>
      <c r="J2435" s="12"/>
      <c r="K2435" s="13"/>
      <c r="L2435" s="14"/>
      <c r="M2435" s="15"/>
      <c r="N2435" s="15"/>
      <c r="O2435" s="16"/>
      <c r="Q2435" s="16"/>
    </row>
    <row r="2436" spans="1:17" x14ac:dyDescent="0.3">
      <c r="A2436" s="5"/>
      <c r="B2436" s="6"/>
      <c r="C2436" s="7"/>
      <c r="D2436" s="8"/>
      <c r="E2436" s="8"/>
      <c r="F2436" s="10"/>
      <c r="G2436" s="10"/>
      <c r="H2436" s="10"/>
      <c r="I2436" s="7"/>
      <c r="J2436" s="12"/>
      <c r="K2436" s="13"/>
      <c r="L2436" s="14"/>
      <c r="M2436" s="15"/>
      <c r="N2436" s="15"/>
      <c r="O2436" s="16"/>
      <c r="Q2436" s="16"/>
    </row>
    <row r="2437" spans="1:17" x14ac:dyDescent="0.3">
      <c r="A2437" s="5"/>
      <c r="B2437" s="6"/>
      <c r="C2437" s="7"/>
      <c r="D2437" s="8"/>
      <c r="E2437" s="8"/>
      <c r="F2437" s="10"/>
      <c r="G2437" s="10"/>
      <c r="H2437" s="10"/>
      <c r="I2437" s="7"/>
      <c r="J2437" s="12"/>
      <c r="K2437" s="13"/>
      <c r="L2437" s="14"/>
      <c r="M2437" s="15"/>
      <c r="N2437" s="15"/>
      <c r="O2437" s="16"/>
      <c r="Q2437" s="16"/>
    </row>
    <row r="2438" spans="1:17" x14ac:dyDescent="0.3">
      <c r="A2438" s="5"/>
      <c r="B2438" s="6"/>
      <c r="C2438" s="7"/>
      <c r="D2438" s="8"/>
      <c r="E2438" s="8"/>
      <c r="F2438" s="10"/>
      <c r="G2438" s="10"/>
      <c r="H2438" s="10"/>
      <c r="I2438" s="7"/>
      <c r="J2438" s="12"/>
      <c r="K2438" s="13"/>
      <c r="L2438" s="14"/>
      <c r="M2438" s="15"/>
      <c r="N2438" s="15"/>
      <c r="O2438" s="16"/>
      <c r="Q2438" s="16"/>
    </row>
    <row r="2439" spans="1:17" x14ac:dyDescent="0.3">
      <c r="A2439" s="5"/>
      <c r="B2439" s="6"/>
      <c r="C2439" s="7"/>
      <c r="D2439" s="8"/>
      <c r="E2439" s="8"/>
      <c r="F2439" s="10"/>
      <c r="G2439" s="10"/>
      <c r="H2439" s="10"/>
      <c r="I2439" s="7"/>
      <c r="J2439" s="12"/>
      <c r="K2439" s="13"/>
      <c r="L2439" s="14"/>
      <c r="M2439" s="15"/>
      <c r="N2439" s="15"/>
      <c r="O2439" s="16"/>
      <c r="Q2439" s="16"/>
    </row>
    <row r="2440" spans="1:17" x14ac:dyDescent="0.3">
      <c r="A2440" s="5"/>
      <c r="B2440" s="6"/>
      <c r="C2440" s="7"/>
      <c r="D2440" s="8"/>
      <c r="E2440" s="8"/>
      <c r="F2440" s="10"/>
      <c r="G2440" s="10"/>
      <c r="H2440" s="10"/>
      <c r="I2440" s="7"/>
      <c r="J2440" s="12"/>
      <c r="K2440" s="13"/>
      <c r="L2440" s="14"/>
      <c r="M2440" s="15"/>
      <c r="N2440" s="15"/>
      <c r="O2440" s="16"/>
      <c r="Q2440" s="16"/>
    </row>
    <row r="2441" spans="1:17" x14ac:dyDescent="0.3">
      <c r="A2441" s="5"/>
      <c r="B2441" s="6"/>
      <c r="C2441" s="7"/>
      <c r="D2441" s="8"/>
      <c r="E2441" s="8"/>
      <c r="F2441" s="10"/>
      <c r="G2441" s="10"/>
      <c r="H2441" s="10"/>
      <c r="I2441" s="7"/>
      <c r="J2441" s="12"/>
      <c r="K2441" s="13"/>
      <c r="L2441" s="14"/>
      <c r="M2441" s="15"/>
      <c r="N2441" s="15"/>
      <c r="O2441" s="16"/>
      <c r="Q2441" s="16"/>
    </row>
    <row r="2442" spans="1:17" x14ac:dyDescent="0.3">
      <c r="A2442" s="5"/>
      <c r="B2442" s="6"/>
      <c r="C2442" s="7"/>
      <c r="D2442" s="8"/>
      <c r="E2442" s="8"/>
      <c r="F2442" s="10"/>
      <c r="G2442" s="10"/>
      <c r="H2442" s="10"/>
      <c r="I2442" s="7"/>
      <c r="J2442" s="12"/>
      <c r="K2442" s="13"/>
      <c r="L2442" s="14"/>
      <c r="M2442" s="15"/>
      <c r="N2442" s="15"/>
      <c r="O2442" s="16"/>
      <c r="Q2442" s="16"/>
    </row>
    <row r="2443" spans="1:17" x14ac:dyDescent="0.3">
      <c r="A2443" s="5"/>
      <c r="B2443" s="6"/>
      <c r="C2443" s="7"/>
      <c r="D2443" s="8"/>
      <c r="E2443" s="8"/>
      <c r="F2443" s="10"/>
      <c r="G2443" s="10"/>
      <c r="H2443" s="10"/>
      <c r="I2443" s="7"/>
      <c r="J2443" s="12"/>
      <c r="K2443" s="13"/>
      <c r="L2443" s="14"/>
      <c r="M2443" s="15"/>
      <c r="N2443" s="15"/>
      <c r="O2443" s="16"/>
      <c r="Q2443" s="16"/>
    </row>
    <row r="2444" spans="1:17" x14ac:dyDescent="0.3">
      <c r="A2444" s="5"/>
      <c r="B2444" s="6"/>
      <c r="C2444" s="7"/>
      <c r="D2444" s="8"/>
      <c r="E2444" s="8"/>
      <c r="F2444" s="10"/>
      <c r="G2444" s="10"/>
      <c r="H2444" s="10"/>
      <c r="I2444" s="7"/>
      <c r="J2444" s="12"/>
      <c r="K2444" s="13"/>
      <c r="L2444" s="14"/>
      <c r="M2444" s="15"/>
      <c r="N2444" s="15"/>
      <c r="O2444" s="16"/>
      <c r="Q2444" s="16"/>
    </row>
    <row r="2445" spans="1:17" x14ac:dyDescent="0.3">
      <c r="A2445" s="5"/>
      <c r="B2445" s="6"/>
      <c r="C2445" s="7"/>
      <c r="D2445" s="8"/>
      <c r="E2445" s="8"/>
      <c r="F2445" s="10"/>
      <c r="G2445" s="10"/>
      <c r="H2445" s="10"/>
      <c r="I2445" s="7"/>
      <c r="J2445" s="12"/>
      <c r="K2445" s="13"/>
      <c r="L2445" s="14"/>
      <c r="M2445" s="15"/>
      <c r="N2445" s="15"/>
      <c r="O2445" s="16"/>
      <c r="Q2445" s="16"/>
    </row>
    <row r="2446" spans="1:17" x14ac:dyDescent="0.3">
      <c r="A2446" s="5"/>
      <c r="B2446" s="6"/>
      <c r="C2446" s="7"/>
      <c r="D2446" s="8"/>
      <c r="E2446" s="8"/>
      <c r="F2446" s="10"/>
      <c r="G2446" s="10"/>
      <c r="H2446" s="10"/>
      <c r="I2446" s="7"/>
      <c r="J2446" s="12"/>
      <c r="K2446" s="13"/>
      <c r="L2446" s="14"/>
      <c r="M2446" s="15"/>
      <c r="N2446" s="15"/>
      <c r="O2446" s="16"/>
      <c r="Q2446" s="16"/>
    </row>
    <row r="2447" spans="1:17" x14ac:dyDescent="0.3">
      <c r="A2447" s="5"/>
      <c r="B2447" s="6"/>
      <c r="C2447" s="7"/>
      <c r="D2447" s="8"/>
      <c r="E2447" s="8"/>
      <c r="F2447" s="10"/>
      <c r="G2447" s="10"/>
      <c r="H2447" s="10"/>
      <c r="I2447" s="7"/>
      <c r="J2447" s="12"/>
      <c r="K2447" s="13"/>
      <c r="L2447" s="14"/>
      <c r="M2447" s="15"/>
      <c r="N2447" s="15"/>
      <c r="O2447" s="16"/>
      <c r="Q2447" s="16"/>
    </row>
    <row r="2448" spans="1:17" x14ac:dyDescent="0.3">
      <c r="A2448" s="5"/>
      <c r="B2448" s="6"/>
      <c r="C2448" s="7"/>
      <c r="D2448" s="8"/>
      <c r="E2448" s="8"/>
      <c r="F2448" s="10"/>
      <c r="G2448" s="10"/>
      <c r="H2448" s="10"/>
      <c r="I2448" s="7"/>
      <c r="J2448" s="12"/>
      <c r="K2448" s="13"/>
      <c r="L2448" s="14"/>
      <c r="M2448" s="15"/>
      <c r="N2448" s="15"/>
      <c r="O2448" s="16"/>
      <c r="Q2448" s="16"/>
    </row>
    <row r="2449" spans="1:17" x14ac:dyDescent="0.3">
      <c r="A2449" s="5"/>
      <c r="B2449" s="6"/>
      <c r="C2449" s="7"/>
      <c r="D2449" s="8"/>
      <c r="E2449" s="8"/>
      <c r="F2449" s="10"/>
      <c r="G2449" s="10"/>
      <c r="H2449" s="10"/>
      <c r="I2449" s="7"/>
      <c r="J2449" s="12"/>
      <c r="K2449" s="13"/>
      <c r="L2449" s="14"/>
      <c r="M2449" s="15"/>
      <c r="N2449" s="15"/>
      <c r="O2449" s="16"/>
      <c r="Q2449" s="16"/>
    </row>
    <row r="2450" spans="1:17" x14ac:dyDescent="0.3">
      <c r="A2450" s="5"/>
      <c r="B2450" s="6"/>
      <c r="C2450" s="7"/>
      <c r="D2450" s="8"/>
      <c r="E2450" s="8"/>
      <c r="F2450" s="10"/>
      <c r="G2450" s="10"/>
      <c r="H2450" s="10"/>
      <c r="I2450" s="7"/>
      <c r="J2450" s="12"/>
      <c r="K2450" s="13"/>
      <c r="L2450" s="14"/>
      <c r="M2450" s="15"/>
      <c r="N2450" s="15"/>
      <c r="O2450" s="16"/>
      <c r="Q2450" s="16"/>
    </row>
    <row r="2451" spans="1:17" x14ac:dyDescent="0.3">
      <c r="A2451" s="5"/>
      <c r="B2451" s="6"/>
      <c r="C2451" s="7"/>
      <c r="D2451" s="8"/>
      <c r="E2451" s="8"/>
      <c r="F2451" s="10"/>
      <c r="G2451" s="10"/>
      <c r="H2451" s="10"/>
      <c r="I2451" s="7"/>
      <c r="J2451" s="12"/>
      <c r="K2451" s="13"/>
      <c r="L2451" s="14"/>
      <c r="M2451" s="15"/>
      <c r="N2451" s="15"/>
      <c r="O2451" s="16"/>
      <c r="Q2451" s="16"/>
    </row>
    <row r="2452" spans="1:17" x14ac:dyDescent="0.3">
      <c r="A2452" s="5"/>
      <c r="B2452" s="6"/>
      <c r="C2452" s="7"/>
      <c r="D2452" s="8"/>
      <c r="E2452" s="8"/>
      <c r="F2452" s="10"/>
      <c r="G2452" s="10"/>
      <c r="H2452" s="10"/>
      <c r="I2452" s="7"/>
      <c r="J2452" s="12"/>
      <c r="K2452" s="13"/>
      <c r="L2452" s="14"/>
      <c r="M2452" s="15"/>
      <c r="N2452" s="15"/>
      <c r="O2452" s="16"/>
      <c r="Q2452" s="16"/>
    </row>
    <row r="2453" spans="1:17" x14ac:dyDescent="0.3">
      <c r="A2453" s="5"/>
      <c r="B2453" s="6"/>
      <c r="C2453" s="7"/>
      <c r="D2453" s="8"/>
      <c r="E2453" s="8"/>
      <c r="F2453" s="10"/>
      <c r="G2453" s="10"/>
      <c r="H2453" s="10"/>
      <c r="I2453" s="7"/>
      <c r="J2453" s="12"/>
      <c r="K2453" s="13"/>
      <c r="L2453" s="14"/>
      <c r="M2453" s="15"/>
      <c r="N2453" s="15"/>
      <c r="O2453" s="16"/>
      <c r="Q2453" s="16"/>
    </row>
    <row r="2454" spans="1:17" x14ac:dyDescent="0.3">
      <c r="A2454" s="5"/>
      <c r="B2454" s="6"/>
      <c r="C2454" s="7"/>
      <c r="D2454" s="8"/>
      <c r="E2454" s="8"/>
      <c r="F2454" s="10"/>
      <c r="G2454" s="10"/>
      <c r="H2454" s="10"/>
      <c r="I2454" s="7"/>
      <c r="J2454" s="12"/>
      <c r="K2454" s="13"/>
      <c r="L2454" s="14"/>
      <c r="M2454" s="15"/>
      <c r="N2454" s="15"/>
      <c r="O2454" s="16"/>
      <c r="Q2454" s="16"/>
    </row>
    <row r="2455" spans="1:17" x14ac:dyDescent="0.3">
      <c r="A2455" s="5"/>
      <c r="B2455" s="6"/>
      <c r="C2455" s="7"/>
      <c r="D2455" s="8"/>
      <c r="E2455" s="8"/>
      <c r="F2455" s="10"/>
      <c r="G2455" s="10"/>
      <c r="H2455" s="10"/>
      <c r="I2455" s="7"/>
      <c r="J2455" s="12"/>
      <c r="K2455" s="13"/>
      <c r="L2455" s="14"/>
      <c r="M2455" s="15"/>
      <c r="N2455" s="15"/>
      <c r="O2455" s="16"/>
      <c r="Q2455" s="16"/>
    </row>
    <row r="2456" spans="1:17" x14ac:dyDescent="0.3">
      <c r="A2456" s="5"/>
      <c r="B2456" s="6"/>
      <c r="C2456" s="7"/>
      <c r="D2456" s="8"/>
      <c r="E2456" s="8"/>
      <c r="F2456" s="10"/>
      <c r="G2456" s="10"/>
      <c r="H2456" s="10"/>
      <c r="I2456" s="7"/>
      <c r="J2456" s="12"/>
      <c r="K2456" s="13"/>
      <c r="L2456" s="14"/>
      <c r="M2456" s="15"/>
      <c r="N2456" s="15"/>
      <c r="O2456" s="16"/>
      <c r="Q2456" s="16"/>
    </row>
    <row r="2457" spans="1:17" x14ac:dyDescent="0.3">
      <c r="A2457" s="5"/>
      <c r="B2457" s="6"/>
      <c r="C2457" s="7"/>
      <c r="D2457" s="8"/>
      <c r="E2457" s="8"/>
      <c r="F2457" s="10"/>
      <c r="G2457" s="10"/>
      <c r="H2457" s="10"/>
      <c r="I2457" s="7"/>
      <c r="J2457" s="12"/>
      <c r="K2457" s="13"/>
      <c r="L2457" s="14"/>
      <c r="M2457" s="15"/>
      <c r="N2457" s="15"/>
      <c r="O2457" s="16"/>
      <c r="Q2457" s="16"/>
    </row>
    <row r="2458" spans="1:17" x14ac:dyDescent="0.3">
      <c r="A2458" s="5"/>
      <c r="B2458" s="6"/>
      <c r="C2458" s="7"/>
      <c r="D2458" s="8"/>
      <c r="E2458" s="8"/>
      <c r="F2458" s="10"/>
      <c r="G2458" s="10"/>
      <c r="H2458" s="10"/>
      <c r="I2458" s="7"/>
      <c r="J2458" s="12"/>
      <c r="K2458" s="13"/>
      <c r="L2458" s="14"/>
      <c r="M2458" s="15"/>
      <c r="N2458" s="15"/>
      <c r="O2458" s="16"/>
      <c r="Q2458" s="16"/>
    </row>
    <row r="2459" spans="1:17" x14ac:dyDescent="0.3">
      <c r="A2459" s="5"/>
      <c r="B2459" s="6"/>
      <c r="C2459" s="7"/>
      <c r="D2459" s="8"/>
      <c r="E2459" s="8"/>
      <c r="F2459" s="10"/>
      <c r="G2459" s="10"/>
      <c r="H2459" s="10"/>
      <c r="I2459" s="7"/>
      <c r="J2459" s="12"/>
      <c r="K2459" s="13"/>
      <c r="L2459" s="14"/>
      <c r="M2459" s="15"/>
      <c r="N2459" s="15"/>
      <c r="O2459" s="16"/>
      <c r="Q2459" s="16"/>
    </row>
    <row r="2460" spans="1:17" x14ac:dyDescent="0.3">
      <c r="A2460" s="5"/>
      <c r="B2460" s="6"/>
      <c r="C2460" s="7"/>
      <c r="D2460" s="8"/>
      <c r="E2460" s="8"/>
      <c r="F2460" s="10"/>
      <c r="G2460" s="10"/>
      <c r="H2460" s="10"/>
      <c r="I2460" s="7"/>
      <c r="J2460" s="12"/>
      <c r="K2460" s="13"/>
      <c r="L2460" s="14"/>
      <c r="M2460" s="15"/>
      <c r="N2460" s="15"/>
      <c r="O2460" s="16"/>
      <c r="Q2460" s="16"/>
    </row>
    <row r="2461" spans="1:17" x14ac:dyDescent="0.3">
      <c r="A2461" s="5"/>
      <c r="B2461" s="6"/>
      <c r="C2461" s="7"/>
      <c r="D2461" s="8"/>
      <c r="E2461" s="8"/>
      <c r="F2461" s="10"/>
      <c r="G2461" s="10"/>
      <c r="H2461" s="10"/>
      <c r="I2461" s="7"/>
      <c r="J2461" s="12"/>
      <c r="K2461" s="13"/>
      <c r="L2461" s="14"/>
      <c r="M2461" s="15"/>
      <c r="N2461" s="15"/>
      <c r="O2461" s="16"/>
      <c r="Q2461" s="16"/>
    </row>
    <row r="2462" spans="1:17" x14ac:dyDescent="0.3">
      <c r="A2462" s="5"/>
      <c r="B2462" s="6"/>
      <c r="C2462" s="7"/>
      <c r="D2462" s="8"/>
      <c r="E2462" s="8"/>
      <c r="F2462" s="10"/>
      <c r="G2462" s="10"/>
      <c r="H2462" s="10"/>
      <c r="I2462" s="7"/>
      <c r="J2462" s="12"/>
      <c r="K2462" s="13"/>
      <c r="L2462" s="14"/>
      <c r="M2462" s="15"/>
      <c r="N2462" s="15"/>
      <c r="O2462" s="16"/>
      <c r="Q2462" s="16"/>
    </row>
    <row r="2463" spans="1:17" x14ac:dyDescent="0.3">
      <c r="A2463" s="5"/>
      <c r="B2463" s="6"/>
      <c r="C2463" s="7"/>
      <c r="D2463" s="8"/>
      <c r="E2463" s="8"/>
      <c r="F2463" s="10"/>
      <c r="G2463" s="10"/>
      <c r="H2463" s="10"/>
      <c r="I2463" s="7"/>
      <c r="J2463" s="12"/>
      <c r="K2463" s="13"/>
      <c r="L2463" s="14"/>
      <c r="M2463" s="15"/>
      <c r="N2463" s="15"/>
      <c r="O2463" s="16"/>
      <c r="Q2463" s="16"/>
    </row>
    <row r="2464" spans="1:17" x14ac:dyDescent="0.3">
      <c r="A2464" s="5"/>
      <c r="B2464" s="6"/>
      <c r="C2464" s="7"/>
      <c r="D2464" s="8"/>
      <c r="E2464" s="8"/>
      <c r="F2464" s="10"/>
      <c r="G2464" s="10"/>
      <c r="H2464" s="10"/>
      <c r="I2464" s="7"/>
      <c r="J2464" s="12"/>
      <c r="K2464" s="13"/>
      <c r="L2464" s="14"/>
      <c r="M2464" s="15"/>
      <c r="N2464" s="15"/>
      <c r="O2464" s="16"/>
      <c r="Q2464" s="16"/>
    </row>
    <row r="2465" spans="1:17" x14ac:dyDescent="0.3">
      <c r="A2465" s="5"/>
      <c r="B2465" s="6"/>
      <c r="C2465" s="7"/>
      <c r="D2465" s="8"/>
      <c r="E2465" s="8"/>
      <c r="F2465" s="10"/>
      <c r="G2465" s="10"/>
      <c r="H2465" s="10"/>
      <c r="I2465" s="7"/>
      <c r="J2465" s="12"/>
      <c r="K2465" s="13"/>
      <c r="L2465" s="14"/>
      <c r="M2465" s="15"/>
      <c r="N2465" s="15"/>
      <c r="O2465" s="16"/>
      <c r="Q2465" s="16"/>
    </row>
    <row r="2466" spans="1:17" x14ac:dyDescent="0.3">
      <c r="A2466" s="5"/>
      <c r="B2466" s="6"/>
      <c r="C2466" s="7"/>
      <c r="D2466" s="8"/>
      <c r="E2466" s="8"/>
      <c r="F2466" s="10"/>
      <c r="G2466" s="10"/>
      <c r="H2466" s="10"/>
      <c r="I2466" s="7"/>
      <c r="J2466" s="12"/>
      <c r="K2466" s="13"/>
      <c r="L2466" s="14"/>
      <c r="M2466" s="15"/>
      <c r="N2466" s="15"/>
      <c r="O2466" s="16"/>
      <c r="Q2466" s="16"/>
    </row>
    <row r="2467" spans="1:17" x14ac:dyDescent="0.3">
      <c r="A2467" s="5"/>
      <c r="B2467" s="6"/>
      <c r="C2467" s="7"/>
      <c r="D2467" s="8"/>
      <c r="E2467" s="8"/>
      <c r="F2467" s="10"/>
      <c r="G2467" s="10"/>
      <c r="H2467" s="10"/>
      <c r="I2467" s="7"/>
      <c r="J2467" s="12"/>
      <c r="K2467" s="13"/>
      <c r="L2467" s="14"/>
      <c r="M2467" s="15"/>
      <c r="N2467" s="15"/>
      <c r="O2467" s="16"/>
      <c r="Q2467" s="16"/>
    </row>
    <row r="2468" spans="1:17" x14ac:dyDescent="0.3">
      <c r="A2468" s="5"/>
      <c r="B2468" s="6"/>
      <c r="C2468" s="7"/>
      <c r="D2468" s="8"/>
      <c r="E2468" s="8"/>
      <c r="F2468" s="10"/>
      <c r="G2468" s="10"/>
      <c r="H2468" s="10"/>
      <c r="I2468" s="7"/>
      <c r="J2468" s="12"/>
      <c r="K2468" s="13"/>
      <c r="L2468" s="14"/>
      <c r="M2468" s="15"/>
      <c r="N2468" s="15"/>
      <c r="O2468" s="16"/>
      <c r="Q2468" s="16"/>
    </row>
    <row r="2469" spans="1:17" x14ac:dyDescent="0.3">
      <c r="A2469" s="5"/>
      <c r="B2469" s="6"/>
      <c r="C2469" s="7"/>
      <c r="D2469" s="8"/>
      <c r="E2469" s="8"/>
      <c r="F2469" s="10"/>
      <c r="G2469" s="10"/>
      <c r="H2469" s="10"/>
      <c r="I2469" s="7"/>
      <c r="J2469" s="12"/>
      <c r="K2469" s="13"/>
      <c r="L2469" s="14"/>
      <c r="M2469" s="15"/>
      <c r="N2469" s="15"/>
      <c r="O2469" s="16"/>
      <c r="Q2469" s="16"/>
    </row>
    <row r="2470" spans="1:17" x14ac:dyDescent="0.3">
      <c r="A2470" s="5"/>
      <c r="B2470" s="6"/>
      <c r="C2470" s="7"/>
      <c r="D2470" s="8"/>
      <c r="E2470" s="8"/>
      <c r="F2470" s="10"/>
      <c r="G2470" s="10"/>
      <c r="H2470" s="10"/>
      <c r="I2470" s="7"/>
      <c r="J2470" s="12"/>
      <c r="K2470" s="13"/>
      <c r="L2470" s="14"/>
      <c r="M2470" s="15"/>
      <c r="N2470" s="15"/>
      <c r="O2470" s="16"/>
      <c r="Q2470" s="16"/>
    </row>
    <row r="2471" spans="1:17" x14ac:dyDescent="0.3">
      <c r="A2471" s="5"/>
      <c r="B2471" s="6"/>
      <c r="C2471" s="7"/>
      <c r="D2471" s="8"/>
      <c r="E2471" s="8"/>
      <c r="F2471" s="10"/>
      <c r="G2471" s="10"/>
      <c r="H2471" s="10"/>
      <c r="I2471" s="7"/>
      <c r="J2471" s="12"/>
      <c r="K2471" s="13"/>
      <c r="L2471" s="14"/>
      <c r="M2471" s="15"/>
      <c r="N2471" s="15"/>
      <c r="O2471" s="16"/>
      <c r="Q2471" s="16"/>
    </row>
    <row r="2472" spans="1:17" x14ac:dyDescent="0.3">
      <c r="A2472" s="5"/>
      <c r="B2472" s="6"/>
      <c r="C2472" s="7"/>
      <c r="D2472" s="8"/>
      <c r="E2472" s="8"/>
      <c r="F2472" s="10"/>
      <c r="G2472" s="10"/>
      <c r="H2472" s="10"/>
      <c r="I2472" s="7"/>
      <c r="J2472" s="12"/>
      <c r="K2472" s="13"/>
      <c r="L2472" s="14"/>
      <c r="M2472" s="15"/>
      <c r="N2472" s="15"/>
      <c r="O2472" s="16"/>
      <c r="Q2472" s="16"/>
    </row>
    <row r="2473" spans="1:17" x14ac:dyDescent="0.3">
      <c r="A2473" s="5"/>
      <c r="B2473" s="6"/>
      <c r="C2473" s="7"/>
      <c r="D2473" s="8"/>
      <c r="E2473" s="8"/>
      <c r="F2473" s="10"/>
      <c r="G2473" s="10"/>
      <c r="H2473" s="10"/>
      <c r="I2473" s="7"/>
      <c r="J2473" s="12"/>
      <c r="K2473" s="13"/>
      <c r="L2473" s="14"/>
      <c r="M2473" s="15"/>
      <c r="N2473" s="15"/>
      <c r="O2473" s="16"/>
      <c r="Q2473" s="16"/>
    </row>
    <row r="2474" spans="1:17" x14ac:dyDescent="0.3">
      <c r="A2474" s="5"/>
      <c r="B2474" s="6"/>
      <c r="C2474" s="7"/>
      <c r="D2474" s="8"/>
      <c r="E2474" s="8"/>
      <c r="F2474" s="10"/>
      <c r="G2474" s="10"/>
      <c r="H2474" s="10"/>
      <c r="I2474" s="7"/>
      <c r="J2474" s="12"/>
      <c r="K2474" s="13"/>
      <c r="L2474" s="14"/>
      <c r="M2474" s="15"/>
      <c r="N2474" s="15"/>
      <c r="O2474" s="16"/>
      <c r="Q2474" s="16"/>
    </row>
    <row r="2475" spans="1:17" x14ac:dyDescent="0.3">
      <c r="A2475" s="5"/>
      <c r="B2475" s="6"/>
      <c r="C2475" s="7"/>
      <c r="D2475" s="8"/>
      <c r="E2475" s="8"/>
      <c r="F2475" s="10"/>
      <c r="G2475" s="10"/>
      <c r="H2475" s="10"/>
      <c r="I2475" s="7"/>
      <c r="J2475" s="12"/>
      <c r="K2475" s="13"/>
      <c r="L2475" s="14"/>
      <c r="M2475" s="15"/>
      <c r="N2475" s="15"/>
      <c r="O2475" s="16"/>
      <c r="Q2475" s="16"/>
    </row>
    <row r="2476" spans="1:17" x14ac:dyDescent="0.3">
      <c r="A2476" s="5"/>
      <c r="B2476" s="6"/>
      <c r="C2476" s="7"/>
      <c r="D2476" s="8"/>
      <c r="E2476" s="8"/>
      <c r="F2476" s="10"/>
      <c r="G2476" s="10"/>
      <c r="H2476" s="10"/>
      <c r="I2476" s="7"/>
      <c r="J2476" s="12"/>
      <c r="K2476" s="13"/>
      <c r="L2476" s="14"/>
      <c r="M2476" s="15"/>
      <c r="N2476" s="15"/>
      <c r="O2476" s="16"/>
      <c r="Q2476" s="16"/>
    </row>
    <row r="2477" spans="1:17" x14ac:dyDescent="0.3">
      <c r="A2477" s="5"/>
      <c r="B2477" s="6"/>
      <c r="C2477" s="7"/>
      <c r="D2477" s="8"/>
      <c r="E2477" s="8"/>
      <c r="F2477" s="10"/>
      <c r="G2477" s="10"/>
      <c r="H2477" s="10"/>
      <c r="I2477" s="7"/>
      <c r="J2477" s="12"/>
      <c r="K2477" s="13"/>
      <c r="L2477" s="14"/>
      <c r="M2477" s="15"/>
      <c r="N2477" s="15"/>
      <c r="O2477" s="16"/>
      <c r="Q2477" s="16"/>
    </row>
    <row r="2478" spans="1:17" x14ac:dyDescent="0.3">
      <c r="A2478" s="5"/>
      <c r="B2478" s="6"/>
      <c r="C2478" s="7"/>
      <c r="D2478" s="8"/>
      <c r="E2478" s="8"/>
      <c r="F2478" s="10"/>
      <c r="G2478" s="10"/>
      <c r="H2478" s="10"/>
      <c r="I2478" s="7"/>
      <c r="J2478" s="12"/>
      <c r="K2478" s="13"/>
      <c r="L2478" s="14"/>
      <c r="M2478" s="15"/>
      <c r="N2478" s="15"/>
      <c r="O2478" s="16"/>
      <c r="Q2478" s="16"/>
    </row>
    <row r="2479" spans="1:17" x14ac:dyDescent="0.3">
      <c r="A2479" s="5"/>
      <c r="B2479" s="6"/>
      <c r="C2479" s="7"/>
      <c r="D2479" s="8"/>
      <c r="E2479" s="8"/>
      <c r="F2479" s="10"/>
      <c r="G2479" s="10"/>
      <c r="H2479" s="10"/>
      <c r="I2479" s="7"/>
      <c r="J2479" s="12"/>
      <c r="K2479" s="13"/>
      <c r="L2479" s="14"/>
      <c r="M2479" s="15"/>
      <c r="N2479" s="15"/>
      <c r="O2479" s="16"/>
      <c r="Q2479" s="16"/>
    </row>
    <row r="2480" spans="1:17" x14ac:dyDescent="0.3">
      <c r="A2480" s="5"/>
      <c r="B2480" s="6"/>
      <c r="C2480" s="7"/>
      <c r="D2480" s="8"/>
      <c r="E2480" s="8"/>
      <c r="F2480" s="10"/>
      <c r="G2480" s="10"/>
      <c r="H2480" s="10"/>
      <c r="I2480" s="7"/>
      <c r="J2480" s="12"/>
      <c r="K2480" s="13"/>
      <c r="L2480" s="14"/>
      <c r="M2480" s="15"/>
      <c r="N2480" s="15"/>
      <c r="O2480" s="16"/>
      <c r="Q2480" s="16"/>
    </row>
    <row r="2481" spans="1:17" x14ac:dyDescent="0.3">
      <c r="A2481" s="5"/>
      <c r="B2481" s="6"/>
      <c r="C2481" s="7"/>
      <c r="D2481" s="8"/>
      <c r="E2481" s="8"/>
      <c r="F2481" s="10"/>
      <c r="G2481" s="10"/>
      <c r="H2481" s="10"/>
      <c r="I2481" s="7"/>
      <c r="J2481" s="12"/>
      <c r="K2481" s="13"/>
      <c r="L2481" s="14"/>
      <c r="M2481" s="15"/>
      <c r="N2481" s="15"/>
      <c r="O2481" s="16"/>
      <c r="Q2481" s="16"/>
    </row>
    <row r="2482" spans="1:17" x14ac:dyDescent="0.3">
      <c r="A2482" s="5"/>
      <c r="B2482" s="6"/>
      <c r="C2482" s="7"/>
      <c r="D2482" s="8"/>
      <c r="E2482" s="8"/>
      <c r="F2482" s="10"/>
      <c r="G2482" s="10"/>
      <c r="H2482" s="10"/>
      <c r="I2482" s="7"/>
      <c r="J2482" s="12"/>
      <c r="K2482" s="13"/>
      <c r="L2482" s="14"/>
      <c r="M2482" s="15"/>
      <c r="N2482" s="15"/>
      <c r="O2482" s="16"/>
      <c r="Q2482" s="16"/>
    </row>
    <row r="2483" spans="1:17" x14ac:dyDescent="0.3">
      <c r="A2483" s="5"/>
      <c r="B2483" s="6"/>
      <c r="C2483" s="7"/>
      <c r="D2483" s="8"/>
      <c r="E2483" s="8"/>
      <c r="F2483" s="10"/>
      <c r="G2483" s="10"/>
      <c r="H2483" s="10"/>
      <c r="I2483" s="7"/>
      <c r="J2483" s="12"/>
      <c r="K2483" s="13"/>
      <c r="L2483" s="14"/>
      <c r="M2483" s="15"/>
      <c r="N2483" s="15"/>
      <c r="O2483" s="16"/>
      <c r="Q2483" s="16"/>
    </row>
    <row r="2484" spans="1:17" x14ac:dyDescent="0.3">
      <c r="A2484" s="5"/>
      <c r="B2484" s="6"/>
      <c r="C2484" s="7"/>
      <c r="D2484" s="8"/>
      <c r="E2484" s="8"/>
      <c r="F2484" s="10"/>
      <c r="G2484" s="10"/>
      <c r="H2484" s="10"/>
      <c r="I2484" s="7"/>
      <c r="J2484" s="12"/>
      <c r="K2484" s="13"/>
      <c r="L2484" s="14"/>
      <c r="M2484" s="15"/>
      <c r="N2484" s="15"/>
      <c r="O2484" s="16"/>
      <c r="Q2484" s="16"/>
    </row>
    <row r="2485" spans="1:17" x14ac:dyDescent="0.3">
      <c r="A2485" s="5"/>
      <c r="B2485" s="6"/>
      <c r="C2485" s="7"/>
      <c r="D2485" s="8"/>
      <c r="E2485" s="8"/>
      <c r="F2485" s="10"/>
      <c r="G2485" s="10"/>
      <c r="H2485" s="10"/>
      <c r="I2485" s="7"/>
      <c r="J2485" s="12"/>
      <c r="K2485" s="13"/>
      <c r="L2485" s="14"/>
      <c r="M2485" s="15"/>
      <c r="N2485" s="15"/>
      <c r="O2485" s="16"/>
      <c r="Q2485" s="16"/>
    </row>
    <row r="2486" spans="1:17" x14ac:dyDescent="0.3">
      <c r="A2486" s="5"/>
      <c r="B2486" s="6"/>
      <c r="C2486" s="7"/>
      <c r="D2486" s="8"/>
      <c r="E2486" s="8"/>
      <c r="F2486" s="10"/>
      <c r="G2486" s="10"/>
      <c r="H2486" s="10"/>
      <c r="I2486" s="7"/>
      <c r="J2486" s="12"/>
      <c r="K2486" s="13"/>
      <c r="L2486" s="14"/>
      <c r="M2486" s="15"/>
      <c r="N2486" s="15"/>
      <c r="O2486" s="16"/>
      <c r="Q2486" s="16"/>
    </row>
    <row r="2487" spans="1:17" x14ac:dyDescent="0.3">
      <c r="A2487" s="5"/>
      <c r="B2487" s="6"/>
      <c r="C2487" s="7"/>
      <c r="D2487" s="8"/>
      <c r="E2487" s="8"/>
      <c r="F2487" s="10"/>
      <c r="G2487" s="10"/>
      <c r="H2487" s="10"/>
      <c r="I2487" s="7"/>
      <c r="J2487" s="12"/>
      <c r="K2487" s="13"/>
      <c r="L2487" s="14"/>
      <c r="M2487" s="15"/>
      <c r="N2487" s="15"/>
      <c r="O2487" s="16"/>
      <c r="Q2487" s="16"/>
    </row>
    <row r="2488" spans="1:17" x14ac:dyDescent="0.3">
      <c r="A2488" s="5"/>
      <c r="B2488" s="6"/>
      <c r="C2488" s="7"/>
      <c r="D2488" s="8"/>
      <c r="E2488" s="8"/>
      <c r="F2488" s="10"/>
      <c r="G2488" s="10"/>
      <c r="H2488" s="10"/>
      <c r="I2488" s="7"/>
      <c r="J2488" s="12"/>
      <c r="K2488" s="13"/>
      <c r="L2488" s="14"/>
      <c r="M2488" s="15"/>
      <c r="N2488" s="15"/>
      <c r="O2488" s="16"/>
      <c r="Q2488" s="16"/>
    </row>
    <row r="2489" spans="1:17" x14ac:dyDescent="0.3">
      <c r="A2489" s="5"/>
      <c r="B2489" s="6"/>
      <c r="C2489" s="7"/>
      <c r="D2489" s="8"/>
      <c r="E2489" s="8"/>
      <c r="F2489" s="10"/>
      <c r="G2489" s="10"/>
      <c r="H2489" s="10"/>
      <c r="I2489" s="7"/>
      <c r="J2489" s="12"/>
      <c r="K2489" s="13"/>
      <c r="L2489" s="14"/>
      <c r="M2489" s="15"/>
      <c r="N2489" s="15"/>
      <c r="O2489" s="16"/>
      <c r="Q2489" s="16"/>
    </row>
    <row r="2490" spans="1:17" x14ac:dyDescent="0.3">
      <c r="A2490" s="5"/>
      <c r="B2490" s="6"/>
      <c r="C2490" s="7"/>
      <c r="D2490" s="8"/>
      <c r="E2490" s="8"/>
      <c r="F2490" s="10"/>
      <c r="G2490" s="10"/>
      <c r="H2490" s="10"/>
      <c r="I2490" s="7"/>
      <c r="J2490" s="12"/>
      <c r="K2490" s="13"/>
      <c r="L2490" s="14"/>
      <c r="M2490" s="15"/>
      <c r="N2490" s="15"/>
      <c r="O2490" s="16"/>
      <c r="Q2490" s="16"/>
    </row>
    <row r="2491" spans="1:17" x14ac:dyDescent="0.3">
      <c r="A2491" s="5"/>
      <c r="B2491" s="6"/>
      <c r="C2491" s="7"/>
      <c r="D2491" s="8"/>
      <c r="E2491" s="8"/>
      <c r="F2491" s="10"/>
      <c r="G2491" s="10"/>
      <c r="H2491" s="10"/>
      <c r="I2491" s="7"/>
      <c r="J2491" s="12"/>
      <c r="K2491" s="13"/>
      <c r="L2491" s="14"/>
      <c r="M2491" s="15"/>
      <c r="N2491" s="15"/>
      <c r="O2491" s="16"/>
      <c r="Q2491" s="16"/>
    </row>
    <row r="2492" spans="1:17" x14ac:dyDescent="0.3">
      <c r="A2492" s="5"/>
      <c r="B2492" s="6"/>
      <c r="C2492" s="7"/>
      <c r="D2492" s="8"/>
      <c r="E2492" s="8"/>
      <c r="F2492" s="10"/>
      <c r="G2492" s="10"/>
      <c r="H2492" s="10"/>
      <c r="I2492" s="7"/>
      <c r="J2492" s="12"/>
      <c r="K2492" s="13"/>
      <c r="L2492" s="14"/>
      <c r="M2492" s="15"/>
      <c r="N2492" s="15"/>
      <c r="O2492" s="16"/>
      <c r="Q2492" s="16"/>
    </row>
    <row r="2493" spans="1:17" x14ac:dyDescent="0.3">
      <c r="A2493" s="5"/>
      <c r="B2493" s="6"/>
      <c r="C2493" s="7"/>
      <c r="D2493" s="8"/>
      <c r="E2493" s="8"/>
      <c r="F2493" s="10"/>
      <c r="G2493" s="10"/>
      <c r="H2493" s="10"/>
      <c r="I2493" s="7"/>
      <c r="J2493" s="12"/>
      <c r="K2493" s="13"/>
      <c r="L2493" s="14"/>
      <c r="M2493" s="15"/>
      <c r="N2493" s="15"/>
      <c r="O2493" s="16"/>
      <c r="Q2493" s="16"/>
    </row>
    <row r="2494" spans="1:17" x14ac:dyDescent="0.3">
      <c r="A2494" s="5"/>
      <c r="B2494" s="6"/>
      <c r="C2494" s="7"/>
      <c r="D2494" s="8"/>
      <c r="E2494" s="8"/>
      <c r="F2494" s="10"/>
      <c r="G2494" s="10"/>
      <c r="H2494" s="10"/>
      <c r="I2494" s="7"/>
      <c r="J2494" s="12"/>
      <c r="K2494" s="13"/>
      <c r="L2494" s="14"/>
      <c r="M2494" s="15"/>
      <c r="N2494" s="15"/>
      <c r="O2494" s="16"/>
      <c r="Q2494" s="16"/>
    </row>
    <row r="2495" spans="1:17" x14ac:dyDescent="0.3">
      <c r="A2495" s="5"/>
      <c r="B2495" s="6"/>
      <c r="C2495" s="7"/>
      <c r="D2495" s="8"/>
      <c r="E2495" s="8"/>
      <c r="F2495" s="10"/>
      <c r="G2495" s="10"/>
      <c r="H2495" s="10"/>
      <c r="I2495" s="7"/>
      <c r="J2495" s="12"/>
      <c r="K2495" s="13"/>
      <c r="L2495" s="14"/>
      <c r="M2495" s="15"/>
      <c r="N2495" s="15"/>
      <c r="O2495" s="16"/>
      <c r="Q2495" s="16"/>
    </row>
    <row r="2496" spans="1:17" x14ac:dyDescent="0.3">
      <c r="A2496" s="5"/>
      <c r="B2496" s="6"/>
      <c r="C2496" s="7"/>
      <c r="D2496" s="8"/>
      <c r="E2496" s="8"/>
      <c r="F2496" s="10"/>
      <c r="G2496" s="10"/>
      <c r="H2496" s="10"/>
      <c r="I2496" s="7"/>
      <c r="J2496" s="12"/>
      <c r="K2496" s="13"/>
      <c r="L2496" s="14"/>
      <c r="M2496" s="15"/>
      <c r="N2496" s="15"/>
      <c r="O2496" s="16"/>
      <c r="Q2496" s="16"/>
    </row>
    <row r="2497" spans="1:17" x14ac:dyDescent="0.3">
      <c r="A2497" s="5"/>
      <c r="B2497" s="6"/>
      <c r="C2497" s="7"/>
      <c r="D2497" s="8"/>
      <c r="E2497" s="8"/>
      <c r="F2497" s="10"/>
      <c r="G2497" s="10"/>
      <c r="H2497" s="10"/>
      <c r="I2497" s="7"/>
      <c r="J2497" s="12"/>
      <c r="K2497" s="13"/>
      <c r="L2497" s="14"/>
      <c r="M2497" s="15"/>
      <c r="N2497" s="15"/>
      <c r="O2497" s="16"/>
      <c r="Q2497" s="16"/>
    </row>
    <row r="2498" spans="1:17" x14ac:dyDescent="0.3">
      <c r="A2498" s="5"/>
      <c r="B2498" s="6"/>
      <c r="C2498" s="7"/>
      <c r="D2498" s="8"/>
      <c r="E2498" s="8"/>
      <c r="F2498" s="10"/>
      <c r="G2498" s="10"/>
      <c r="H2498" s="10"/>
      <c r="I2498" s="7"/>
      <c r="J2498" s="12"/>
      <c r="K2498" s="13"/>
      <c r="L2498" s="14"/>
      <c r="M2498" s="15"/>
      <c r="N2498" s="15"/>
      <c r="O2498" s="16"/>
      <c r="Q2498" s="16"/>
    </row>
    <row r="2499" spans="1:17" x14ac:dyDescent="0.3">
      <c r="A2499" s="5"/>
      <c r="B2499" s="6"/>
      <c r="C2499" s="7"/>
      <c r="D2499" s="8"/>
      <c r="E2499" s="8"/>
      <c r="F2499" s="10"/>
      <c r="G2499" s="10"/>
      <c r="H2499" s="10"/>
      <c r="I2499" s="7"/>
      <c r="J2499" s="12"/>
      <c r="K2499" s="13"/>
      <c r="L2499" s="14"/>
      <c r="M2499" s="15"/>
      <c r="N2499" s="15"/>
      <c r="O2499" s="16"/>
      <c r="Q2499" s="16"/>
    </row>
    <row r="2500" spans="1:17" x14ac:dyDescent="0.3">
      <c r="A2500" s="5"/>
      <c r="B2500" s="6"/>
      <c r="C2500" s="7"/>
      <c r="D2500" s="8"/>
      <c r="E2500" s="8"/>
      <c r="F2500" s="10"/>
      <c r="G2500" s="10"/>
      <c r="H2500" s="10"/>
      <c r="I2500" s="7"/>
      <c r="J2500" s="12"/>
      <c r="K2500" s="13"/>
      <c r="L2500" s="14"/>
      <c r="M2500" s="15"/>
      <c r="N2500" s="15"/>
      <c r="O2500" s="16"/>
      <c r="Q2500" s="16"/>
    </row>
    <row r="2501" spans="1:17" x14ac:dyDescent="0.3">
      <c r="A2501" s="5"/>
      <c r="B2501" s="6"/>
      <c r="C2501" s="7"/>
      <c r="D2501" s="8"/>
      <c r="E2501" s="8"/>
      <c r="F2501" s="10"/>
      <c r="G2501" s="10"/>
      <c r="H2501" s="10"/>
      <c r="I2501" s="7"/>
      <c r="J2501" s="12"/>
      <c r="K2501" s="13"/>
      <c r="L2501" s="14"/>
      <c r="M2501" s="15"/>
      <c r="N2501" s="15"/>
      <c r="O2501" s="16"/>
      <c r="Q2501" s="16"/>
    </row>
    <row r="2502" spans="1:17" x14ac:dyDescent="0.3">
      <c r="A2502" s="5"/>
      <c r="B2502" s="6"/>
      <c r="C2502" s="7"/>
      <c r="D2502" s="8"/>
      <c r="E2502" s="8"/>
      <c r="F2502" s="10"/>
      <c r="G2502" s="10"/>
      <c r="H2502" s="10"/>
      <c r="I2502" s="7"/>
      <c r="J2502" s="12"/>
      <c r="K2502" s="13"/>
      <c r="L2502" s="14"/>
      <c r="M2502" s="15"/>
      <c r="N2502" s="15"/>
      <c r="O2502" s="16"/>
      <c r="Q2502" s="16"/>
    </row>
    <row r="2503" spans="1:17" x14ac:dyDescent="0.3">
      <c r="A2503" s="5"/>
      <c r="B2503" s="6"/>
      <c r="C2503" s="7"/>
      <c r="D2503" s="8"/>
      <c r="E2503" s="8"/>
      <c r="F2503" s="10"/>
      <c r="G2503" s="10"/>
      <c r="H2503" s="10"/>
      <c r="I2503" s="7"/>
      <c r="J2503" s="12"/>
      <c r="K2503" s="13"/>
      <c r="L2503" s="14"/>
      <c r="M2503" s="15"/>
      <c r="N2503" s="15"/>
      <c r="O2503" s="16"/>
      <c r="Q2503" s="16"/>
    </row>
    <row r="2504" spans="1:17" x14ac:dyDescent="0.3">
      <c r="A2504" s="5"/>
      <c r="B2504" s="6"/>
      <c r="C2504" s="7"/>
      <c r="D2504" s="8"/>
      <c r="E2504" s="8"/>
      <c r="F2504" s="10"/>
      <c r="G2504" s="10"/>
      <c r="H2504" s="10"/>
      <c r="I2504" s="7"/>
      <c r="J2504" s="12"/>
      <c r="K2504" s="13"/>
      <c r="L2504" s="14"/>
      <c r="M2504" s="15"/>
      <c r="N2504" s="15"/>
      <c r="O2504" s="16"/>
      <c r="Q2504" s="16"/>
    </row>
    <row r="2505" spans="1:17" x14ac:dyDescent="0.3">
      <c r="A2505" s="5"/>
      <c r="B2505" s="6"/>
      <c r="C2505" s="7"/>
      <c r="D2505" s="8"/>
      <c r="E2505" s="8"/>
      <c r="F2505" s="10"/>
      <c r="G2505" s="10"/>
      <c r="H2505" s="10"/>
      <c r="I2505" s="7"/>
      <c r="J2505" s="12"/>
      <c r="K2505" s="13"/>
      <c r="L2505" s="14"/>
      <c r="M2505" s="15"/>
      <c r="N2505" s="15"/>
      <c r="O2505" s="16"/>
      <c r="Q2505" s="16"/>
    </row>
    <row r="2506" spans="1:17" x14ac:dyDescent="0.3">
      <c r="A2506" s="5"/>
      <c r="B2506" s="6"/>
      <c r="C2506" s="7"/>
      <c r="D2506" s="8"/>
      <c r="E2506" s="8"/>
      <c r="F2506" s="10"/>
      <c r="G2506" s="10"/>
      <c r="H2506" s="10"/>
      <c r="I2506" s="7"/>
      <c r="J2506" s="12"/>
      <c r="K2506" s="13"/>
      <c r="L2506" s="14"/>
      <c r="M2506" s="15"/>
      <c r="N2506" s="15"/>
      <c r="O2506" s="16"/>
      <c r="Q2506" s="16"/>
    </row>
    <row r="2507" spans="1:17" x14ac:dyDescent="0.3">
      <c r="A2507" s="5"/>
      <c r="B2507" s="6"/>
      <c r="C2507" s="7"/>
      <c r="D2507" s="8"/>
      <c r="E2507" s="8"/>
      <c r="F2507" s="10"/>
      <c r="G2507" s="10"/>
      <c r="H2507" s="10"/>
      <c r="I2507" s="7"/>
      <c r="J2507" s="12"/>
      <c r="K2507" s="13"/>
      <c r="L2507" s="14"/>
      <c r="M2507" s="15"/>
      <c r="N2507" s="15"/>
      <c r="O2507" s="16"/>
      <c r="Q2507" s="16"/>
    </row>
    <row r="2508" spans="1:17" x14ac:dyDescent="0.3">
      <c r="A2508" s="5"/>
      <c r="B2508" s="6"/>
      <c r="C2508" s="7"/>
      <c r="D2508" s="8"/>
      <c r="E2508" s="8"/>
      <c r="F2508" s="10"/>
      <c r="G2508" s="10"/>
      <c r="H2508" s="10"/>
      <c r="I2508" s="7"/>
      <c r="J2508" s="12"/>
      <c r="K2508" s="13"/>
      <c r="L2508" s="14"/>
      <c r="M2508" s="15"/>
      <c r="N2508" s="15"/>
      <c r="O2508" s="16"/>
      <c r="Q2508" s="16"/>
    </row>
    <row r="2509" spans="1:17" x14ac:dyDescent="0.3">
      <c r="A2509" s="5"/>
      <c r="B2509" s="6"/>
      <c r="C2509" s="7"/>
      <c r="D2509" s="8"/>
      <c r="E2509" s="8"/>
      <c r="F2509" s="10"/>
      <c r="G2509" s="10"/>
      <c r="H2509" s="10"/>
      <c r="I2509" s="7"/>
      <c r="J2509" s="12"/>
      <c r="K2509" s="13"/>
      <c r="L2509" s="14"/>
      <c r="M2509" s="15"/>
      <c r="N2509" s="15"/>
      <c r="O2509" s="16"/>
      <c r="Q2509" s="16"/>
    </row>
    <row r="2510" spans="1:17" x14ac:dyDescent="0.3">
      <c r="A2510" s="5"/>
      <c r="B2510" s="6"/>
      <c r="C2510" s="7"/>
      <c r="D2510" s="8"/>
      <c r="E2510" s="8"/>
      <c r="F2510" s="10"/>
      <c r="G2510" s="10"/>
      <c r="H2510" s="10"/>
      <c r="I2510" s="7"/>
      <c r="J2510" s="12"/>
      <c r="K2510" s="13"/>
      <c r="L2510" s="14"/>
      <c r="M2510" s="15"/>
      <c r="N2510" s="15"/>
      <c r="O2510" s="16"/>
      <c r="Q2510" s="16"/>
    </row>
    <row r="2511" spans="1:17" x14ac:dyDescent="0.3">
      <c r="A2511" s="5"/>
      <c r="B2511" s="6"/>
      <c r="C2511" s="7"/>
      <c r="D2511" s="8"/>
      <c r="E2511" s="8"/>
      <c r="F2511" s="10"/>
      <c r="G2511" s="10"/>
      <c r="H2511" s="10"/>
      <c r="I2511" s="7"/>
      <c r="J2511" s="12"/>
      <c r="K2511" s="13"/>
      <c r="L2511" s="14"/>
      <c r="M2511" s="15"/>
      <c r="N2511" s="15"/>
      <c r="O2511" s="16"/>
      <c r="Q2511" s="16"/>
    </row>
    <row r="2512" spans="1:17" x14ac:dyDescent="0.3">
      <c r="A2512" s="5"/>
      <c r="B2512" s="6"/>
      <c r="C2512" s="7"/>
      <c r="D2512" s="8"/>
      <c r="E2512" s="8"/>
      <c r="F2512" s="10"/>
      <c r="G2512" s="10"/>
      <c r="H2512" s="10"/>
      <c r="I2512" s="7"/>
      <c r="J2512" s="12"/>
      <c r="K2512" s="13"/>
      <c r="L2512" s="14"/>
      <c r="M2512" s="15"/>
      <c r="N2512" s="15"/>
      <c r="O2512" s="16"/>
      <c r="Q2512" s="16"/>
    </row>
    <row r="2513" spans="1:17" x14ac:dyDescent="0.3">
      <c r="A2513" s="5"/>
      <c r="B2513" s="6"/>
      <c r="C2513" s="7"/>
      <c r="D2513" s="8"/>
      <c r="E2513" s="8"/>
      <c r="F2513" s="10"/>
      <c r="G2513" s="10"/>
      <c r="H2513" s="10"/>
      <c r="I2513" s="7"/>
      <c r="J2513" s="12"/>
      <c r="K2513" s="13"/>
      <c r="L2513" s="14"/>
      <c r="M2513" s="15"/>
      <c r="N2513" s="15"/>
      <c r="O2513" s="16"/>
      <c r="Q2513" s="16"/>
    </row>
    <row r="2514" spans="1:17" x14ac:dyDescent="0.3">
      <c r="A2514" s="5"/>
      <c r="B2514" s="6"/>
      <c r="C2514" s="7"/>
      <c r="D2514" s="8"/>
      <c r="E2514" s="8"/>
      <c r="F2514" s="10"/>
      <c r="G2514" s="10"/>
      <c r="H2514" s="10"/>
      <c r="I2514" s="7"/>
      <c r="J2514" s="12"/>
      <c r="K2514" s="13"/>
      <c r="L2514" s="14"/>
      <c r="M2514" s="15"/>
      <c r="N2514" s="15"/>
      <c r="O2514" s="16"/>
      <c r="Q2514" s="16"/>
    </row>
    <row r="2515" spans="1:17" x14ac:dyDescent="0.3">
      <c r="A2515" s="5"/>
      <c r="B2515" s="6"/>
      <c r="C2515" s="7"/>
      <c r="D2515" s="8"/>
      <c r="E2515" s="8"/>
      <c r="F2515" s="10"/>
      <c r="G2515" s="10"/>
      <c r="H2515" s="10"/>
      <c r="I2515" s="7"/>
      <c r="J2515" s="12"/>
      <c r="K2515" s="13"/>
      <c r="L2515" s="14"/>
      <c r="M2515" s="15"/>
      <c r="N2515" s="15"/>
      <c r="O2515" s="16"/>
      <c r="Q2515" s="16"/>
    </row>
    <row r="2516" spans="1:17" x14ac:dyDescent="0.3">
      <c r="A2516" s="5"/>
      <c r="B2516" s="6"/>
      <c r="C2516" s="7"/>
      <c r="D2516" s="8"/>
      <c r="E2516" s="8"/>
      <c r="F2516" s="10"/>
      <c r="G2516" s="10"/>
      <c r="H2516" s="10"/>
      <c r="I2516" s="7"/>
      <c r="J2516" s="12"/>
      <c r="K2516" s="13"/>
      <c r="L2516" s="14"/>
      <c r="M2516" s="15"/>
      <c r="N2516" s="15"/>
      <c r="O2516" s="16"/>
      <c r="Q2516" s="16"/>
    </row>
    <row r="2517" spans="1:17" x14ac:dyDescent="0.3">
      <c r="A2517" s="5"/>
      <c r="B2517" s="6"/>
      <c r="C2517" s="7"/>
      <c r="D2517" s="8"/>
      <c r="E2517" s="8"/>
      <c r="F2517" s="10"/>
      <c r="G2517" s="10"/>
      <c r="H2517" s="10"/>
      <c r="I2517" s="7"/>
      <c r="J2517" s="12"/>
      <c r="K2517" s="13"/>
      <c r="L2517" s="14"/>
      <c r="M2517" s="15"/>
      <c r="N2517" s="15"/>
      <c r="O2517" s="16"/>
      <c r="Q2517" s="16"/>
    </row>
    <row r="2518" spans="1:17" x14ac:dyDescent="0.3">
      <c r="A2518" s="5"/>
      <c r="B2518" s="6"/>
      <c r="C2518" s="7"/>
      <c r="D2518" s="8"/>
      <c r="E2518" s="8"/>
      <c r="F2518" s="10"/>
      <c r="G2518" s="10"/>
      <c r="H2518" s="10"/>
      <c r="I2518" s="7"/>
      <c r="J2518" s="12"/>
      <c r="K2518" s="13"/>
      <c r="L2518" s="14"/>
      <c r="M2518" s="15"/>
      <c r="N2518" s="15"/>
      <c r="O2518" s="16"/>
      <c r="Q2518" s="16"/>
    </row>
    <row r="2519" spans="1:17" x14ac:dyDescent="0.3">
      <c r="A2519" s="5"/>
      <c r="B2519" s="6"/>
      <c r="C2519" s="7"/>
      <c r="D2519" s="8"/>
      <c r="E2519" s="8"/>
      <c r="F2519" s="10"/>
      <c r="G2519" s="10"/>
      <c r="H2519" s="10"/>
      <c r="I2519" s="7"/>
      <c r="J2519" s="12"/>
      <c r="K2519" s="13"/>
      <c r="L2519" s="14"/>
      <c r="M2519" s="15"/>
      <c r="N2519" s="15"/>
      <c r="O2519" s="16"/>
      <c r="Q2519" s="16"/>
    </row>
    <row r="2520" spans="1:17" x14ac:dyDescent="0.3">
      <c r="A2520" s="5"/>
      <c r="B2520" s="6"/>
      <c r="C2520" s="7"/>
      <c r="D2520" s="8"/>
      <c r="E2520" s="8"/>
      <c r="F2520" s="10"/>
      <c r="G2520" s="10"/>
      <c r="H2520" s="10"/>
      <c r="I2520" s="7"/>
      <c r="J2520" s="12"/>
      <c r="K2520" s="13"/>
      <c r="L2520" s="14"/>
      <c r="M2520" s="15"/>
      <c r="N2520" s="15"/>
      <c r="O2520" s="16"/>
      <c r="Q2520" s="16"/>
    </row>
    <row r="2521" spans="1:17" x14ac:dyDescent="0.3">
      <c r="A2521" s="5"/>
      <c r="B2521" s="6"/>
      <c r="C2521" s="7"/>
      <c r="D2521" s="8"/>
      <c r="E2521" s="8"/>
      <c r="F2521" s="10"/>
      <c r="G2521" s="10"/>
      <c r="H2521" s="10"/>
      <c r="I2521" s="7"/>
      <c r="J2521" s="12"/>
      <c r="K2521" s="13"/>
      <c r="L2521" s="14"/>
      <c r="M2521" s="15"/>
      <c r="N2521" s="15"/>
      <c r="O2521" s="16"/>
      <c r="Q2521" s="16"/>
    </row>
    <row r="2522" spans="1:17" x14ac:dyDescent="0.3">
      <c r="A2522" s="5"/>
      <c r="B2522" s="6"/>
      <c r="C2522" s="7"/>
      <c r="D2522" s="8"/>
      <c r="E2522" s="8"/>
      <c r="F2522" s="10"/>
      <c r="G2522" s="10"/>
      <c r="H2522" s="10"/>
      <c r="I2522" s="7"/>
      <c r="J2522" s="12"/>
      <c r="K2522" s="13"/>
      <c r="L2522" s="14"/>
      <c r="M2522" s="15"/>
      <c r="N2522" s="15"/>
      <c r="O2522" s="16"/>
      <c r="Q2522" s="16"/>
    </row>
    <row r="2523" spans="1:17" x14ac:dyDescent="0.3">
      <c r="A2523" s="5"/>
      <c r="B2523" s="6"/>
      <c r="C2523" s="7"/>
      <c r="D2523" s="8"/>
      <c r="E2523" s="8"/>
      <c r="F2523" s="10"/>
      <c r="G2523" s="10"/>
      <c r="H2523" s="10"/>
      <c r="I2523" s="7"/>
      <c r="J2523" s="12"/>
      <c r="K2523" s="13"/>
      <c r="L2523" s="14"/>
      <c r="M2523" s="15"/>
      <c r="N2523" s="15"/>
      <c r="O2523" s="16"/>
      <c r="Q2523" s="16"/>
    </row>
    <row r="2524" spans="1:17" x14ac:dyDescent="0.3">
      <c r="A2524" s="5"/>
      <c r="B2524" s="6"/>
      <c r="C2524" s="7"/>
      <c r="D2524" s="8"/>
      <c r="E2524" s="8"/>
      <c r="F2524" s="10"/>
      <c r="G2524" s="10"/>
      <c r="H2524" s="10"/>
      <c r="I2524" s="7"/>
      <c r="J2524" s="12"/>
      <c r="K2524" s="13"/>
      <c r="L2524" s="14"/>
      <c r="M2524" s="15"/>
      <c r="N2524" s="15"/>
      <c r="O2524" s="16"/>
      <c r="Q2524" s="16"/>
    </row>
    <row r="2525" spans="1:17" x14ac:dyDescent="0.3">
      <c r="A2525" s="5"/>
      <c r="B2525" s="6"/>
      <c r="C2525" s="7"/>
      <c r="D2525" s="8"/>
      <c r="E2525" s="8"/>
      <c r="F2525" s="10"/>
      <c r="G2525" s="10"/>
      <c r="H2525" s="10"/>
      <c r="I2525" s="7"/>
      <c r="J2525" s="12"/>
      <c r="K2525" s="13"/>
      <c r="L2525" s="14"/>
      <c r="M2525" s="15"/>
      <c r="N2525" s="15"/>
      <c r="O2525" s="16"/>
      <c r="Q2525" s="16"/>
    </row>
    <row r="2526" spans="1:17" x14ac:dyDescent="0.3">
      <c r="A2526" s="5"/>
      <c r="B2526" s="6"/>
      <c r="C2526" s="7"/>
      <c r="D2526" s="8"/>
      <c r="E2526" s="8"/>
      <c r="F2526" s="10"/>
      <c r="G2526" s="10"/>
      <c r="H2526" s="10"/>
      <c r="I2526" s="7"/>
      <c r="J2526" s="12"/>
      <c r="K2526" s="13"/>
      <c r="L2526" s="14"/>
      <c r="M2526" s="15"/>
      <c r="N2526" s="15"/>
      <c r="O2526" s="16"/>
      <c r="Q2526" s="16"/>
    </row>
    <row r="2527" spans="1:17" x14ac:dyDescent="0.3">
      <c r="A2527" s="5"/>
      <c r="B2527" s="6"/>
      <c r="C2527" s="7"/>
      <c r="D2527" s="8"/>
      <c r="E2527" s="8"/>
      <c r="F2527" s="10"/>
      <c r="G2527" s="10"/>
      <c r="H2527" s="10"/>
      <c r="I2527" s="7"/>
      <c r="J2527" s="12"/>
      <c r="K2527" s="13"/>
      <c r="L2527" s="14"/>
      <c r="M2527" s="15"/>
      <c r="N2527" s="15"/>
      <c r="O2527" s="16"/>
      <c r="Q2527" s="16"/>
    </row>
    <row r="2528" spans="1:17" x14ac:dyDescent="0.3">
      <c r="A2528" s="5"/>
      <c r="B2528" s="6"/>
      <c r="C2528" s="7"/>
      <c r="D2528" s="8"/>
      <c r="E2528" s="8"/>
      <c r="F2528" s="10"/>
      <c r="G2528" s="10"/>
      <c r="H2528" s="10"/>
      <c r="I2528" s="7"/>
      <c r="J2528" s="12"/>
      <c r="K2528" s="13"/>
      <c r="L2528" s="14"/>
      <c r="M2528" s="15"/>
      <c r="N2528" s="15"/>
      <c r="O2528" s="16"/>
      <c r="Q2528" s="16"/>
    </row>
    <row r="2529" spans="1:17" x14ac:dyDescent="0.3">
      <c r="A2529" s="5"/>
      <c r="B2529" s="6"/>
      <c r="C2529" s="7"/>
      <c r="D2529" s="8"/>
      <c r="E2529" s="8"/>
      <c r="F2529" s="10"/>
      <c r="G2529" s="10"/>
      <c r="H2529" s="10"/>
      <c r="I2529" s="7"/>
      <c r="J2529" s="12"/>
      <c r="K2529" s="13"/>
      <c r="L2529" s="14"/>
      <c r="M2529" s="15"/>
      <c r="N2529" s="15"/>
      <c r="O2529" s="16"/>
      <c r="Q2529" s="16"/>
    </row>
    <row r="2530" spans="1:17" x14ac:dyDescent="0.3">
      <c r="A2530" s="5"/>
      <c r="B2530" s="6"/>
      <c r="C2530" s="7"/>
      <c r="D2530" s="8"/>
      <c r="E2530" s="8"/>
      <c r="F2530" s="10"/>
      <c r="G2530" s="10"/>
      <c r="H2530" s="10"/>
      <c r="I2530" s="7"/>
      <c r="J2530" s="12"/>
      <c r="K2530" s="13"/>
      <c r="L2530" s="14"/>
      <c r="M2530" s="15"/>
      <c r="N2530" s="15"/>
      <c r="O2530" s="16"/>
      <c r="Q2530" s="16"/>
    </row>
    <row r="2531" spans="1:17" x14ac:dyDescent="0.3">
      <c r="A2531" s="5"/>
      <c r="B2531" s="6"/>
      <c r="C2531" s="7"/>
      <c r="D2531" s="8"/>
      <c r="E2531" s="8"/>
      <c r="F2531" s="10"/>
      <c r="G2531" s="10"/>
      <c r="H2531" s="10"/>
      <c r="I2531" s="7"/>
      <c r="J2531" s="12"/>
      <c r="K2531" s="13"/>
      <c r="L2531" s="14"/>
      <c r="M2531" s="15"/>
      <c r="N2531" s="15"/>
      <c r="O2531" s="16"/>
      <c r="Q2531" s="16"/>
    </row>
    <row r="2532" spans="1:17" x14ac:dyDescent="0.3">
      <c r="A2532" s="5"/>
      <c r="B2532" s="6"/>
      <c r="C2532" s="7"/>
      <c r="D2532" s="8"/>
      <c r="E2532" s="8"/>
      <c r="F2532" s="10"/>
      <c r="G2532" s="10"/>
      <c r="H2532" s="10"/>
      <c r="I2532" s="7"/>
      <c r="J2532" s="12"/>
      <c r="K2532" s="13"/>
      <c r="L2532" s="14"/>
      <c r="M2532" s="15"/>
      <c r="N2532" s="15"/>
      <c r="O2532" s="16"/>
      <c r="Q2532" s="16"/>
    </row>
    <row r="2533" spans="1:17" x14ac:dyDescent="0.3">
      <c r="A2533" s="5"/>
      <c r="B2533" s="6"/>
      <c r="C2533" s="7"/>
      <c r="D2533" s="8"/>
      <c r="E2533" s="8"/>
      <c r="F2533" s="10"/>
      <c r="G2533" s="10"/>
      <c r="H2533" s="10"/>
      <c r="I2533" s="7"/>
      <c r="J2533" s="12"/>
      <c r="K2533" s="13"/>
      <c r="L2533" s="14"/>
      <c r="M2533" s="15"/>
      <c r="N2533" s="15"/>
      <c r="O2533" s="16"/>
      <c r="Q2533" s="16"/>
    </row>
    <row r="2534" spans="1:17" x14ac:dyDescent="0.3">
      <c r="A2534" s="5"/>
      <c r="B2534" s="6"/>
      <c r="C2534" s="7"/>
      <c r="D2534" s="8"/>
      <c r="E2534" s="8"/>
      <c r="F2534" s="10"/>
      <c r="G2534" s="10"/>
      <c r="H2534" s="10"/>
      <c r="I2534" s="7"/>
      <c r="J2534" s="12"/>
      <c r="K2534" s="13"/>
      <c r="L2534" s="14"/>
      <c r="M2534" s="15"/>
      <c r="N2534" s="15"/>
      <c r="O2534" s="16"/>
      <c r="Q2534" s="16"/>
    </row>
    <row r="2535" spans="1:17" x14ac:dyDescent="0.3">
      <c r="A2535" s="5"/>
      <c r="B2535" s="6"/>
      <c r="C2535" s="7"/>
      <c r="D2535" s="8"/>
      <c r="E2535" s="8"/>
      <c r="F2535" s="10"/>
      <c r="G2535" s="10"/>
      <c r="H2535" s="10"/>
      <c r="I2535" s="7"/>
      <c r="J2535" s="12"/>
      <c r="K2535" s="13"/>
      <c r="L2535" s="14"/>
      <c r="M2535" s="15"/>
      <c r="N2535" s="15"/>
      <c r="O2535" s="16"/>
      <c r="Q2535" s="16"/>
    </row>
    <row r="2536" spans="1:17" x14ac:dyDescent="0.3">
      <c r="A2536" s="5"/>
      <c r="B2536" s="6"/>
      <c r="C2536" s="7"/>
      <c r="D2536" s="8"/>
      <c r="E2536" s="8"/>
      <c r="F2536" s="10"/>
      <c r="G2536" s="10"/>
      <c r="H2536" s="10"/>
      <c r="I2536" s="7"/>
      <c r="J2536" s="12"/>
      <c r="K2536" s="13"/>
      <c r="L2536" s="14"/>
      <c r="M2536" s="15"/>
      <c r="N2536" s="15"/>
      <c r="O2536" s="16"/>
      <c r="Q2536" s="16"/>
    </row>
    <row r="2537" spans="1:17" x14ac:dyDescent="0.3">
      <c r="A2537" s="5"/>
      <c r="B2537" s="6"/>
      <c r="C2537" s="7"/>
      <c r="D2537" s="8"/>
      <c r="E2537" s="8"/>
      <c r="F2537" s="10"/>
      <c r="G2537" s="10"/>
      <c r="H2537" s="10"/>
      <c r="I2537" s="7"/>
      <c r="J2537" s="12"/>
      <c r="K2537" s="13"/>
      <c r="L2537" s="14"/>
      <c r="M2537" s="15"/>
      <c r="N2537" s="15"/>
      <c r="O2537" s="16"/>
      <c r="Q2537" s="16"/>
    </row>
    <row r="2538" spans="1:17" x14ac:dyDescent="0.3">
      <c r="A2538" s="5"/>
      <c r="B2538" s="6"/>
      <c r="C2538" s="7"/>
      <c r="D2538" s="8"/>
      <c r="E2538" s="8"/>
      <c r="F2538" s="10"/>
      <c r="G2538" s="10"/>
      <c r="H2538" s="10"/>
      <c r="I2538" s="7"/>
      <c r="J2538" s="12"/>
      <c r="K2538" s="13"/>
      <c r="L2538" s="14"/>
      <c r="M2538" s="15"/>
      <c r="N2538" s="15"/>
      <c r="O2538" s="16"/>
      <c r="Q2538" s="16"/>
    </row>
    <row r="2539" spans="1:17" x14ac:dyDescent="0.3">
      <c r="A2539" s="5"/>
      <c r="B2539" s="6"/>
      <c r="C2539" s="7"/>
      <c r="D2539" s="8"/>
      <c r="E2539" s="8"/>
      <c r="F2539" s="10"/>
      <c r="G2539" s="10"/>
      <c r="H2539" s="10"/>
      <c r="I2539" s="7"/>
      <c r="J2539" s="12"/>
      <c r="K2539" s="13"/>
      <c r="L2539" s="14"/>
      <c r="M2539" s="15"/>
      <c r="N2539" s="15"/>
      <c r="O2539" s="16"/>
      <c r="Q2539" s="16"/>
    </row>
    <row r="2540" spans="1:17" x14ac:dyDescent="0.3">
      <c r="A2540" s="5"/>
      <c r="B2540" s="6"/>
      <c r="C2540" s="7"/>
      <c r="D2540" s="8"/>
      <c r="E2540" s="8"/>
      <c r="F2540" s="10"/>
      <c r="G2540" s="10"/>
      <c r="H2540" s="10"/>
      <c r="I2540" s="7"/>
      <c r="J2540" s="12"/>
      <c r="K2540" s="13"/>
      <c r="L2540" s="14"/>
      <c r="M2540" s="15"/>
      <c r="N2540" s="15"/>
      <c r="O2540" s="16"/>
      <c r="Q2540" s="16"/>
    </row>
    <row r="2541" spans="1:17" x14ac:dyDescent="0.3">
      <c r="A2541" s="5"/>
      <c r="B2541" s="6"/>
      <c r="C2541" s="7"/>
      <c r="D2541" s="8"/>
      <c r="E2541" s="8"/>
      <c r="F2541" s="10"/>
      <c r="G2541" s="10"/>
      <c r="H2541" s="10"/>
      <c r="I2541" s="7"/>
      <c r="J2541" s="12"/>
      <c r="K2541" s="13"/>
      <c r="L2541" s="14"/>
      <c r="M2541" s="15"/>
      <c r="N2541" s="15"/>
      <c r="O2541" s="16"/>
      <c r="Q2541" s="16"/>
    </row>
    <row r="2542" spans="1:17" x14ac:dyDescent="0.3">
      <c r="A2542" s="5"/>
      <c r="B2542" s="6"/>
      <c r="C2542" s="7"/>
      <c r="D2542" s="8"/>
      <c r="E2542" s="8"/>
      <c r="F2542" s="10"/>
      <c r="G2542" s="10"/>
      <c r="H2542" s="10"/>
      <c r="I2542" s="7"/>
      <c r="J2542" s="12"/>
      <c r="K2542" s="13"/>
      <c r="L2542" s="14"/>
      <c r="M2542" s="15"/>
      <c r="N2542" s="15"/>
      <c r="O2542" s="16"/>
      <c r="Q2542" s="16"/>
    </row>
    <row r="2543" spans="1:17" x14ac:dyDescent="0.3">
      <c r="A2543" s="5"/>
      <c r="B2543" s="6"/>
      <c r="C2543" s="7"/>
      <c r="D2543" s="8"/>
      <c r="E2543" s="8"/>
      <c r="F2543" s="10"/>
      <c r="G2543" s="10"/>
      <c r="H2543" s="10"/>
      <c r="I2543" s="7"/>
      <c r="J2543" s="12"/>
      <c r="K2543" s="13"/>
      <c r="L2543" s="14"/>
      <c r="M2543" s="15"/>
      <c r="N2543" s="15"/>
      <c r="O2543" s="16"/>
      <c r="Q2543" s="16"/>
    </row>
    <row r="2544" spans="1:17" x14ac:dyDescent="0.3">
      <c r="A2544" s="5"/>
      <c r="B2544" s="6"/>
      <c r="C2544" s="7"/>
      <c r="D2544" s="8"/>
      <c r="E2544" s="8"/>
      <c r="F2544" s="10"/>
      <c r="G2544" s="10"/>
      <c r="H2544" s="10"/>
      <c r="I2544" s="7"/>
      <c r="J2544" s="12"/>
      <c r="K2544" s="13"/>
      <c r="L2544" s="14"/>
      <c r="M2544" s="15"/>
      <c r="N2544" s="15"/>
      <c r="O2544" s="16"/>
      <c r="Q2544" s="16"/>
    </row>
    <row r="2545" spans="1:17" x14ac:dyDescent="0.3">
      <c r="A2545" s="5"/>
      <c r="B2545" s="6"/>
      <c r="C2545" s="7"/>
      <c r="D2545" s="8"/>
      <c r="E2545" s="8"/>
      <c r="F2545" s="10"/>
      <c r="G2545" s="10"/>
      <c r="H2545" s="10"/>
      <c r="I2545" s="7"/>
      <c r="J2545" s="12"/>
      <c r="K2545" s="13"/>
      <c r="L2545" s="14"/>
      <c r="M2545" s="15"/>
      <c r="N2545" s="15"/>
      <c r="O2545" s="16"/>
      <c r="Q2545" s="16"/>
    </row>
    <row r="2546" spans="1:17" x14ac:dyDescent="0.3">
      <c r="A2546" s="5"/>
      <c r="B2546" s="6"/>
      <c r="C2546" s="7"/>
      <c r="D2546" s="8"/>
      <c r="E2546" s="8"/>
      <c r="F2546" s="10"/>
      <c r="G2546" s="10"/>
      <c r="H2546" s="10"/>
      <c r="I2546" s="7"/>
      <c r="J2546" s="12"/>
      <c r="K2546" s="13"/>
      <c r="L2546" s="14"/>
      <c r="M2546" s="15"/>
      <c r="N2546" s="15"/>
      <c r="O2546" s="16"/>
      <c r="Q2546" s="16"/>
    </row>
    <row r="2547" spans="1:17" x14ac:dyDescent="0.3">
      <c r="A2547" s="5"/>
      <c r="B2547" s="6"/>
      <c r="C2547" s="7"/>
      <c r="D2547" s="8"/>
      <c r="E2547" s="8"/>
      <c r="F2547" s="10"/>
      <c r="G2547" s="10"/>
      <c r="H2547" s="10"/>
      <c r="I2547" s="7"/>
      <c r="J2547" s="12"/>
      <c r="K2547" s="13"/>
      <c r="L2547" s="14"/>
      <c r="M2547" s="15"/>
      <c r="N2547" s="15"/>
      <c r="O2547" s="16"/>
      <c r="Q2547" s="16"/>
    </row>
    <row r="2548" spans="1:17" x14ac:dyDescent="0.3">
      <c r="A2548" s="5"/>
      <c r="B2548" s="6"/>
      <c r="C2548" s="7"/>
      <c r="D2548" s="8"/>
      <c r="E2548" s="8"/>
      <c r="F2548" s="10"/>
      <c r="G2548" s="10"/>
      <c r="H2548" s="10"/>
      <c r="I2548" s="7"/>
      <c r="J2548" s="12"/>
      <c r="K2548" s="13"/>
      <c r="L2548" s="14"/>
      <c r="M2548" s="15"/>
      <c r="N2548" s="15"/>
      <c r="O2548" s="16"/>
      <c r="Q2548" s="16"/>
    </row>
    <row r="2549" spans="1:17" x14ac:dyDescent="0.3">
      <c r="A2549" s="5"/>
      <c r="B2549" s="6"/>
      <c r="C2549" s="7"/>
      <c r="D2549" s="8"/>
      <c r="E2549" s="8"/>
      <c r="F2549" s="10"/>
      <c r="G2549" s="10"/>
      <c r="H2549" s="10"/>
      <c r="I2549" s="7"/>
      <c r="J2549" s="12"/>
      <c r="K2549" s="13"/>
      <c r="L2549" s="14"/>
      <c r="M2549" s="15"/>
      <c r="N2549" s="15"/>
      <c r="O2549" s="16"/>
      <c r="Q2549" s="16"/>
    </row>
    <row r="2550" spans="1:17" x14ac:dyDescent="0.3">
      <c r="A2550" s="5"/>
      <c r="B2550" s="6"/>
      <c r="C2550" s="7"/>
      <c r="D2550" s="8"/>
      <c r="E2550" s="8"/>
      <c r="F2550" s="10"/>
      <c r="G2550" s="10"/>
      <c r="H2550" s="10"/>
      <c r="I2550" s="7"/>
      <c r="J2550" s="12"/>
      <c r="K2550" s="13"/>
      <c r="L2550" s="14"/>
      <c r="M2550" s="15"/>
      <c r="N2550" s="15"/>
      <c r="O2550" s="16"/>
      <c r="Q2550" s="16"/>
    </row>
    <row r="2551" spans="1:17" x14ac:dyDescent="0.3">
      <c r="A2551" s="5"/>
      <c r="B2551" s="6"/>
      <c r="C2551" s="7"/>
      <c r="D2551" s="8"/>
      <c r="E2551" s="8"/>
      <c r="F2551" s="10"/>
      <c r="G2551" s="10"/>
      <c r="H2551" s="10"/>
      <c r="I2551" s="7"/>
      <c r="J2551" s="12"/>
      <c r="K2551" s="13"/>
      <c r="L2551" s="14"/>
      <c r="M2551" s="15"/>
      <c r="N2551" s="15"/>
      <c r="O2551" s="16"/>
      <c r="Q2551" s="16"/>
    </row>
    <row r="2552" spans="1:17" x14ac:dyDescent="0.3">
      <c r="A2552" s="5"/>
      <c r="B2552" s="6"/>
      <c r="C2552" s="7"/>
      <c r="D2552" s="8"/>
      <c r="E2552" s="8"/>
      <c r="F2552" s="10"/>
      <c r="G2552" s="10"/>
      <c r="H2552" s="10"/>
      <c r="I2552" s="7"/>
      <c r="J2552" s="12"/>
      <c r="K2552" s="13"/>
      <c r="L2552" s="14"/>
      <c r="M2552" s="15"/>
      <c r="N2552" s="15"/>
      <c r="O2552" s="16"/>
      <c r="Q2552" s="16"/>
    </row>
    <row r="2553" spans="1:17" x14ac:dyDescent="0.3">
      <c r="A2553" s="5"/>
      <c r="B2553" s="6"/>
      <c r="C2553" s="7"/>
      <c r="D2553" s="8"/>
      <c r="E2553" s="9"/>
      <c r="F2553" s="10"/>
      <c r="G2553" s="10"/>
      <c r="H2553" s="10"/>
      <c r="I2553" s="7"/>
      <c r="J2553" s="12"/>
      <c r="K2553" s="13"/>
      <c r="L2553" s="14"/>
      <c r="M2553" s="15"/>
      <c r="N2553" s="15"/>
      <c r="O2553" s="16"/>
      <c r="Q2553" s="16"/>
    </row>
    <row r="2554" spans="1:17" x14ac:dyDescent="0.3">
      <c r="A2554" s="5"/>
      <c r="B2554" s="6"/>
      <c r="C2554" s="7"/>
      <c r="D2554" s="8"/>
      <c r="E2554" s="8"/>
      <c r="F2554" s="10"/>
      <c r="G2554" s="10"/>
      <c r="H2554" s="10"/>
      <c r="I2554" s="7"/>
      <c r="J2554" s="12"/>
      <c r="K2554" s="13"/>
      <c r="L2554" s="14"/>
      <c r="M2554" s="15"/>
      <c r="N2554" s="15"/>
      <c r="O2554" s="16"/>
      <c r="Q2554" s="16"/>
    </row>
    <row r="2555" spans="1:17" x14ac:dyDescent="0.3">
      <c r="A2555" s="5"/>
      <c r="B2555" s="6"/>
      <c r="C2555" s="7"/>
      <c r="D2555" s="8"/>
      <c r="E2555" s="8"/>
      <c r="F2555" s="10"/>
      <c r="G2555" s="10"/>
      <c r="H2555" s="10"/>
      <c r="I2555" s="7"/>
      <c r="J2555" s="12"/>
      <c r="K2555" s="13"/>
      <c r="L2555" s="14"/>
      <c r="M2555" s="15"/>
      <c r="N2555" s="15"/>
      <c r="O2555" s="16"/>
      <c r="Q2555" s="16"/>
    </row>
    <row r="2556" spans="1:17" x14ac:dyDescent="0.3">
      <c r="A2556" s="5"/>
      <c r="B2556" s="6"/>
      <c r="C2556" s="7"/>
      <c r="D2556" s="8"/>
      <c r="E2556" s="8"/>
      <c r="F2556" s="10"/>
      <c r="G2556" s="10"/>
      <c r="H2556" s="10"/>
      <c r="I2556" s="7"/>
      <c r="J2556" s="12"/>
      <c r="K2556" s="13"/>
      <c r="L2556" s="14"/>
      <c r="M2556" s="15"/>
      <c r="N2556" s="15"/>
      <c r="O2556" s="16"/>
      <c r="Q2556" s="16"/>
    </row>
    <row r="2557" spans="1:17" x14ac:dyDescent="0.3">
      <c r="A2557" s="5"/>
      <c r="B2557" s="6"/>
      <c r="C2557" s="7"/>
      <c r="D2557" s="8"/>
      <c r="E2557" s="8"/>
      <c r="F2557" s="10"/>
      <c r="G2557" s="10"/>
      <c r="H2557" s="10"/>
      <c r="I2557" s="7"/>
      <c r="J2557" s="12"/>
      <c r="K2557" s="13"/>
      <c r="L2557" s="14"/>
      <c r="M2557" s="15"/>
      <c r="N2557" s="15"/>
      <c r="O2557" s="16"/>
      <c r="Q2557" s="16"/>
    </row>
    <row r="2558" spans="1:17" x14ac:dyDescent="0.3">
      <c r="A2558" s="5"/>
      <c r="B2558" s="6"/>
      <c r="C2558" s="7"/>
      <c r="D2558" s="8"/>
      <c r="E2558" s="8"/>
      <c r="F2558" s="10"/>
      <c r="G2558" s="10"/>
      <c r="H2558" s="10"/>
      <c r="I2558" s="7"/>
      <c r="J2558" s="12"/>
      <c r="K2558" s="13"/>
      <c r="L2558" s="14"/>
      <c r="M2558" s="15"/>
      <c r="N2558" s="15"/>
      <c r="O2558" s="16"/>
      <c r="Q2558" s="16"/>
    </row>
    <row r="2559" spans="1:17" x14ac:dyDescent="0.3">
      <c r="A2559" s="5"/>
      <c r="B2559" s="6"/>
      <c r="C2559" s="7"/>
      <c r="D2559" s="8"/>
      <c r="E2559" s="8"/>
      <c r="F2559" s="10"/>
      <c r="G2559" s="10"/>
      <c r="H2559" s="10"/>
      <c r="I2559" s="7"/>
      <c r="J2559" s="12"/>
      <c r="K2559" s="13"/>
      <c r="L2559" s="14"/>
      <c r="M2559" s="15"/>
      <c r="N2559" s="15"/>
      <c r="O2559" s="16"/>
      <c r="Q2559" s="16"/>
    </row>
    <row r="2560" spans="1:17" x14ac:dyDescent="0.3">
      <c r="A2560" s="5"/>
      <c r="B2560" s="6"/>
      <c r="C2560" s="7"/>
      <c r="D2560" s="8"/>
      <c r="E2560" s="8"/>
      <c r="F2560" s="10"/>
      <c r="G2560" s="10"/>
      <c r="H2560" s="10"/>
      <c r="I2560" s="7"/>
      <c r="J2560" s="12"/>
      <c r="K2560" s="13"/>
      <c r="L2560" s="14"/>
      <c r="M2560" s="15"/>
      <c r="N2560" s="15"/>
      <c r="O2560" s="16"/>
      <c r="Q2560" s="16"/>
    </row>
    <row r="2561" spans="1:17" x14ac:dyDescent="0.3">
      <c r="A2561" s="5"/>
      <c r="B2561" s="6"/>
      <c r="C2561" s="7"/>
      <c r="D2561" s="8"/>
      <c r="E2561" s="8"/>
      <c r="F2561" s="10"/>
      <c r="G2561" s="10"/>
      <c r="H2561" s="10"/>
      <c r="I2561" s="7"/>
      <c r="J2561" s="12"/>
      <c r="K2561" s="13"/>
      <c r="L2561" s="14"/>
      <c r="M2561" s="15"/>
      <c r="N2561" s="15"/>
      <c r="O2561" s="16"/>
      <c r="Q2561" s="16"/>
    </row>
    <row r="2562" spans="1:17" x14ac:dyDescent="0.3">
      <c r="A2562" s="5"/>
      <c r="B2562" s="6"/>
      <c r="C2562" s="7"/>
      <c r="D2562" s="8"/>
      <c r="E2562" s="8"/>
      <c r="F2562" s="10"/>
      <c r="G2562" s="10"/>
      <c r="H2562" s="10"/>
      <c r="I2562" s="7"/>
      <c r="J2562" s="12"/>
      <c r="K2562" s="13"/>
      <c r="L2562" s="14"/>
      <c r="M2562" s="15"/>
      <c r="N2562" s="15"/>
      <c r="O2562" s="16"/>
      <c r="Q2562" s="16"/>
    </row>
    <row r="2563" spans="1:17" x14ac:dyDescent="0.3">
      <c r="A2563" s="5"/>
      <c r="B2563" s="6"/>
      <c r="C2563" s="7"/>
      <c r="D2563" s="8"/>
      <c r="E2563" s="8"/>
      <c r="F2563" s="10"/>
      <c r="G2563" s="10"/>
      <c r="H2563" s="10"/>
      <c r="I2563" s="7"/>
      <c r="J2563" s="12"/>
      <c r="K2563" s="13"/>
      <c r="L2563" s="14"/>
      <c r="M2563" s="15"/>
      <c r="N2563" s="15"/>
      <c r="O2563" s="16"/>
      <c r="Q2563" s="16"/>
    </row>
    <row r="2564" spans="1:17" x14ac:dyDescent="0.3">
      <c r="A2564" s="5"/>
      <c r="B2564" s="6"/>
      <c r="C2564" s="7"/>
      <c r="D2564" s="8"/>
      <c r="E2564" s="8"/>
      <c r="F2564" s="10"/>
      <c r="G2564" s="10"/>
      <c r="H2564" s="10"/>
      <c r="I2564" s="7"/>
      <c r="J2564" s="12"/>
      <c r="K2564" s="13"/>
      <c r="L2564" s="14"/>
      <c r="M2564" s="15"/>
      <c r="N2564" s="15"/>
      <c r="O2564" s="16"/>
      <c r="Q2564" s="16"/>
    </row>
    <row r="2565" spans="1:17" x14ac:dyDescent="0.3">
      <c r="A2565" s="5"/>
      <c r="B2565" s="6"/>
      <c r="C2565" s="7"/>
      <c r="D2565" s="8"/>
      <c r="E2565" s="8"/>
      <c r="F2565" s="10"/>
      <c r="G2565" s="10"/>
      <c r="H2565" s="10"/>
      <c r="I2565" s="7"/>
      <c r="J2565" s="12"/>
      <c r="K2565" s="13"/>
      <c r="L2565" s="14"/>
      <c r="M2565" s="15"/>
      <c r="N2565" s="15"/>
      <c r="O2565" s="16"/>
      <c r="Q2565" s="16"/>
    </row>
    <row r="2566" spans="1:17" x14ac:dyDescent="0.3">
      <c r="A2566" s="5"/>
      <c r="B2566" s="6"/>
      <c r="C2566" s="7"/>
      <c r="D2566" s="8"/>
      <c r="E2566" s="8"/>
      <c r="F2566" s="10"/>
      <c r="G2566" s="10"/>
      <c r="H2566" s="10"/>
      <c r="I2566" s="7"/>
      <c r="J2566" s="12"/>
      <c r="K2566" s="13"/>
      <c r="L2566" s="14"/>
      <c r="M2566" s="15"/>
      <c r="N2566" s="15"/>
      <c r="O2566" s="16"/>
      <c r="Q2566" s="16"/>
    </row>
    <row r="2567" spans="1:17" x14ac:dyDescent="0.3">
      <c r="A2567" s="5"/>
      <c r="B2567" s="6"/>
      <c r="C2567" s="7"/>
      <c r="D2567" s="8"/>
      <c r="E2567" s="8"/>
      <c r="F2567" s="10"/>
      <c r="G2567" s="10"/>
      <c r="H2567" s="10"/>
      <c r="I2567" s="7"/>
      <c r="J2567" s="12"/>
      <c r="K2567" s="13"/>
      <c r="L2567" s="14"/>
      <c r="M2567" s="15"/>
      <c r="N2567" s="15"/>
      <c r="O2567" s="16"/>
      <c r="Q2567" s="16"/>
    </row>
    <row r="2568" spans="1:17" x14ac:dyDescent="0.3">
      <c r="A2568" s="5"/>
      <c r="B2568" s="6"/>
      <c r="C2568" s="7"/>
      <c r="D2568" s="8"/>
      <c r="E2568" s="8"/>
      <c r="F2568" s="10"/>
      <c r="G2568" s="10"/>
      <c r="H2568" s="10"/>
      <c r="I2568" s="7"/>
      <c r="J2568" s="12"/>
      <c r="K2568" s="13"/>
      <c r="L2568" s="14"/>
      <c r="M2568" s="15"/>
      <c r="N2568" s="15"/>
      <c r="O2568" s="16"/>
      <c r="Q2568" s="16"/>
    </row>
    <row r="2569" spans="1:17" x14ac:dyDescent="0.3">
      <c r="A2569" s="5"/>
      <c r="B2569" s="6"/>
      <c r="C2569" s="7"/>
      <c r="D2569" s="8"/>
      <c r="E2569" s="8"/>
      <c r="F2569" s="10"/>
      <c r="G2569" s="10"/>
      <c r="H2569" s="10"/>
      <c r="I2569" s="7"/>
      <c r="J2569" s="12"/>
      <c r="K2569" s="13"/>
      <c r="L2569" s="14"/>
      <c r="M2569" s="15"/>
      <c r="N2569" s="15"/>
      <c r="O2569" s="16"/>
      <c r="Q2569" s="16"/>
    </row>
    <row r="2570" spans="1:17" x14ac:dyDescent="0.3">
      <c r="A2570" s="5"/>
      <c r="B2570" s="6"/>
      <c r="C2570" s="7"/>
      <c r="D2570" s="8"/>
      <c r="E2570" s="8"/>
      <c r="F2570" s="10"/>
      <c r="G2570" s="10"/>
      <c r="H2570" s="10"/>
      <c r="I2570" s="7"/>
      <c r="J2570" s="12"/>
      <c r="K2570" s="13"/>
      <c r="L2570" s="14"/>
      <c r="M2570" s="15"/>
      <c r="N2570" s="15"/>
      <c r="O2570" s="16"/>
      <c r="Q2570" s="16"/>
    </row>
    <row r="2571" spans="1:17" x14ac:dyDescent="0.3">
      <c r="A2571" s="5"/>
      <c r="B2571" s="6"/>
      <c r="C2571" s="7"/>
      <c r="D2571" s="8"/>
      <c r="E2571" s="8"/>
      <c r="F2571" s="10"/>
      <c r="G2571" s="10"/>
      <c r="H2571" s="10"/>
      <c r="I2571" s="7"/>
      <c r="J2571" s="12"/>
      <c r="K2571" s="13"/>
      <c r="L2571" s="14"/>
      <c r="M2571" s="15"/>
      <c r="N2571" s="15"/>
      <c r="O2571" s="16"/>
      <c r="Q2571" s="16"/>
    </row>
    <row r="2572" spans="1:17" x14ac:dyDescent="0.3">
      <c r="A2572" s="5"/>
      <c r="B2572" s="6"/>
      <c r="C2572" s="7"/>
      <c r="D2572" s="8"/>
      <c r="E2572" s="8"/>
      <c r="F2572" s="10"/>
      <c r="G2572" s="10"/>
      <c r="H2572" s="10"/>
      <c r="I2572" s="7"/>
      <c r="J2572" s="12"/>
      <c r="K2572" s="13"/>
      <c r="L2572" s="14"/>
      <c r="M2572" s="15"/>
      <c r="N2572" s="15"/>
      <c r="O2572" s="16"/>
      <c r="Q2572" s="16"/>
    </row>
    <row r="2573" spans="1:17" x14ac:dyDescent="0.3">
      <c r="A2573" s="5"/>
      <c r="B2573" s="6"/>
      <c r="C2573" s="7"/>
      <c r="D2573" s="8"/>
      <c r="E2573" s="8"/>
      <c r="F2573" s="10"/>
      <c r="G2573" s="10"/>
      <c r="H2573" s="10"/>
      <c r="I2573" s="7"/>
      <c r="J2573" s="12"/>
      <c r="K2573" s="13"/>
      <c r="L2573" s="14"/>
      <c r="M2573" s="15"/>
      <c r="N2573" s="15"/>
      <c r="O2573" s="16"/>
      <c r="Q2573" s="16"/>
    </row>
    <row r="2574" spans="1:17" x14ac:dyDescent="0.3">
      <c r="A2574" s="5"/>
      <c r="B2574" s="6"/>
      <c r="C2574" s="7"/>
      <c r="D2574" s="8"/>
      <c r="E2574" s="8"/>
      <c r="F2574" s="10"/>
      <c r="G2574" s="10"/>
      <c r="H2574" s="10"/>
      <c r="I2574" s="7"/>
      <c r="J2574" s="12"/>
      <c r="K2574" s="13"/>
      <c r="L2574" s="14"/>
      <c r="M2574" s="15"/>
      <c r="N2574" s="15"/>
      <c r="O2574" s="16"/>
      <c r="Q2574" s="16"/>
    </row>
    <row r="2575" spans="1:17" x14ac:dyDescent="0.3">
      <c r="A2575" s="5"/>
      <c r="B2575" s="6"/>
      <c r="C2575" s="7"/>
      <c r="D2575" s="8"/>
      <c r="E2575" s="8"/>
      <c r="F2575" s="10"/>
      <c r="G2575" s="10"/>
      <c r="H2575" s="10"/>
      <c r="I2575" s="7"/>
      <c r="J2575" s="12"/>
      <c r="K2575" s="13"/>
      <c r="L2575" s="14"/>
      <c r="M2575" s="15"/>
      <c r="N2575" s="15"/>
      <c r="O2575" s="16"/>
      <c r="Q2575" s="16"/>
    </row>
    <row r="2576" spans="1:17" x14ac:dyDescent="0.3">
      <c r="A2576" s="5"/>
      <c r="B2576" s="6"/>
      <c r="C2576" s="7"/>
      <c r="D2576" s="8"/>
      <c r="E2576" s="8"/>
      <c r="F2576" s="10"/>
      <c r="G2576" s="10"/>
      <c r="H2576" s="10"/>
      <c r="I2576" s="7"/>
      <c r="J2576" s="12"/>
      <c r="K2576" s="13"/>
      <c r="L2576" s="14"/>
      <c r="M2576" s="15"/>
      <c r="N2576" s="15"/>
      <c r="O2576" s="16"/>
      <c r="Q2576" s="16"/>
    </row>
    <row r="2577" spans="1:17" x14ac:dyDescent="0.3">
      <c r="A2577" s="5"/>
      <c r="B2577" s="6"/>
      <c r="C2577" s="7"/>
      <c r="D2577" s="8"/>
      <c r="E2577" s="8"/>
      <c r="F2577" s="10"/>
      <c r="G2577" s="10"/>
      <c r="H2577" s="10"/>
      <c r="I2577" s="7"/>
      <c r="J2577" s="12"/>
      <c r="K2577" s="13"/>
      <c r="L2577" s="14"/>
      <c r="M2577" s="15"/>
      <c r="N2577" s="15"/>
      <c r="O2577" s="16"/>
      <c r="Q2577" s="16"/>
    </row>
    <row r="2578" spans="1:17" x14ac:dyDescent="0.3">
      <c r="A2578" s="5"/>
      <c r="B2578" s="6"/>
      <c r="C2578" s="7"/>
      <c r="D2578" s="8"/>
      <c r="E2578" s="8"/>
      <c r="F2578" s="10"/>
      <c r="G2578" s="10"/>
      <c r="H2578" s="10"/>
      <c r="I2578" s="7"/>
      <c r="J2578" s="12"/>
      <c r="K2578" s="13"/>
      <c r="L2578" s="14"/>
      <c r="M2578" s="15"/>
      <c r="N2578" s="15"/>
      <c r="O2578" s="16"/>
      <c r="Q2578" s="16"/>
    </row>
    <row r="2579" spans="1:17" x14ac:dyDescent="0.3">
      <c r="A2579" s="5"/>
      <c r="B2579" s="6"/>
      <c r="C2579" s="7"/>
      <c r="D2579" s="8"/>
      <c r="E2579" s="8"/>
      <c r="F2579" s="10"/>
      <c r="G2579" s="10"/>
      <c r="H2579" s="10"/>
      <c r="I2579" s="7"/>
      <c r="J2579" s="12"/>
      <c r="K2579" s="13"/>
      <c r="L2579" s="14"/>
      <c r="M2579" s="15"/>
      <c r="N2579" s="15"/>
      <c r="O2579" s="16"/>
      <c r="Q2579" s="16"/>
    </row>
    <row r="2580" spans="1:17" x14ac:dyDescent="0.3">
      <c r="A2580" s="5"/>
      <c r="B2580" s="6"/>
      <c r="C2580" s="7"/>
      <c r="D2580" s="8"/>
      <c r="E2580" s="8"/>
      <c r="F2580" s="10"/>
      <c r="G2580" s="10"/>
      <c r="H2580" s="10"/>
      <c r="I2580" s="7"/>
      <c r="J2580" s="12"/>
      <c r="K2580" s="13"/>
      <c r="L2580" s="14"/>
      <c r="M2580" s="15"/>
      <c r="N2580" s="15"/>
      <c r="O2580" s="16"/>
      <c r="Q2580" s="16"/>
    </row>
    <row r="2581" spans="1:17" x14ac:dyDescent="0.3">
      <c r="A2581" s="5"/>
      <c r="B2581" s="6"/>
      <c r="C2581" s="7"/>
      <c r="D2581" s="8"/>
      <c r="E2581" s="8"/>
      <c r="F2581" s="10"/>
      <c r="G2581" s="10"/>
      <c r="H2581" s="10"/>
      <c r="I2581" s="7"/>
      <c r="J2581" s="12"/>
      <c r="K2581" s="13"/>
      <c r="L2581" s="14"/>
      <c r="M2581" s="15"/>
      <c r="N2581" s="15"/>
      <c r="O2581" s="16"/>
      <c r="Q2581" s="16"/>
    </row>
    <row r="2582" spans="1:17" x14ac:dyDescent="0.3">
      <c r="A2582" s="5"/>
      <c r="B2582" s="6"/>
      <c r="C2582" s="7"/>
      <c r="D2582" s="8"/>
      <c r="E2582" s="8"/>
      <c r="F2582" s="10"/>
      <c r="G2582" s="10"/>
      <c r="H2582" s="10"/>
      <c r="I2582" s="7"/>
      <c r="J2582" s="12"/>
      <c r="K2582" s="13"/>
      <c r="L2582" s="14"/>
      <c r="M2582" s="15"/>
      <c r="N2582" s="15"/>
      <c r="O2582" s="16"/>
      <c r="Q2582" s="16"/>
    </row>
    <row r="2583" spans="1:17" x14ac:dyDescent="0.3">
      <c r="A2583" s="5"/>
      <c r="B2583" s="6"/>
      <c r="C2583" s="7"/>
      <c r="D2583" s="8"/>
      <c r="E2583" s="8"/>
      <c r="F2583" s="10"/>
      <c r="G2583" s="10"/>
      <c r="H2583" s="10"/>
      <c r="I2583" s="7"/>
      <c r="J2583" s="12"/>
      <c r="K2583" s="13"/>
      <c r="L2583" s="14"/>
      <c r="M2583" s="15"/>
      <c r="N2583" s="15"/>
      <c r="O2583" s="16"/>
      <c r="Q2583" s="16"/>
    </row>
    <row r="2584" spans="1:17" x14ac:dyDescent="0.3">
      <c r="A2584" s="5"/>
      <c r="B2584" s="6"/>
      <c r="C2584" s="7"/>
      <c r="D2584" s="8"/>
      <c r="E2584" s="8"/>
      <c r="F2584" s="10"/>
      <c r="G2584" s="10"/>
      <c r="H2584" s="10"/>
      <c r="I2584" s="7"/>
      <c r="J2584" s="12"/>
      <c r="K2584" s="13"/>
      <c r="L2584" s="14"/>
      <c r="M2584" s="15"/>
      <c r="N2584" s="15"/>
      <c r="O2584" s="16"/>
      <c r="Q2584" s="16"/>
    </row>
    <row r="2585" spans="1:17" x14ac:dyDescent="0.3">
      <c r="A2585" s="5"/>
      <c r="B2585" s="6"/>
      <c r="C2585" s="7"/>
      <c r="D2585" s="8"/>
      <c r="E2585" s="8"/>
      <c r="F2585" s="10"/>
      <c r="G2585" s="10"/>
      <c r="H2585" s="10"/>
      <c r="I2585" s="7"/>
      <c r="J2585" s="12"/>
      <c r="K2585" s="13"/>
      <c r="L2585" s="14"/>
      <c r="M2585" s="15"/>
      <c r="N2585" s="15"/>
      <c r="O2585" s="16"/>
      <c r="Q2585" s="16"/>
    </row>
    <row r="2586" spans="1:17" x14ac:dyDescent="0.3">
      <c r="A2586" s="5"/>
      <c r="B2586" s="6"/>
      <c r="C2586" s="7"/>
      <c r="D2586" s="8"/>
      <c r="E2586" s="8"/>
      <c r="F2586" s="10"/>
      <c r="G2586" s="10"/>
      <c r="H2586" s="10"/>
      <c r="I2586" s="7"/>
      <c r="J2586" s="12"/>
      <c r="K2586" s="13"/>
      <c r="L2586" s="14"/>
      <c r="M2586" s="15"/>
      <c r="N2586" s="15"/>
      <c r="O2586" s="16"/>
      <c r="Q2586" s="16"/>
    </row>
    <row r="2587" spans="1:17" x14ac:dyDescent="0.3">
      <c r="A2587" s="5"/>
      <c r="B2587" s="6"/>
      <c r="C2587" s="7"/>
      <c r="D2587" s="8"/>
      <c r="E2587" s="8"/>
      <c r="F2587" s="10"/>
      <c r="G2587" s="10"/>
      <c r="H2587" s="10"/>
      <c r="I2587" s="7"/>
      <c r="J2587" s="12"/>
      <c r="K2587" s="13"/>
      <c r="L2587" s="14"/>
      <c r="M2587" s="15"/>
      <c r="N2587" s="15"/>
      <c r="O2587" s="16"/>
      <c r="Q2587" s="16"/>
    </row>
    <row r="2588" spans="1:17" x14ac:dyDescent="0.3">
      <c r="A2588" s="5"/>
      <c r="B2588" s="6"/>
      <c r="C2588" s="7"/>
      <c r="D2588" s="8"/>
      <c r="E2588" s="8"/>
      <c r="F2588" s="10"/>
      <c r="G2588" s="10"/>
      <c r="H2588" s="10"/>
      <c r="I2588" s="7"/>
      <c r="J2588" s="12"/>
      <c r="K2588" s="13"/>
      <c r="L2588" s="14"/>
      <c r="M2588" s="15"/>
      <c r="N2588" s="15"/>
      <c r="O2588" s="16"/>
      <c r="Q2588" s="16"/>
    </row>
    <row r="2589" spans="1:17" x14ac:dyDescent="0.3">
      <c r="A2589" s="5"/>
      <c r="B2589" s="6"/>
      <c r="C2589" s="7"/>
      <c r="D2589" s="8"/>
      <c r="E2589" s="8"/>
      <c r="F2589" s="10"/>
      <c r="G2589" s="10"/>
      <c r="H2589" s="10"/>
      <c r="I2589" s="7"/>
      <c r="J2589" s="12"/>
      <c r="K2589" s="13"/>
      <c r="L2589" s="14"/>
      <c r="M2589" s="15"/>
      <c r="N2589" s="15"/>
      <c r="O2589" s="16"/>
      <c r="Q2589" s="16"/>
    </row>
    <row r="2590" spans="1:17" x14ac:dyDescent="0.3">
      <c r="A2590" s="5"/>
      <c r="B2590" s="6"/>
      <c r="C2590" s="7"/>
      <c r="D2590" s="8"/>
      <c r="E2590" s="8"/>
      <c r="F2590" s="10"/>
      <c r="G2590" s="10"/>
      <c r="H2590" s="10"/>
      <c r="I2590" s="7"/>
      <c r="J2590" s="12"/>
      <c r="K2590" s="13"/>
      <c r="L2590" s="14"/>
      <c r="M2590" s="15"/>
      <c r="N2590" s="15"/>
      <c r="O2590" s="16"/>
      <c r="Q2590" s="16"/>
    </row>
    <row r="2591" spans="1:17" x14ac:dyDescent="0.3">
      <c r="A2591" s="5"/>
      <c r="B2591" s="6"/>
      <c r="C2591" s="7"/>
      <c r="D2591" s="8"/>
      <c r="E2591" s="8"/>
      <c r="F2591" s="10"/>
      <c r="G2591" s="10"/>
      <c r="H2591" s="10"/>
      <c r="I2591" s="7"/>
      <c r="J2591" s="12"/>
      <c r="K2591" s="13"/>
      <c r="L2591" s="14"/>
      <c r="M2591" s="15"/>
      <c r="N2591" s="15"/>
      <c r="O2591" s="16"/>
      <c r="Q2591" s="16"/>
    </row>
    <row r="2592" spans="1:17" x14ac:dyDescent="0.3">
      <c r="A2592" s="5"/>
      <c r="B2592" s="6"/>
      <c r="C2592" s="7"/>
      <c r="D2592" s="8"/>
      <c r="E2592" s="8"/>
      <c r="F2592" s="10"/>
      <c r="G2592" s="10"/>
      <c r="H2592" s="10"/>
      <c r="I2592" s="7"/>
      <c r="J2592" s="12"/>
      <c r="K2592" s="13"/>
      <c r="L2592" s="14"/>
      <c r="M2592" s="15"/>
      <c r="N2592" s="15"/>
      <c r="O2592" s="16"/>
      <c r="Q2592" s="16"/>
    </row>
    <row r="2593" spans="1:17" x14ac:dyDescent="0.3">
      <c r="A2593" s="5"/>
      <c r="B2593" s="6"/>
      <c r="C2593" s="7"/>
      <c r="D2593" s="8"/>
      <c r="E2593" s="8"/>
      <c r="F2593" s="10"/>
      <c r="G2593" s="10"/>
      <c r="H2593" s="10"/>
      <c r="I2593" s="7"/>
      <c r="J2593" s="12"/>
      <c r="K2593" s="13"/>
      <c r="L2593" s="14"/>
      <c r="M2593" s="15"/>
      <c r="N2593" s="15"/>
      <c r="O2593" s="16"/>
      <c r="Q2593" s="16"/>
    </row>
    <row r="2594" spans="1:17" x14ac:dyDescent="0.3">
      <c r="A2594" s="5"/>
      <c r="B2594" s="6"/>
      <c r="C2594" s="7"/>
      <c r="D2594" s="8"/>
      <c r="E2594" s="8"/>
      <c r="F2594" s="10"/>
      <c r="G2594" s="10"/>
      <c r="H2594" s="10"/>
      <c r="I2594" s="7"/>
      <c r="J2594" s="12"/>
      <c r="K2594" s="13"/>
      <c r="L2594" s="14"/>
      <c r="M2594" s="15"/>
      <c r="N2594" s="15"/>
      <c r="O2594" s="16"/>
      <c r="Q2594" s="16"/>
    </row>
    <row r="2595" spans="1:17" x14ac:dyDescent="0.3">
      <c r="A2595" s="5"/>
      <c r="B2595" s="6"/>
      <c r="C2595" s="7"/>
      <c r="D2595" s="8"/>
      <c r="E2595" s="8"/>
      <c r="F2595" s="10"/>
      <c r="G2595" s="10"/>
      <c r="H2595" s="10"/>
      <c r="I2595" s="7"/>
      <c r="J2595" s="12"/>
      <c r="K2595" s="13"/>
      <c r="L2595" s="14"/>
      <c r="M2595" s="15"/>
      <c r="N2595" s="15"/>
      <c r="O2595" s="16"/>
      <c r="Q2595" s="16"/>
    </row>
    <row r="2596" spans="1:17" x14ac:dyDescent="0.3">
      <c r="A2596" s="5"/>
      <c r="B2596" s="6"/>
      <c r="C2596" s="7"/>
      <c r="D2596" s="8"/>
      <c r="E2596" s="8"/>
      <c r="F2596" s="10"/>
      <c r="G2596" s="10"/>
      <c r="H2596" s="10"/>
      <c r="I2596" s="7"/>
      <c r="J2596" s="12"/>
      <c r="K2596" s="13"/>
      <c r="L2596" s="14"/>
      <c r="M2596" s="15"/>
      <c r="N2596" s="15"/>
      <c r="O2596" s="16"/>
      <c r="Q2596" s="16"/>
    </row>
    <row r="2597" spans="1:17" x14ac:dyDescent="0.3">
      <c r="A2597" s="5"/>
      <c r="B2597" s="6"/>
      <c r="C2597" s="7"/>
      <c r="D2597" s="8"/>
      <c r="E2597" s="8"/>
      <c r="F2597" s="10"/>
      <c r="G2597" s="10"/>
      <c r="H2597" s="10"/>
      <c r="I2597" s="7"/>
      <c r="J2597" s="12"/>
      <c r="K2597" s="13"/>
      <c r="L2597" s="14"/>
      <c r="M2597" s="15"/>
      <c r="N2597" s="15"/>
      <c r="O2597" s="16"/>
      <c r="Q2597" s="16"/>
    </row>
    <row r="2598" spans="1:17" x14ac:dyDescent="0.3">
      <c r="A2598" s="5"/>
      <c r="B2598" s="6"/>
      <c r="C2598" s="7"/>
      <c r="D2598" s="8"/>
      <c r="E2598" s="8"/>
      <c r="F2598" s="10"/>
      <c r="G2598" s="10"/>
      <c r="H2598" s="10"/>
      <c r="I2598" s="7"/>
      <c r="J2598" s="12"/>
      <c r="K2598" s="13"/>
      <c r="L2598" s="14"/>
      <c r="M2598" s="15"/>
      <c r="N2598" s="15"/>
      <c r="O2598" s="16"/>
      <c r="Q2598" s="16"/>
    </row>
    <row r="2599" spans="1:17" x14ac:dyDescent="0.3">
      <c r="A2599" s="5"/>
      <c r="B2599" s="6"/>
      <c r="C2599" s="7"/>
      <c r="D2599" s="8"/>
      <c r="E2599" s="8"/>
      <c r="F2599" s="10"/>
      <c r="G2599" s="10"/>
      <c r="H2599" s="10"/>
      <c r="I2599" s="7"/>
      <c r="J2599" s="12"/>
      <c r="K2599" s="13"/>
      <c r="L2599" s="14"/>
      <c r="M2599" s="15"/>
      <c r="N2599" s="15"/>
      <c r="O2599" s="16"/>
      <c r="Q2599" s="16"/>
    </row>
    <row r="2600" spans="1:17" x14ac:dyDescent="0.3">
      <c r="A2600" s="5"/>
      <c r="B2600" s="6"/>
      <c r="C2600" s="7"/>
      <c r="D2600" s="8"/>
      <c r="E2600" s="8"/>
      <c r="F2600" s="10"/>
      <c r="G2600" s="10"/>
      <c r="H2600" s="10"/>
      <c r="I2600" s="7"/>
      <c r="J2600" s="12"/>
      <c r="K2600" s="13"/>
      <c r="L2600" s="14"/>
      <c r="M2600" s="15"/>
      <c r="N2600" s="15"/>
      <c r="O2600" s="16"/>
      <c r="Q2600" s="16"/>
    </row>
    <row r="2601" spans="1:17" x14ac:dyDescent="0.3">
      <c r="A2601" s="5"/>
      <c r="B2601" s="6"/>
      <c r="C2601" s="7"/>
      <c r="D2601" s="8"/>
      <c r="E2601" s="8"/>
      <c r="F2601" s="10"/>
      <c r="G2601" s="10"/>
      <c r="H2601" s="10"/>
      <c r="I2601" s="7"/>
      <c r="J2601" s="12"/>
      <c r="K2601" s="13"/>
      <c r="L2601" s="14"/>
      <c r="M2601" s="15"/>
      <c r="N2601" s="15"/>
      <c r="O2601" s="16"/>
      <c r="Q2601" s="16"/>
    </row>
    <row r="2602" spans="1:17" x14ac:dyDescent="0.3">
      <c r="A2602" s="5"/>
      <c r="B2602" s="6"/>
      <c r="C2602" s="7"/>
      <c r="D2602" s="8"/>
      <c r="E2602" s="8"/>
      <c r="F2602" s="10"/>
      <c r="G2602" s="10"/>
      <c r="H2602" s="10"/>
      <c r="I2602" s="7"/>
      <c r="J2602" s="12"/>
      <c r="K2602" s="13"/>
      <c r="L2602" s="14"/>
      <c r="M2602" s="15"/>
      <c r="N2602" s="15"/>
      <c r="O2602" s="16"/>
      <c r="Q2602" s="16"/>
    </row>
    <row r="2603" spans="1:17" x14ac:dyDescent="0.3">
      <c r="A2603" s="5"/>
      <c r="B2603" s="6"/>
      <c r="C2603" s="7"/>
      <c r="D2603" s="8"/>
      <c r="E2603" s="8"/>
      <c r="F2603" s="10"/>
      <c r="G2603" s="10"/>
      <c r="H2603" s="10"/>
      <c r="I2603" s="7"/>
      <c r="J2603" s="12"/>
      <c r="K2603" s="13"/>
      <c r="L2603" s="14"/>
      <c r="M2603" s="15"/>
      <c r="N2603" s="15"/>
      <c r="O2603" s="16"/>
      <c r="Q2603" s="16"/>
    </row>
    <row r="2604" spans="1:17" x14ac:dyDescent="0.3">
      <c r="A2604" s="5"/>
      <c r="B2604" s="6"/>
      <c r="C2604" s="7"/>
      <c r="D2604" s="8"/>
      <c r="E2604" s="8"/>
      <c r="F2604" s="10"/>
      <c r="G2604" s="10"/>
      <c r="H2604" s="10"/>
      <c r="I2604" s="7"/>
      <c r="J2604" s="12"/>
      <c r="K2604" s="13"/>
      <c r="L2604" s="14"/>
      <c r="M2604" s="15"/>
      <c r="N2604" s="15"/>
      <c r="O2604" s="16"/>
      <c r="Q2604" s="16"/>
    </row>
    <row r="2605" spans="1:17" x14ac:dyDescent="0.3">
      <c r="A2605" s="5"/>
      <c r="B2605" s="6"/>
      <c r="C2605" s="7"/>
      <c r="D2605" s="8"/>
      <c r="E2605" s="8"/>
      <c r="F2605" s="10"/>
      <c r="G2605" s="10"/>
      <c r="H2605" s="10"/>
      <c r="I2605" s="7"/>
      <c r="J2605" s="12"/>
      <c r="K2605" s="13"/>
      <c r="L2605" s="14"/>
      <c r="M2605" s="15"/>
      <c r="N2605" s="15"/>
      <c r="O2605" s="16"/>
      <c r="Q2605" s="16"/>
    </row>
    <row r="2606" spans="1:17" x14ac:dyDescent="0.3">
      <c r="A2606" s="5"/>
      <c r="B2606" s="6"/>
      <c r="C2606" s="7"/>
      <c r="D2606" s="8"/>
      <c r="E2606" s="8"/>
      <c r="F2606" s="10"/>
      <c r="G2606" s="10"/>
      <c r="H2606" s="10"/>
      <c r="I2606" s="7"/>
      <c r="J2606" s="12"/>
      <c r="K2606" s="13"/>
      <c r="L2606" s="14"/>
      <c r="M2606" s="15"/>
      <c r="N2606" s="15"/>
      <c r="O2606" s="16"/>
      <c r="Q2606" s="16"/>
    </row>
    <row r="2607" spans="1:17" x14ac:dyDescent="0.3">
      <c r="A2607" s="5"/>
      <c r="B2607" s="6"/>
      <c r="C2607" s="7"/>
      <c r="D2607" s="8"/>
      <c r="E2607" s="8"/>
      <c r="F2607" s="10"/>
      <c r="G2607" s="10"/>
      <c r="H2607" s="10"/>
      <c r="I2607" s="7"/>
      <c r="J2607" s="12"/>
      <c r="K2607" s="13"/>
      <c r="L2607" s="14"/>
      <c r="M2607" s="15"/>
      <c r="N2607" s="15"/>
      <c r="O2607" s="16"/>
      <c r="Q2607" s="16"/>
    </row>
    <row r="2608" spans="1:17" x14ac:dyDescent="0.3">
      <c r="A2608" s="5"/>
      <c r="B2608" s="6"/>
      <c r="C2608" s="7"/>
      <c r="D2608" s="8"/>
      <c r="E2608" s="8"/>
      <c r="F2608" s="10"/>
      <c r="G2608" s="10"/>
      <c r="H2608" s="10"/>
      <c r="I2608" s="7"/>
      <c r="J2608" s="12"/>
      <c r="K2608" s="13"/>
      <c r="L2608" s="14"/>
      <c r="M2608" s="15"/>
      <c r="N2608" s="15"/>
      <c r="O2608" s="16"/>
      <c r="Q2608" s="16"/>
    </row>
    <row r="2609" spans="1:17" x14ac:dyDescent="0.3">
      <c r="A2609" s="5"/>
      <c r="B2609" s="6"/>
      <c r="C2609" s="7"/>
      <c r="D2609" s="8"/>
      <c r="E2609" s="8"/>
      <c r="F2609" s="10"/>
      <c r="G2609" s="10"/>
      <c r="H2609" s="10"/>
      <c r="I2609" s="7"/>
      <c r="J2609" s="12"/>
      <c r="K2609" s="13"/>
      <c r="L2609" s="14"/>
      <c r="M2609" s="15"/>
      <c r="N2609" s="15"/>
      <c r="O2609" s="16"/>
      <c r="Q2609" s="16"/>
    </row>
    <row r="2610" spans="1:17" x14ac:dyDescent="0.3">
      <c r="A2610" s="5"/>
      <c r="B2610" s="6"/>
      <c r="C2610" s="7"/>
      <c r="D2610" s="8"/>
      <c r="E2610" s="8"/>
      <c r="F2610" s="10"/>
      <c r="G2610" s="10"/>
      <c r="H2610" s="10"/>
      <c r="I2610" s="7"/>
      <c r="J2610" s="12"/>
      <c r="K2610" s="13"/>
      <c r="L2610" s="14"/>
      <c r="M2610" s="15"/>
      <c r="N2610" s="15"/>
      <c r="O2610" s="16"/>
      <c r="Q2610" s="16"/>
    </row>
    <row r="2611" spans="1:17" x14ac:dyDescent="0.3">
      <c r="A2611" s="5"/>
      <c r="B2611" s="6"/>
      <c r="C2611" s="7"/>
      <c r="D2611" s="8"/>
      <c r="E2611" s="8"/>
      <c r="F2611" s="10"/>
      <c r="G2611" s="10"/>
      <c r="H2611" s="10"/>
      <c r="I2611" s="7"/>
      <c r="J2611" s="12"/>
      <c r="K2611" s="13"/>
      <c r="L2611" s="14"/>
      <c r="M2611" s="15"/>
      <c r="N2611" s="15"/>
      <c r="O2611" s="16"/>
      <c r="Q2611" s="16"/>
    </row>
    <row r="2612" spans="1:17" x14ac:dyDescent="0.3">
      <c r="A2612" s="5"/>
      <c r="B2612" s="6"/>
      <c r="C2612" s="7"/>
      <c r="D2612" s="8"/>
      <c r="E2612" s="8"/>
      <c r="F2612" s="10"/>
      <c r="G2612" s="10"/>
      <c r="H2612" s="10"/>
      <c r="I2612" s="7"/>
      <c r="J2612" s="12"/>
      <c r="K2612" s="13"/>
      <c r="L2612" s="14"/>
      <c r="M2612" s="15"/>
      <c r="N2612" s="15"/>
      <c r="O2612" s="16"/>
      <c r="Q2612" s="16"/>
    </row>
    <row r="2613" spans="1:17" x14ac:dyDescent="0.3">
      <c r="A2613" s="5"/>
      <c r="B2613" s="6"/>
      <c r="C2613" s="7"/>
      <c r="D2613" s="8"/>
      <c r="E2613" s="8"/>
      <c r="F2613" s="10"/>
      <c r="G2613" s="10"/>
      <c r="H2613" s="10"/>
      <c r="I2613" s="7"/>
      <c r="J2613" s="12"/>
      <c r="K2613" s="13"/>
      <c r="L2613" s="14"/>
      <c r="M2613" s="15"/>
      <c r="N2613" s="15"/>
      <c r="O2613" s="16"/>
      <c r="Q2613" s="16"/>
    </row>
    <row r="2614" spans="1:17" x14ac:dyDescent="0.3">
      <c r="A2614" s="5"/>
      <c r="B2614" s="6"/>
      <c r="C2614" s="7"/>
      <c r="D2614" s="8"/>
      <c r="E2614" s="8"/>
      <c r="F2614" s="10"/>
      <c r="G2614" s="10"/>
      <c r="H2614" s="10"/>
      <c r="I2614" s="7"/>
      <c r="J2614" s="12"/>
      <c r="K2614" s="13"/>
      <c r="L2614" s="14"/>
      <c r="M2614" s="15"/>
      <c r="N2614" s="15"/>
      <c r="O2614" s="16"/>
      <c r="Q2614" s="16"/>
    </row>
    <row r="2615" spans="1:17" x14ac:dyDescent="0.3">
      <c r="A2615" s="5"/>
      <c r="B2615" s="6"/>
      <c r="C2615" s="7"/>
      <c r="D2615" s="8"/>
      <c r="E2615" s="8"/>
      <c r="F2615" s="10"/>
      <c r="G2615" s="10"/>
      <c r="H2615" s="10"/>
      <c r="I2615" s="7"/>
      <c r="J2615" s="12"/>
      <c r="K2615" s="13"/>
      <c r="L2615" s="14"/>
      <c r="M2615" s="15"/>
      <c r="N2615" s="15"/>
      <c r="O2615" s="16"/>
      <c r="Q2615" s="16"/>
    </row>
    <row r="2616" spans="1:17" x14ac:dyDescent="0.3">
      <c r="A2616" s="5"/>
      <c r="B2616" s="6"/>
      <c r="C2616" s="7"/>
      <c r="D2616" s="8"/>
      <c r="E2616" s="8"/>
      <c r="F2616" s="10"/>
      <c r="G2616" s="10"/>
      <c r="H2616" s="10"/>
      <c r="I2616" s="7"/>
      <c r="J2616" s="12"/>
      <c r="K2616" s="13"/>
      <c r="L2616" s="14"/>
      <c r="M2616" s="15"/>
      <c r="N2616" s="15"/>
      <c r="O2616" s="16"/>
      <c r="Q2616" s="16"/>
    </row>
    <row r="2617" spans="1:17" x14ac:dyDescent="0.3">
      <c r="A2617" s="5"/>
      <c r="B2617" s="6"/>
      <c r="C2617" s="7"/>
      <c r="D2617" s="8"/>
      <c r="E2617" s="8"/>
      <c r="F2617" s="10"/>
      <c r="G2617" s="10"/>
      <c r="H2617" s="10"/>
      <c r="I2617" s="7"/>
      <c r="J2617" s="12"/>
      <c r="K2617" s="13"/>
      <c r="L2617" s="14"/>
      <c r="M2617" s="15"/>
      <c r="N2617" s="15"/>
      <c r="O2617" s="16"/>
      <c r="Q2617" s="16"/>
    </row>
    <row r="2618" spans="1:17" x14ac:dyDescent="0.3">
      <c r="A2618" s="5"/>
      <c r="B2618" s="6"/>
      <c r="C2618" s="7"/>
      <c r="D2618" s="8"/>
      <c r="E2618" s="8"/>
      <c r="F2618" s="10"/>
      <c r="G2618" s="10"/>
      <c r="H2618" s="10"/>
      <c r="I2618" s="7"/>
      <c r="J2618" s="12"/>
      <c r="K2618" s="13"/>
      <c r="L2618" s="14"/>
      <c r="M2618" s="15"/>
      <c r="N2618" s="15"/>
      <c r="O2618" s="16"/>
      <c r="Q2618" s="16"/>
    </row>
    <row r="2619" spans="1:17" x14ac:dyDescent="0.3">
      <c r="A2619" s="5"/>
      <c r="B2619" s="6"/>
      <c r="C2619" s="7"/>
      <c r="D2619" s="8"/>
      <c r="E2619" s="8"/>
      <c r="F2619" s="10"/>
      <c r="G2619" s="10"/>
      <c r="H2619" s="10"/>
      <c r="I2619" s="7"/>
      <c r="J2619" s="12"/>
      <c r="K2619" s="13"/>
      <c r="L2619" s="14"/>
      <c r="M2619" s="15"/>
      <c r="N2619" s="15"/>
      <c r="O2619" s="16"/>
      <c r="Q2619" s="16"/>
    </row>
    <row r="2620" spans="1:17" x14ac:dyDescent="0.3">
      <c r="A2620" s="5"/>
      <c r="B2620" s="6"/>
      <c r="C2620" s="7"/>
      <c r="D2620" s="8"/>
      <c r="E2620" s="8"/>
      <c r="F2620" s="10"/>
      <c r="G2620" s="10"/>
      <c r="H2620" s="10"/>
      <c r="I2620" s="7"/>
      <c r="J2620" s="12"/>
      <c r="K2620" s="13"/>
      <c r="L2620" s="14"/>
      <c r="M2620" s="15"/>
      <c r="N2620" s="15"/>
      <c r="O2620" s="16"/>
      <c r="Q2620" s="16"/>
    </row>
    <row r="2621" spans="1:17" x14ac:dyDescent="0.3">
      <c r="A2621" s="5"/>
      <c r="B2621" s="6"/>
      <c r="C2621" s="7"/>
      <c r="D2621" s="8"/>
      <c r="E2621" s="8"/>
      <c r="F2621" s="10"/>
      <c r="G2621" s="10"/>
      <c r="H2621" s="10"/>
      <c r="I2621" s="7"/>
      <c r="J2621" s="12"/>
      <c r="K2621" s="13"/>
      <c r="L2621" s="14"/>
      <c r="M2621" s="15"/>
      <c r="N2621" s="15"/>
      <c r="O2621" s="16"/>
      <c r="Q2621" s="16"/>
    </row>
    <row r="2622" spans="1:17" x14ac:dyDescent="0.3">
      <c r="A2622" s="5"/>
      <c r="B2622" s="6"/>
      <c r="C2622" s="7"/>
      <c r="D2622" s="8"/>
      <c r="E2622" s="8"/>
      <c r="F2622" s="10"/>
      <c r="G2622" s="10"/>
      <c r="H2622" s="10"/>
      <c r="I2622" s="7"/>
      <c r="J2622" s="12"/>
      <c r="K2622" s="13"/>
      <c r="L2622" s="14"/>
      <c r="M2622" s="15"/>
      <c r="N2622" s="15"/>
      <c r="O2622" s="16"/>
      <c r="Q2622" s="16"/>
    </row>
    <row r="2623" spans="1:17" x14ac:dyDescent="0.3">
      <c r="A2623" s="5"/>
      <c r="B2623" s="6"/>
      <c r="C2623" s="7"/>
      <c r="D2623" s="8"/>
      <c r="E2623" s="8"/>
      <c r="F2623" s="10"/>
      <c r="G2623" s="10"/>
      <c r="H2623" s="10"/>
      <c r="I2623" s="7"/>
      <c r="J2623" s="12"/>
      <c r="K2623" s="13"/>
      <c r="L2623" s="14"/>
      <c r="M2623" s="15"/>
      <c r="N2623" s="15"/>
      <c r="O2623" s="16"/>
      <c r="Q2623" s="16"/>
    </row>
    <row r="2624" spans="1:17" x14ac:dyDescent="0.3">
      <c r="A2624" s="5"/>
      <c r="B2624" s="6"/>
      <c r="C2624" s="7"/>
      <c r="D2624" s="8"/>
      <c r="E2624" s="8"/>
      <c r="F2624" s="10"/>
      <c r="G2624" s="10"/>
      <c r="H2624" s="10"/>
      <c r="I2624" s="7"/>
      <c r="J2624" s="12"/>
      <c r="K2624" s="13"/>
      <c r="L2624" s="14"/>
      <c r="M2624" s="15"/>
      <c r="N2624" s="15"/>
      <c r="O2624" s="16"/>
      <c r="Q2624" s="16"/>
    </row>
    <row r="2625" spans="1:17" x14ac:dyDescent="0.3">
      <c r="A2625" s="5"/>
      <c r="B2625" s="6"/>
      <c r="C2625" s="7"/>
      <c r="D2625" s="8"/>
      <c r="E2625" s="8"/>
      <c r="F2625" s="10"/>
      <c r="G2625" s="10"/>
      <c r="H2625" s="10"/>
      <c r="I2625" s="7"/>
      <c r="J2625" s="12"/>
      <c r="K2625" s="13"/>
      <c r="L2625" s="14"/>
      <c r="M2625" s="15"/>
      <c r="N2625" s="15"/>
      <c r="O2625" s="16"/>
      <c r="Q2625" s="16"/>
    </row>
    <row r="2626" spans="1:17" x14ac:dyDescent="0.3">
      <c r="A2626" s="5"/>
      <c r="B2626" s="6"/>
      <c r="C2626" s="7"/>
      <c r="D2626" s="8"/>
      <c r="E2626" s="8"/>
      <c r="F2626" s="10"/>
      <c r="G2626" s="10"/>
      <c r="H2626" s="10"/>
      <c r="I2626" s="7"/>
      <c r="J2626" s="12"/>
      <c r="K2626" s="13"/>
      <c r="L2626" s="14"/>
      <c r="M2626" s="15"/>
      <c r="N2626" s="15"/>
      <c r="O2626" s="16"/>
      <c r="Q2626" s="16"/>
    </row>
    <row r="2627" spans="1:17" x14ac:dyDescent="0.3">
      <c r="A2627" s="5"/>
      <c r="B2627" s="6"/>
      <c r="C2627" s="7"/>
      <c r="D2627" s="8"/>
      <c r="E2627" s="8"/>
      <c r="F2627" s="10"/>
      <c r="G2627" s="10"/>
      <c r="H2627" s="10"/>
      <c r="I2627" s="7"/>
      <c r="J2627" s="12"/>
      <c r="K2627" s="13"/>
      <c r="L2627" s="14"/>
      <c r="M2627" s="15"/>
      <c r="N2627" s="15"/>
      <c r="O2627" s="16"/>
      <c r="Q2627" s="16"/>
    </row>
    <row r="2628" spans="1:17" x14ac:dyDescent="0.3">
      <c r="A2628" s="5"/>
      <c r="B2628" s="6"/>
      <c r="C2628" s="7"/>
      <c r="D2628" s="8"/>
      <c r="E2628" s="8"/>
      <c r="F2628" s="10"/>
      <c r="G2628" s="10"/>
      <c r="H2628" s="10"/>
      <c r="I2628" s="7"/>
      <c r="J2628" s="12"/>
      <c r="K2628" s="13"/>
      <c r="L2628" s="14"/>
      <c r="M2628" s="15"/>
      <c r="N2628" s="15"/>
      <c r="O2628" s="16"/>
      <c r="Q2628" s="16"/>
    </row>
    <row r="2629" spans="1:17" x14ac:dyDescent="0.3">
      <c r="A2629" s="5"/>
      <c r="B2629" s="6"/>
      <c r="C2629" s="7"/>
      <c r="D2629" s="8"/>
      <c r="E2629" s="8"/>
      <c r="F2629" s="10"/>
      <c r="G2629" s="10"/>
      <c r="H2629" s="10"/>
      <c r="I2629" s="7"/>
      <c r="J2629" s="12"/>
      <c r="K2629" s="13"/>
      <c r="L2629" s="14"/>
      <c r="M2629" s="15"/>
      <c r="N2629" s="15"/>
      <c r="O2629" s="16"/>
      <c r="Q2629" s="16"/>
    </row>
    <row r="2630" spans="1:17" x14ac:dyDescent="0.3">
      <c r="A2630" s="5"/>
      <c r="B2630" s="6"/>
      <c r="C2630" s="7"/>
      <c r="D2630" s="8"/>
      <c r="E2630" s="8"/>
      <c r="F2630" s="10"/>
      <c r="G2630" s="10"/>
      <c r="H2630" s="10"/>
      <c r="I2630" s="7"/>
      <c r="J2630" s="12"/>
      <c r="K2630" s="13"/>
      <c r="L2630" s="14"/>
      <c r="M2630" s="15"/>
      <c r="N2630" s="15"/>
      <c r="O2630" s="16"/>
      <c r="Q2630" s="16"/>
    </row>
    <row r="2631" spans="1:17" x14ac:dyDescent="0.3">
      <c r="A2631" s="5"/>
      <c r="B2631" s="6"/>
      <c r="C2631" s="7"/>
      <c r="D2631" s="8"/>
      <c r="E2631" s="8"/>
      <c r="F2631" s="10"/>
      <c r="G2631" s="10"/>
      <c r="H2631" s="10"/>
      <c r="I2631" s="7"/>
      <c r="J2631" s="12"/>
      <c r="K2631" s="13"/>
      <c r="L2631" s="14"/>
      <c r="M2631" s="15"/>
      <c r="N2631" s="15"/>
      <c r="O2631" s="16"/>
      <c r="Q2631" s="16"/>
    </row>
    <row r="2632" spans="1:17" x14ac:dyDescent="0.3">
      <c r="A2632" s="5"/>
      <c r="B2632" s="6"/>
      <c r="C2632" s="7"/>
      <c r="D2632" s="8"/>
      <c r="E2632" s="8"/>
      <c r="F2632" s="10"/>
      <c r="G2632" s="10"/>
      <c r="H2632" s="10"/>
      <c r="I2632" s="7"/>
      <c r="J2632" s="12"/>
      <c r="K2632" s="13"/>
      <c r="L2632" s="14"/>
      <c r="M2632" s="15"/>
      <c r="N2632" s="15"/>
      <c r="O2632" s="16"/>
      <c r="Q2632" s="16"/>
    </row>
    <row r="2633" spans="1:17" x14ac:dyDescent="0.3">
      <c r="A2633" s="5"/>
      <c r="B2633" s="6"/>
      <c r="C2633" s="7"/>
      <c r="D2633" s="8"/>
      <c r="E2633" s="8"/>
      <c r="F2633" s="10"/>
      <c r="G2633" s="10"/>
      <c r="H2633" s="10"/>
      <c r="I2633" s="7"/>
      <c r="J2633" s="12"/>
      <c r="K2633" s="13"/>
      <c r="L2633" s="14"/>
      <c r="M2633" s="15"/>
      <c r="N2633" s="15"/>
      <c r="O2633" s="16"/>
      <c r="Q2633" s="16"/>
    </row>
    <row r="2634" spans="1:17" x14ac:dyDescent="0.3">
      <c r="A2634" s="5"/>
      <c r="B2634" s="6"/>
      <c r="C2634" s="7"/>
      <c r="D2634" s="8"/>
      <c r="E2634" s="8"/>
      <c r="F2634" s="10"/>
      <c r="G2634" s="10"/>
      <c r="H2634" s="10"/>
      <c r="I2634" s="7"/>
      <c r="J2634" s="12"/>
      <c r="K2634" s="13"/>
      <c r="L2634" s="14"/>
      <c r="M2634" s="15"/>
      <c r="N2634" s="15"/>
      <c r="O2634" s="16"/>
      <c r="Q2634" s="16"/>
    </row>
    <row r="2635" spans="1:17" x14ac:dyDescent="0.3">
      <c r="A2635" s="5"/>
      <c r="B2635" s="6"/>
      <c r="C2635" s="7"/>
      <c r="D2635" s="8"/>
      <c r="E2635" s="8"/>
      <c r="F2635" s="10"/>
      <c r="G2635" s="10"/>
      <c r="H2635" s="10"/>
      <c r="I2635" s="7"/>
      <c r="J2635" s="12"/>
      <c r="K2635" s="13"/>
      <c r="L2635" s="14"/>
      <c r="M2635" s="15"/>
      <c r="N2635" s="15"/>
      <c r="O2635" s="16"/>
      <c r="Q2635" s="16"/>
    </row>
    <row r="2636" spans="1:17" x14ac:dyDescent="0.3">
      <c r="A2636" s="5"/>
      <c r="B2636" s="6"/>
      <c r="C2636" s="7"/>
      <c r="D2636" s="8"/>
      <c r="E2636" s="8"/>
      <c r="F2636" s="10"/>
      <c r="G2636" s="10"/>
      <c r="H2636" s="10"/>
      <c r="I2636" s="7"/>
      <c r="J2636" s="12"/>
      <c r="K2636" s="13"/>
      <c r="L2636" s="14"/>
      <c r="M2636" s="15"/>
      <c r="N2636" s="15"/>
      <c r="O2636" s="16"/>
      <c r="Q2636" s="16"/>
    </row>
    <row r="2637" spans="1:17" x14ac:dyDescent="0.3">
      <c r="A2637" s="5"/>
      <c r="B2637" s="6"/>
      <c r="C2637" s="7"/>
      <c r="D2637" s="8"/>
      <c r="E2637" s="8"/>
      <c r="F2637" s="10"/>
      <c r="G2637" s="10"/>
      <c r="H2637" s="10"/>
      <c r="I2637" s="7"/>
      <c r="J2637" s="12"/>
      <c r="K2637" s="13"/>
      <c r="L2637" s="14"/>
      <c r="M2637" s="15"/>
      <c r="N2637" s="15"/>
      <c r="O2637" s="16"/>
      <c r="Q2637" s="16"/>
    </row>
    <row r="2638" spans="1:17" x14ac:dyDescent="0.3">
      <c r="A2638" s="5"/>
      <c r="B2638" s="6"/>
      <c r="C2638" s="7"/>
      <c r="D2638" s="8"/>
      <c r="E2638" s="8"/>
      <c r="F2638" s="10"/>
      <c r="G2638" s="10"/>
      <c r="H2638" s="10"/>
      <c r="I2638" s="7"/>
      <c r="J2638" s="12"/>
      <c r="K2638" s="13"/>
      <c r="L2638" s="14"/>
      <c r="M2638" s="15"/>
      <c r="N2638" s="15"/>
      <c r="O2638" s="16"/>
      <c r="Q2638" s="16"/>
    </row>
    <row r="2639" spans="1:17" x14ac:dyDescent="0.3">
      <c r="A2639" s="5"/>
      <c r="B2639" s="6"/>
      <c r="C2639" s="7"/>
      <c r="D2639" s="8"/>
      <c r="E2639" s="8"/>
      <c r="F2639" s="10"/>
      <c r="G2639" s="10"/>
      <c r="H2639" s="10"/>
      <c r="I2639" s="7"/>
      <c r="J2639" s="12"/>
      <c r="K2639" s="13"/>
      <c r="L2639" s="14"/>
      <c r="M2639" s="15"/>
      <c r="N2639" s="15"/>
      <c r="O2639" s="16"/>
      <c r="Q2639" s="16"/>
    </row>
    <row r="2640" spans="1:17" x14ac:dyDescent="0.3">
      <c r="A2640" s="5"/>
      <c r="B2640" s="6"/>
      <c r="C2640" s="7"/>
      <c r="D2640" s="8"/>
      <c r="E2640" s="8"/>
      <c r="F2640" s="10"/>
      <c r="G2640" s="10"/>
      <c r="H2640" s="10"/>
      <c r="I2640" s="7"/>
      <c r="J2640" s="12"/>
      <c r="K2640" s="13"/>
      <c r="L2640" s="14"/>
      <c r="M2640" s="15"/>
      <c r="N2640" s="15"/>
      <c r="O2640" s="16"/>
      <c r="Q2640" s="16"/>
    </row>
    <row r="2641" spans="1:17" x14ac:dyDescent="0.3">
      <c r="A2641" s="5"/>
      <c r="B2641" s="6"/>
      <c r="C2641" s="7"/>
      <c r="D2641" s="8"/>
      <c r="E2641" s="8"/>
      <c r="F2641" s="10"/>
      <c r="G2641" s="10"/>
      <c r="H2641" s="10"/>
      <c r="I2641" s="7"/>
      <c r="J2641" s="12"/>
      <c r="K2641" s="13"/>
      <c r="L2641" s="14"/>
      <c r="M2641" s="15"/>
      <c r="N2641" s="15"/>
      <c r="O2641" s="16"/>
      <c r="Q2641" s="16"/>
    </row>
    <row r="2642" spans="1:17" x14ac:dyDescent="0.3">
      <c r="A2642" s="5"/>
      <c r="B2642" s="6"/>
      <c r="C2642" s="7"/>
      <c r="D2642" s="8"/>
      <c r="E2642" s="8"/>
      <c r="F2642" s="10"/>
      <c r="G2642" s="10"/>
      <c r="H2642" s="10"/>
      <c r="I2642" s="7"/>
      <c r="J2642" s="12"/>
      <c r="K2642" s="13"/>
      <c r="L2642" s="14"/>
      <c r="M2642" s="15"/>
      <c r="N2642" s="15"/>
      <c r="O2642" s="16"/>
      <c r="Q2642" s="16"/>
    </row>
    <row r="2643" spans="1:17" x14ac:dyDescent="0.3">
      <c r="A2643" s="5"/>
      <c r="B2643" s="6"/>
      <c r="C2643" s="7"/>
      <c r="D2643" s="8"/>
      <c r="E2643" s="8"/>
      <c r="F2643" s="10"/>
      <c r="G2643" s="10"/>
      <c r="H2643" s="10"/>
      <c r="I2643" s="7"/>
      <c r="J2643" s="12"/>
      <c r="K2643" s="13"/>
      <c r="L2643" s="14"/>
      <c r="M2643" s="15"/>
      <c r="N2643" s="15"/>
      <c r="O2643" s="16"/>
      <c r="Q2643" s="16"/>
    </row>
    <row r="2644" spans="1:17" x14ac:dyDescent="0.3">
      <c r="A2644" s="5"/>
      <c r="B2644" s="6"/>
      <c r="C2644" s="7"/>
      <c r="D2644" s="8"/>
      <c r="E2644" s="8"/>
      <c r="F2644" s="10"/>
      <c r="G2644" s="10"/>
      <c r="H2644" s="10"/>
      <c r="I2644" s="7"/>
      <c r="J2644" s="12"/>
      <c r="K2644" s="13"/>
      <c r="L2644" s="14"/>
      <c r="M2644" s="15"/>
      <c r="N2644" s="15"/>
      <c r="O2644" s="16"/>
      <c r="Q2644" s="16"/>
    </row>
    <row r="2645" spans="1:17" x14ac:dyDescent="0.3">
      <c r="A2645" s="5"/>
      <c r="B2645" s="6"/>
      <c r="C2645" s="7"/>
      <c r="D2645" s="8"/>
      <c r="E2645" s="8"/>
      <c r="F2645" s="10"/>
      <c r="G2645" s="10"/>
      <c r="H2645" s="10"/>
      <c r="I2645" s="7"/>
      <c r="J2645" s="12"/>
      <c r="K2645" s="13"/>
      <c r="L2645" s="14"/>
      <c r="M2645" s="15"/>
      <c r="N2645" s="15"/>
      <c r="O2645" s="16"/>
      <c r="Q2645" s="16"/>
    </row>
    <row r="2646" spans="1:17" x14ac:dyDescent="0.3">
      <c r="A2646" s="5"/>
      <c r="B2646" s="6"/>
      <c r="C2646" s="7"/>
      <c r="D2646" s="8"/>
      <c r="E2646" s="8"/>
      <c r="F2646" s="10"/>
      <c r="G2646" s="10"/>
      <c r="H2646" s="10"/>
      <c r="I2646" s="7"/>
      <c r="J2646" s="12"/>
      <c r="K2646" s="13"/>
      <c r="L2646" s="14"/>
      <c r="M2646" s="15"/>
      <c r="N2646" s="15"/>
      <c r="O2646" s="16"/>
      <c r="Q2646" s="16"/>
    </row>
    <row r="2647" spans="1:17" x14ac:dyDescent="0.3">
      <c r="A2647" s="5"/>
      <c r="B2647" s="6"/>
      <c r="C2647" s="7"/>
      <c r="D2647" s="8"/>
      <c r="E2647" s="8"/>
      <c r="F2647" s="10"/>
      <c r="G2647" s="10"/>
      <c r="H2647" s="10"/>
      <c r="I2647" s="7"/>
      <c r="J2647" s="12"/>
      <c r="K2647" s="13"/>
      <c r="L2647" s="14"/>
      <c r="M2647" s="15"/>
      <c r="N2647" s="15"/>
      <c r="O2647" s="16"/>
      <c r="Q2647" s="16"/>
    </row>
    <row r="2648" spans="1:17" x14ac:dyDescent="0.3">
      <c r="A2648" s="5"/>
      <c r="B2648" s="6"/>
      <c r="C2648" s="7"/>
      <c r="D2648" s="8"/>
      <c r="E2648" s="8"/>
      <c r="F2648" s="10"/>
      <c r="G2648" s="10"/>
      <c r="H2648" s="10"/>
      <c r="I2648" s="7"/>
      <c r="J2648" s="12"/>
      <c r="K2648" s="13"/>
      <c r="L2648" s="14"/>
      <c r="M2648" s="15"/>
      <c r="N2648" s="15"/>
      <c r="O2648" s="16"/>
      <c r="Q2648" s="16"/>
    </row>
    <row r="2649" spans="1:17" x14ac:dyDescent="0.3">
      <c r="A2649" s="5"/>
      <c r="B2649" s="6"/>
      <c r="C2649" s="7"/>
      <c r="D2649" s="8"/>
      <c r="E2649" s="8"/>
      <c r="F2649" s="10"/>
      <c r="G2649" s="10"/>
      <c r="H2649" s="10"/>
      <c r="I2649" s="7"/>
      <c r="J2649" s="12"/>
      <c r="K2649" s="13"/>
      <c r="L2649" s="14"/>
      <c r="M2649" s="15"/>
      <c r="N2649" s="15"/>
      <c r="O2649" s="16"/>
      <c r="Q2649" s="16"/>
    </row>
    <row r="2650" spans="1:17" x14ac:dyDescent="0.3">
      <c r="A2650" s="5"/>
      <c r="B2650" s="6"/>
      <c r="C2650" s="7"/>
      <c r="D2650" s="8"/>
      <c r="E2650" s="8"/>
      <c r="F2650" s="10"/>
      <c r="G2650" s="10"/>
      <c r="H2650" s="10"/>
      <c r="I2650" s="7"/>
      <c r="J2650" s="12"/>
      <c r="K2650" s="13"/>
      <c r="L2650" s="14"/>
      <c r="M2650" s="15"/>
      <c r="N2650" s="15"/>
      <c r="O2650" s="16"/>
      <c r="Q2650" s="16"/>
    </row>
    <row r="2651" spans="1:17" x14ac:dyDescent="0.3">
      <c r="A2651" s="5"/>
      <c r="B2651" s="6"/>
      <c r="C2651" s="7"/>
      <c r="D2651" s="8"/>
      <c r="E2651" s="8"/>
      <c r="F2651" s="10"/>
      <c r="G2651" s="10"/>
      <c r="H2651" s="10"/>
      <c r="I2651" s="7"/>
      <c r="J2651" s="12"/>
      <c r="K2651" s="13"/>
      <c r="L2651" s="14"/>
      <c r="M2651" s="15"/>
      <c r="N2651" s="15"/>
      <c r="O2651" s="16"/>
      <c r="Q2651" s="16"/>
    </row>
    <row r="2652" spans="1:17" x14ac:dyDescent="0.3">
      <c r="A2652" s="5"/>
      <c r="B2652" s="6"/>
      <c r="C2652" s="7"/>
      <c r="D2652" s="8"/>
      <c r="E2652" s="8"/>
      <c r="F2652" s="10"/>
      <c r="G2652" s="10"/>
      <c r="H2652" s="10"/>
      <c r="I2652" s="7"/>
      <c r="J2652" s="12"/>
      <c r="K2652" s="13"/>
      <c r="L2652" s="14"/>
      <c r="M2652" s="15"/>
      <c r="N2652" s="15"/>
      <c r="O2652" s="16"/>
      <c r="Q2652" s="16"/>
    </row>
    <row r="2653" spans="1:17" x14ac:dyDescent="0.3">
      <c r="A2653" s="5"/>
      <c r="B2653" s="6"/>
      <c r="C2653" s="7"/>
      <c r="D2653" s="8"/>
      <c r="E2653" s="8"/>
      <c r="F2653" s="10"/>
      <c r="G2653" s="10"/>
      <c r="H2653" s="10"/>
      <c r="I2653" s="7"/>
      <c r="J2653" s="12"/>
      <c r="K2653" s="13"/>
      <c r="L2653" s="14"/>
      <c r="M2653" s="15"/>
      <c r="N2653" s="15"/>
      <c r="O2653" s="16"/>
      <c r="Q2653" s="16"/>
    </row>
    <row r="2654" spans="1:17" x14ac:dyDescent="0.3">
      <c r="A2654" s="5"/>
      <c r="B2654" s="6"/>
      <c r="C2654" s="7"/>
      <c r="D2654" s="8"/>
      <c r="E2654" s="8"/>
      <c r="F2654" s="10"/>
      <c r="G2654" s="10"/>
      <c r="H2654" s="10"/>
      <c r="I2654" s="7"/>
      <c r="J2654" s="12"/>
      <c r="K2654" s="13"/>
      <c r="L2654" s="14"/>
      <c r="M2654" s="15"/>
      <c r="N2654" s="15"/>
      <c r="O2654" s="16"/>
      <c r="Q2654" s="16"/>
    </row>
    <row r="2655" spans="1:17" x14ac:dyDescent="0.3">
      <c r="A2655" s="5"/>
      <c r="B2655" s="6"/>
      <c r="C2655" s="7"/>
      <c r="D2655" s="8"/>
      <c r="E2655" s="8"/>
      <c r="F2655" s="10"/>
      <c r="G2655" s="10"/>
      <c r="H2655" s="10"/>
      <c r="I2655" s="7"/>
      <c r="J2655" s="12"/>
      <c r="K2655" s="13"/>
      <c r="L2655" s="14"/>
      <c r="M2655" s="15"/>
      <c r="N2655" s="15"/>
      <c r="O2655" s="16"/>
      <c r="Q2655" s="16"/>
    </row>
    <row r="2656" spans="1:17" x14ac:dyDescent="0.3">
      <c r="A2656" s="5"/>
      <c r="B2656" s="6"/>
      <c r="C2656" s="7"/>
      <c r="D2656" s="8"/>
      <c r="E2656" s="8"/>
      <c r="F2656" s="10"/>
      <c r="G2656" s="10"/>
      <c r="H2656" s="10"/>
      <c r="I2656" s="7"/>
      <c r="J2656" s="12"/>
      <c r="K2656" s="13"/>
      <c r="L2656" s="14"/>
      <c r="M2656" s="15"/>
      <c r="N2656" s="15"/>
      <c r="O2656" s="16"/>
      <c r="Q2656" s="16"/>
    </row>
    <row r="2657" spans="1:17" x14ac:dyDescent="0.3">
      <c r="A2657" s="5"/>
      <c r="B2657" s="6"/>
      <c r="C2657" s="7"/>
      <c r="D2657" s="8"/>
      <c r="E2657" s="8"/>
      <c r="F2657" s="10"/>
      <c r="G2657" s="10"/>
      <c r="H2657" s="10"/>
      <c r="I2657" s="7"/>
      <c r="J2657" s="12"/>
      <c r="K2657" s="13"/>
      <c r="L2657" s="14"/>
      <c r="M2657" s="15"/>
      <c r="N2657" s="15"/>
      <c r="O2657" s="16"/>
      <c r="Q2657" s="16"/>
    </row>
    <row r="2658" spans="1:17" x14ac:dyDescent="0.3">
      <c r="A2658" s="5"/>
      <c r="B2658" s="6"/>
      <c r="C2658" s="7"/>
      <c r="D2658" s="8"/>
      <c r="E2658" s="8"/>
      <c r="F2658" s="10"/>
      <c r="G2658" s="10"/>
      <c r="H2658" s="10"/>
      <c r="I2658" s="7"/>
      <c r="J2658" s="12"/>
      <c r="K2658" s="13"/>
      <c r="L2658" s="14"/>
      <c r="M2658" s="15"/>
      <c r="N2658" s="15"/>
      <c r="O2658" s="16"/>
      <c r="Q2658" s="16"/>
    </row>
    <row r="2659" spans="1:17" x14ac:dyDescent="0.3">
      <c r="A2659" s="5"/>
      <c r="B2659" s="6"/>
      <c r="C2659" s="7"/>
      <c r="D2659" s="8"/>
      <c r="E2659" s="8"/>
      <c r="F2659" s="10"/>
      <c r="G2659" s="10"/>
      <c r="H2659" s="10"/>
      <c r="I2659" s="7"/>
      <c r="J2659" s="12"/>
      <c r="K2659" s="13"/>
      <c r="L2659" s="14"/>
      <c r="M2659" s="15"/>
      <c r="N2659" s="15"/>
      <c r="O2659" s="16"/>
      <c r="Q2659" s="16"/>
    </row>
    <row r="2660" spans="1:17" x14ac:dyDescent="0.3">
      <c r="A2660" s="5"/>
      <c r="B2660" s="6"/>
      <c r="C2660" s="7"/>
      <c r="D2660" s="8"/>
      <c r="E2660" s="8"/>
      <c r="F2660" s="10"/>
      <c r="G2660" s="10"/>
      <c r="H2660" s="10"/>
      <c r="I2660" s="7"/>
      <c r="J2660" s="12"/>
      <c r="K2660" s="13"/>
      <c r="L2660" s="14"/>
      <c r="M2660" s="15"/>
      <c r="N2660" s="15"/>
      <c r="O2660" s="16"/>
      <c r="Q2660" s="16"/>
    </row>
    <row r="2661" spans="1:17" x14ac:dyDescent="0.3">
      <c r="A2661" s="5"/>
      <c r="B2661" s="6"/>
      <c r="C2661" s="7"/>
      <c r="D2661" s="8"/>
      <c r="E2661" s="8"/>
      <c r="F2661" s="10"/>
      <c r="G2661" s="10"/>
      <c r="H2661" s="10"/>
      <c r="I2661" s="7"/>
      <c r="J2661" s="12"/>
      <c r="K2661" s="13"/>
      <c r="L2661" s="14"/>
      <c r="M2661" s="15"/>
      <c r="N2661" s="15"/>
      <c r="O2661" s="16"/>
      <c r="Q2661" s="16"/>
    </row>
    <row r="2662" spans="1:17" x14ac:dyDescent="0.3">
      <c r="A2662" s="5"/>
      <c r="B2662" s="6"/>
      <c r="C2662" s="7"/>
      <c r="D2662" s="8"/>
      <c r="E2662" s="8"/>
      <c r="F2662" s="10"/>
      <c r="G2662" s="10"/>
      <c r="H2662" s="10"/>
      <c r="I2662" s="7"/>
      <c r="J2662" s="12"/>
      <c r="K2662" s="13"/>
      <c r="L2662" s="14"/>
      <c r="M2662" s="15"/>
      <c r="N2662" s="15"/>
      <c r="O2662" s="16"/>
      <c r="Q2662" s="16"/>
    </row>
    <row r="2663" spans="1:17" x14ac:dyDescent="0.3">
      <c r="A2663" s="5"/>
      <c r="B2663" s="6"/>
      <c r="C2663" s="7"/>
      <c r="D2663" s="8"/>
      <c r="E2663" s="8"/>
      <c r="F2663" s="10"/>
      <c r="G2663" s="10"/>
      <c r="H2663" s="10"/>
      <c r="I2663" s="7"/>
      <c r="J2663" s="12"/>
      <c r="K2663" s="13"/>
      <c r="L2663" s="14"/>
      <c r="M2663" s="15"/>
      <c r="N2663" s="15"/>
      <c r="O2663" s="16"/>
      <c r="Q2663" s="16"/>
    </row>
    <row r="2664" spans="1:17" x14ac:dyDescent="0.3">
      <c r="A2664" s="5"/>
      <c r="B2664" s="6"/>
      <c r="C2664" s="7"/>
      <c r="D2664" s="8"/>
      <c r="E2664" s="8"/>
      <c r="F2664" s="10"/>
      <c r="G2664" s="10"/>
      <c r="H2664" s="10"/>
      <c r="I2664" s="7"/>
      <c r="J2664" s="12"/>
      <c r="K2664" s="13"/>
      <c r="L2664" s="14"/>
      <c r="M2664" s="15"/>
      <c r="N2664" s="15"/>
      <c r="O2664" s="16"/>
      <c r="Q2664" s="16"/>
    </row>
    <row r="2665" spans="1:17" x14ac:dyDescent="0.3">
      <c r="A2665" s="5"/>
      <c r="B2665" s="6"/>
      <c r="C2665" s="7"/>
      <c r="D2665" s="8"/>
      <c r="E2665" s="8"/>
      <c r="F2665" s="10"/>
      <c r="G2665" s="10"/>
      <c r="H2665" s="10"/>
      <c r="I2665" s="7"/>
      <c r="J2665" s="12"/>
      <c r="K2665" s="13"/>
      <c r="L2665" s="14"/>
      <c r="M2665" s="15"/>
      <c r="N2665" s="15"/>
      <c r="O2665" s="16"/>
      <c r="Q2665" s="16"/>
    </row>
    <row r="2666" spans="1:17" x14ac:dyDescent="0.3">
      <c r="A2666" s="5"/>
      <c r="B2666" s="6"/>
      <c r="C2666" s="7"/>
      <c r="D2666" s="8"/>
      <c r="E2666" s="8"/>
      <c r="F2666" s="10"/>
      <c r="G2666" s="10"/>
      <c r="H2666" s="10"/>
      <c r="I2666" s="7"/>
      <c r="J2666" s="12"/>
      <c r="K2666" s="13"/>
      <c r="L2666" s="14"/>
      <c r="M2666" s="15"/>
      <c r="N2666" s="15"/>
      <c r="O2666" s="16"/>
      <c r="Q2666" s="16"/>
    </row>
    <row r="2667" spans="1:17" x14ac:dyDescent="0.3">
      <c r="A2667" s="5"/>
      <c r="B2667" s="6"/>
      <c r="C2667" s="7"/>
      <c r="D2667" s="8"/>
      <c r="E2667" s="8"/>
      <c r="F2667" s="10"/>
      <c r="G2667" s="10"/>
      <c r="H2667" s="10"/>
      <c r="I2667" s="7"/>
      <c r="J2667" s="12"/>
      <c r="K2667" s="13"/>
      <c r="L2667" s="14"/>
      <c r="M2667" s="15"/>
      <c r="N2667" s="15"/>
      <c r="O2667" s="16"/>
      <c r="Q2667" s="16"/>
    </row>
    <row r="2668" spans="1:17" x14ac:dyDescent="0.3">
      <c r="A2668" s="5"/>
      <c r="B2668" s="6"/>
      <c r="C2668" s="7"/>
      <c r="D2668" s="8"/>
      <c r="E2668" s="8"/>
      <c r="F2668" s="10"/>
      <c r="G2668" s="10"/>
      <c r="H2668" s="10"/>
      <c r="I2668" s="7"/>
      <c r="J2668" s="12"/>
      <c r="K2668" s="13"/>
      <c r="L2668" s="14"/>
      <c r="M2668" s="15"/>
      <c r="N2668" s="15"/>
      <c r="O2668" s="16"/>
      <c r="Q2668" s="16"/>
    </row>
    <row r="2669" spans="1:17" x14ac:dyDescent="0.3">
      <c r="A2669" s="5"/>
      <c r="B2669" s="6"/>
      <c r="C2669" s="7"/>
      <c r="D2669" s="8"/>
      <c r="E2669" s="8"/>
      <c r="F2669" s="10"/>
      <c r="G2669" s="10"/>
      <c r="H2669" s="10"/>
      <c r="I2669" s="7"/>
      <c r="J2669" s="12"/>
      <c r="K2669" s="13"/>
      <c r="L2669" s="14"/>
      <c r="M2669" s="15"/>
      <c r="N2669" s="15"/>
      <c r="O2669" s="16"/>
      <c r="Q2669" s="16"/>
    </row>
    <row r="2670" spans="1:17" x14ac:dyDescent="0.3">
      <c r="A2670" s="5"/>
      <c r="B2670" s="6"/>
      <c r="C2670" s="7"/>
      <c r="D2670" s="8"/>
      <c r="E2670" s="8"/>
      <c r="F2670" s="10"/>
      <c r="G2670" s="10"/>
      <c r="H2670" s="10"/>
      <c r="I2670" s="7"/>
      <c r="J2670" s="12"/>
      <c r="K2670" s="13"/>
      <c r="L2670" s="14"/>
      <c r="M2670" s="15"/>
      <c r="N2670" s="15"/>
      <c r="O2670" s="16"/>
      <c r="Q2670" s="16"/>
    </row>
    <row r="2671" spans="1:17" x14ac:dyDescent="0.3">
      <c r="A2671" s="5"/>
      <c r="B2671" s="6"/>
      <c r="C2671" s="7"/>
      <c r="D2671" s="8"/>
      <c r="E2671" s="8"/>
      <c r="F2671" s="10"/>
      <c r="G2671" s="10"/>
      <c r="H2671" s="10"/>
      <c r="I2671" s="7"/>
      <c r="J2671" s="12"/>
      <c r="K2671" s="13"/>
      <c r="L2671" s="14"/>
      <c r="M2671" s="15"/>
      <c r="N2671" s="15"/>
      <c r="O2671" s="16"/>
      <c r="Q2671" s="16"/>
    </row>
    <row r="2672" spans="1:17" x14ac:dyDescent="0.3">
      <c r="A2672" s="5"/>
      <c r="B2672" s="6"/>
      <c r="C2672" s="7"/>
      <c r="D2672" s="8"/>
      <c r="E2672" s="8"/>
      <c r="F2672" s="10"/>
      <c r="G2672" s="10"/>
      <c r="H2672" s="10"/>
      <c r="I2672" s="7"/>
      <c r="J2672" s="12"/>
      <c r="K2672" s="13"/>
      <c r="L2672" s="14"/>
      <c r="M2672" s="15"/>
      <c r="N2672" s="15"/>
      <c r="O2672" s="16"/>
      <c r="Q2672" s="16"/>
    </row>
    <row r="2673" spans="1:17" x14ac:dyDescent="0.3">
      <c r="A2673" s="5"/>
      <c r="B2673" s="6"/>
      <c r="C2673" s="7"/>
      <c r="D2673" s="8"/>
      <c r="E2673" s="8"/>
      <c r="F2673" s="10"/>
      <c r="G2673" s="10"/>
      <c r="H2673" s="10"/>
      <c r="I2673" s="7"/>
      <c r="J2673" s="12"/>
      <c r="K2673" s="13"/>
      <c r="L2673" s="14"/>
      <c r="M2673" s="15"/>
      <c r="N2673" s="15"/>
      <c r="O2673" s="16"/>
      <c r="Q2673" s="16"/>
    </row>
    <row r="2674" spans="1:17" x14ac:dyDescent="0.3">
      <c r="A2674" s="5"/>
      <c r="B2674" s="6"/>
      <c r="C2674" s="7"/>
      <c r="D2674" s="8"/>
      <c r="E2674" s="8"/>
      <c r="F2674" s="10"/>
      <c r="G2674" s="10"/>
      <c r="H2674" s="10"/>
      <c r="I2674" s="7"/>
      <c r="J2674" s="12"/>
      <c r="K2674" s="13"/>
      <c r="L2674" s="14"/>
      <c r="M2674" s="15"/>
      <c r="N2674" s="15"/>
      <c r="O2674" s="16"/>
      <c r="Q2674" s="16"/>
    </row>
    <row r="2675" spans="1:17" x14ac:dyDescent="0.3">
      <c r="A2675" s="5"/>
      <c r="B2675" s="6"/>
      <c r="C2675" s="7"/>
      <c r="D2675" s="8"/>
      <c r="E2675" s="8"/>
      <c r="F2675" s="10"/>
      <c r="G2675" s="10"/>
      <c r="H2675" s="10"/>
      <c r="I2675" s="7"/>
      <c r="J2675" s="12"/>
      <c r="K2675" s="13"/>
      <c r="L2675" s="14"/>
      <c r="M2675" s="15"/>
      <c r="N2675" s="15"/>
      <c r="O2675" s="16"/>
      <c r="Q2675" s="16"/>
    </row>
    <row r="2676" spans="1:17" x14ac:dyDescent="0.3">
      <c r="A2676" s="5"/>
      <c r="B2676" s="6"/>
      <c r="C2676" s="7"/>
      <c r="D2676" s="8"/>
      <c r="E2676" s="8"/>
      <c r="F2676" s="10"/>
      <c r="G2676" s="10"/>
      <c r="H2676" s="10"/>
      <c r="I2676" s="7"/>
      <c r="J2676" s="12"/>
      <c r="K2676" s="13"/>
      <c r="L2676" s="14"/>
      <c r="M2676" s="15"/>
      <c r="N2676" s="15"/>
      <c r="O2676" s="16"/>
      <c r="Q2676" s="16"/>
    </row>
    <row r="2677" spans="1:17" x14ac:dyDescent="0.3">
      <c r="A2677" s="5"/>
      <c r="B2677" s="6"/>
      <c r="C2677" s="7"/>
      <c r="D2677" s="8"/>
      <c r="E2677" s="8"/>
      <c r="F2677" s="10"/>
      <c r="G2677" s="10"/>
      <c r="H2677" s="10"/>
      <c r="I2677" s="7"/>
      <c r="J2677" s="12"/>
      <c r="K2677" s="13"/>
      <c r="L2677" s="14"/>
      <c r="M2677" s="15"/>
      <c r="N2677" s="15"/>
      <c r="O2677" s="16"/>
      <c r="Q2677" s="16"/>
    </row>
    <row r="2678" spans="1:17" x14ac:dyDescent="0.3">
      <c r="A2678" s="5"/>
      <c r="B2678" s="6"/>
      <c r="C2678" s="7"/>
      <c r="D2678" s="8"/>
      <c r="E2678" s="8"/>
      <c r="F2678" s="10"/>
      <c r="G2678" s="10"/>
      <c r="H2678" s="10"/>
      <c r="I2678" s="7"/>
      <c r="J2678" s="12"/>
      <c r="K2678" s="13"/>
      <c r="L2678" s="14"/>
      <c r="M2678" s="15"/>
      <c r="N2678" s="15"/>
      <c r="O2678" s="16"/>
      <c r="Q2678" s="16"/>
    </row>
    <row r="2679" spans="1:17" x14ac:dyDescent="0.3">
      <c r="A2679" s="5"/>
      <c r="B2679" s="6"/>
      <c r="C2679" s="7"/>
      <c r="D2679" s="8"/>
      <c r="E2679" s="8"/>
      <c r="F2679" s="10"/>
      <c r="G2679" s="10"/>
      <c r="H2679" s="10"/>
      <c r="I2679" s="7"/>
      <c r="J2679" s="12"/>
      <c r="K2679" s="13"/>
      <c r="L2679" s="14"/>
      <c r="M2679" s="15"/>
      <c r="N2679" s="15"/>
      <c r="O2679" s="16"/>
      <c r="Q2679" s="16"/>
    </row>
    <row r="2680" spans="1:17" x14ac:dyDescent="0.3">
      <c r="A2680" s="5"/>
      <c r="B2680" s="6"/>
      <c r="C2680" s="7"/>
      <c r="D2680" s="8"/>
      <c r="E2680" s="8"/>
      <c r="F2680" s="10"/>
      <c r="G2680" s="10"/>
      <c r="H2680" s="10"/>
      <c r="I2680" s="7"/>
      <c r="J2680" s="12"/>
      <c r="K2680" s="13"/>
      <c r="L2680" s="14"/>
      <c r="M2680" s="15"/>
      <c r="N2680" s="15"/>
      <c r="O2680" s="16"/>
      <c r="Q2680" s="16"/>
    </row>
    <row r="2681" spans="1:17" x14ac:dyDescent="0.3">
      <c r="A2681" s="5"/>
      <c r="B2681" s="6"/>
      <c r="C2681" s="7"/>
      <c r="D2681" s="8"/>
      <c r="E2681" s="8"/>
      <c r="F2681" s="10"/>
      <c r="G2681" s="10"/>
      <c r="H2681" s="10"/>
      <c r="I2681" s="7"/>
      <c r="J2681" s="12"/>
      <c r="K2681" s="13"/>
      <c r="L2681" s="14"/>
      <c r="M2681" s="15"/>
      <c r="N2681" s="15"/>
      <c r="O2681" s="16"/>
      <c r="Q2681" s="16"/>
    </row>
    <row r="2682" spans="1:17" x14ac:dyDescent="0.3">
      <c r="A2682" s="5"/>
      <c r="B2682" s="6"/>
      <c r="C2682" s="7"/>
      <c r="D2682" s="8"/>
      <c r="E2682" s="8"/>
      <c r="F2682" s="10"/>
      <c r="G2682" s="10"/>
      <c r="H2682" s="10"/>
      <c r="I2682" s="7"/>
      <c r="J2682" s="12"/>
      <c r="K2682" s="13"/>
      <c r="L2682" s="14"/>
      <c r="M2682" s="15"/>
      <c r="N2682" s="15"/>
      <c r="O2682" s="16"/>
      <c r="Q2682" s="16"/>
    </row>
    <row r="2683" spans="1:17" x14ac:dyDescent="0.3">
      <c r="A2683" s="5"/>
      <c r="B2683" s="6"/>
      <c r="C2683" s="7"/>
      <c r="D2683" s="8"/>
      <c r="E2683" s="8"/>
      <c r="F2683" s="10"/>
      <c r="G2683" s="10"/>
      <c r="H2683" s="10"/>
      <c r="I2683" s="7"/>
      <c r="J2683" s="12"/>
      <c r="K2683" s="13"/>
      <c r="L2683" s="14"/>
      <c r="M2683" s="15"/>
      <c r="N2683" s="15"/>
      <c r="O2683" s="16"/>
      <c r="Q2683" s="16"/>
    </row>
    <row r="2684" spans="1:17" x14ac:dyDescent="0.3">
      <c r="A2684" s="5"/>
      <c r="B2684" s="6"/>
      <c r="C2684" s="7"/>
      <c r="D2684" s="8"/>
      <c r="E2684" s="8"/>
      <c r="F2684" s="10"/>
      <c r="G2684" s="10"/>
      <c r="H2684" s="10"/>
      <c r="I2684" s="7"/>
      <c r="J2684" s="12"/>
      <c r="K2684" s="13"/>
      <c r="L2684" s="14"/>
      <c r="M2684" s="15"/>
      <c r="N2684" s="15"/>
      <c r="O2684" s="16"/>
      <c r="Q2684" s="16"/>
    </row>
    <row r="2685" spans="1:17" x14ac:dyDescent="0.3">
      <c r="A2685" s="5"/>
      <c r="B2685" s="6"/>
      <c r="C2685" s="7"/>
      <c r="D2685" s="8"/>
      <c r="E2685" s="8"/>
      <c r="F2685" s="10"/>
      <c r="G2685" s="10"/>
      <c r="H2685" s="10"/>
      <c r="I2685" s="7"/>
      <c r="J2685" s="12"/>
      <c r="K2685" s="13"/>
      <c r="L2685" s="14"/>
      <c r="M2685" s="15"/>
      <c r="N2685" s="15"/>
      <c r="O2685" s="16"/>
      <c r="Q2685" s="16"/>
    </row>
    <row r="2686" spans="1:17" x14ac:dyDescent="0.3">
      <c r="A2686" s="5"/>
      <c r="B2686" s="6"/>
      <c r="C2686" s="7"/>
      <c r="D2686" s="8"/>
      <c r="E2686" s="8"/>
      <c r="F2686" s="10"/>
      <c r="G2686" s="10"/>
      <c r="H2686" s="10"/>
      <c r="I2686" s="7"/>
      <c r="J2686" s="12"/>
      <c r="K2686" s="13"/>
      <c r="L2686" s="14"/>
      <c r="M2686" s="15"/>
      <c r="N2686" s="15"/>
      <c r="O2686" s="16"/>
      <c r="Q2686" s="16"/>
    </row>
    <row r="2687" spans="1:17" x14ac:dyDescent="0.3">
      <c r="A2687" s="5"/>
      <c r="B2687" s="6"/>
      <c r="C2687" s="7"/>
      <c r="D2687" s="8"/>
      <c r="E2687" s="8"/>
      <c r="F2687" s="10"/>
      <c r="G2687" s="10"/>
      <c r="H2687" s="10"/>
      <c r="I2687" s="7"/>
      <c r="J2687" s="12"/>
      <c r="K2687" s="13"/>
      <c r="L2687" s="14"/>
      <c r="M2687" s="15"/>
      <c r="N2687" s="15"/>
      <c r="O2687" s="16"/>
      <c r="Q2687" s="16"/>
    </row>
    <row r="2688" spans="1:17" x14ac:dyDescent="0.3">
      <c r="A2688" s="5"/>
      <c r="B2688" s="6"/>
      <c r="C2688" s="7"/>
      <c r="D2688" s="8"/>
      <c r="E2688" s="8"/>
      <c r="F2688" s="10"/>
      <c r="G2688" s="10"/>
      <c r="H2688" s="10"/>
      <c r="I2688" s="7"/>
      <c r="J2688" s="12"/>
      <c r="K2688" s="13"/>
      <c r="L2688" s="14"/>
      <c r="M2688" s="15"/>
      <c r="N2688" s="15"/>
      <c r="O2688" s="16"/>
      <c r="Q2688" s="16"/>
    </row>
    <row r="2689" spans="1:17" x14ac:dyDescent="0.3">
      <c r="A2689" s="5"/>
      <c r="B2689" s="6"/>
      <c r="C2689" s="7"/>
      <c r="D2689" s="8"/>
      <c r="E2689" s="8"/>
      <c r="F2689" s="10"/>
      <c r="G2689" s="10"/>
      <c r="H2689" s="10"/>
      <c r="I2689" s="7"/>
      <c r="J2689" s="12"/>
      <c r="K2689" s="13"/>
      <c r="L2689" s="14"/>
      <c r="M2689" s="15"/>
      <c r="N2689" s="15"/>
      <c r="O2689" s="16"/>
      <c r="Q2689" s="16"/>
    </row>
    <row r="2690" spans="1:17" x14ac:dyDescent="0.3">
      <c r="A2690" s="5"/>
      <c r="B2690" s="6"/>
      <c r="C2690" s="7"/>
      <c r="D2690" s="8"/>
      <c r="E2690" s="8"/>
      <c r="F2690" s="10"/>
      <c r="G2690" s="10"/>
      <c r="H2690" s="10"/>
      <c r="I2690" s="7"/>
      <c r="J2690" s="12"/>
      <c r="K2690" s="13"/>
      <c r="L2690" s="14"/>
      <c r="M2690" s="15"/>
      <c r="N2690" s="15"/>
      <c r="O2690" s="16"/>
      <c r="Q2690" s="16"/>
    </row>
    <row r="2691" spans="1:17" x14ac:dyDescent="0.3">
      <c r="A2691" s="5"/>
      <c r="B2691" s="6"/>
      <c r="C2691" s="7"/>
      <c r="D2691" s="8"/>
      <c r="E2691" s="8"/>
      <c r="F2691" s="10"/>
      <c r="G2691" s="10"/>
      <c r="H2691" s="10"/>
      <c r="I2691" s="7"/>
      <c r="J2691" s="12"/>
      <c r="K2691" s="13"/>
      <c r="L2691" s="14"/>
      <c r="M2691" s="15"/>
      <c r="N2691" s="15"/>
      <c r="O2691" s="16"/>
      <c r="Q2691" s="16"/>
    </row>
    <row r="2692" spans="1:17" x14ac:dyDescent="0.3">
      <c r="A2692" s="5"/>
      <c r="B2692" s="6"/>
      <c r="C2692" s="7"/>
      <c r="D2692" s="8"/>
      <c r="E2692" s="8"/>
      <c r="F2692" s="10"/>
      <c r="G2692" s="10"/>
      <c r="H2692" s="10"/>
      <c r="I2692" s="7"/>
      <c r="J2692" s="12"/>
      <c r="K2692" s="13"/>
      <c r="L2692" s="14"/>
      <c r="M2692" s="15"/>
      <c r="N2692" s="15"/>
      <c r="O2692" s="16"/>
      <c r="Q2692" s="16"/>
    </row>
    <row r="2693" spans="1:17" x14ac:dyDescent="0.3">
      <c r="A2693" s="5"/>
      <c r="B2693" s="6"/>
      <c r="C2693" s="7"/>
      <c r="D2693" s="8"/>
      <c r="E2693" s="8"/>
      <c r="F2693" s="10"/>
      <c r="G2693" s="10"/>
      <c r="H2693" s="10"/>
      <c r="I2693" s="7"/>
      <c r="J2693" s="12"/>
      <c r="K2693" s="13"/>
      <c r="L2693" s="14"/>
      <c r="M2693" s="15"/>
      <c r="N2693" s="15"/>
      <c r="O2693" s="16"/>
      <c r="Q2693" s="16"/>
    </row>
    <row r="2694" spans="1:17" x14ac:dyDescent="0.3">
      <c r="A2694" s="5"/>
      <c r="B2694" s="6"/>
      <c r="C2694" s="7"/>
      <c r="D2694" s="8"/>
      <c r="E2694" s="8"/>
      <c r="F2694" s="10"/>
      <c r="G2694" s="10"/>
      <c r="H2694" s="10"/>
      <c r="I2694" s="7"/>
      <c r="J2694" s="12"/>
      <c r="K2694" s="13"/>
      <c r="L2694" s="14"/>
      <c r="M2694" s="15"/>
      <c r="N2694" s="15"/>
      <c r="O2694" s="16"/>
      <c r="Q2694" s="16"/>
    </row>
    <row r="2695" spans="1:17" x14ac:dyDescent="0.3">
      <c r="A2695" s="5"/>
      <c r="B2695" s="6"/>
      <c r="C2695" s="7"/>
      <c r="D2695" s="8"/>
      <c r="E2695" s="8"/>
      <c r="F2695" s="10"/>
      <c r="G2695" s="10"/>
      <c r="H2695" s="10"/>
      <c r="I2695" s="7"/>
      <c r="J2695" s="12"/>
      <c r="K2695" s="13"/>
      <c r="L2695" s="14"/>
      <c r="M2695" s="15"/>
      <c r="N2695" s="15"/>
      <c r="O2695" s="16"/>
      <c r="Q2695" s="16"/>
    </row>
    <row r="2696" spans="1:17" x14ac:dyDescent="0.3">
      <c r="A2696" s="5"/>
      <c r="B2696" s="6"/>
      <c r="C2696" s="7"/>
      <c r="D2696" s="8"/>
      <c r="E2696" s="8"/>
      <c r="F2696" s="10"/>
      <c r="G2696" s="10"/>
      <c r="H2696" s="10"/>
      <c r="I2696" s="7"/>
      <c r="J2696" s="12"/>
      <c r="K2696" s="13"/>
      <c r="L2696" s="14"/>
      <c r="M2696" s="15"/>
      <c r="N2696" s="15"/>
      <c r="O2696" s="16"/>
      <c r="Q2696" s="16"/>
    </row>
    <row r="2697" spans="1:17" x14ac:dyDescent="0.3">
      <c r="A2697" s="5"/>
      <c r="B2697" s="6"/>
      <c r="C2697" s="7"/>
      <c r="D2697" s="8"/>
      <c r="E2697" s="8"/>
      <c r="F2697" s="10"/>
      <c r="G2697" s="10"/>
      <c r="H2697" s="10"/>
      <c r="I2697" s="7"/>
      <c r="J2697" s="12"/>
      <c r="K2697" s="13"/>
      <c r="L2697" s="14"/>
      <c r="M2697" s="15"/>
      <c r="N2697" s="15"/>
      <c r="O2697" s="16"/>
      <c r="Q2697" s="16"/>
    </row>
    <row r="2698" spans="1:17" x14ac:dyDescent="0.3">
      <c r="A2698" s="5"/>
      <c r="B2698" s="6"/>
      <c r="C2698" s="7"/>
      <c r="D2698" s="8"/>
      <c r="E2698" s="8"/>
      <c r="F2698" s="10"/>
      <c r="G2698" s="10"/>
      <c r="H2698" s="10"/>
      <c r="I2698" s="7"/>
      <c r="J2698" s="12"/>
      <c r="K2698" s="13"/>
      <c r="L2698" s="14"/>
      <c r="M2698" s="15"/>
      <c r="N2698" s="15"/>
      <c r="O2698" s="16"/>
      <c r="Q2698" s="16"/>
    </row>
    <row r="2699" spans="1:17" x14ac:dyDescent="0.3">
      <c r="A2699" s="5"/>
      <c r="B2699" s="6"/>
      <c r="C2699" s="7"/>
      <c r="D2699" s="8"/>
      <c r="E2699" s="8"/>
      <c r="F2699" s="10"/>
      <c r="G2699" s="10"/>
      <c r="H2699" s="10"/>
      <c r="I2699" s="7"/>
      <c r="J2699" s="12"/>
      <c r="K2699" s="13"/>
      <c r="L2699" s="14"/>
      <c r="M2699" s="15"/>
      <c r="N2699" s="15"/>
      <c r="O2699" s="16"/>
      <c r="Q2699" s="16"/>
    </row>
    <row r="2700" spans="1:17" x14ac:dyDescent="0.3">
      <c r="A2700" s="5"/>
      <c r="B2700" s="6"/>
      <c r="C2700" s="7"/>
      <c r="D2700" s="8"/>
      <c r="E2700" s="8"/>
      <c r="F2700" s="10"/>
      <c r="G2700" s="10"/>
      <c r="H2700" s="10"/>
      <c r="I2700" s="7"/>
      <c r="J2700" s="12"/>
      <c r="K2700" s="13"/>
      <c r="L2700" s="14"/>
      <c r="M2700" s="15"/>
      <c r="N2700" s="15"/>
      <c r="O2700" s="16"/>
      <c r="Q2700" s="16"/>
    </row>
    <row r="2701" spans="1:17" x14ac:dyDescent="0.3">
      <c r="A2701" s="5"/>
      <c r="B2701" s="6"/>
      <c r="C2701" s="7"/>
      <c r="D2701" s="8"/>
      <c r="E2701" s="8"/>
      <c r="F2701" s="10"/>
      <c r="G2701" s="10"/>
      <c r="H2701" s="10"/>
      <c r="I2701" s="7"/>
      <c r="J2701" s="12"/>
      <c r="K2701" s="13"/>
      <c r="L2701" s="14"/>
      <c r="M2701" s="15"/>
      <c r="N2701" s="15"/>
      <c r="O2701" s="16"/>
      <c r="Q2701" s="16"/>
    </row>
    <row r="2702" spans="1:17" x14ac:dyDescent="0.3">
      <c r="A2702" s="5"/>
      <c r="B2702" s="6"/>
      <c r="C2702" s="7"/>
      <c r="D2702" s="8"/>
      <c r="E2702" s="8"/>
      <c r="F2702" s="10"/>
      <c r="G2702" s="10"/>
      <c r="H2702" s="10"/>
      <c r="I2702" s="7"/>
      <c r="J2702" s="12"/>
      <c r="K2702" s="13"/>
      <c r="L2702" s="14"/>
      <c r="M2702" s="15"/>
      <c r="N2702" s="15"/>
      <c r="O2702" s="16"/>
      <c r="Q2702" s="16"/>
    </row>
    <row r="2703" spans="1:17" x14ac:dyDescent="0.3">
      <c r="A2703" s="5"/>
      <c r="B2703" s="6"/>
      <c r="C2703" s="7"/>
      <c r="D2703" s="8"/>
      <c r="E2703" s="8"/>
      <c r="F2703" s="10"/>
      <c r="G2703" s="10"/>
      <c r="H2703" s="10"/>
      <c r="I2703" s="7"/>
      <c r="J2703" s="12"/>
      <c r="K2703" s="13"/>
      <c r="L2703" s="14"/>
      <c r="M2703" s="15"/>
      <c r="N2703" s="15"/>
      <c r="O2703" s="16"/>
      <c r="Q2703" s="16"/>
    </row>
    <row r="2704" spans="1:17" x14ac:dyDescent="0.3">
      <c r="A2704" s="5"/>
      <c r="B2704" s="6"/>
      <c r="C2704" s="7"/>
      <c r="D2704" s="8"/>
      <c r="E2704" s="8"/>
      <c r="F2704" s="10"/>
      <c r="G2704" s="10"/>
      <c r="H2704" s="10"/>
      <c r="I2704" s="7"/>
      <c r="J2704" s="12"/>
      <c r="K2704" s="13"/>
      <c r="L2704" s="14"/>
      <c r="M2704" s="15"/>
      <c r="N2704" s="15"/>
      <c r="O2704" s="16"/>
      <c r="Q2704" s="16"/>
    </row>
    <row r="2705" spans="1:17" x14ac:dyDescent="0.3">
      <c r="A2705" s="5"/>
      <c r="B2705" s="6"/>
      <c r="C2705" s="7"/>
      <c r="D2705" s="8"/>
      <c r="E2705" s="8"/>
      <c r="F2705" s="10"/>
      <c r="G2705" s="10"/>
      <c r="H2705" s="10"/>
      <c r="I2705" s="7"/>
      <c r="J2705" s="12"/>
      <c r="K2705" s="13"/>
      <c r="L2705" s="14"/>
      <c r="M2705" s="15"/>
      <c r="N2705" s="15"/>
      <c r="O2705" s="16"/>
      <c r="Q2705" s="16"/>
    </row>
    <row r="2706" spans="1:17" x14ac:dyDescent="0.3">
      <c r="A2706" s="5"/>
      <c r="B2706" s="6"/>
      <c r="C2706" s="7"/>
      <c r="D2706" s="8"/>
      <c r="E2706" s="8"/>
      <c r="F2706" s="10"/>
      <c r="G2706" s="10"/>
      <c r="H2706" s="10"/>
      <c r="I2706" s="7"/>
      <c r="J2706" s="12"/>
      <c r="K2706" s="13"/>
      <c r="L2706" s="14"/>
      <c r="M2706" s="15"/>
      <c r="N2706" s="15"/>
      <c r="O2706" s="16"/>
      <c r="Q2706" s="16"/>
    </row>
    <row r="2707" spans="1:17" x14ac:dyDescent="0.3">
      <c r="A2707" s="5"/>
      <c r="B2707" s="6"/>
      <c r="C2707" s="7"/>
      <c r="D2707" s="8"/>
      <c r="E2707" s="8"/>
      <c r="F2707" s="10"/>
      <c r="G2707" s="10"/>
      <c r="H2707" s="10"/>
      <c r="I2707" s="7"/>
      <c r="J2707" s="12"/>
      <c r="K2707" s="13"/>
      <c r="L2707" s="14"/>
      <c r="M2707" s="15"/>
      <c r="N2707" s="15"/>
      <c r="O2707" s="16"/>
      <c r="Q2707" s="16"/>
    </row>
    <row r="2708" spans="1:17" x14ac:dyDescent="0.3">
      <c r="A2708" s="5"/>
      <c r="B2708" s="6"/>
      <c r="C2708" s="7"/>
      <c r="D2708" s="8"/>
      <c r="E2708" s="8"/>
      <c r="F2708" s="10"/>
      <c r="G2708" s="10"/>
      <c r="H2708" s="10"/>
      <c r="I2708" s="7"/>
      <c r="J2708" s="12"/>
      <c r="K2708" s="13"/>
      <c r="L2708" s="14"/>
      <c r="M2708" s="15"/>
      <c r="N2708" s="15"/>
      <c r="O2708" s="16"/>
      <c r="Q2708" s="16"/>
    </row>
    <row r="2709" spans="1:17" x14ac:dyDescent="0.3">
      <c r="A2709" s="5"/>
      <c r="B2709" s="6"/>
      <c r="C2709" s="7"/>
      <c r="D2709" s="8"/>
      <c r="E2709" s="8"/>
      <c r="F2709" s="10"/>
      <c r="G2709" s="10"/>
      <c r="H2709" s="10"/>
      <c r="I2709" s="7"/>
      <c r="J2709" s="12"/>
      <c r="K2709" s="13"/>
      <c r="L2709" s="14"/>
      <c r="M2709" s="15"/>
      <c r="N2709" s="15"/>
      <c r="O2709" s="16"/>
      <c r="Q2709" s="16"/>
    </row>
    <row r="2710" spans="1:17" x14ac:dyDescent="0.3">
      <c r="A2710" s="5"/>
      <c r="B2710" s="6"/>
      <c r="C2710" s="7"/>
      <c r="D2710" s="8"/>
      <c r="E2710" s="8"/>
      <c r="F2710" s="10"/>
      <c r="G2710" s="10"/>
      <c r="H2710" s="10"/>
      <c r="I2710" s="7"/>
      <c r="J2710" s="12"/>
      <c r="K2710" s="13"/>
      <c r="L2710" s="14"/>
      <c r="M2710" s="15"/>
      <c r="N2710" s="15"/>
      <c r="O2710" s="16"/>
      <c r="Q2710" s="16"/>
    </row>
    <row r="2711" spans="1:17" x14ac:dyDescent="0.3">
      <c r="A2711" s="5"/>
      <c r="B2711" s="6"/>
      <c r="C2711" s="7"/>
      <c r="D2711" s="8"/>
      <c r="E2711" s="8"/>
      <c r="F2711" s="10"/>
      <c r="G2711" s="10"/>
      <c r="H2711" s="10"/>
      <c r="I2711" s="7"/>
      <c r="J2711" s="12"/>
      <c r="K2711" s="13"/>
      <c r="L2711" s="14"/>
      <c r="M2711" s="15"/>
      <c r="N2711" s="15"/>
      <c r="O2711" s="16"/>
      <c r="Q2711" s="16"/>
    </row>
    <row r="2712" spans="1:17" x14ac:dyDescent="0.3">
      <c r="A2712" s="5"/>
      <c r="B2712" s="6"/>
      <c r="C2712" s="7"/>
      <c r="D2712" s="8"/>
      <c r="E2712" s="8"/>
      <c r="F2712" s="10"/>
      <c r="G2712" s="10"/>
      <c r="H2712" s="10"/>
      <c r="I2712" s="7"/>
      <c r="J2712" s="12"/>
      <c r="K2712" s="13"/>
      <c r="L2712" s="14"/>
      <c r="M2712" s="15"/>
      <c r="N2712" s="15"/>
      <c r="O2712" s="16"/>
      <c r="Q2712" s="16"/>
    </row>
    <row r="2713" spans="1:17" x14ac:dyDescent="0.3">
      <c r="A2713" s="5"/>
      <c r="B2713" s="6"/>
      <c r="C2713" s="7"/>
      <c r="D2713" s="8"/>
      <c r="E2713" s="8"/>
      <c r="F2713" s="10"/>
      <c r="G2713" s="10"/>
      <c r="H2713" s="10"/>
      <c r="I2713" s="7"/>
      <c r="J2713" s="12"/>
      <c r="K2713" s="13"/>
      <c r="L2713" s="14"/>
      <c r="M2713" s="15"/>
      <c r="N2713" s="15"/>
      <c r="O2713" s="16"/>
      <c r="Q2713" s="16"/>
    </row>
    <row r="2714" spans="1:17" x14ac:dyDescent="0.3">
      <c r="A2714" s="5"/>
      <c r="B2714" s="6"/>
      <c r="C2714" s="7"/>
      <c r="D2714" s="8"/>
      <c r="E2714" s="8"/>
      <c r="F2714" s="10"/>
      <c r="G2714" s="10"/>
      <c r="H2714" s="10"/>
      <c r="I2714" s="7"/>
      <c r="J2714" s="12"/>
      <c r="K2714" s="13"/>
      <c r="L2714" s="14"/>
      <c r="M2714" s="15"/>
      <c r="N2714" s="15"/>
      <c r="O2714" s="16"/>
      <c r="Q2714" s="16"/>
    </row>
    <row r="2715" spans="1:17" x14ac:dyDescent="0.3">
      <c r="A2715" s="5"/>
      <c r="B2715" s="6"/>
      <c r="C2715" s="7"/>
      <c r="D2715" s="8"/>
      <c r="E2715" s="8"/>
      <c r="F2715" s="10"/>
      <c r="G2715" s="10"/>
      <c r="H2715" s="10"/>
      <c r="I2715" s="7"/>
      <c r="J2715" s="12"/>
      <c r="K2715" s="13"/>
      <c r="L2715" s="14"/>
      <c r="M2715" s="15"/>
      <c r="N2715" s="15"/>
      <c r="O2715" s="16"/>
      <c r="Q2715" s="16"/>
    </row>
    <row r="2716" spans="1:17" x14ac:dyDescent="0.3">
      <c r="A2716" s="5"/>
      <c r="B2716" s="6"/>
      <c r="C2716" s="7"/>
      <c r="D2716" s="8"/>
      <c r="E2716" s="8"/>
      <c r="F2716" s="10"/>
      <c r="G2716" s="10"/>
      <c r="H2716" s="10"/>
      <c r="I2716" s="7"/>
      <c r="J2716" s="12"/>
      <c r="K2716" s="13"/>
      <c r="L2716" s="14"/>
      <c r="M2716" s="15"/>
      <c r="N2716" s="15"/>
      <c r="O2716" s="16"/>
      <c r="Q2716" s="16"/>
    </row>
    <row r="2717" spans="1:17" x14ac:dyDescent="0.3">
      <c r="A2717" s="5"/>
      <c r="B2717" s="6"/>
      <c r="C2717" s="7"/>
      <c r="D2717" s="8"/>
      <c r="E2717" s="8"/>
      <c r="F2717" s="10"/>
      <c r="G2717" s="10"/>
      <c r="H2717" s="10"/>
      <c r="I2717" s="7"/>
      <c r="J2717" s="12"/>
      <c r="K2717" s="13"/>
      <c r="L2717" s="14"/>
      <c r="M2717" s="15"/>
      <c r="N2717" s="15"/>
      <c r="O2717" s="16"/>
      <c r="Q2717" s="16"/>
    </row>
    <row r="2718" spans="1:17" x14ac:dyDescent="0.3">
      <c r="A2718" s="5"/>
      <c r="B2718" s="6"/>
      <c r="C2718" s="7"/>
      <c r="D2718" s="8"/>
      <c r="E2718" s="8"/>
      <c r="F2718" s="10"/>
      <c r="G2718" s="10"/>
      <c r="H2718" s="10"/>
      <c r="I2718" s="7"/>
      <c r="J2718" s="12"/>
      <c r="K2718" s="13"/>
      <c r="L2718" s="14"/>
      <c r="M2718" s="15"/>
      <c r="N2718" s="15"/>
      <c r="O2718" s="16"/>
      <c r="Q2718" s="16"/>
    </row>
    <row r="2719" spans="1:17" x14ac:dyDescent="0.3">
      <c r="A2719" s="5"/>
      <c r="B2719" s="6"/>
      <c r="C2719" s="7"/>
      <c r="D2719" s="8"/>
      <c r="E2719" s="8"/>
      <c r="F2719" s="10"/>
      <c r="G2719" s="10"/>
      <c r="H2719" s="10"/>
      <c r="I2719" s="7"/>
      <c r="J2719" s="12"/>
      <c r="K2719" s="13"/>
      <c r="L2719" s="14"/>
      <c r="M2719" s="15"/>
      <c r="N2719" s="15"/>
      <c r="O2719" s="16"/>
      <c r="Q2719" s="16"/>
    </row>
    <row r="2720" spans="1:17" x14ac:dyDescent="0.3">
      <c r="A2720" s="5"/>
      <c r="B2720" s="6"/>
      <c r="C2720" s="7"/>
      <c r="D2720" s="8"/>
      <c r="E2720" s="8"/>
      <c r="F2720" s="10"/>
      <c r="G2720" s="10"/>
      <c r="H2720" s="10"/>
      <c r="I2720" s="7"/>
      <c r="J2720" s="12"/>
      <c r="K2720" s="13"/>
      <c r="L2720" s="14"/>
      <c r="M2720" s="15"/>
      <c r="N2720" s="15"/>
      <c r="O2720" s="16"/>
      <c r="Q2720" s="16"/>
    </row>
    <row r="2721" spans="1:17" x14ac:dyDescent="0.3">
      <c r="A2721" s="5"/>
      <c r="B2721" s="6"/>
      <c r="C2721" s="7"/>
      <c r="D2721" s="8"/>
      <c r="E2721" s="8"/>
      <c r="F2721" s="10"/>
      <c r="G2721" s="10"/>
      <c r="H2721" s="10"/>
      <c r="I2721" s="7"/>
      <c r="J2721" s="12"/>
      <c r="K2721" s="13"/>
      <c r="L2721" s="14"/>
      <c r="M2721" s="15"/>
      <c r="N2721" s="15"/>
      <c r="O2721" s="16"/>
      <c r="Q2721" s="16"/>
    </row>
    <row r="2722" spans="1:17" x14ac:dyDescent="0.3">
      <c r="A2722" s="5"/>
      <c r="B2722" s="6"/>
      <c r="C2722" s="7"/>
      <c r="D2722" s="8"/>
      <c r="E2722" s="8"/>
      <c r="F2722" s="10"/>
      <c r="G2722" s="10"/>
      <c r="H2722" s="10"/>
      <c r="I2722" s="7"/>
      <c r="J2722" s="12"/>
      <c r="K2722" s="13"/>
      <c r="L2722" s="14"/>
      <c r="M2722" s="15"/>
      <c r="N2722" s="15"/>
      <c r="O2722" s="16"/>
      <c r="Q2722" s="16"/>
    </row>
    <row r="2723" spans="1:17" x14ac:dyDescent="0.3">
      <c r="A2723" s="5"/>
      <c r="B2723" s="6"/>
      <c r="C2723" s="7"/>
      <c r="D2723" s="8"/>
      <c r="E2723" s="8"/>
      <c r="F2723" s="10"/>
      <c r="G2723" s="10"/>
      <c r="H2723" s="10"/>
      <c r="I2723" s="7"/>
      <c r="J2723" s="12"/>
      <c r="K2723" s="13"/>
      <c r="L2723" s="14"/>
      <c r="M2723" s="15"/>
      <c r="N2723" s="15"/>
      <c r="O2723" s="16"/>
      <c r="Q2723" s="16"/>
    </row>
    <row r="2724" spans="1:17" x14ac:dyDescent="0.3">
      <c r="A2724" s="5"/>
      <c r="B2724" s="6"/>
      <c r="C2724" s="7"/>
      <c r="D2724" s="8"/>
      <c r="E2724" s="8"/>
      <c r="F2724" s="10"/>
      <c r="G2724" s="10"/>
      <c r="H2724" s="10"/>
      <c r="I2724" s="7"/>
      <c r="J2724" s="12"/>
      <c r="K2724" s="13"/>
      <c r="L2724" s="14"/>
      <c r="M2724" s="15"/>
      <c r="N2724" s="15"/>
      <c r="O2724" s="16"/>
      <c r="Q2724" s="16"/>
    </row>
    <row r="2725" spans="1:17" x14ac:dyDescent="0.3">
      <c r="A2725" s="5"/>
      <c r="B2725" s="6"/>
      <c r="C2725" s="7"/>
      <c r="D2725" s="8"/>
      <c r="E2725" s="8"/>
      <c r="F2725" s="10"/>
      <c r="G2725" s="10"/>
      <c r="H2725" s="10"/>
      <c r="I2725" s="7"/>
      <c r="J2725" s="12"/>
      <c r="K2725" s="13"/>
      <c r="L2725" s="14"/>
      <c r="M2725" s="15"/>
      <c r="N2725" s="15"/>
      <c r="O2725" s="16"/>
      <c r="Q2725" s="16"/>
    </row>
    <row r="2726" spans="1:17" x14ac:dyDescent="0.3">
      <c r="A2726" s="5"/>
      <c r="B2726" s="6"/>
      <c r="C2726" s="7"/>
      <c r="D2726" s="8"/>
      <c r="E2726" s="8"/>
      <c r="F2726" s="10"/>
      <c r="G2726" s="10"/>
      <c r="H2726" s="10"/>
      <c r="I2726" s="7"/>
      <c r="J2726" s="12"/>
      <c r="K2726" s="13"/>
      <c r="L2726" s="14"/>
      <c r="M2726" s="15"/>
      <c r="N2726" s="15"/>
      <c r="O2726" s="16"/>
      <c r="Q2726" s="16"/>
    </row>
    <row r="2727" spans="1:17" x14ac:dyDescent="0.3">
      <c r="A2727" s="5"/>
      <c r="B2727" s="6"/>
      <c r="C2727" s="7"/>
      <c r="D2727" s="8"/>
      <c r="E2727" s="8"/>
      <c r="F2727" s="10"/>
      <c r="G2727" s="10"/>
      <c r="H2727" s="10"/>
      <c r="I2727" s="7"/>
      <c r="J2727" s="12"/>
      <c r="K2727" s="13"/>
      <c r="L2727" s="14"/>
      <c r="M2727" s="15"/>
      <c r="N2727" s="15"/>
      <c r="O2727" s="16"/>
      <c r="Q2727" s="16"/>
    </row>
    <row r="2728" spans="1:17" x14ac:dyDescent="0.3">
      <c r="A2728" s="5"/>
      <c r="B2728" s="6"/>
      <c r="C2728" s="7"/>
      <c r="D2728" s="8"/>
      <c r="E2728" s="8"/>
      <c r="F2728" s="10"/>
      <c r="G2728" s="10"/>
      <c r="H2728" s="10"/>
      <c r="I2728" s="7"/>
      <c r="J2728" s="12"/>
      <c r="K2728" s="13"/>
      <c r="L2728" s="14"/>
      <c r="M2728" s="15"/>
      <c r="N2728" s="15"/>
      <c r="O2728" s="16"/>
      <c r="Q2728" s="16"/>
    </row>
    <row r="2729" spans="1:17" x14ac:dyDescent="0.3">
      <c r="A2729" s="5"/>
      <c r="B2729" s="6"/>
      <c r="C2729" s="7"/>
      <c r="D2729" s="8"/>
      <c r="E2729" s="8"/>
      <c r="F2729" s="10"/>
      <c r="G2729" s="10"/>
      <c r="H2729" s="10"/>
      <c r="I2729" s="7"/>
      <c r="J2729" s="12"/>
      <c r="K2729" s="13"/>
      <c r="L2729" s="14"/>
      <c r="M2729" s="15"/>
      <c r="N2729" s="15"/>
      <c r="O2729" s="16"/>
      <c r="Q2729" s="16"/>
    </row>
    <row r="2730" spans="1:17" x14ac:dyDescent="0.3">
      <c r="A2730" s="5"/>
      <c r="B2730" s="6"/>
      <c r="C2730" s="7"/>
      <c r="D2730" s="8"/>
      <c r="E2730" s="8"/>
      <c r="F2730" s="10"/>
      <c r="G2730" s="10"/>
      <c r="H2730" s="10"/>
      <c r="I2730" s="7"/>
      <c r="J2730" s="12"/>
      <c r="K2730" s="13"/>
      <c r="L2730" s="14"/>
      <c r="M2730" s="15"/>
      <c r="N2730" s="15"/>
      <c r="O2730" s="16"/>
      <c r="Q2730" s="16"/>
    </row>
    <row r="2731" spans="1:17" x14ac:dyDescent="0.3">
      <c r="A2731" s="5"/>
      <c r="B2731" s="6"/>
      <c r="C2731" s="7"/>
      <c r="D2731" s="8"/>
      <c r="E2731" s="8"/>
      <c r="F2731" s="10"/>
      <c r="G2731" s="10"/>
      <c r="H2731" s="10"/>
      <c r="I2731" s="7"/>
      <c r="J2731" s="12"/>
      <c r="K2731" s="13"/>
      <c r="L2731" s="14"/>
      <c r="M2731" s="15"/>
      <c r="N2731" s="15"/>
      <c r="O2731" s="16"/>
      <c r="Q2731" s="16"/>
    </row>
    <row r="2732" spans="1:17" x14ac:dyDescent="0.3">
      <c r="A2732" s="5"/>
      <c r="B2732" s="6"/>
      <c r="C2732" s="7"/>
      <c r="D2732" s="8"/>
      <c r="E2732" s="8"/>
      <c r="F2732" s="10"/>
      <c r="G2732" s="10"/>
      <c r="H2732" s="10"/>
      <c r="I2732" s="7"/>
      <c r="J2732" s="12"/>
      <c r="K2732" s="13"/>
      <c r="L2732" s="14"/>
      <c r="M2732" s="15"/>
      <c r="N2732" s="15"/>
      <c r="O2732" s="16"/>
      <c r="Q2732" s="16"/>
    </row>
    <row r="2733" spans="1:17" x14ac:dyDescent="0.3">
      <c r="A2733" s="5"/>
      <c r="B2733" s="6"/>
      <c r="C2733" s="7"/>
      <c r="D2733" s="8"/>
      <c r="E2733" s="8"/>
      <c r="F2733" s="10"/>
      <c r="G2733" s="10"/>
      <c r="H2733" s="10"/>
      <c r="I2733" s="7"/>
      <c r="J2733" s="12"/>
      <c r="K2733" s="13"/>
      <c r="L2733" s="14"/>
      <c r="M2733" s="15"/>
      <c r="N2733" s="15"/>
      <c r="O2733" s="16"/>
      <c r="Q2733" s="16"/>
    </row>
    <row r="2734" spans="1:17" x14ac:dyDescent="0.3">
      <c r="A2734" s="5"/>
      <c r="B2734" s="6"/>
      <c r="C2734" s="7"/>
      <c r="D2734" s="8"/>
      <c r="E2734" s="8"/>
      <c r="F2734" s="10"/>
      <c r="G2734" s="10"/>
      <c r="H2734" s="10"/>
      <c r="I2734" s="7"/>
      <c r="J2734" s="12"/>
      <c r="K2734" s="13"/>
      <c r="L2734" s="14"/>
      <c r="M2734" s="15"/>
      <c r="N2734" s="15"/>
      <c r="O2734" s="16"/>
      <c r="Q2734" s="16"/>
    </row>
    <row r="2735" spans="1:17" x14ac:dyDescent="0.3">
      <c r="A2735" s="5"/>
      <c r="B2735" s="6"/>
      <c r="C2735" s="7"/>
      <c r="D2735" s="8"/>
      <c r="E2735" s="8"/>
      <c r="F2735" s="10"/>
      <c r="G2735" s="10"/>
      <c r="H2735" s="10"/>
      <c r="I2735" s="7"/>
      <c r="J2735" s="12"/>
      <c r="K2735" s="13"/>
      <c r="L2735" s="14"/>
      <c r="M2735" s="15"/>
      <c r="N2735" s="15"/>
      <c r="O2735" s="16"/>
      <c r="Q2735" s="16"/>
    </row>
    <row r="2736" spans="1:17" x14ac:dyDescent="0.3">
      <c r="A2736" s="5"/>
      <c r="B2736" s="6"/>
      <c r="C2736" s="7"/>
      <c r="D2736" s="8"/>
      <c r="E2736" s="8"/>
      <c r="F2736" s="10"/>
      <c r="G2736" s="10"/>
      <c r="H2736" s="10"/>
      <c r="I2736" s="7"/>
      <c r="J2736" s="12"/>
      <c r="K2736" s="13"/>
      <c r="L2736" s="14"/>
      <c r="M2736" s="15"/>
      <c r="N2736" s="15"/>
      <c r="O2736" s="16"/>
      <c r="Q2736" s="16"/>
    </row>
    <row r="2737" spans="1:17" x14ac:dyDescent="0.3">
      <c r="A2737" s="5"/>
      <c r="B2737" s="6"/>
      <c r="C2737" s="7"/>
      <c r="D2737" s="8"/>
      <c r="E2737" s="8"/>
      <c r="F2737" s="10"/>
      <c r="G2737" s="10"/>
      <c r="H2737" s="10"/>
      <c r="I2737" s="7"/>
      <c r="J2737" s="12"/>
      <c r="K2737" s="13"/>
      <c r="L2737" s="14"/>
      <c r="M2737" s="15"/>
      <c r="N2737" s="15"/>
      <c r="O2737" s="16"/>
      <c r="Q2737" s="16"/>
    </row>
    <row r="2738" spans="1:17" x14ac:dyDescent="0.3">
      <c r="A2738" s="5"/>
      <c r="B2738" s="6"/>
      <c r="C2738" s="7"/>
      <c r="D2738" s="8"/>
      <c r="E2738" s="8"/>
      <c r="F2738" s="10"/>
      <c r="G2738" s="10"/>
      <c r="H2738" s="10"/>
      <c r="I2738" s="7"/>
      <c r="J2738" s="12"/>
      <c r="K2738" s="13"/>
      <c r="L2738" s="14"/>
      <c r="M2738" s="15"/>
      <c r="N2738" s="15"/>
      <c r="O2738" s="16"/>
      <c r="Q2738" s="16"/>
    </row>
    <row r="2739" spans="1:17" x14ac:dyDescent="0.3">
      <c r="A2739" s="5"/>
      <c r="B2739" s="6"/>
      <c r="C2739" s="7"/>
      <c r="D2739" s="8"/>
      <c r="E2739" s="8"/>
      <c r="F2739" s="10"/>
      <c r="G2739" s="10"/>
      <c r="H2739" s="10"/>
      <c r="I2739" s="7"/>
      <c r="J2739" s="12"/>
      <c r="K2739" s="13"/>
      <c r="L2739" s="14"/>
      <c r="M2739" s="15"/>
      <c r="N2739" s="15"/>
      <c r="O2739" s="16"/>
      <c r="Q2739" s="16"/>
    </row>
    <row r="2740" spans="1:17" x14ac:dyDescent="0.3">
      <c r="A2740" s="5"/>
      <c r="B2740" s="6"/>
      <c r="C2740" s="7"/>
      <c r="D2740" s="8"/>
      <c r="E2740" s="8"/>
      <c r="F2740" s="10"/>
      <c r="G2740" s="10"/>
      <c r="H2740" s="10"/>
      <c r="I2740" s="7"/>
      <c r="J2740" s="12"/>
      <c r="K2740" s="13"/>
      <c r="L2740" s="14"/>
      <c r="M2740" s="15"/>
      <c r="N2740" s="15"/>
      <c r="O2740" s="16"/>
      <c r="Q2740" s="16"/>
    </row>
    <row r="2741" spans="1:17" x14ac:dyDescent="0.3">
      <c r="A2741" s="5"/>
      <c r="B2741" s="6"/>
      <c r="C2741" s="7"/>
      <c r="D2741" s="8"/>
      <c r="E2741" s="8"/>
      <c r="F2741" s="10"/>
      <c r="G2741" s="10"/>
      <c r="H2741" s="10"/>
      <c r="I2741" s="7"/>
      <c r="J2741" s="12"/>
      <c r="K2741" s="13"/>
      <c r="L2741" s="14"/>
      <c r="M2741" s="15"/>
      <c r="N2741" s="15"/>
      <c r="O2741" s="16"/>
      <c r="Q2741" s="16"/>
    </row>
    <row r="2742" spans="1:17" x14ac:dyDescent="0.3">
      <c r="A2742" s="5"/>
      <c r="B2742" s="6"/>
      <c r="C2742" s="7"/>
      <c r="D2742" s="8"/>
      <c r="E2742" s="8"/>
      <c r="F2742" s="10"/>
      <c r="G2742" s="10"/>
      <c r="H2742" s="10"/>
      <c r="I2742" s="7"/>
      <c r="J2742" s="12"/>
      <c r="K2742" s="13"/>
      <c r="L2742" s="14"/>
      <c r="M2742" s="15"/>
      <c r="N2742" s="15"/>
      <c r="O2742" s="16"/>
      <c r="Q2742" s="16"/>
    </row>
    <row r="2743" spans="1:17" x14ac:dyDescent="0.3">
      <c r="A2743" s="5"/>
      <c r="B2743" s="6"/>
      <c r="C2743" s="7"/>
      <c r="D2743" s="8"/>
      <c r="E2743" s="8"/>
      <c r="F2743" s="10"/>
      <c r="G2743" s="10"/>
      <c r="H2743" s="10"/>
      <c r="I2743" s="7"/>
      <c r="J2743" s="12"/>
      <c r="K2743" s="13"/>
      <c r="L2743" s="14"/>
      <c r="M2743" s="15"/>
      <c r="N2743" s="15"/>
      <c r="O2743" s="16"/>
      <c r="Q2743" s="16"/>
    </row>
    <row r="2744" spans="1:17" x14ac:dyDescent="0.3">
      <c r="A2744" s="5"/>
      <c r="B2744" s="6"/>
      <c r="C2744" s="7"/>
      <c r="D2744" s="8"/>
      <c r="E2744" s="8"/>
      <c r="F2744" s="10"/>
      <c r="G2744" s="10"/>
      <c r="H2744" s="10"/>
      <c r="I2744" s="7"/>
      <c r="J2744" s="12"/>
      <c r="K2744" s="13"/>
      <c r="L2744" s="14"/>
      <c r="M2744" s="15"/>
      <c r="N2744" s="15"/>
      <c r="O2744" s="16"/>
      <c r="Q2744" s="16"/>
    </row>
    <row r="2745" spans="1:17" x14ac:dyDescent="0.3">
      <c r="A2745" s="5"/>
      <c r="B2745" s="6"/>
      <c r="C2745" s="7"/>
      <c r="D2745" s="8"/>
      <c r="E2745" s="8"/>
      <c r="F2745" s="10"/>
      <c r="G2745" s="10"/>
      <c r="H2745" s="10"/>
      <c r="I2745" s="7"/>
      <c r="J2745" s="12"/>
      <c r="K2745" s="13"/>
      <c r="L2745" s="14"/>
      <c r="M2745" s="15"/>
      <c r="N2745" s="15"/>
      <c r="O2745" s="16"/>
      <c r="Q2745" s="16"/>
    </row>
    <row r="2746" spans="1:17" x14ac:dyDescent="0.3">
      <c r="A2746" s="5"/>
      <c r="B2746" s="6"/>
      <c r="C2746" s="7"/>
      <c r="D2746" s="8"/>
      <c r="E2746" s="8"/>
      <c r="F2746" s="10"/>
      <c r="G2746" s="10"/>
      <c r="H2746" s="10"/>
      <c r="I2746" s="7"/>
      <c r="J2746" s="12"/>
      <c r="K2746" s="13"/>
      <c r="L2746" s="14"/>
      <c r="M2746" s="15"/>
      <c r="N2746" s="15"/>
      <c r="O2746" s="16"/>
      <c r="Q2746" s="16"/>
    </row>
    <row r="2747" spans="1:17" x14ac:dyDescent="0.3">
      <c r="A2747" s="5"/>
      <c r="B2747" s="6"/>
      <c r="C2747" s="7"/>
      <c r="D2747" s="8"/>
      <c r="E2747" s="8"/>
      <c r="F2747" s="10"/>
      <c r="G2747" s="10"/>
      <c r="H2747" s="10"/>
      <c r="I2747" s="7"/>
      <c r="J2747" s="12"/>
      <c r="K2747" s="13"/>
      <c r="L2747" s="14"/>
      <c r="M2747" s="15"/>
      <c r="N2747" s="15"/>
      <c r="O2747" s="16"/>
      <c r="Q2747" s="16"/>
    </row>
    <row r="2748" spans="1:17" x14ac:dyDescent="0.3">
      <c r="A2748" s="5"/>
      <c r="B2748" s="6"/>
      <c r="C2748" s="7"/>
      <c r="D2748" s="8"/>
      <c r="E2748" s="8"/>
      <c r="F2748" s="10"/>
      <c r="G2748" s="10"/>
      <c r="H2748" s="10"/>
      <c r="I2748" s="7"/>
      <c r="J2748" s="12"/>
      <c r="K2748" s="13"/>
      <c r="L2748" s="14"/>
      <c r="M2748" s="15"/>
      <c r="N2748" s="15"/>
      <c r="O2748" s="16"/>
      <c r="Q2748" s="16"/>
    </row>
    <row r="2749" spans="1:17" x14ac:dyDescent="0.3">
      <c r="A2749" s="5"/>
      <c r="B2749" s="6"/>
      <c r="C2749" s="7"/>
      <c r="D2749" s="8"/>
      <c r="E2749" s="8"/>
      <c r="F2749" s="10"/>
      <c r="G2749" s="10"/>
      <c r="H2749" s="10"/>
      <c r="I2749" s="7"/>
      <c r="J2749" s="12"/>
      <c r="K2749" s="13"/>
      <c r="L2749" s="14"/>
      <c r="M2749" s="15"/>
      <c r="N2749" s="15"/>
      <c r="O2749" s="16"/>
      <c r="Q2749" s="16"/>
    </row>
    <row r="2750" spans="1:17" x14ac:dyDescent="0.3">
      <c r="A2750" s="5"/>
      <c r="B2750" s="6"/>
      <c r="C2750" s="7"/>
      <c r="D2750" s="8"/>
      <c r="E2750" s="8"/>
      <c r="F2750" s="10"/>
      <c r="G2750" s="10"/>
      <c r="H2750" s="10"/>
      <c r="I2750" s="7"/>
      <c r="J2750" s="12"/>
      <c r="K2750" s="13"/>
      <c r="L2750" s="14"/>
      <c r="M2750" s="15"/>
      <c r="N2750" s="15"/>
      <c r="O2750" s="16"/>
      <c r="Q2750" s="16"/>
    </row>
    <row r="2751" spans="1:17" x14ac:dyDescent="0.3">
      <c r="A2751" s="5"/>
      <c r="B2751" s="6"/>
      <c r="C2751" s="7"/>
      <c r="D2751" s="8"/>
      <c r="E2751" s="8"/>
      <c r="F2751" s="10"/>
      <c r="G2751" s="10"/>
      <c r="H2751" s="10"/>
      <c r="I2751" s="7"/>
      <c r="J2751" s="12"/>
      <c r="K2751" s="13"/>
      <c r="L2751" s="14"/>
      <c r="M2751" s="15"/>
      <c r="N2751" s="15"/>
      <c r="O2751" s="16"/>
      <c r="Q2751" s="16"/>
    </row>
    <row r="2752" spans="1:17" x14ac:dyDescent="0.3">
      <c r="A2752" s="5"/>
      <c r="B2752" s="6"/>
      <c r="C2752" s="7"/>
      <c r="D2752" s="8"/>
      <c r="E2752" s="8"/>
      <c r="F2752" s="10"/>
      <c r="G2752" s="10"/>
      <c r="H2752" s="10"/>
      <c r="I2752" s="7"/>
      <c r="J2752" s="12"/>
      <c r="K2752" s="13"/>
      <c r="L2752" s="14"/>
      <c r="M2752" s="15"/>
      <c r="N2752" s="15"/>
      <c r="O2752" s="16"/>
      <c r="Q2752" s="16"/>
    </row>
    <row r="2753" spans="1:17" x14ac:dyDescent="0.3">
      <c r="A2753" s="5"/>
      <c r="B2753" s="6"/>
      <c r="C2753" s="7"/>
      <c r="D2753" s="8"/>
      <c r="E2753" s="8"/>
      <c r="F2753" s="10"/>
      <c r="G2753" s="10"/>
      <c r="H2753" s="10"/>
      <c r="I2753" s="7"/>
      <c r="J2753" s="12"/>
      <c r="K2753" s="13"/>
      <c r="L2753" s="14"/>
      <c r="M2753" s="15"/>
      <c r="N2753" s="15"/>
      <c r="O2753" s="16"/>
      <c r="Q2753" s="16"/>
    </row>
    <row r="2754" spans="1:17" x14ac:dyDescent="0.3">
      <c r="A2754" s="5"/>
      <c r="B2754" s="6"/>
      <c r="C2754" s="7"/>
      <c r="D2754" s="8"/>
      <c r="E2754" s="8"/>
      <c r="F2754" s="10"/>
      <c r="G2754" s="10"/>
      <c r="H2754" s="10"/>
      <c r="I2754" s="7"/>
      <c r="J2754" s="12"/>
      <c r="K2754" s="13"/>
      <c r="L2754" s="14"/>
      <c r="M2754" s="15"/>
      <c r="N2754" s="15"/>
      <c r="O2754" s="16"/>
      <c r="Q2754" s="16"/>
    </row>
    <row r="2755" spans="1:17" x14ac:dyDescent="0.3">
      <c r="A2755" s="5"/>
      <c r="B2755" s="6"/>
      <c r="C2755" s="7"/>
      <c r="D2755" s="8"/>
      <c r="E2755" s="8"/>
      <c r="F2755" s="10"/>
      <c r="G2755" s="10"/>
      <c r="H2755" s="10"/>
      <c r="I2755" s="7"/>
      <c r="J2755" s="12"/>
      <c r="K2755" s="13"/>
      <c r="L2755" s="14"/>
      <c r="M2755" s="15"/>
      <c r="N2755" s="15"/>
      <c r="O2755" s="16"/>
      <c r="Q2755" s="16"/>
    </row>
    <row r="2756" spans="1:17" x14ac:dyDescent="0.3">
      <c r="A2756" s="5"/>
      <c r="B2756" s="6"/>
      <c r="C2756" s="7"/>
      <c r="D2756" s="8"/>
      <c r="E2756" s="8"/>
      <c r="F2756" s="10"/>
      <c r="G2756" s="10"/>
      <c r="H2756" s="10"/>
      <c r="I2756" s="7"/>
      <c r="J2756" s="12"/>
      <c r="K2756" s="13"/>
      <c r="L2756" s="14"/>
      <c r="M2756" s="15"/>
      <c r="N2756" s="15"/>
      <c r="O2756" s="16"/>
      <c r="Q2756" s="16"/>
    </row>
    <row r="2757" spans="1:17" x14ac:dyDescent="0.3">
      <c r="A2757" s="5"/>
      <c r="B2757" s="6"/>
      <c r="C2757" s="7"/>
      <c r="D2757" s="8"/>
      <c r="E2757" s="8"/>
      <c r="F2757" s="10"/>
      <c r="G2757" s="10"/>
      <c r="H2757" s="10"/>
      <c r="I2757" s="7"/>
      <c r="J2757" s="12"/>
      <c r="K2757" s="13"/>
      <c r="L2757" s="14"/>
      <c r="M2757" s="15"/>
      <c r="N2757" s="15"/>
      <c r="O2757" s="16"/>
      <c r="Q2757" s="16"/>
    </row>
    <row r="2758" spans="1:17" x14ac:dyDescent="0.3">
      <c r="A2758" s="5"/>
      <c r="B2758" s="6"/>
      <c r="C2758" s="7"/>
      <c r="D2758" s="8"/>
      <c r="E2758" s="8"/>
      <c r="F2758" s="10"/>
      <c r="G2758" s="10"/>
      <c r="H2758" s="10"/>
      <c r="I2758" s="7"/>
      <c r="J2758" s="12"/>
      <c r="K2758" s="13"/>
      <c r="L2758" s="14"/>
      <c r="M2758" s="15"/>
      <c r="N2758" s="15"/>
      <c r="O2758" s="16"/>
      <c r="Q2758" s="16"/>
    </row>
    <row r="2759" spans="1:17" x14ac:dyDescent="0.3">
      <c r="A2759" s="5"/>
      <c r="B2759" s="6"/>
      <c r="C2759" s="7"/>
      <c r="D2759" s="8"/>
      <c r="E2759" s="8"/>
      <c r="F2759" s="10"/>
      <c r="G2759" s="10"/>
      <c r="H2759" s="10"/>
      <c r="I2759" s="7"/>
      <c r="J2759" s="12"/>
      <c r="K2759" s="13"/>
      <c r="L2759" s="14"/>
      <c r="M2759" s="15"/>
      <c r="N2759" s="15"/>
      <c r="O2759" s="16"/>
      <c r="Q2759" s="16"/>
    </row>
    <row r="2760" spans="1:17" x14ac:dyDescent="0.3">
      <c r="A2760" s="5"/>
      <c r="B2760" s="6"/>
      <c r="C2760" s="7"/>
      <c r="D2760" s="8"/>
      <c r="E2760" s="8"/>
      <c r="F2760" s="10"/>
      <c r="G2760" s="10"/>
      <c r="H2760" s="10"/>
      <c r="I2760" s="7"/>
      <c r="J2760" s="12"/>
      <c r="K2760" s="13"/>
      <c r="L2760" s="14"/>
      <c r="M2760" s="15"/>
      <c r="N2760" s="15"/>
      <c r="O2760" s="16"/>
      <c r="Q2760" s="16"/>
    </row>
    <row r="2761" spans="1:17" x14ac:dyDescent="0.3">
      <c r="A2761" s="5"/>
      <c r="B2761" s="6"/>
      <c r="C2761" s="7"/>
      <c r="D2761" s="8"/>
      <c r="E2761" s="8"/>
      <c r="F2761" s="10"/>
      <c r="G2761" s="10"/>
      <c r="H2761" s="10"/>
      <c r="I2761" s="7"/>
      <c r="J2761" s="12"/>
      <c r="K2761" s="13"/>
      <c r="L2761" s="14"/>
      <c r="M2761" s="15"/>
      <c r="N2761" s="15"/>
      <c r="O2761" s="16"/>
      <c r="Q2761" s="16"/>
    </row>
    <row r="2762" spans="1:17" x14ac:dyDescent="0.3">
      <c r="A2762" s="5"/>
      <c r="B2762" s="6"/>
      <c r="C2762" s="7"/>
      <c r="D2762" s="8"/>
      <c r="E2762" s="8"/>
      <c r="F2762" s="10"/>
      <c r="G2762" s="10"/>
      <c r="H2762" s="10"/>
      <c r="I2762" s="7"/>
      <c r="J2762" s="12"/>
      <c r="K2762" s="13"/>
      <c r="L2762" s="14"/>
      <c r="M2762" s="15"/>
      <c r="N2762" s="15"/>
      <c r="O2762" s="16"/>
      <c r="Q2762" s="16"/>
    </row>
    <row r="2763" spans="1:17" x14ac:dyDescent="0.3">
      <c r="A2763" s="5"/>
      <c r="B2763" s="6"/>
      <c r="C2763" s="7"/>
      <c r="D2763" s="8"/>
      <c r="E2763" s="8"/>
      <c r="F2763" s="10"/>
      <c r="G2763" s="10"/>
      <c r="H2763" s="10"/>
      <c r="I2763" s="7"/>
      <c r="J2763" s="12"/>
      <c r="K2763" s="13"/>
      <c r="L2763" s="14"/>
      <c r="M2763" s="15"/>
      <c r="N2763" s="15"/>
      <c r="O2763" s="16"/>
      <c r="Q2763" s="16"/>
    </row>
    <row r="2764" spans="1:17" x14ac:dyDescent="0.3">
      <c r="A2764" s="5"/>
      <c r="B2764" s="6"/>
      <c r="C2764" s="7"/>
      <c r="D2764" s="8"/>
      <c r="E2764" s="8"/>
      <c r="F2764" s="10"/>
      <c r="G2764" s="10"/>
      <c r="H2764" s="10"/>
      <c r="I2764" s="7"/>
      <c r="J2764" s="12"/>
      <c r="K2764" s="13"/>
      <c r="L2764" s="14"/>
      <c r="M2764" s="15"/>
      <c r="N2764" s="15"/>
      <c r="O2764" s="16"/>
      <c r="Q2764" s="16"/>
    </row>
    <row r="2765" spans="1:17" x14ac:dyDescent="0.3">
      <c r="A2765" s="5"/>
      <c r="B2765" s="6"/>
      <c r="C2765" s="7"/>
      <c r="D2765" s="8"/>
      <c r="E2765" s="8"/>
      <c r="F2765" s="10"/>
      <c r="G2765" s="10"/>
      <c r="H2765" s="10"/>
      <c r="I2765" s="7"/>
      <c r="J2765" s="12"/>
      <c r="K2765" s="13"/>
      <c r="L2765" s="14"/>
      <c r="M2765" s="15"/>
      <c r="N2765" s="15"/>
      <c r="O2765" s="16"/>
      <c r="Q2765" s="16"/>
    </row>
    <row r="2766" spans="1:17" x14ac:dyDescent="0.3">
      <c r="A2766" s="5"/>
      <c r="B2766" s="6"/>
      <c r="C2766" s="7"/>
      <c r="D2766" s="8"/>
      <c r="E2766" s="8"/>
      <c r="F2766" s="10"/>
      <c r="G2766" s="10"/>
      <c r="H2766" s="10"/>
      <c r="I2766" s="7"/>
      <c r="J2766" s="12"/>
      <c r="K2766" s="13"/>
      <c r="L2766" s="14"/>
      <c r="M2766" s="15"/>
      <c r="N2766" s="15"/>
      <c r="O2766" s="16"/>
      <c r="Q2766" s="16"/>
    </row>
    <row r="2767" spans="1:17" x14ac:dyDescent="0.3">
      <c r="A2767" s="5"/>
      <c r="B2767" s="6"/>
      <c r="C2767" s="7"/>
      <c r="D2767" s="8"/>
      <c r="E2767" s="8"/>
      <c r="F2767" s="10"/>
      <c r="G2767" s="10"/>
      <c r="H2767" s="10"/>
      <c r="I2767" s="7"/>
      <c r="J2767" s="12"/>
      <c r="K2767" s="13"/>
      <c r="L2767" s="14"/>
      <c r="M2767" s="15"/>
      <c r="N2767" s="15"/>
      <c r="O2767" s="16"/>
      <c r="Q2767" s="16"/>
    </row>
    <row r="2768" spans="1:17" x14ac:dyDescent="0.3">
      <c r="A2768" s="5"/>
      <c r="B2768" s="6"/>
      <c r="C2768" s="7"/>
      <c r="D2768" s="8"/>
      <c r="E2768" s="8"/>
      <c r="F2768" s="10"/>
      <c r="G2768" s="10"/>
      <c r="H2768" s="10"/>
      <c r="I2768" s="7"/>
      <c r="J2768" s="12"/>
      <c r="K2768" s="13"/>
      <c r="L2768" s="14"/>
      <c r="M2768" s="15"/>
      <c r="N2768" s="15"/>
      <c r="O2768" s="16"/>
      <c r="Q2768" s="16"/>
    </row>
    <row r="2769" spans="1:17" x14ac:dyDescent="0.3">
      <c r="A2769" s="5"/>
      <c r="B2769" s="6"/>
      <c r="C2769" s="7"/>
      <c r="D2769" s="8"/>
      <c r="E2769" s="8"/>
      <c r="F2769" s="10"/>
      <c r="G2769" s="10"/>
      <c r="H2769" s="10"/>
      <c r="I2769" s="7"/>
      <c r="J2769" s="12"/>
      <c r="K2769" s="13"/>
      <c r="L2769" s="14"/>
      <c r="M2769" s="15"/>
      <c r="N2769" s="15"/>
      <c r="O2769" s="16"/>
      <c r="Q2769" s="16"/>
    </row>
    <row r="2770" spans="1:17" x14ac:dyDescent="0.3">
      <c r="A2770" s="5"/>
      <c r="B2770" s="6"/>
      <c r="C2770" s="7"/>
      <c r="D2770" s="8"/>
      <c r="E2770" s="8"/>
      <c r="F2770" s="10"/>
      <c r="G2770" s="10"/>
      <c r="H2770" s="10"/>
      <c r="I2770" s="7"/>
      <c r="J2770" s="12"/>
      <c r="K2770" s="13"/>
      <c r="L2770" s="14"/>
      <c r="M2770" s="15"/>
      <c r="N2770" s="15"/>
      <c r="O2770" s="16"/>
      <c r="Q2770" s="16"/>
    </row>
    <row r="2771" spans="1:17" x14ac:dyDescent="0.3">
      <c r="A2771" s="5"/>
      <c r="B2771" s="6"/>
      <c r="C2771" s="7"/>
      <c r="D2771" s="8"/>
      <c r="E2771" s="8"/>
      <c r="F2771" s="10"/>
      <c r="G2771" s="10"/>
      <c r="H2771" s="10"/>
      <c r="I2771" s="7"/>
      <c r="J2771" s="12"/>
      <c r="K2771" s="13"/>
      <c r="L2771" s="14"/>
      <c r="M2771" s="15"/>
      <c r="N2771" s="15"/>
      <c r="O2771" s="16"/>
      <c r="Q2771" s="16"/>
    </row>
    <row r="2772" spans="1:17" x14ac:dyDescent="0.3">
      <c r="A2772" s="5"/>
      <c r="B2772" s="6"/>
      <c r="C2772" s="7"/>
      <c r="D2772" s="8"/>
      <c r="E2772" s="8"/>
      <c r="F2772" s="10"/>
      <c r="G2772" s="10"/>
      <c r="H2772" s="10"/>
      <c r="I2772" s="7"/>
      <c r="J2772" s="12"/>
      <c r="K2772" s="13"/>
      <c r="L2772" s="14"/>
      <c r="M2772" s="15"/>
      <c r="N2772" s="15"/>
      <c r="O2772" s="16"/>
      <c r="Q2772" s="16"/>
    </row>
    <row r="2773" spans="1:17" x14ac:dyDescent="0.3">
      <c r="A2773" s="5"/>
      <c r="B2773" s="6"/>
      <c r="C2773" s="7"/>
      <c r="D2773" s="8"/>
      <c r="E2773" s="8"/>
      <c r="F2773" s="10"/>
      <c r="G2773" s="10"/>
      <c r="H2773" s="10"/>
      <c r="I2773" s="7"/>
      <c r="J2773" s="12"/>
      <c r="K2773" s="13"/>
      <c r="L2773" s="14"/>
      <c r="M2773" s="15"/>
      <c r="N2773" s="15"/>
      <c r="O2773" s="16"/>
      <c r="Q2773" s="16"/>
    </row>
    <row r="2774" spans="1:17" x14ac:dyDescent="0.3">
      <c r="A2774" s="5"/>
      <c r="B2774" s="6"/>
      <c r="C2774" s="7"/>
      <c r="D2774" s="8"/>
      <c r="E2774" s="8"/>
      <c r="F2774" s="10"/>
      <c r="G2774" s="10"/>
      <c r="H2774" s="10"/>
      <c r="I2774" s="7"/>
      <c r="J2774" s="12"/>
      <c r="K2774" s="13"/>
      <c r="L2774" s="14"/>
      <c r="M2774" s="15"/>
      <c r="N2774" s="15"/>
      <c r="O2774" s="16"/>
      <c r="Q2774" s="16"/>
    </row>
    <row r="2775" spans="1:17" x14ac:dyDescent="0.3">
      <c r="A2775" s="5"/>
      <c r="B2775" s="6"/>
      <c r="C2775" s="7"/>
      <c r="D2775" s="8"/>
      <c r="E2775" s="8"/>
      <c r="F2775" s="10"/>
      <c r="G2775" s="10"/>
      <c r="H2775" s="10"/>
      <c r="I2775" s="7"/>
      <c r="J2775" s="12"/>
      <c r="K2775" s="13"/>
      <c r="L2775" s="14"/>
      <c r="M2775" s="15"/>
      <c r="N2775" s="15"/>
      <c r="O2775" s="16"/>
      <c r="Q2775" s="16"/>
    </row>
    <row r="2776" spans="1:17" x14ac:dyDescent="0.3">
      <c r="A2776" s="5"/>
      <c r="B2776" s="6"/>
      <c r="C2776" s="7"/>
      <c r="D2776" s="8"/>
      <c r="E2776" s="8"/>
      <c r="F2776" s="10"/>
      <c r="G2776" s="10"/>
      <c r="H2776" s="10"/>
      <c r="I2776" s="7"/>
      <c r="J2776" s="12"/>
      <c r="K2776" s="13"/>
      <c r="L2776" s="14"/>
      <c r="M2776" s="15"/>
      <c r="N2776" s="15"/>
      <c r="O2776" s="16"/>
      <c r="Q2776" s="16"/>
    </row>
    <row r="2777" spans="1:17" x14ac:dyDescent="0.3">
      <c r="A2777" s="5"/>
      <c r="B2777" s="6"/>
      <c r="C2777" s="7"/>
      <c r="D2777" s="8"/>
      <c r="E2777" s="8"/>
      <c r="F2777" s="10"/>
      <c r="G2777" s="10"/>
      <c r="H2777" s="10"/>
      <c r="I2777" s="7"/>
      <c r="J2777" s="12"/>
      <c r="K2777" s="13"/>
      <c r="L2777" s="14"/>
      <c r="M2777" s="15"/>
      <c r="N2777" s="15"/>
      <c r="O2777" s="16"/>
      <c r="Q2777" s="16"/>
    </row>
    <row r="2778" spans="1:17" x14ac:dyDescent="0.3">
      <c r="A2778" s="5"/>
      <c r="B2778" s="6"/>
      <c r="C2778" s="7"/>
      <c r="D2778" s="8"/>
      <c r="E2778" s="8"/>
      <c r="F2778" s="10"/>
      <c r="G2778" s="10"/>
      <c r="H2778" s="10"/>
      <c r="I2778" s="7"/>
      <c r="J2778" s="12"/>
      <c r="K2778" s="13"/>
      <c r="L2778" s="14"/>
      <c r="M2778" s="15"/>
      <c r="N2778" s="15"/>
      <c r="O2778" s="16"/>
      <c r="Q2778" s="16"/>
    </row>
    <row r="2779" spans="1:17" x14ac:dyDescent="0.3">
      <c r="A2779" s="5"/>
      <c r="B2779" s="6"/>
      <c r="C2779" s="7"/>
      <c r="D2779" s="8"/>
      <c r="E2779" s="8"/>
      <c r="F2779" s="10"/>
      <c r="G2779" s="10"/>
      <c r="H2779" s="10"/>
      <c r="I2779" s="7"/>
      <c r="J2779" s="12"/>
      <c r="K2779" s="13"/>
      <c r="L2779" s="14"/>
      <c r="M2779" s="15"/>
      <c r="N2779" s="15"/>
      <c r="O2779" s="16"/>
      <c r="Q2779" s="16"/>
    </row>
    <row r="2780" spans="1:17" x14ac:dyDescent="0.3">
      <c r="A2780" s="5"/>
      <c r="B2780" s="6"/>
      <c r="C2780" s="7"/>
      <c r="D2780" s="8"/>
      <c r="E2780" s="8"/>
      <c r="F2780" s="10"/>
      <c r="G2780" s="10"/>
      <c r="H2780" s="10"/>
      <c r="I2780" s="7"/>
      <c r="J2780" s="12"/>
      <c r="K2780" s="13"/>
      <c r="L2780" s="14"/>
      <c r="M2780" s="15"/>
      <c r="N2780" s="15"/>
      <c r="O2780" s="16"/>
      <c r="Q2780" s="16"/>
    </row>
    <row r="2781" spans="1:17" x14ac:dyDescent="0.3">
      <c r="A2781" s="5"/>
      <c r="B2781" s="6"/>
      <c r="C2781" s="7"/>
      <c r="D2781" s="8"/>
      <c r="E2781" s="8"/>
      <c r="F2781" s="10"/>
      <c r="G2781" s="10"/>
      <c r="H2781" s="10"/>
      <c r="I2781" s="7"/>
      <c r="J2781" s="12"/>
      <c r="K2781" s="13"/>
      <c r="L2781" s="14"/>
      <c r="M2781" s="15"/>
      <c r="N2781" s="15"/>
      <c r="O2781" s="16"/>
      <c r="Q2781" s="16"/>
    </row>
    <row r="2782" spans="1:17" x14ac:dyDescent="0.3">
      <c r="A2782" s="5"/>
      <c r="B2782" s="6"/>
      <c r="C2782" s="7"/>
      <c r="D2782" s="8"/>
      <c r="E2782" s="8"/>
      <c r="F2782" s="10"/>
      <c r="G2782" s="10"/>
      <c r="H2782" s="10"/>
      <c r="I2782" s="7"/>
      <c r="J2782" s="12"/>
      <c r="K2782" s="13"/>
      <c r="L2782" s="14"/>
      <c r="M2782" s="15"/>
      <c r="N2782" s="15"/>
      <c r="O2782" s="16"/>
      <c r="Q2782" s="16"/>
    </row>
    <row r="2783" spans="1:17" x14ac:dyDescent="0.3">
      <c r="A2783" s="5"/>
      <c r="B2783" s="6"/>
      <c r="C2783" s="7"/>
      <c r="D2783" s="8"/>
      <c r="E2783" s="8"/>
      <c r="F2783" s="10"/>
      <c r="G2783" s="10"/>
      <c r="H2783" s="10"/>
      <c r="I2783" s="7"/>
      <c r="J2783" s="12"/>
      <c r="K2783" s="13"/>
      <c r="L2783" s="14"/>
      <c r="M2783" s="15"/>
      <c r="N2783" s="15"/>
      <c r="O2783" s="16"/>
      <c r="Q2783" s="16"/>
    </row>
    <row r="2784" spans="1:17" x14ac:dyDescent="0.3">
      <c r="A2784" s="5"/>
      <c r="B2784" s="6"/>
      <c r="C2784" s="7"/>
      <c r="D2784" s="8"/>
      <c r="E2784" s="8"/>
      <c r="F2784" s="10"/>
      <c r="G2784" s="10"/>
      <c r="H2784" s="10"/>
      <c r="I2784" s="7"/>
      <c r="J2784" s="12"/>
      <c r="K2784" s="13"/>
      <c r="L2784" s="14"/>
      <c r="M2784" s="15"/>
      <c r="N2784" s="15"/>
      <c r="O2784" s="16"/>
      <c r="Q2784" s="16"/>
    </row>
    <row r="2785" spans="1:17" x14ac:dyDescent="0.3">
      <c r="A2785" s="5"/>
      <c r="B2785" s="6"/>
      <c r="C2785" s="7"/>
      <c r="D2785" s="8"/>
      <c r="E2785" s="8"/>
      <c r="F2785" s="10"/>
      <c r="G2785" s="10"/>
      <c r="H2785" s="10"/>
      <c r="I2785" s="7"/>
      <c r="J2785" s="12"/>
      <c r="K2785" s="13"/>
      <c r="L2785" s="14"/>
      <c r="M2785" s="15"/>
      <c r="N2785" s="15"/>
      <c r="O2785" s="16"/>
      <c r="Q2785" s="16"/>
    </row>
    <row r="2786" spans="1:17" x14ac:dyDescent="0.3">
      <c r="A2786" s="5"/>
      <c r="B2786" s="6"/>
      <c r="C2786" s="7"/>
      <c r="D2786" s="8"/>
      <c r="E2786" s="8"/>
      <c r="F2786" s="10"/>
      <c r="G2786" s="10"/>
      <c r="H2786" s="10"/>
      <c r="I2786" s="7"/>
      <c r="J2786" s="12"/>
      <c r="K2786" s="13"/>
      <c r="L2786" s="14"/>
      <c r="M2786" s="15"/>
      <c r="N2786" s="15"/>
      <c r="O2786" s="16"/>
      <c r="Q2786" s="16"/>
    </row>
    <row r="2787" spans="1:17" x14ac:dyDescent="0.3">
      <c r="A2787" s="5"/>
      <c r="B2787" s="6"/>
      <c r="C2787" s="7"/>
      <c r="D2787" s="8"/>
      <c r="E2787" s="8"/>
      <c r="F2787" s="10"/>
      <c r="G2787" s="10"/>
      <c r="H2787" s="10"/>
      <c r="I2787" s="7"/>
      <c r="J2787" s="12"/>
      <c r="K2787" s="13"/>
      <c r="L2787" s="14"/>
      <c r="M2787" s="15"/>
      <c r="N2787" s="15"/>
      <c r="O2787" s="16"/>
      <c r="Q2787" s="16"/>
    </row>
    <row r="2788" spans="1:17" x14ac:dyDescent="0.3">
      <c r="A2788" s="5"/>
      <c r="B2788" s="6"/>
      <c r="C2788" s="7"/>
      <c r="D2788" s="8"/>
      <c r="E2788" s="8"/>
      <c r="F2788" s="10"/>
      <c r="G2788" s="10"/>
      <c r="H2788" s="10"/>
      <c r="I2788" s="7"/>
      <c r="J2788" s="12"/>
      <c r="K2788" s="13"/>
      <c r="L2788" s="14"/>
      <c r="M2788" s="15"/>
      <c r="N2788" s="15"/>
      <c r="O2788" s="16"/>
      <c r="Q2788" s="16"/>
    </row>
    <row r="2789" spans="1:17" x14ac:dyDescent="0.3">
      <c r="A2789" s="5"/>
      <c r="B2789" s="6"/>
      <c r="C2789" s="7"/>
      <c r="D2789" s="8"/>
      <c r="E2789" s="8"/>
      <c r="F2789" s="10"/>
      <c r="G2789" s="10"/>
      <c r="H2789" s="10"/>
      <c r="I2789" s="7"/>
      <c r="J2789" s="12"/>
      <c r="K2789" s="13"/>
      <c r="L2789" s="14"/>
      <c r="M2789" s="15"/>
      <c r="N2789" s="15"/>
      <c r="O2789" s="16"/>
      <c r="Q2789" s="16"/>
    </row>
    <row r="2790" spans="1:17" x14ac:dyDescent="0.3">
      <c r="A2790" s="5"/>
      <c r="B2790" s="6"/>
      <c r="C2790" s="7"/>
      <c r="D2790" s="8"/>
      <c r="E2790" s="8"/>
      <c r="F2790" s="10"/>
      <c r="G2790" s="10"/>
      <c r="H2790" s="10"/>
      <c r="I2790" s="7"/>
      <c r="J2790" s="12"/>
      <c r="K2790" s="13"/>
      <c r="L2790" s="14"/>
      <c r="M2790" s="15"/>
      <c r="N2790" s="15"/>
      <c r="O2790" s="16"/>
      <c r="Q2790" s="16"/>
    </row>
    <row r="2791" spans="1:17" x14ac:dyDescent="0.3">
      <c r="A2791" s="5"/>
      <c r="B2791" s="6"/>
      <c r="C2791" s="7"/>
      <c r="D2791" s="8"/>
      <c r="E2791" s="8"/>
      <c r="F2791" s="10"/>
      <c r="G2791" s="10"/>
      <c r="H2791" s="10"/>
      <c r="I2791" s="7"/>
      <c r="J2791" s="12"/>
      <c r="K2791" s="13"/>
      <c r="L2791" s="14"/>
      <c r="M2791" s="15"/>
      <c r="N2791" s="15"/>
      <c r="O2791" s="16"/>
      <c r="Q2791" s="16"/>
    </row>
    <row r="2792" spans="1:17" x14ac:dyDescent="0.3">
      <c r="A2792" s="5"/>
      <c r="B2792" s="6"/>
      <c r="C2792" s="7"/>
      <c r="D2792" s="8"/>
      <c r="E2792" s="8"/>
      <c r="F2792" s="10"/>
      <c r="G2792" s="10"/>
      <c r="H2792" s="10"/>
      <c r="I2792" s="7"/>
      <c r="J2792" s="12"/>
      <c r="K2792" s="13"/>
      <c r="L2792" s="14"/>
      <c r="M2792" s="15"/>
      <c r="N2792" s="15"/>
      <c r="O2792" s="16"/>
      <c r="Q2792" s="16"/>
    </row>
    <row r="2793" spans="1:17" x14ac:dyDescent="0.3">
      <c r="A2793" s="5"/>
      <c r="B2793" s="6"/>
      <c r="C2793" s="7"/>
      <c r="D2793" s="8"/>
      <c r="E2793" s="8"/>
      <c r="F2793" s="10"/>
      <c r="G2793" s="10"/>
      <c r="H2793" s="10"/>
      <c r="I2793" s="7"/>
      <c r="J2793" s="12"/>
      <c r="K2793" s="13"/>
      <c r="L2793" s="14"/>
      <c r="M2793" s="15"/>
      <c r="N2793" s="15"/>
      <c r="O2793" s="16"/>
      <c r="Q2793" s="16"/>
    </row>
    <row r="2794" spans="1:17" x14ac:dyDescent="0.3">
      <c r="A2794" s="5"/>
      <c r="B2794" s="6"/>
      <c r="C2794" s="7"/>
      <c r="D2794" s="8"/>
      <c r="E2794" s="8"/>
      <c r="F2794" s="10"/>
      <c r="G2794" s="10"/>
      <c r="H2794" s="10"/>
      <c r="I2794" s="7"/>
      <c r="J2794" s="12"/>
      <c r="K2794" s="13"/>
      <c r="L2794" s="14"/>
      <c r="M2794" s="15"/>
      <c r="N2794" s="15"/>
      <c r="O2794" s="16"/>
      <c r="Q2794" s="16"/>
    </row>
    <row r="2795" spans="1:17" x14ac:dyDescent="0.3">
      <c r="A2795" s="5"/>
      <c r="B2795" s="6"/>
      <c r="C2795" s="7"/>
      <c r="D2795" s="8"/>
      <c r="E2795" s="8"/>
      <c r="F2795" s="10"/>
      <c r="G2795" s="10"/>
      <c r="H2795" s="10"/>
      <c r="I2795" s="7"/>
      <c r="J2795" s="12"/>
      <c r="K2795" s="13"/>
      <c r="L2795" s="14"/>
      <c r="M2795" s="15"/>
      <c r="N2795" s="15"/>
      <c r="O2795" s="16"/>
      <c r="Q2795" s="16"/>
    </row>
    <row r="2796" spans="1:17" x14ac:dyDescent="0.3">
      <c r="A2796" s="5"/>
      <c r="B2796" s="6"/>
      <c r="C2796" s="7"/>
      <c r="D2796" s="8"/>
      <c r="E2796" s="8"/>
      <c r="F2796" s="10"/>
      <c r="G2796" s="10"/>
      <c r="H2796" s="10"/>
      <c r="I2796" s="7"/>
      <c r="J2796" s="12"/>
      <c r="K2796" s="13"/>
      <c r="L2796" s="14"/>
      <c r="M2796" s="15"/>
      <c r="N2796" s="15"/>
      <c r="O2796" s="16"/>
      <c r="Q2796" s="16"/>
    </row>
    <row r="2797" spans="1:17" x14ac:dyDescent="0.3">
      <c r="A2797" s="5"/>
      <c r="B2797" s="6"/>
      <c r="C2797" s="7"/>
      <c r="D2797" s="8"/>
      <c r="E2797" s="8"/>
      <c r="F2797" s="10"/>
      <c r="G2797" s="10"/>
      <c r="H2797" s="10"/>
      <c r="I2797" s="7"/>
      <c r="J2797" s="12"/>
      <c r="K2797" s="13"/>
      <c r="L2797" s="14"/>
      <c r="M2797" s="15"/>
      <c r="N2797" s="15"/>
      <c r="O2797" s="16"/>
      <c r="Q2797" s="16"/>
    </row>
    <row r="2798" spans="1:17" x14ac:dyDescent="0.3">
      <c r="A2798" s="5"/>
      <c r="B2798" s="6"/>
      <c r="C2798" s="7"/>
      <c r="D2798" s="8"/>
      <c r="E2798" s="8"/>
      <c r="F2798" s="10"/>
      <c r="G2798" s="10"/>
      <c r="H2798" s="10"/>
      <c r="I2798" s="7"/>
      <c r="J2798" s="12"/>
      <c r="K2798" s="13"/>
      <c r="L2798" s="14"/>
      <c r="M2798" s="15"/>
      <c r="N2798" s="15"/>
      <c r="O2798" s="16"/>
      <c r="Q2798" s="16"/>
    </row>
    <row r="2799" spans="1:17" x14ac:dyDescent="0.3">
      <c r="A2799" s="5"/>
      <c r="B2799" s="6"/>
      <c r="C2799" s="7"/>
      <c r="D2799" s="8"/>
      <c r="E2799" s="8"/>
      <c r="F2799" s="10"/>
      <c r="G2799" s="10"/>
      <c r="H2799" s="10"/>
      <c r="I2799" s="7"/>
      <c r="J2799" s="12"/>
      <c r="K2799" s="13"/>
      <c r="L2799" s="14"/>
      <c r="M2799" s="15"/>
      <c r="N2799" s="15"/>
      <c r="O2799" s="16"/>
      <c r="Q2799" s="16"/>
    </row>
    <row r="2800" spans="1:17" x14ac:dyDescent="0.3">
      <c r="A2800" s="5"/>
      <c r="B2800" s="6"/>
      <c r="C2800" s="7"/>
      <c r="D2800" s="8"/>
      <c r="E2800" s="8"/>
      <c r="F2800" s="10"/>
      <c r="G2800" s="10"/>
      <c r="H2800" s="10"/>
      <c r="I2800" s="7"/>
      <c r="J2800" s="12"/>
      <c r="K2800" s="13"/>
      <c r="L2800" s="14"/>
      <c r="M2800" s="15"/>
      <c r="N2800" s="15"/>
      <c r="O2800" s="16"/>
      <c r="Q2800" s="16"/>
    </row>
    <row r="2801" spans="1:17" x14ac:dyDescent="0.3">
      <c r="A2801" s="5"/>
      <c r="B2801" s="6"/>
      <c r="C2801" s="7"/>
      <c r="D2801" s="8"/>
      <c r="E2801" s="8"/>
      <c r="F2801" s="10"/>
      <c r="G2801" s="10"/>
      <c r="H2801" s="10"/>
      <c r="I2801" s="7"/>
      <c r="J2801" s="12"/>
      <c r="K2801" s="13"/>
      <c r="L2801" s="14"/>
      <c r="M2801" s="15"/>
      <c r="N2801" s="15"/>
      <c r="O2801" s="16"/>
      <c r="Q2801" s="16"/>
    </row>
    <row r="2802" spans="1:17" x14ac:dyDescent="0.3">
      <c r="A2802" s="5"/>
      <c r="B2802" s="6"/>
      <c r="C2802" s="7"/>
      <c r="D2802" s="8"/>
      <c r="E2802" s="8"/>
      <c r="F2802" s="10"/>
      <c r="G2802" s="10"/>
      <c r="H2802" s="10"/>
      <c r="I2802" s="7"/>
      <c r="J2802" s="12"/>
      <c r="K2802" s="13"/>
      <c r="L2802" s="14"/>
      <c r="M2802" s="15"/>
      <c r="N2802" s="15"/>
      <c r="O2802" s="16"/>
      <c r="Q2802" s="16"/>
    </row>
    <row r="2803" spans="1:17" x14ac:dyDescent="0.3">
      <c r="A2803" s="5"/>
      <c r="B2803" s="6"/>
      <c r="C2803" s="7"/>
      <c r="D2803" s="8"/>
      <c r="E2803" s="8"/>
      <c r="F2803" s="10"/>
      <c r="G2803" s="10"/>
      <c r="H2803" s="10"/>
      <c r="I2803" s="7"/>
      <c r="J2803" s="12"/>
      <c r="K2803" s="13"/>
      <c r="L2803" s="14"/>
      <c r="M2803" s="15"/>
      <c r="N2803" s="15"/>
      <c r="O2803" s="16"/>
      <c r="Q2803" s="16"/>
    </row>
    <row r="2804" spans="1:17" x14ac:dyDescent="0.3">
      <c r="A2804" s="5"/>
      <c r="B2804" s="6"/>
      <c r="C2804" s="7"/>
      <c r="D2804" s="8"/>
      <c r="E2804" s="8"/>
      <c r="F2804" s="10"/>
      <c r="G2804" s="10"/>
      <c r="H2804" s="10"/>
      <c r="I2804" s="7"/>
      <c r="J2804" s="12"/>
      <c r="K2804" s="13"/>
      <c r="L2804" s="14"/>
      <c r="M2804" s="15"/>
      <c r="N2804" s="15"/>
      <c r="O2804" s="16"/>
      <c r="Q2804" s="16"/>
    </row>
    <row r="2805" spans="1:17" x14ac:dyDescent="0.3">
      <c r="A2805" s="5"/>
      <c r="B2805" s="6"/>
      <c r="C2805" s="7"/>
      <c r="D2805" s="8"/>
      <c r="E2805" s="8"/>
      <c r="F2805" s="10"/>
      <c r="G2805" s="10"/>
      <c r="H2805" s="10"/>
      <c r="I2805" s="7"/>
      <c r="J2805" s="12"/>
      <c r="K2805" s="13"/>
      <c r="L2805" s="14"/>
      <c r="M2805" s="15"/>
      <c r="N2805" s="15"/>
      <c r="O2805" s="16"/>
      <c r="Q2805" s="16"/>
    </row>
    <row r="2806" spans="1:17" x14ac:dyDescent="0.3">
      <c r="A2806" s="5"/>
      <c r="B2806" s="6"/>
      <c r="C2806" s="7"/>
      <c r="D2806" s="8"/>
      <c r="E2806" s="8"/>
      <c r="F2806" s="10"/>
      <c r="G2806" s="10"/>
      <c r="H2806" s="10"/>
      <c r="I2806" s="7"/>
      <c r="J2806" s="12"/>
      <c r="K2806" s="13"/>
      <c r="L2806" s="14"/>
      <c r="M2806" s="15"/>
      <c r="N2806" s="15"/>
      <c r="O2806" s="16"/>
      <c r="Q2806" s="16"/>
    </row>
    <row r="2807" spans="1:17" x14ac:dyDescent="0.3">
      <c r="A2807" s="5"/>
      <c r="B2807" s="6"/>
      <c r="C2807" s="7"/>
      <c r="D2807" s="8"/>
      <c r="E2807" s="8"/>
      <c r="F2807" s="10"/>
      <c r="G2807" s="10"/>
      <c r="H2807" s="10"/>
      <c r="I2807" s="7"/>
      <c r="J2807" s="12"/>
      <c r="K2807" s="13"/>
      <c r="L2807" s="14"/>
      <c r="M2807" s="15"/>
      <c r="N2807" s="15"/>
      <c r="O2807" s="16"/>
      <c r="Q2807" s="16"/>
    </row>
    <row r="2808" spans="1:17" x14ac:dyDescent="0.3">
      <c r="A2808" s="5"/>
      <c r="B2808" s="6"/>
      <c r="C2808" s="7"/>
      <c r="D2808" s="8"/>
      <c r="E2808" s="8"/>
      <c r="F2808" s="10"/>
      <c r="G2808" s="10"/>
      <c r="H2808" s="10"/>
      <c r="I2808" s="7"/>
      <c r="J2808" s="12"/>
      <c r="K2808" s="13"/>
      <c r="L2808" s="14"/>
      <c r="M2808" s="15"/>
      <c r="N2808" s="15"/>
      <c r="O2808" s="16"/>
      <c r="Q2808" s="16"/>
    </row>
    <row r="2809" spans="1:17" x14ac:dyDescent="0.3">
      <c r="A2809" s="5"/>
      <c r="B2809" s="6"/>
      <c r="C2809" s="7"/>
      <c r="D2809" s="8"/>
      <c r="E2809" s="8"/>
      <c r="F2809" s="10"/>
      <c r="G2809" s="10"/>
      <c r="H2809" s="10"/>
      <c r="I2809" s="7"/>
      <c r="J2809" s="12"/>
      <c r="K2809" s="13"/>
      <c r="L2809" s="14"/>
      <c r="M2809" s="15"/>
      <c r="N2809" s="15"/>
      <c r="O2809" s="16"/>
      <c r="Q2809" s="16"/>
    </row>
    <row r="2810" spans="1:17" x14ac:dyDescent="0.3">
      <c r="A2810" s="5"/>
      <c r="B2810" s="6"/>
      <c r="C2810" s="7"/>
      <c r="D2810" s="8"/>
      <c r="E2810" s="8"/>
      <c r="F2810" s="10"/>
      <c r="G2810" s="10"/>
      <c r="H2810" s="10"/>
      <c r="I2810" s="7"/>
      <c r="J2810" s="12"/>
      <c r="K2810" s="13"/>
      <c r="L2810" s="14"/>
      <c r="M2810" s="15"/>
      <c r="N2810" s="15"/>
      <c r="O2810" s="16"/>
      <c r="Q2810" s="16"/>
    </row>
    <row r="2811" spans="1:17" x14ac:dyDescent="0.3">
      <c r="A2811" s="5"/>
      <c r="B2811" s="6"/>
      <c r="C2811" s="7"/>
      <c r="D2811" s="8"/>
      <c r="E2811" s="8"/>
      <c r="F2811" s="10"/>
      <c r="G2811" s="10"/>
      <c r="H2811" s="10"/>
      <c r="I2811" s="7"/>
      <c r="J2811" s="12"/>
      <c r="K2811" s="13"/>
      <c r="L2811" s="14"/>
      <c r="M2811" s="15"/>
      <c r="N2811" s="15"/>
      <c r="O2811" s="16"/>
      <c r="Q2811" s="16"/>
    </row>
    <row r="2812" spans="1:17" x14ac:dyDescent="0.3">
      <c r="A2812" s="5"/>
      <c r="B2812" s="6"/>
      <c r="C2812" s="7"/>
      <c r="D2812" s="8"/>
      <c r="E2812" s="8"/>
      <c r="F2812" s="10"/>
      <c r="G2812" s="10"/>
      <c r="H2812" s="10"/>
      <c r="I2812" s="7"/>
      <c r="J2812" s="12"/>
      <c r="K2812" s="13"/>
      <c r="L2812" s="14"/>
      <c r="M2812" s="15"/>
      <c r="N2812" s="15"/>
      <c r="O2812" s="16"/>
      <c r="Q2812" s="16"/>
    </row>
    <row r="2813" spans="1:17" x14ac:dyDescent="0.3">
      <c r="A2813" s="5"/>
      <c r="B2813" s="6"/>
      <c r="C2813" s="7"/>
      <c r="D2813" s="8"/>
      <c r="E2813" s="8"/>
      <c r="F2813" s="10"/>
      <c r="G2813" s="10"/>
      <c r="H2813" s="10"/>
      <c r="I2813" s="7"/>
      <c r="J2813" s="12"/>
      <c r="K2813" s="13"/>
      <c r="L2813" s="14"/>
      <c r="M2813" s="15"/>
      <c r="N2813" s="15"/>
      <c r="O2813" s="16"/>
      <c r="Q2813" s="16"/>
    </row>
    <row r="2814" spans="1:17" x14ac:dyDescent="0.3">
      <c r="A2814" s="5"/>
      <c r="B2814" s="6"/>
      <c r="C2814" s="7"/>
      <c r="D2814" s="8"/>
      <c r="E2814" s="8"/>
      <c r="F2814" s="10"/>
      <c r="G2814" s="10"/>
      <c r="H2814" s="10"/>
      <c r="I2814" s="7"/>
      <c r="J2814" s="12"/>
      <c r="K2814" s="13"/>
      <c r="L2814" s="14"/>
      <c r="M2814" s="15"/>
      <c r="N2814" s="15"/>
      <c r="O2814" s="16"/>
      <c r="Q2814" s="16"/>
    </row>
    <row r="2815" spans="1:17" x14ac:dyDescent="0.3">
      <c r="A2815" s="5"/>
      <c r="B2815" s="6"/>
      <c r="C2815" s="7"/>
      <c r="D2815" s="8"/>
      <c r="E2815" s="8"/>
      <c r="F2815" s="10"/>
      <c r="G2815" s="10"/>
      <c r="H2815" s="10"/>
      <c r="I2815" s="7"/>
      <c r="J2815" s="12"/>
      <c r="K2815" s="13"/>
      <c r="L2815" s="14"/>
      <c r="M2815" s="15"/>
      <c r="N2815" s="15"/>
      <c r="O2815" s="16"/>
      <c r="Q2815" s="16"/>
    </row>
    <row r="2816" spans="1:17" x14ac:dyDescent="0.3">
      <c r="A2816" s="5"/>
      <c r="B2816" s="6"/>
      <c r="C2816" s="7"/>
      <c r="D2816" s="8"/>
      <c r="E2816" s="8"/>
      <c r="F2816" s="10"/>
      <c r="G2816" s="10"/>
      <c r="H2816" s="10"/>
      <c r="I2816" s="7"/>
      <c r="J2816" s="12"/>
      <c r="K2816" s="13"/>
      <c r="L2816" s="14"/>
      <c r="M2816" s="15"/>
      <c r="N2816" s="15"/>
      <c r="O2816" s="16"/>
      <c r="Q2816" s="16"/>
    </row>
    <row r="2817" spans="1:17" x14ac:dyDescent="0.3">
      <c r="A2817" s="5"/>
      <c r="B2817" s="6"/>
      <c r="C2817" s="7"/>
      <c r="D2817" s="8"/>
      <c r="E2817" s="8"/>
      <c r="F2817" s="10"/>
      <c r="G2817" s="10"/>
      <c r="H2817" s="10"/>
      <c r="I2817" s="7"/>
      <c r="J2817" s="12"/>
      <c r="K2817" s="13"/>
      <c r="L2817" s="14"/>
      <c r="M2817" s="15"/>
      <c r="N2817" s="15"/>
      <c r="O2817" s="16"/>
      <c r="Q2817" s="16"/>
    </row>
    <row r="2818" spans="1:17" x14ac:dyDescent="0.3">
      <c r="A2818" s="5"/>
      <c r="B2818" s="6"/>
      <c r="C2818" s="7"/>
      <c r="D2818" s="8"/>
      <c r="E2818" s="8"/>
      <c r="F2818" s="10"/>
      <c r="G2818" s="10"/>
      <c r="H2818" s="10"/>
      <c r="I2818" s="7"/>
      <c r="J2818" s="12"/>
      <c r="K2818" s="13"/>
      <c r="L2818" s="14"/>
      <c r="M2818" s="15"/>
      <c r="N2818" s="15"/>
      <c r="O2818" s="16"/>
      <c r="Q2818" s="16"/>
    </row>
    <row r="2819" spans="1:17" x14ac:dyDescent="0.3">
      <c r="A2819" s="5"/>
      <c r="B2819" s="6"/>
      <c r="C2819" s="7"/>
      <c r="D2819" s="8"/>
      <c r="E2819" s="8"/>
      <c r="F2819" s="10"/>
      <c r="G2819" s="10"/>
      <c r="H2819" s="10"/>
      <c r="I2819" s="7"/>
      <c r="J2819" s="12"/>
      <c r="K2819" s="13"/>
      <c r="L2819" s="14"/>
      <c r="M2819" s="15"/>
      <c r="N2819" s="15"/>
      <c r="O2819" s="16"/>
      <c r="Q2819" s="16"/>
    </row>
    <row r="2820" spans="1:17" x14ac:dyDescent="0.3">
      <c r="A2820" s="5"/>
      <c r="B2820" s="6"/>
      <c r="C2820" s="7"/>
      <c r="D2820" s="8"/>
      <c r="E2820" s="8"/>
      <c r="F2820" s="10"/>
      <c r="G2820" s="10"/>
      <c r="H2820" s="10"/>
      <c r="I2820" s="7"/>
      <c r="J2820" s="12"/>
      <c r="K2820" s="13"/>
      <c r="L2820" s="14"/>
      <c r="M2820" s="15"/>
      <c r="N2820" s="15"/>
      <c r="O2820" s="16"/>
      <c r="Q2820" s="16"/>
    </row>
    <row r="2821" spans="1:17" x14ac:dyDescent="0.3">
      <c r="A2821" s="5"/>
      <c r="B2821" s="6"/>
      <c r="C2821" s="7"/>
      <c r="D2821" s="8"/>
      <c r="E2821" s="8"/>
      <c r="F2821" s="10"/>
      <c r="G2821" s="10"/>
      <c r="H2821" s="10"/>
      <c r="I2821" s="7"/>
      <c r="J2821" s="12"/>
      <c r="K2821" s="13"/>
      <c r="L2821" s="14"/>
      <c r="M2821" s="15"/>
      <c r="N2821" s="15"/>
      <c r="O2821" s="16"/>
      <c r="Q2821" s="16"/>
    </row>
    <row r="2822" spans="1:17" x14ac:dyDescent="0.3">
      <c r="A2822" s="5"/>
      <c r="B2822" s="6"/>
      <c r="C2822" s="7"/>
      <c r="D2822" s="8"/>
      <c r="E2822" s="8"/>
      <c r="F2822" s="10"/>
      <c r="G2822" s="10"/>
      <c r="H2822" s="10"/>
      <c r="I2822" s="7"/>
      <c r="J2822" s="12"/>
      <c r="K2822" s="13"/>
      <c r="L2822" s="14"/>
      <c r="M2822" s="15"/>
      <c r="N2822" s="15"/>
      <c r="O2822" s="16"/>
      <c r="Q2822" s="16"/>
    </row>
    <row r="2823" spans="1:17" x14ac:dyDescent="0.3">
      <c r="A2823" s="5"/>
      <c r="B2823" s="6"/>
      <c r="C2823" s="7"/>
      <c r="D2823" s="8"/>
      <c r="E2823" s="8"/>
      <c r="F2823" s="10"/>
      <c r="G2823" s="10"/>
      <c r="H2823" s="10"/>
      <c r="I2823" s="7"/>
      <c r="J2823" s="12"/>
      <c r="K2823" s="13"/>
      <c r="L2823" s="14"/>
      <c r="M2823" s="15"/>
      <c r="N2823" s="15"/>
      <c r="O2823" s="16"/>
      <c r="Q2823" s="16"/>
    </row>
    <row r="2824" spans="1:17" x14ac:dyDescent="0.3">
      <c r="A2824" s="5"/>
      <c r="B2824" s="6"/>
      <c r="C2824" s="7"/>
      <c r="D2824" s="8"/>
      <c r="E2824" s="8"/>
      <c r="F2824" s="10"/>
      <c r="G2824" s="10"/>
      <c r="H2824" s="10"/>
      <c r="I2824" s="7"/>
      <c r="J2824" s="12"/>
      <c r="K2824" s="13"/>
      <c r="L2824" s="14"/>
      <c r="M2824" s="15"/>
      <c r="N2824" s="15"/>
      <c r="O2824" s="16"/>
      <c r="Q2824" s="16"/>
    </row>
    <row r="2825" spans="1:17" x14ac:dyDescent="0.3">
      <c r="A2825" s="5"/>
      <c r="B2825" s="6"/>
      <c r="C2825" s="7"/>
      <c r="D2825" s="8"/>
      <c r="E2825" s="8"/>
      <c r="F2825" s="10"/>
      <c r="G2825" s="10"/>
      <c r="H2825" s="10"/>
      <c r="I2825" s="7"/>
      <c r="J2825" s="12"/>
      <c r="K2825" s="13"/>
      <c r="L2825" s="14"/>
      <c r="M2825" s="15"/>
      <c r="N2825" s="15"/>
      <c r="O2825" s="16"/>
      <c r="Q2825" s="16"/>
    </row>
    <row r="2826" spans="1:17" x14ac:dyDescent="0.3">
      <c r="A2826" s="5"/>
      <c r="B2826" s="6"/>
      <c r="C2826" s="7"/>
      <c r="D2826" s="8"/>
      <c r="E2826" s="8"/>
      <c r="F2826" s="10"/>
      <c r="G2826" s="10"/>
      <c r="H2826" s="10"/>
      <c r="I2826" s="7"/>
      <c r="J2826" s="12"/>
      <c r="K2826" s="13"/>
      <c r="L2826" s="14"/>
      <c r="M2826" s="15"/>
      <c r="N2826" s="15"/>
      <c r="O2826" s="16"/>
      <c r="Q2826" s="16"/>
    </row>
    <row r="2827" spans="1:17" x14ac:dyDescent="0.3">
      <c r="A2827" s="5"/>
      <c r="B2827" s="6"/>
      <c r="C2827" s="7"/>
      <c r="D2827" s="8"/>
      <c r="E2827" s="8"/>
      <c r="F2827" s="10"/>
      <c r="G2827" s="10"/>
      <c r="H2827" s="10"/>
      <c r="I2827" s="7"/>
      <c r="J2827" s="12"/>
      <c r="K2827" s="13"/>
      <c r="L2827" s="14"/>
      <c r="M2827" s="15"/>
      <c r="N2827" s="15"/>
      <c r="O2827" s="16"/>
      <c r="Q2827" s="16"/>
    </row>
    <row r="2828" spans="1:17" x14ac:dyDescent="0.3">
      <c r="A2828" s="5"/>
      <c r="B2828" s="6"/>
      <c r="C2828" s="7"/>
      <c r="D2828" s="8"/>
      <c r="E2828" s="8"/>
      <c r="F2828" s="10"/>
      <c r="G2828" s="10"/>
      <c r="H2828" s="10"/>
      <c r="I2828" s="7"/>
      <c r="J2828" s="12"/>
      <c r="K2828" s="13"/>
      <c r="L2828" s="14"/>
      <c r="M2828" s="15"/>
      <c r="N2828" s="15"/>
      <c r="O2828" s="16"/>
      <c r="Q2828" s="16"/>
    </row>
    <row r="2829" spans="1:17" x14ac:dyDescent="0.3">
      <c r="A2829" s="5"/>
      <c r="B2829" s="6"/>
      <c r="C2829" s="7"/>
      <c r="D2829" s="8"/>
      <c r="E2829" s="8"/>
      <c r="F2829" s="10"/>
      <c r="G2829" s="10"/>
      <c r="H2829" s="10"/>
      <c r="I2829" s="7"/>
      <c r="J2829" s="12"/>
      <c r="K2829" s="13"/>
      <c r="L2829" s="14"/>
      <c r="M2829" s="15"/>
      <c r="N2829" s="15"/>
      <c r="O2829" s="16"/>
      <c r="Q2829" s="16"/>
    </row>
    <row r="2830" spans="1:17" x14ac:dyDescent="0.3">
      <c r="A2830" s="5"/>
      <c r="B2830" s="6"/>
      <c r="C2830" s="7"/>
      <c r="D2830" s="8"/>
      <c r="E2830" s="8"/>
      <c r="F2830" s="10"/>
      <c r="G2830" s="10"/>
      <c r="H2830" s="10"/>
      <c r="I2830" s="7"/>
      <c r="J2830" s="12"/>
      <c r="K2830" s="13"/>
      <c r="L2830" s="14"/>
      <c r="M2830" s="15"/>
      <c r="N2830" s="15"/>
      <c r="O2830" s="16"/>
      <c r="Q2830" s="16"/>
    </row>
    <row r="2831" spans="1:17" x14ac:dyDescent="0.3">
      <c r="A2831" s="5"/>
      <c r="B2831" s="6"/>
      <c r="C2831" s="7"/>
      <c r="D2831" s="8"/>
      <c r="E2831" s="8"/>
      <c r="F2831" s="10"/>
      <c r="G2831" s="10"/>
      <c r="H2831" s="10"/>
      <c r="I2831" s="7"/>
      <c r="J2831" s="12"/>
      <c r="K2831" s="13"/>
      <c r="L2831" s="14"/>
      <c r="M2831" s="15"/>
      <c r="N2831" s="15"/>
      <c r="O2831" s="16"/>
      <c r="Q2831" s="16"/>
    </row>
    <row r="2832" spans="1:17" x14ac:dyDescent="0.3">
      <c r="A2832" s="5"/>
      <c r="B2832" s="6"/>
      <c r="C2832" s="7"/>
      <c r="D2832" s="8"/>
      <c r="E2832" s="8"/>
      <c r="F2832" s="10"/>
      <c r="G2832" s="10"/>
      <c r="H2832" s="10"/>
      <c r="I2832" s="7"/>
      <c r="J2832" s="12"/>
      <c r="K2832" s="13"/>
      <c r="L2832" s="14"/>
      <c r="M2832" s="15"/>
      <c r="N2832" s="15"/>
      <c r="O2832" s="16"/>
      <c r="Q2832" s="16"/>
    </row>
    <row r="2833" spans="1:17" x14ac:dyDescent="0.3">
      <c r="A2833" s="5"/>
      <c r="B2833" s="6"/>
      <c r="C2833" s="7"/>
      <c r="D2833" s="8"/>
      <c r="E2833" s="8"/>
      <c r="F2833" s="10"/>
      <c r="G2833" s="10"/>
      <c r="H2833" s="10"/>
      <c r="I2833" s="7"/>
      <c r="J2833" s="12"/>
      <c r="K2833" s="13"/>
      <c r="L2833" s="14"/>
      <c r="M2833" s="15"/>
      <c r="N2833" s="15"/>
      <c r="O2833" s="16"/>
      <c r="Q2833" s="16"/>
    </row>
    <row r="2834" spans="1:17" x14ac:dyDescent="0.3">
      <c r="A2834" s="5"/>
      <c r="B2834" s="6"/>
      <c r="C2834" s="7"/>
      <c r="D2834" s="8"/>
      <c r="E2834" s="8"/>
      <c r="F2834" s="10"/>
      <c r="G2834" s="10"/>
      <c r="H2834" s="10"/>
      <c r="I2834" s="7"/>
      <c r="J2834" s="12"/>
      <c r="K2834" s="13"/>
      <c r="L2834" s="14"/>
      <c r="M2834" s="15"/>
      <c r="N2834" s="15"/>
      <c r="O2834" s="16"/>
      <c r="Q2834" s="16"/>
    </row>
    <row r="2835" spans="1:17" x14ac:dyDescent="0.3">
      <c r="A2835" s="5"/>
      <c r="B2835" s="6"/>
      <c r="C2835" s="7"/>
      <c r="D2835" s="8"/>
      <c r="E2835" s="8"/>
      <c r="F2835" s="10"/>
      <c r="G2835" s="10"/>
      <c r="H2835" s="10"/>
      <c r="I2835" s="7"/>
      <c r="J2835" s="12"/>
      <c r="K2835" s="13"/>
      <c r="L2835" s="14"/>
      <c r="M2835" s="15"/>
      <c r="N2835" s="15"/>
      <c r="O2835" s="16"/>
      <c r="Q2835" s="16"/>
    </row>
    <row r="2836" spans="1:17" x14ac:dyDescent="0.3">
      <c r="A2836" s="5"/>
      <c r="B2836" s="6"/>
      <c r="C2836" s="7"/>
      <c r="D2836" s="8"/>
      <c r="E2836" s="8"/>
      <c r="F2836" s="10"/>
      <c r="G2836" s="10"/>
      <c r="H2836" s="10"/>
      <c r="I2836" s="7"/>
      <c r="J2836" s="12"/>
      <c r="K2836" s="13"/>
      <c r="L2836" s="14"/>
      <c r="M2836" s="15"/>
      <c r="N2836" s="15"/>
      <c r="O2836" s="16"/>
      <c r="Q2836" s="16"/>
    </row>
    <row r="2837" spans="1:17" x14ac:dyDescent="0.3">
      <c r="A2837" s="5"/>
      <c r="B2837" s="6"/>
      <c r="C2837" s="7"/>
      <c r="D2837" s="8"/>
      <c r="E2837" s="8"/>
      <c r="F2837" s="10"/>
      <c r="G2837" s="10"/>
      <c r="H2837" s="10"/>
      <c r="I2837" s="7"/>
      <c r="J2837" s="12"/>
      <c r="K2837" s="13"/>
      <c r="L2837" s="14"/>
      <c r="M2837" s="15"/>
      <c r="N2837" s="15"/>
      <c r="O2837" s="16"/>
      <c r="Q2837" s="16"/>
    </row>
    <row r="2838" spans="1:17" x14ac:dyDescent="0.3">
      <c r="A2838" s="5"/>
      <c r="B2838" s="6"/>
      <c r="C2838" s="7"/>
      <c r="D2838" s="8"/>
      <c r="E2838" s="8"/>
      <c r="F2838" s="10"/>
      <c r="G2838" s="10"/>
      <c r="H2838" s="10"/>
      <c r="I2838" s="7"/>
      <c r="J2838" s="12"/>
      <c r="K2838" s="13"/>
      <c r="L2838" s="14"/>
      <c r="M2838" s="15"/>
      <c r="N2838" s="15"/>
      <c r="O2838" s="16"/>
      <c r="Q2838" s="16"/>
    </row>
    <row r="2839" spans="1:17" x14ac:dyDescent="0.3">
      <c r="A2839" s="5"/>
      <c r="B2839" s="6"/>
      <c r="C2839" s="7"/>
      <c r="D2839" s="8"/>
      <c r="E2839" s="8"/>
      <c r="F2839" s="10"/>
      <c r="G2839" s="10"/>
      <c r="H2839" s="10"/>
      <c r="I2839" s="7"/>
      <c r="J2839" s="12"/>
      <c r="K2839" s="13"/>
      <c r="L2839" s="14"/>
      <c r="M2839" s="15"/>
      <c r="N2839" s="15"/>
      <c r="O2839" s="16"/>
      <c r="Q2839" s="16"/>
    </row>
    <row r="2840" spans="1:17" x14ac:dyDescent="0.3">
      <c r="A2840" s="5"/>
      <c r="B2840" s="6"/>
      <c r="C2840" s="7"/>
      <c r="D2840" s="8"/>
      <c r="E2840" s="8"/>
      <c r="F2840" s="10"/>
      <c r="G2840" s="10"/>
      <c r="H2840" s="10"/>
      <c r="I2840" s="7"/>
      <c r="J2840" s="12"/>
      <c r="K2840" s="13"/>
      <c r="L2840" s="14"/>
      <c r="M2840" s="15"/>
      <c r="N2840" s="15"/>
      <c r="O2840" s="16"/>
      <c r="Q2840" s="16"/>
    </row>
    <row r="2841" spans="1:17" x14ac:dyDescent="0.3">
      <c r="A2841" s="5"/>
      <c r="B2841" s="6"/>
      <c r="C2841" s="7"/>
      <c r="D2841" s="8"/>
      <c r="E2841" s="8"/>
      <c r="F2841" s="10"/>
      <c r="G2841" s="10"/>
      <c r="H2841" s="10"/>
      <c r="I2841" s="7"/>
      <c r="J2841" s="12"/>
      <c r="K2841" s="13"/>
      <c r="L2841" s="14"/>
      <c r="M2841" s="15"/>
      <c r="N2841" s="15"/>
      <c r="O2841" s="16"/>
      <c r="Q2841" s="16"/>
    </row>
    <row r="2842" spans="1:17" x14ac:dyDescent="0.3">
      <c r="A2842" s="5"/>
      <c r="B2842" s="6"/>
      <c r="C2842" s="7"/>
      <c r="D2842" s="8"/>
      <c r="E2842" s="8"/>
      <c r="F2842" s="10"/>
      <c r="G2842" s="10"/>
      <c r="H2842" s="10"/>
      <c r="I2842" s="7"/>
      <c r="J2842" s="12"/>
      <c r="K2842" s="13"/>
      <c r="L2842" s="14"/>
      <c r="M2842" s="15"/>
      <c r="N2842" s="15"/>
      <c r="O2842" s="16"/>
      <c r="Q2842" s="16"/>
    </row>
    <row r="2843" spans="1:17" x14ac:dyDescent="0.3">
      <c r="A2843" s="5"/>
      <c r="B2843" s="6"/>
      <c r="C2843" s="7"/>
      <c r="D2843" s="8"/>
      <c r="E2843" s="8"/>
      <c r="F2843" s="10"/>
      <c r="G2843" s="10"/>
      <c r="H2843" s="10"/>
      <c r="I2843" s="7"/>
      <c r="J2843" s="12"/>
      <c r="K2843" s="13"/>
      <c r="L2843" s="14"/>
      <c r="M2843" s="15"/>
      <c r="N2843" s="15"/>
      <c r="O2843" s="16"/>
      <c r="Q2843" s="16"/>
    </row>
    <row r="2844" spans="1:17" x14ac:dyDescent="0.3">
      <c r="A2844" s="5"/>
      <c r="B2844" s="6"/>
      <c r="C2844" s="7"/>
      <c r="D2844" s="8"/>
      <c r="E2844" s="8"/>
      <c r="F2844" s="10"/>
      <c r="G2844" s="10"/>
      <c r="H2844" s="10"/>
      <c r="I2844" s="7"/>
      <c r="J2844" s="12"/>
      <c r="K2844" s="13"/>
      <c r="L2844" s="14"/>
      <c r="M2844" s="15"/>
      <c r="N2844" s="15"/>
      <c r="O2844" s="16"/>
      <c r="Q2844" s="16"/>
    </row>
    <row r="2845" spans="1:17" x14ac:dyDescent="0.3">
      <c r="A2845" s="5"/>
      <c r="B2845" s="6"/>
      <c r="C2845" s="7"/>
      <c r="D2845" s="8"/>
      <c r="E2845" s="8"/>
      <c r="F2845" s="10"/>
      <c r="G2845" s="10"/>
      <c r="H2845" s="10"/>
      <c r="I2845" s="7"/>
      <c r="J2845" s="12"/>
      <c r="K2845" s="13"/>
      <c r="L2845" s="14"/>
      <c r="M2845" s="15"/>
      <c r="N2845" s="15"/>
      <c r="O2845" s="16"/>
      <c r="Q2845" s="16"/>
    </row>
    <row r="2846" spans="1:17" x14ac:dyDescent="0.3">
      <c r="A2846" s="5"/>
      <c r="B2846" s="6"/>
      <c r="C2846" s="7"/>
      <c r="D2846" s="8"/>
      <c r="E2846" s="8"/>
      <c r="F2846" s="10"/>
      <c r="G2846" s="10"/>
      <c r="H2846" s="10"/>
      <c r="I2846" s="7"/>
      <c r="J2846" s="12"/>
      <c r="K2846" s="13"/>
      <c r="L2846" s="14"/>
      <c r="M2846" s="15"/>
      <c r="N2846" s="15"/>
      <c r="O2846" s="16"/>
      <c r="Q2846" s="16"/>
    </row>
    <row r="2847" spans="1:17" x14ac:dyDescent="0.3">
      <c r="A2847" s="5"/>
      <c r="B2847" s="6"/>
      <c r="C2847" s="7"/>
      <c r="D2847" s="8"/>
      <c r="E2847" s="8"/>
      <c r="F2847" s="10"/>
      <c r="G2847" s="10"/>
      <c r="H2847" s="10"/>
      <c r="I2847" s="7"/>
      <c r="J2847" s="12"/>
      <c r="K2847" s="13"/>
      <c r="L2847" s="14"/>
      <c r="M2847" s="15"/>
      <c r="N2847" s="15"/>
      <c r="O2847" s="16"/>
      <c r="Q2847" s="16"/>
    </row>
    <row r="2848" spans="1:17" x14ac:dyDescent="0.3">
      <c r="A2848" s="5"/>
      <c r="B2848" s="6"/>
      <c r="C2848" s="7"/>
      <c r="D2848" s="8"/>
      <c r="E2848" s="8"/>
      <c r="F2848" s="10"/>
      <c r="G2848" s="10"/>
      <c r="H2848" s="10"/>
      <c r="I2848" s="7"/>
      <c r="J2848" s="12"/>
      <c r="K2848" s="13"/>
      <c r="L2848" s="14"/>
      <c r="M2848" s="15"/>
      <c r="N2848" s="15"/>
      <c r="O2848" s="16"/>
      <c r="Q2848" s="16"/>
    </row>
    <row r="2849" spans="1:17" x14ac:dyDescent="0.3">
      <c r="A2849" s="5"/>
      <c r="B2849" s="6"/>
      <c r="C2849" s="7"/>
      <c r="D2849" s="8"/>
      <c r="E2849" s="8"/>
      <c r="F2849" s="10"/>
      <c r="G2849" s="10"/>
      <c r="H2849" s="10"/>
      <c r="I2849" s="7"/>
      <c r="J2849" s="12"/>
      <c r="K2849" s="13"/>
      <c r="L2849" s="14"/>
      <c r="M2849" s="15"/>
      <c r="N2849" s="15"/>
      <c r="O2849" s="16"/>
      <c r="Q2849" s="16"/>
    </row>
    <row r="2850" spans="1:17" x14ac:dyDescent="0.3">
      <c r="A2850" s="5"/>
      <c r="B2850" s="6"/>
      <c r="C2850" s="7"/>
      <c r="D2850" s="8"/>
      <c r="E2850" s="8"/>
      <c r="F2850" s="10"/>
      <c r="G2850" s="10"/>
      <c r="H2850" s="10"/>
      <c r="I2850" s="7"/>
      <c r="J2850" s="12"/>
      <c r="K2850" s="13"/>
      <c r="L2850" s="14"/>
      <c r="M2850" s="15"/>
      <c r="N2850" s="15"/>
      <c r="O2850" s="16"/>
      <c r="Q2850" s="16"/>
    </row>
    <row r="2851" spans="1:17" x14ac:dyDescent="0.3">
      <c r="A2851" s="5"/>
      <c r="B2851" s="6"/>
      <c r="C2851" s="7"/>
      <c r="D2851" s="8"/>
      <c r="E2851" s="8"/>
      <c r="F2851" s="10"/>
      <c r="G2851" s="10"/>
      <c r="H2851" s="10"/>
      <c r="I2851" s="7"/>
      <c r="J2851" s="12"/>
      <c r="K2851" s="13"/>
      <c r="L2851" s="14"/>
      <c r="M2851" s="15"/>
      <c r="N2851" s="15"/>
      <c r="O2851" s="16"/>
      <c r="Q2851" s="16"/>
    </row>
    <row r="2852" spans="1:17" x14ac:dyDescent="0.3">
      <c r="A2852" s="5"/>
      <c r="B2852" s="6"/>
      <c r="C2852" s="7"/>
      <c r="D2852" s="8"/>
      <c r="E2852" s="8"/>
      <c r="F2852" s="10"/>
      <c r="G2852" s="10"/>
      <c r="H2852" s="10"/>
      <c r="I2852" s="7"/>
      <c r="J2852" s="12"/>
      <c r="K2852" s="13"/>
      <c r="L2852" s="14"/>
      <c r="M2852" s="15"/>
      <c r="N2852" s="15"/>
      <c r="O2852" s="16"/>
      <c r="Q2852" s="16"/>
    </row>
    <row r="2853" spans="1:17" x14ac:dyDescent="0.3">
      <c r="A2853" s="5"/>
      <c r="B2853" s="6"/>
      <c r="C2853" s="7"/>
      <c r="D2853" s="8"/>
      <c r="E2853" s="8"/>
      <c r="F2853" s="10"/>
      <c r="G2853" s="10"/>
      <c r="H2853" s="10"/>
      <c r="I2853" s="7"/>
      <c r="J2853" s="12"/>
      <c r="K2853" s="13"/>
      <c r="L2853" s="14"/>
      <c r="M2853" s="15"/>
      <c r="N2853" s="15"/>
      <c r="O2853" s="16"/>
      <c r="Q2853" s="16"/>
    </row>
    <row r="2854" spans="1:17" x14ac:dyDescent="0.3">
      <c r="A2854" s="5"/>
      <c r="B2854" s="6"/>
      <c r="C2854" s="7"/>
      <c r="D2854" s="8"/>
      <c r="E2854" s="8"/>
      <c r="F2854" s="10"/>
      <c r="G2854" s="10"/>
      <c r="H2854" s="10"/>
      <c r="I2854" s="7"/>
      <c r="J2854" s="12"/>
      <c r="K2854" s="13"/>
      <c r="L2854" s="14"/>
      <c r="M2854" s="15"/>
      <c r="N2854" s="15"/>
      <c r="O2854" s="16"/>
      <c r="Q2854" s="16"/>
    </row>
    <row r="2855" spans="1:17" x14ac:dyDescent="0.3">
      <c r="A2855" s="5"/>
      <c r="B2855" s="6"/>
      <c r="C2855" s="7"/>
      <c r="D2855" s="8"/>
      <c r="E2855" s="8"/>
      <c r="F2855" s="10"/>
      <c r="G2855" s="10"/>
      <c r="H2855" s="10"/>
      <c r="I2855" s="7"/>
      <c r="J2855" s="12"/>
      <c r="K2855" s="13"/>
      <c r="L2855" s="14"/>
      <c r="M2855" s="15"/>
      <c r="N2855" s="15"/>
      <c r="O2855" s="16"/>
      <c r="Q2855" s="16"/>
    </row>
    <row r="2856" spans="1:17" x14ac:dyDescent="0.3">
      <c r="A2856" s="5"/>
      <c r="B2856" s="6"/>
      <c r="C2856" s="7"/>
      <c r="D2856" s="8"/>
      <c r="E2856" s="8"/>
      <c r="F2856" s="10"/>
      <c r="G2856" s="10"/>
      <c r="H2856" s="10"/>
      <c r="I2856" s="7"/>
      <c r="J2856" s="12"/>
      <c r="K2856" s="13"/>
      <c r="L2856" s="14"/>
      <c r="M2856" s="15"/>
      <c r="N2856" s="15"/>
      <c r="O2856" s="16"/>
      <c r="Q2856" s="16"/>
    </row>
    <row r="2857" spans="1:17" x14ac:dyDescent="0.3">
      <c r="A2857" s="5"/>
      <c r="B2857" s="6"/>
      <c r="C2857" s="7"/>
      <c r="D2857" s="8"/>
      <c r="E2857" s="8"/>
      <c r="F2857" s="10"/>
      <c r="G2857" s="10"/>
      <c r="H2857" s="10"/>
      <c r="I2857" s="7"/>
      <c r="J2857" s="12"/>
      <c r="K2857" s="13"/>
      <c r="L2857" s="14"/>
      <c r="M2857" s="15"/>
      <c r="N2857" s="15"/>
      <c r="O2857" s="16"/>
      <c r="Q2857" s="16"/>
    </row>
    <row r="2858" spans="1:17" x14ac:dyDescent="0.3">
      <c r="A2858" s="5"/>
      <c r="B2858" s="6"/>
      <c r="C2858" s="7"/>
      <c r="D2858" s="8"/>
      <c r="E2858" s="8"/>
      <c r="F2858" s="10"/>
      <c r="G2858" s="10"/>
      <c r="H2858" s="10"/>
      <c r="I2858" s="7"/>
      <c r="J2858" s="12"/>
      <c r="K2858" s="13"/>
      <c r="L2858" s="14"/>
      <c r="M2858" s="15"/>
      <c r="N2858" s="15"/>
      <c r="O2858" s="16"/>
      <c r="Q2858" s="16"/>
    </row>
    <row r="2859" spans="1:17" x14ac:dyDescent="0.3">
      <c r="A2859" s="5"/>
      <c r="B2859" s="6"/>
      <c r="C2859" s="7"/>
      <c r="D2859" s="8"/>
      <c r="E2859" s="8"/>
      <c r="F2859" s="10"/>
      <c r="G2859" s="10"/>
      <c r="H2859" s="10"/>
      <c r="I2859" s="7"/>
      <c r="J2859" s="12"/>
      <c r="K2859" s="13"/>
      <c r="L2859" s="14"/>
      <c r="M2859" s="15"/>
      <c r="N2859" s="15"/>
      <c r="O2859" s="16"/>
      <c r="Q2859" s="16"/>
    </row>
    <row r="2860" spans="1:17" x14ac:dyDescent="0.3">
      <c r="A2860" s="5"/>
      <c r="B2860" s="6"/>
      <c r="C2860" s="7"/>
      <c r="D2860" s="8"/>
      <c r="E2860" s="8"/>
      <c r="F2860" s="10"/>
      <c r="G2860" s="10"/>
      <c r="H2860" s="10"/>
      <c r="I2860" s="7"/>
      <c r="J2860" s="12"/>
      <c r="K2860" s="13"/>
      <c r="L2860" s="14"/>
      <c r="M2860" s="15"/>
      <c r="N2860" s="15"/>
      <c r="O2860" s="16"/>
      <c r="Q2860" s="16"/>
    </row>
    <row r="2861" spans="1:17" x14ac:dyDescent="0.3">
      <c r="A2861" s="5"/>
      <c r="B2861" s="6"/>
      <c r="C2861" s="7"/>
      <c r="D2861" s="8"/>
      <c r="E2861" s="8"/>
      <c r="F2861" s="10"/>
      <c r="G2861" s="10"/>
      <c r="H2861" s="10"/>
      <c r="I2861" s="7"/>
      <c r="J2861" s="12"/>
      <c r="K2861" s="13"/>
      <c r="L2861" s="14"/>
      <c r="M2861" s="15"/>
      <c r="N2861" s="15"/>
      <c r="O2861" s="16"/>
      <c r="Q2861" s="16"/>
    </row>
    <row r="2862" spans="1:17" x14ac:dyDescent="0.3">
      <c r="A2862" s="5"/>
      <c r="B2862" s="6"/>
      <c r="C2862" s="7"/>
      <c r="D2862" s="8"/>
      <c r="E2862" s="8"/>
      <c r="F2862" s="10"/>
      <c r="G2862" s="10"/>
      <c r="H2862" s="10"/>
      <c r="I2862" s="7"/>
      <c r="J2862" s="12"/>
      <c r="K2862" s="13"/>
      <c r="L2862" s="14"/>
      <c r="M2862" s="15"/>
      <c r="N2862" s="15"/>
      <c r="O2862" s="16"/>
      <c r="Q2862" s="16"/>
    </row>
    <row r="2863" spans="1:17" x14ac:dyDescent="0.3">
      <c r="A2863" s="5"/>
      <c r="B2863" s="6"/>
      <c r="C2863" s="7"/>
      <c r="D2863" s="8"/>
      <c r="E2863" s="8"/>
      <c r="F2863" s="10"/>
      <c r="G2863" s="10"/>
      <c r="H2863" s="10"/>
      <c r="I2863" s="7"/>
      <c r="J2863" s="12"/>
      <c r="K2863" s="13"/>
      <c r="L2863" s="14"/>
      <c r="M2863" s="15"/>
      <c r="N2863" s="15"/>
      <c r="O2863" s="16"/>
      <c r="Q2863" s="16"/>
    </row>
    <row r="2864" spans="1:17" x14ac:dyDescent="0.3">
      <c r="A2864" s="5"/>
      <c r="B2864" s="6"/>
      <c r="C2864" s="7"/>
      <c r="D2864" s="8"/>
      <c r="E2864" s="8"/>
      <c r="F2864" s="10"/>
      <c r="G2864" s="10"/>
      <c r="H2864" s="10"/>
      <c r="I2864" s="7"/>
      <c r="J2864" s="12"/>
      <c r="K2864" s="13"/>
      <c r="L2864" s="14"/>
      <c r="M2864" s="15"/>
      <c r="N2864" s="15"/>
      <c r="O2864" s="16"/>
      <c r="Q2864" s="16"/>
    </row>
    <row r="2865" spans="1:17" x14ac:dyDescent="0.3">
      <c r="A2865" s="5"/>
      <c r="B2865" s="6"/>
      <c r="C2865" s="7"/>
      <c r="D2865" s="8"/>
      <c r="E2865" s="8"/>
      <c r="F2865" s="10"/>
      <c r="G2865" s="10"/>
      <c r="H2865" s="10"/>
      <c r="I2865" s="7"/>
      <c r="J2865" s="12"/>
      <c r="K2865" s="13"/>
      <c r="L2865" s="14"/>
      <c r="M2865" s="15"/>
      <c r="N2865" s="15"/>
      <c r="O2865" s="16"/>
      <c r="Q2865" s="16"/>
    </row>
    <row r="2866" spans="1:17" x14ac:dyDescent="0.3">
      <c r="A2866" s="5"/>
      <c r="B2866" s="6"/>
      <c r="C2866" s="7"/>
      <c r="D2866" s="8"/>
      <c r="E2866" s="8"/>
      <c r="F2866" s="10"/>
      <c r="G2866" s="10"/>
      <c r="H2866" s="10"/>
      <c r="I2866" s="7"/>
      <c r="J2866" s="12"/>
      <c r="K2866" s="13"/>
      <c r="L2866" s="14"/>
      <c r="M2866" s="15"/>
      <c r="N2866" s="15"/>
      <c r="O2866" s="16"/>
      <c r="Q2866" s="16"/>
    </row>
    <row r="2867" spans="1:17" x14ac:dyDescent="0.3">
      <c r="A2867" s="5"/>
      <c r="B2867" s="6"/>
      <c r="C2867" s="7"/>
      <c r="D2867" s="8"/>
      <c r="E2867" s="8"/>
      <c r="F2867" s="10"/>
      <c r="G2867" s="10"/>
      <c r="H2867" s="10"/>
      <c r="I2867" s="7"/>
      <c r="J2867" s="12"/>
      <c r="K2867" s="13"/>
      <c r="L2867" s="14"/>
      <c r="M2867" s="15"/>
      <c r="N2867" s="15"/>
      <c r="O2867" s="16"/>
      <c r="Q2867" s="16"/>
    </row>
    <row r="2868" spans="1:17" x14ac:dyDescent="0.3">
      <c r="A2868" s="5"/>
      <c r="B2868" s="6"/>
      <c r="C2868" s="7"/>
      <c r="D2868" s="8"/>
      <c r="E2868" s="8"/>
      <c r="F2868" s="10"/>
      <c r="G2868" s="10"/>
      <c r="H2868" s="10"/>
      <c r="I2868" s="7"/>
      <c r="J2868" s="12"/>
      <c r="K2868" s="13"/>
      <c r="L2868" s="14"/>
      <c r="M2868" s="15"/>
      <c r="N2868" s="15"/>
      <c r="O2868" s="16"/>
      <c r="Q2868" s="16"/>
    </row>
    <row r="2869" spans="1:17" x14ac:dyDescent="0.3">
      <c r="A2869" s="5"/>
      <c r="B2869" s="6"/>
      <c r="C2869" s="7"/>
      <c r="D2869" s="8"/>
      <c r="E2869" s="8"/>
      <c r="F2869" s="10"/>
      <c r="G2869" s="10"/>
      <c r="H2869" s="10"/>
      <c r="I2869" s="7"/>
      <c r="J2869" s="12"/>
      <c r="K2869" s="13"/>
      <c r="L2869" s="14"/>
      <c r="M2869" s="15"/>
      <c r="N2869" s="15"/>
      <c r="O2869" s="16"/>
      <c r="Q2869" s="16"/>
    </row>
    <row r="2870" spans="1:17" x14ac:dyDescent="0.3">
      <c r="A2870" s="5"/>
      <c r="B2870" s="6"/>
      <c r="C2870" s="7"/>
      <c r="D2870" s="8"/>
      <c r="E2870" s="8"/>
      <c r="F2870" s="10"/>
      <c r="G2870" s="10"/>
      <c r="H2870" s="10"/>
      <c r="I2870" s="7"/>
      <c r="J2870" s="12"/>
      <c r="K2870" s="13"/>
      <c r="L2870" s="14"/>
      <c r="M2870" s="15"/>
      <c r="N2870" s="15"/>
      <c r="O2870" s="16"/>
      <c r="Q2870" s="16"/>
    </row>
    <row r="2871" spans="1:17" x14ac:dyDescent="0.3">
      <c r="A2871" s="5"/>
      <c r="B2871" s="6"/>
      <c r="C2871" s="7"/>
      <c r="D2871" s="8"/>
      <c r="E2871" s="8"/>
      <c r="F2871" s="10"/>
      <c r="G2871" s="10"/>
      <c r="H2871" s="10"/>
      <c r="I2871" s="7"/>
      <c r="J2871" s="12"/>
      <c r="K2871" s="13"/>
      <c r="L2871" s="14"/>
      <c r="M2871" s="15"/>
      <c r="N2871" s="15"/>
      <c r="O2871" s="16"/>
      <c r="Q2871" s="16"/>
    </row>
    <row r="2872" spans="1:17" x14ac:dyDescent="0.3">
      <c r="A2872" s="5"/>
      <c r="B2872" s="6"/>
      <c r="C2872" s="7"/>
      <c r="D2872" s="8"/>
      <c r="E2872" s="8"/>
      <c r="F2872" s="10"/>
      <c r="G2872" s="10"/>
      <c r="H2872" s="10"/>
      <c r="I2872" s="7"/>
      <c r="J2872" s="12"/>
      <c r="K2872" s="13"/>
      <c r="L2872" s="14"/>
      <c r="M2872" s="15"/>
      <c r="N2872" s="15"/>
      <c r="O2872" s="16"/>
      <c r="Q2872" s="16"/>
    </row>
    <row r="2873" spans="1:17" x14ac:dyDescent="0.3">
      <c r="A2873" s="5"/>
      <c r="B2873" s="6"/>
      <c r="C2873" s="7"/>
      <c r="D2873" s="8"/>
      <c r="E2873" s="8"/>
      <c r="F2873" s="10"/>
      <c r="G2873" s="10"/>
      <c r="H2873" s="10"/>
      <c r="I2873" s="7"/>
      <c r="J2873" s="12"/>
      <c r="K2873" s="13"/>
      <c r="L2873" s="14"/>
      <c r="M2873" s="15"/>
      <c r="N2873" s="15"/>
      <c r="O2873" s="16"/>
      <c r="Q2873" s="16"/>
    </row>
    <row r="2874" spans="1:17" x14ac:dyDescent="0.3">
      <c r="A2874" s="5"/>
      <c r="B2874" s="6"/>
      <c r="C2874" s="7"/>
      <c r="D2874" s="8"/>
      <c r="E2874" s="8"/>
      <c r="F2874" s="10"/>
      <c r="G2874" s="10"/>
      <c r="H2874" s="10"/>
      <c r="I2874" s="7"/>
      <c r="J2874" s="12"/>
      <c r="K2874" s="13"/>
      <c r="L2874" s="14"/>
      <c r="M2874" s="15"/>
      <c r="N2874" s="15"/>
      <c r="O2874" s="16"/>
      <c r="Q2874" s="16"/>
    </row>
    <row r="2875" spans="1:17" x14ac:dyDescent="0.3">
      <c r="A2875" s="5"/>
      <c r="B2875" s="6"/>
      <c r="C2875" s="7"/>
      <c r="D2875" s="8"/>
      <c r="E2875" s="8"/>
      <c r="F2875" s="10"/>
      <c r="G2875" s="10"/>
      <c r="H2875" s="10"/>
      <c r="I2875" s="7"/>
      <c r="J2875" s="12"/>
      <c r="K2875" s="13"/>
      <c r="L2875" s="14"/>
      <c r="M2875" s="15"/>
      <c r="N2875" s="15"/>
      <c r="O2875" s="16"/>
      <c r="Q2875" s="16"/>
    </row>
    <row r="2876" spans="1:17" x14ac:dyDescent="0.3">
      <c r="A2876" s="5"/>
      <c r="B2876" s="6"/>
      <c r="C2876" s="7"/>
      <c r="D2876" s="8"/>
      <c r="E2876" s="8"/>
      <c r="F2876" s="10"/>
      <c r="G2876" s="10"/>
      <c r="H2876" s="10"/>
      <c r="I2876" s="7"/>
      <c r="J2876" s="12"/>
      <c r="K2876" s="13"/>
      <c r="L2876" s="14"/>
      <c r="M2876" s="15"/>
      <c r="N2876" s="15"/>
      <c r="O2876" s="16"/>
      <c r="Q2876" s="16"/>
    </row>
    <row r="2877" spans="1:17" x14ac:dyDescent="0.3">
      <c r="A2877" s="5"/>
      <c r="B2877" s="6"/>
      <c r="C2877" s="7"/>
      <c r="D2877" s="8"/>
      <c r="E2877" s="8"/>
      <c r="F2877" s="10"/>
      <c r="G2877" s="10"/>
      <c r="H2877" s="10"/>
      <c r="I2877" s="7"/>
      <c r="J2877" s="12"/>
      <c r="K2877" s="13"/>
      <c r="L2877" s="14"/>
      <c r="M2877" s="15"/>
      <c r="N2877" s="15"/>
      <c r="O2877" s="16"/>
      <c r="Q2877" s="16"/>
    </row>
    <row r="2878" spans="1:17" x14ac:dyDescent="0.3">
      <c r="A2878" s="5"/>
      <c r="B2878" s="6"/>
      <c r="C2878" s="7"/>
      <c r="D2878" s="8"/>
      <c r="E2878" s="8"/>
      <c r="F2878" s="10"/>
      <c r="G2878" s="10"/>
      <c r="H2878" s="10"/>
      <c r="I2878" s="7"/>
      <c r="J2878" s="12"/>
      <c r="K2878" s="13"/>
      <c r="L2878" s="14"/>
      <c r="M2878" s="15"/>
      <c r="N2878" s="15"/>
      <c r="O2878" s="16"/>
      <c r="Q2878" s="16"/>
    </row>
    <row r="2879" spans="1:17" x14ac:dyDescent="0.3">
      <c r="A2879" s="5"/>
      <c r="B2879" s="6"/>
      <c r="C2879" s="7"/>
      <c r="D2879" s="8"/>
      <c r="E2879" s="8"/>
      <c r="F2879" s="10"/>
      <c r="G2879" s="10"/>
      <c r="H2879" s="10"/>
      <c r="I2879" s="7"/>
      <c r="J2879" s="12"/>
      <c r="K2879" s="13"/>
      <c r="L2879" s="14"/>
      <c r="M2879" s="15"/>
      <c r="N2879" s="15"/>
      <c r="O2879" s="16"/>
      <c r="Q2879" s="16"/>
    </row>
    <row r="2880" spans="1:17" x14ac:dyDescent="0.3">
      <c r="A2880" s="5"/>
      <c r="B2880" s="6"/>
      <c r="C2880" s="7"/>
      <c r="D2880" s="8"/>
      <c r="E2880" s="8"/>
      <c r="F2880" s="10"/>
      <c r="G2880" s="10"/>
      <c r="H2880" s="10"/>
      <c r="I2880" s="7"/>
      <c r="J2880" s="12"/>
      <c r="K2880" s="13"/>
      <c r="L2880" s="14"/>
      <c r="M2880" s="15"/>
      <c r="N2880" s="15"/>
      <c r="O2880" s="16"/>
      <c r="Q2880" s="16"/>
    </row>
    <row r="2881" spans="1:17" x14ac:dyDescent="0.3">
      <c r="A2881" s="5"/>
      <c r="B2881" s="6"/>
      <c r="C2881" s="7"/>
      <c r="D2881" s="8"/>
      <c r="E2881" s="8"/>
      <c r="F2881" s="10"/>
      <c r="G2881" s="10"/>
      <c r="H2881" s="10"/>
      <c r="I2881" s="7"/>
      <c r="J2881" s="12"/>
      <c r="K2881" s="13"/>
      <c r="L2881" s="14"/>
      <c r="M2881" s="15"/>
      <c r="N2881" s="15"/>
      <c r="O2881" s="16"/>
      <c r="Q2881" s="16"/>
    </row>
    <row r="2882" spans="1:17" x14ac:dyDescent="0.3">
      <c r="A2882" s="5"/>
      <c r="B2882" s="6"/>
      <c r="C2882" s="7"/>
      <c r="D2882" s="8"/>
      <c r="E2882" s="8"/>
      <c r="F2882" s="10"/>
      <c r="G2882" s="10"/>
      <c r="H2882" s="10"/>
      <c r="I2882" s="7"/>
      <c r="J2882" s="12"/>
      <c r="K2882" s="13"/>
      <c r="L2882" s="14"/>
      <c r="M2882" s="15"/>
      <c r="N2882" s="15"/>
      <c r="O2882" s="16"/>
      <c r="Q2882" s="16"/>
    </row>
    <row r="2883" spans="1:17" x14ac:dyDescent="0.3">
      <c r="A2883" s="5"/>
      <c r="B2883" s="6"/>
      <c r="C2883" s="7"/>
      <c r="D2883" s="8"/>
      <c r="E2883" s="8"/>
      <c r="F2883" s="10"/>
      <c r="G2883" s="10"/>
      <c r="H2883" s="10"/>
      <c r="I2883" s="7"/>
      <c r="J2883" s="12"/>
      <c r="K2883" s="13"/>
      <c r="L2883" s="14"/>
      <c r="M2883" s="15"/>
      <c r="N2883" s="15"/>
      <c r="O2883" s="16"/>
      <c r="Q2883" s="16"/>
    </row>
    <row r="2884" spans="1:17" x14ac:dyDescent="0.3">
      <c r="A2884" s="5"/>
      <c r="B2884" s="6"/>
      <c r="C2884" s="7"/>
      <c r="D2884" s="8"/>
      <c r="E2884" s="8"/>
      <c r="F2884" s="10"/>
      <c r="G2884" s="10"/>
      <c r="H2884" s="10"/>
      <c r="I2884" s="7"/>
      <c r="J2884" s="12"/>
      <c r="K2884" s="13"/>
      <c r="L2884" s="14"/>
      <c r="M2884" s="15"/>
      <c r="N2884" s="15"/>
      <c r="O2884" s="16"/>
      <c r="Q2884" s="16"/>
    </row>
    <row r="2885" spans="1:17" x14ac:dyDescent="0.3">
      <c r="A2885" s="5"/>
      <c r="B2885" s="6"/>
      <c r="C2885" s="7"/>
      <c r="D2885" s="8"/>
      <c r="E2885" s="8"/>
      <c r="F2885" s="10"/>
      <c r="G2885" s="10"/>
      <c r="H2885" s="10"/>
      <c r="I2885" s="7"/>
      <c r="J2885" s="12"/>
      <c r="K2885" s="13"/>
      <c r="L2885" s="14"/>
      <c r="M2885" s="15"/>
      <c r="N2885" s="15"/>
      <c r="O2885" s="16"/>
      <c r="Q2885" s="16"/>
    </row>
    <row r="2886" spans="1:17" x14ac:dyDescent="0.3">
      <c r="A2886" s="5"/>
      <c r="B2886" s="6"/>
      <c r="C2886" s="7"/>
      <c r="D2886" s="8"/>
      <c r="E2886" s="8"/>
      <c r="F2886" s="10"/>
      <c r="G2886" s="10"/>
      <c r="H2886" s="10"/>
      <c r="I2886" s="7"/>
      <c r="J2886" s="12"/>
      <c r="K2886" s="13"/>
      <c r="L2886" s="14"/>
      <c r="M2886" s="15"/>
      <c r="N2886" s="15"/>
      <c r="O2886" s="16"/>
      <c r="Q2886" s="16"/>
    </row>
    <row r="2887" spans="1:17" x14ac:dyDescent="0.3">
      <c r="A2887" s="5"/>
      <c r="B2887" s="6"/>
      <c r="C2887" s="7"/>
      <c r="D2887" s="8"/>
      <c r="E2887" s="8"/>
      <c r="F2887" s="10"/>
      <c r="G2887" s="10"/>
      <c r="H2887" s="10"/>
      <c r="I2887" s="7"/>
      <c r="J2887" s="12"/>
      <c r="K2887" s="13"/>
      <c r="L2887" s="14"/>
      <c r="M2887" s="15"/>
      <c r="N2887" s="15"/>
      <c r="O2887" s="16"/>
      <c r="Q2887" s="16"/>
    </row>
    <row r="2888" spans="1:17" x14ac:dyDescent="0.3">
      <c r="A2888" s="5"/>
      <c r="B2888" s="6"/>
      <c r="C2888" s="7"/>
      <c r="D2888" s="8"/>
      <c r="E2888" s="8"/>
      <c r="F2888" s="10"/>
      <c r="G2888" s="10"/>
      <c r="H2888" s="10"/>
      <c r="I2888" s="7"/>
      <c r="J2888" s="12"/>
      <c r="K2888" s="13"/>
      <c r="L2888" s="14"/>
      <c r="M2888" s="15"/>
      <c r="N2888" s="15"/>
      <c r="O2888" s="16"/>
      <c r="Q2888" s="16"/>
    </row>
    <row r="2889" spans="1:17" x14ac:dyDescent="0.3">
      <c r="A2889" s="5"/>
      <c r="B2889" s="6"/>
      <c r="C2889" s="7"/>
      <c r="D2889" s="8"/>
      <c r="E2889" s="8"/>
      <c r="F2889" s="10"/>
      <c r="G2889" s="10"/>
      <c r="H2889" s="10"/>
      <c r="I2889" s="7"/>
      <c r="J2889" s="12"/>
      <c r="K2889" s="13"/>
      <c r="L2889" s="14"/>
      <c r="M2889" s="15"/>
      <c r="N2889" s="15"/>
      <c r="O2889" s="16"/>
      <c r="Q2889" s="16"/>
    </row>
    <row r="2890" spans="1:17" x14ac:dyDescent="0.3">
      <c r="A2890" s="5"/>
      <c r="B2890" s="6"/>
      <c r="C2890" s="7"/>
      <c r="D2890" s="8"/>
      <c r="E2890" s="8"/>
      <c r="F2890" s="10"/>
      <c r="G2890" s="10"/>
      <c r="H2890" s="10"/>
      <c r="I2890" s="7"/>
      <c r="J2890" s="12"/>
      <c r="K2890" s="13"/>
      <c r="L2890" s="14"/>
      <c r="M2890" s="15"/>
      <c r="N2890" s="15"/>
      <c r="O2890" s="16"/>
      <c r="Q2890" s="16"/>
    </row>
    <row r="2891" spans="1:17" x14ac:dyDescent="0.3">
      <c r="A2891" s="5"/>
      <c r="B2891" s="6"/>
      <c r="C2891" s="7"/>
      <c r="D2891" s="8"/>
      <c r="E2891" s="8"/>
      <c r="F2891" s="10"/>
      <c r="G2891" s="10"/>
      <c r="H2891" s="10"/>
      <c r="I2891" s="7"/>
      <c r="J2891" s="12"/>
      <c r="K2891" s="13"/>
      <c r="L2891" s="14"/>
      <c r="M2891" s="15"/>
      <c r="N2891" s="15"/>
      <c r="O2891" s="16"/>
      <c r="Q2891" s="16"/>
    </row>
    <row r="2892" spans="1:17" x14ac:dyDescent="0.3">
      <c r="A2892" s="5"/>
      <c r="B2892" s="6"/>
      <c r="C2892" s="7"/>
      <c r="D2892" s="8"/>
      <c r="E2892" s="8"/>
      <c r="F2892" s="10"/>
      <c r="G2892" s="10"/>
      <c r="H2892" s="10"/>
      <c r="I2892" s="7"/>
      <c r="J2892" s="12"/>
      <c r="K2892" s="13"/>
      <c r="L2892" s="14"/>
      <c r="M2892" s="15"/>
      <c r="N2892" s="15"/>
      <c r="O2892" s="16"/>
      <c r="Q2892" s="16"/>
    </row>
    <row r="2893" spans="1:17" x14ac:dyDescent="0.3">
      <c r="A2893" s="5"/>
      <c r="B2893" s="6"/>
      <c r="C2893" s="7"/>
      <c r="D2893" s="8"/>
      <c r="E2893" s="8"/>
      <c r="F2893" s="10"/>
      <c r="G2893" s="10"/>
      <c r="H2893" s="10"/>
      <c r="I2893" s="7"/>
      <c r="J2893" s="12"/>
      <c r="K2893" s="13"/>
      <c r="L2893" s="14"/>
      <c r="M2893" s="15"/>
      <c r="N2893" s="15"/>
      <c r="O2893" s="16"/>
      <c r="Q2893" s="16"/>
    </row>
    <row r="2894" spans="1:17" x14ac:dyDescent="0.3">
      <c r="A2894" s="5"/>
      <c r="B2894" s="6"/>
      <c r="C2894" s="7"/>
      <c r="D2894" s="8"/>
      <c r="E2894" s="8"/>
      <c r="F2894" s="10"/>
      <c r="G2894" s="10"/>
      <c r="H2894" s="10"/>
      <c r="I2894" s="7"/>
      <c r="J2894" s="12"/>
      <c r="K2894" s="13"/>
      <c r="L2894" s="14"/>
      <c r="M2894" s="15"/>
      <c r="N2894" s="15"/>
      <c r="O2894" s="16"/>
      <c r="Q2894" s="16"/>
    </row>
    <row r="2895" spans="1:17" x14ac:dyDescent="0.3">
      <c r="A2895" s="5"/>
      <c r="B2895" s="6"/>
      <c r="C2895" s="7"/>
      <c r="D2895" s="8"/>
      <c r="E2895" s="8"/>
      <c r="F2895" s="10"/>
      <c r="G2895" s="10"/>
      <c r="H2895" s="10"/>
      <c r="I2895" s="7"/>
      <c r="J2895" s="12"/>
      <c r="K2895" s="13"/>
      <c r="L2895" s="14"/>
      <c r="M2895" s="15"/>
      <c r="N2895" s="15"/>
      <c r="O2895" s="16"/>
      <c r="Q2895" s="16"/>
    </row>
    <row r="2896" spans="1:17" x14ac:dyDescent="0.3">
      <c r="A2896" s="5"/>
      <c r="B2896" s="6"/>
      <c r="C2896" s="7"/>
      <c r="D2896" s="8"/>
      <c r="E2896" s="8"/>
      <c r="F2896" s="10"/>
      <c r="G2896" s="10"/>
      <c r="H2896" s="10"/>
      <c r="I2896" s="7"/>
      <c r="J2896" s="12"/>
      <c r="K2896" s="13"/>
      <c r="L2896" s="14"/>
      <c r="M2896" s="15"/>
      <c r="N2896" s="15"/>
      <c r="O2896" s="16"/>
      <c r="Q2896" s="16"/>
    </row>
    <row r="2897" spans="1:17" x14ac:dyDescent="0.3">
      <c r="A2897" s="5"/>
      <c r="B2897" s="6"/>
      <c r="C2897" s="7"/>
      <c r="D2897" s="8"/>
      <c r="E2897" s="8"/>
      <c r="F2897" s="10"/>
      <c r="G2897" s="10"/>
      <c r="H2897" s="10"/>
      <c r="I2897" s="7"/>
      <c r="J2897" s="12"/>
      <c r="K2897" s="13"/>
      <c r="L2897" s="14"/>
      <c r="M2897" s="15"/>
      <c r="N2897" s="15"/>
      <c r="O2897" s="16"/>
      <c r="Q2897" s="16"/>
    </row>
    <row r="2898" spans="1:17" x14ac:dyDescent="0.3">
      <c r="A2898" s="5"/>
      <c r="B2898" s="6"/>
      <c r="C2898" s="7"/>
      <c r="D2898" s="8"/>
      <c r="E2898" s="8"/>
      <c r="F2898" s="10"/>
      <c r="G2898" s="10"/>
      <c r="H2898" s="10"/>
      <c r="I2898" s="7"/>
      <c r="J2898" s="12"/>
      <c r="K2898" s="13"/>
      <c r="L2898" s="14"/>
      <c r="M2898" s="15"/>
      <c r="N2898" s="15"/>
      <c r="O2898" s="16"/>
      <c r="Q2898" s="16"/>
    </row>
    <row r="2899" spans="1:17" x14ac:dyDescent="0.3">
      <c r="A2899" s="5"/>
      <c r="B2899" s="6"/>
      <c r="C2899" s="7"/>
      <c r="D2899" s="8"/>
      <c r="E2899" s="8"/>
      <c r="F2899" s="10"/>
      <c r="G2899" s="10"/>
      <c r="H2899" s="10"/>
      <c r="I2899" s="7"/>
      <c r="J2899" s="12"/>
      <c r="K2899" s="13"/>
      <c r="L2899" s="14"/>
      <c r="M2899" s="15"/>
      <c r="N2899" s="15"/>
      <c r="O2899" s="16"/>
      <c r="Q2899" s="16"/>
    </row>
    <row r="2900" spans="1:17" x14ac:dyDescent="0.3">
      <c r="A2900" s="5"/>
      <c r="B2900" s="6"/>
      <c r="C2900" s="7"/>
      <c r="D2900" s="8"/>
      <c r="E2900" s="8"/>
      <c r="F2900" s="10"/>
      <c r="G2900" s="10"/>
      <c r="H2900" s="10"/>
      <c r="I2900" s="7"/>
      <c r="J2900" s="12"/>
      <c r="K2900" s="13"/>
      <c r="L2900" s="14"/>
      <c r="M2900" s="15"/>
      <c r="N2900" s="15"/>
      <c r="O2900" s="16"/>
      <c r="Q2900" s="16"/>
    </row>
    <row r="2901" spans="1:17" x14ac:dyDescent="0.3">
      <c r="A2901" s="5"/>
      <c r="B2901" s="6"/>
      <c r="C2901" s="7"/>
      <c r="D2901" s="8"/>
      <c r="E2901" s="8"/>
      <c r="F2901" s="10"/>
      <c r="G2901" s="10"/>
      <c r="H2901" s="10"/>
      <c r="I2901" s="7"/>
      <c r="J2901" s="12"/>
      <c r="K2901" s="13"/>
      <c r="L2901" s="14"/>
      <c r="M2901" s="15"/>
      <c r="N2901" s="15"/>
      <c r="O2901" s="16"/>
      <c r="Q2901" s="16"/>
    </row>
    <row r="2902" spans="1:17" x14ac:dyDescent="0.3">
      <c r="A2902" s="5"/>
      <c r="B2902" s="6"/>
      <c r="C2902" s="7"/>
      <c r="D2902" s="8"/>
      <c r="E2902" s="8"/>
      <c r="F2902" s="10"/>
      <c r="G2902" s="10"/>
      <c r="H2902" s="10"/>
      <c r="I2902" s="7"/>
      <c r="J2902" s="12"/>
      <c r="K2902" s="13"/>
      <c r="L2902" s="14"/>
      <c r="M2902" s="15"/>
      <c r="N2902" s="15"/>
      <c r="O2902" s="16"/>
      <c r="Q2902" s="16"/>
    </row>
    <row r="2903" spans="1:17" x14ac:dyDescent="0.3">
      <c r="A2903" s="5"/>
      <c r="B2903" s="6"/>
      <c r="C2903" s="7"/>
      <c r="D2903" s="8"/>
      <c r="E2903" s="8"/>
      <c r="F2903" s="10"/>
      <c r="G2903" s="10"/>
      <c r="H2903" s="10"/>
      <c r="I2903" s="7"/>
      <c r="J2903" s="12"/>
      <c r="K2903" s="13"/>
      <c r="L2903" s="14"/>
      <c r="M2903" s="15"/>
      <c r="N2903" s="15"/>
      <c r="O2903" s="16"/>
      <c r="Q2903" s="16"/>
    </row>
    <row r="2904" spans="1:17" x14ac:dyDescent="0.3">
      <c r="A2904" s="5"/>
      <c r="B2904" s="6"/>
      <c r="C2904" s="7"/>
      <c r="D2904" s="8"/>
      <c r="E2904" s="8"/>
      <c r="F2904" s="10"/>
      <c r="G2904" s="10"/>
      <c r="H2904" s="10"/>
      <c r="I2904" s="7"/>
      <c r="J2904" s="12"/>
      <c r="K2904" s="13"/>
      <c r="L2904" s="14"/>
      <c r="M2904" s="15"/>
      <c r="N2904" s="15"/>
      <c r="O2904" s="16"/>
      <c r="Q2904" s="16"/>
    </row>
    <row r="2905" spans="1:17" x14ac:dyDescent="0.3">
      <c r="A2905" s="5"/>
      <c r="B2905" s="6"/>
      <c r="C2905" s="7"/>
      <c r="D2905" s="8"/>
      <c r="E2905" s="8"/>
      <c r="F2905" s="10"/>
      <c r="G2905" s="10"/>
      <c r="H2905" s="10"/>
      <c r="I2905" s="7"/>
      <c r="J2905" s="12"/>
      <c r="K2905" s="13"/>
      <c r="L2905" s="14"/>
      <c r="M2905" s="15"/>
      <c r="N2905" s="15"/>
      <c r="O2905" s="16"/>
      <c r="Q2905" s="16"/>
    </row>
    <row r="2906" spans="1:17" x14ac:dyDescent="0.3">
      <c r="A2906" s="5"/>
      <c r="B2906" s="6"/>
      <c r="C2906" s="7"/>
      <c r="D2906" s="8"/>
      <c r="E2906" s="8"/>
      <c r="F2906" s="10"/>
      <c r="G2906" s="10"/>
      <c r="H2906" s="10"/>
      <c r="I2906" s="7"/>
      <c r="J2906" s="12"/>
      <c r="K2906" s="13"/>
      <c r="L2906" s="14"/>
      <c r="M2906" s="15"/>
      <c r="N2906" s="15"/>
      <c r="O2906" s="16"/>
      <c r="Q2906" s="16"/>
    </row>
    <row r="2907" spans="1:17" x14ac:dyDescent="0.3">
      <c r="A2907" s="5"/>
      <c r="B2907" s="6"/>
      <c r="C2907" s="7"/>
      <c r="D2907" s="8"/>
      <c r="E2907" s="8"/>
      <c r="F2907" s="10"/>
      <c r="G2907" s="10"/>
      <c r="H2907" s="10"/>
      <c r="I2907" s="7"/>
      <c r="J2907" s="12"/>
      <c r="K2907" s="13"/>
      <c r="L2907" s="14"/>
      <c r="M2907" s="15"/>
      <c r="N2907" s="15"/>
      <c r="O2907" s="16"/>
      <c r="Q2907" s="16"/>
    </row>
    <row r="2908" spans="1:17" x14ac:dyDescent="0.3">
      <c r="A2908" s="5"/>
      <c r="B2908" s="6"/>
      <c r="C2908" s="7"/>
      <c r="D2908" s="8"/>
      <c r="E2908" s="8"/>
      <c r="F2908" s="10"/>
      <c r="G2908" s="10"/>
      <c r="H2908" s="10"/>
      <c r="I2908" s="7"/>
      <c r="J2908" s="12"/>
      <c r="K2908" s="13"/>
      <c r="L2908" s="14"/>
      <c r="M2908" s="15"/>
      <c r="N2908" s="15"/>
      <c r="O2908" s="16"/>
      <c r="Q2908" s="16"/>
    </row>
    <row r="2909" spans="1:17" x14ac:dyDescent="0.3">
      <c r="A2909" s="5"/>
      <c r="B2909" s="6"/>
      <c r="C2909" s="7"/>
      <c r="D2909" s="8"/>
      <c r="E2909" s="8"/>
      <c r="F2909" s="10"/>
      <c r="G2909" s="10"/>
      <c r="H2909" s="10"/>
      <c r="I2909" s="7"/>
      <c r="J2909" s="12"/>
      <c r="K2909" s="13"/>
      <c r="L2909" s="14"/>
      <c r="M2909" s="15"/>
      <c r="N2909" s="15"/>
      <c r="O2909" s="16"/>
      <c r="Q2909" s="16"/>
    </row>
    <row r="2910" spans="1:17" x14ac:dyDescent="0.3">
      <c r="A2910" s="5"/>
      <c r="B2910" s="6"/>
      <c r="C2910" s="7"/>
      <c r="D2910" s="10"/>
      <c r="F2910" s="1"/>
      <c r="G2910" s="1"/>
      <c r="H2910" s="1"/>
      <c r="I2910" s="7"/>
      <c r="J2910" s="12"/>
      <c r="K2910" s="13"/>
      <c r="L2910" s="14"/>
      <c r="M2910" s="15"/>
      <c r="N2910" s="15"/>
      <c r="O2910" s="16"/>
      <c r="Q2910" s="16"/>
    </row>
    <row r="2911" spans="1:17" x14ac:dyDescent="0.3">
      <c r="A2911" s="5"/>
      <c r="B2911" s="6"/>
      <c r="C2911" s="7"/>
      <c r="D2911" s="10"/>
      <c r="F2911" s="1"/>
      <c r="G2911" s="1"/>
      <c r="H2911" s="1"/>
      <c r="I2911" s="7"/>
      <c r="J2911" s="12"/>
      <c r="K2911" s="13"/>
      <c r="L2911" s="14"/>
      <c r="M2911" s="15"/>
      <c r="N2911" s="15"/>
      <c r="O2911" s="16"/>
      <c r="Q2911" s="16"/>
    </row>
    <row r="2912" spans="1:17" x14ac:dyDescent="0.3">
      <c r="A2912" s="5"/>
      <c r="B2912" s="6"/>
      <c r="C2912" s="7"/>
      <c r="D2912" s="10"/>
      <c r="F2912" s="1"/>
      <c r="G2912" s="1"/>
      <c r="H2912" s="1"/>
      <c r="I2912" s="7"/>
      <c r="J2912" s="12"/>
      <c r="K2912" s="13"/>
      <c r="L2912" s="14"/>
      <c r="M2912" s="15"/>
      <c r="N2912" s="15"/>
      <c r="O2912" s="16"/>
      <c r="Q2912" s="16"/>
    </row>
    <row r="2913" spans="1:17" x14ac:dyDescent="0.3">
      <c r="A2913" s="5"/>
      <c r="B2913" s="6"/>
      <c r="C2913" s="7"/>
      <c r="D2913" s="10"/>
      <c r="F2913" s="1"/>
      <c r="G2913" s="1"/>
      <c r="H2913" s="1"/>
      <c r="I2913" s="7"/>
      <c r="J2913" s="12"/>
      <c r="K2913" s="13"/>
      <c r="L2913" s="14"/>
      <c r="M2913" s="15"/>
      <c r="N2913" s="15"/>
      <c r="O2913" s="16"/>
      <c r="Q2913" s="16"/>
    </row>
    <row r="2914" spans="1:17" x14ac:dyDescent="0.3">
      <c r="A2914" s="5"/>
      <c r="B2914" s="6"/>
      <c r="C2914" s="7"/>
      <c r="D2914" s="10"/>
      <c r="F2914" s="1"/>
      <c r="G2914" s="1"/>
      <c r="H2914" s="1"/>
      <c r="I2914" s="7"/>
      <c r="J2914" s="12"/>
      <c r="K2914" s="13"/>
      <c r="L2914" s="14"/>
      <c r="M2914" s="15"/>
      <c r="N2914" s="15"/>
      <c r="O2914" s="16"/>
      <c r="Q2914" s="16"/>
    </row>
    <row r="2915" spans="1:17" x14ac:dyDescent="0.3">
      <c r="A2915" s="5"/>
      <c r="B2915" s="6"/>
      <c r="C2915" s="7"/>
      <c r="D2915" s="10"/>
      <c r="F2915" s="1"/>
      <c r="G2915" s="1"/>
      <c r="H2915" s="1"/>
      <c r="I2915" s="7"/>
      <c r="J2915" s="12"/>
      <c r="K2915" s="13"/>
      <c r="L2915" s="14"/>
      <c r="M2915" s="15"/>
      <c r="N2915" s="15"/>
      <c r="O2915" s="16"/>
      <c r="Q2915" s="16"/>
    </row>
    <row r="2916" spans="1:17" x14ac:dyDescent="0.3">
      <c r="A2916" s="5"/>
      <c r="B2916" s="6"/>
      <c r="C2916" s="7"/>
      <c r="D2916" s="10"/>
      <c r="F2916" s="1"/>
      <c r="G2916" s="1"/>
      <c r="H2916" s="1"/>
      <c r="I2916" s="7"/>
      <c r="J2916" s="12"/>
      <c r="K2916" s="13"/>
      <c r="L2916" s="14"/>
      <c r="M2916" s="15"/>
      <c r="N2916" s="15"/>
      <c r="O2916" s="16"/>
      <c r="Q2916" s="16"/>
    </row>
    <row r="2917" spans="1:17" x14ac:dyDescent="0.3">
      <c r="A2917" s="5"/>
      <c r="B2917" s="6"/>
      <c r="C2917" s="7"/>
      <c r="D2917" s="10"/>
      <c r="F2917" s="1"/>
      <c r="G2917" s="1"/>
      <c r="H2917" s="1"/>
      <c r="I2917" s="7"/>
      <c r="J2917" s="12"/>
      <c r="K2917" s="13"/>
      <c r="L2917" s="14"/>
      <c r="M2917" s="15"/>
      <c r="N2917" s="15"/>
      <c r="O2917" s="16"/>
      <c r="Q2917" s="16"/>
    </row>
    <row r="2918" spans="1:17" x14ac:dyDescent="0.3">
      <c r="A2918" s="5"/>
      <c r="B2918" s="6"/>
      <c r="C2918" s="7"/>
      <c r="D2918" s="10"/>
      <c r="F2918" s="1"/>
      <c r="G2918" s="1"/>
      <c r="H2918" s="1"/>
      <c r="I2918" s="7"/>
      <c r="J2918" s="12"/>
      <c r="K2918" s="13"/>
      <c r="L2918" s="14"/>
      <c r="M2918" s="15"/>
      <c r="N2918" s="15"/>
      <c r="O2918" s="16"/>
      <c r="Q2918" s="16"/>
    </row>
    <row r="2919" spans="1:17" x14ac:dyDescent="0.3">
      <c r="A2919" s="5"/>
      <c r="B2919" s="6"/>
      <c r="C2919" s="7"/>
      <c r="D2919" s="10"/>
      <c r="F2919" s="1"/>
      <c r="G2919" s="1"/>
      <c r="H2919" s="1"/>
      <c r="I2919" s="7"/>
      <c r="J2919" s="12"/>
      <c r="K2919" s="13"/>
      <c r="L2919" s="14"/>
      <c r="M2919" s="15"/>
      <c r="N2919" s="15"/>
      <c r="O2919" s="16"/>
      <c r="Q2919" s="16"/>
    </row>
    <row r="2920" spans="1:17" x14ac:dyDescent="0.3">
      <c r="A2920" s="5"/>
      <c r="B2920" s="6"/>
      <c r="C2920" s="7"/>
      <c r="D2920" s="10"/>
      <c r="F2920" s="1"/>
      <c r="G2920" s="1"/>
      <c r="H2920" s="1"/>
      <c r="I2920" s="7"/>
      <c r="J2920" s="12"/>
      <c r="K2920" s="13"/>
      <c r="L2920" s="14"/>
      <c r="M2920" s="15"/>
      <c r="N2920" s="15"/>
      <c r="O2920" s="16"/>
      <c r="Q2920" s="16"/>
    </row>
    <row r="2921" spans="1:17" x14ac:dyDescent="0.3">
      <c r="A2921" s="5"/>
      <c r="B2921" s="6"/>
      <c r="C2921" s="7"/>
      <c r="D2921" s="10"/>
      <c r="F2921" s="1"/>
      <c r="G2921" s="1"/>
      <c r="H2921" s="1"/>
      <c r="I2921" s="7"/>
      <c r="J2921" s="12"/>
      <c r="K2921" s="13"/>
      <c r="L2921" s="14"/>
      <c r="M2921" s="15"/>
      <c r="N2921" s="15"/>
      <c r="O2921" s="16"/>
      <c r="Q2921" s="16"/>
    </row>
    <row r="2922" spans="1:17" x14ac:dyDescent="0.3">
      <c r="A2922" s="5"/>
      <c r="B2922" s="6"/>
      <c r="C2922" s="7"/>
      <c r="D2922" s="10"/>
      <c r="F2922" s="1"/>
      <c r="G2922" s="1"/>
      <c r="H2922" s="1"/>
      <c r="I2922" s="7"/>
      <c r="J2922" s="12"/>
      <c r="K2922" s="13"/>
      <c r="L2922" s="14"/>
      <c r="M2922" s="15"/>
      <c r="N2922" s="15"/>
      <c r="O2922" s="16"/>
      <c r="Q2922" s="16"/>
    </row>
    <row r="2923" spans="1:17" x14ac:dyDescent="0.3">
      <c r="A2923" s="5"/>
      <c r="B2923" s="6"/>
      <c r="C2923" s="7"/>
      <c r="D2923" s="10"/>
      <c r="F2923" s="1"/>
      <c r="G2923" s="1"/>
      <c r="H2923" s="1"/>
      <c r="I2923" s="7"/>
      <c r="J2923" s="12"/>
      <c r="K2923" s="13"/>
      <c r="L2923" s="14"/>
      <c r="M2923" s="15"/>
      <c r="N2923" s="15"/>
      <c r="O2923" s="16"/>
      <c r="Q2923" s="16"/>
    </row>
    <row r="2924" spans="1:17" x14ac:dyDescent="0.3">
      <c r="A2924" s="5"/>
      <c r="B2924" s="6"/>
      <c r="C2924" s="7"/>
      <c r="D2924" s="10"/>
      <c r="F2924" s="1"/>
      <c r="G2924" s="1"/>
      <c r="H2924" s="1"/>
      <c r="I2924" s="7"/>
      <c r="J2924" s="12"/>
      <c r="K2924" s="13"/>
      <c r="L2924" s="14"/>
      <c r="M2924" s="15"/>
      <c r="N2924" s="15"/>
      <c r="O2924" s="16"/>
      <c r="Q2924" s="16"/>
    </row>
    <row r="2925" spans="1:17" x14ac:dyDescent="0.3">
      <c r="A2925" s="5"/>
      <c r="B2925" s="6"/>
      <c r="C2925" s="7"/>
      <c r="D2925" s="10"/>
      <c r="F2925" s="1"/>
      <c r="G2925" s="1"/>
      <c r="H2925" s="1"/>
      <c r="I2925" s="7"/>
      <c r="J2925" s="12"/>
      <c r="K2925" s="13"/>
      <c r="L2925" s="14"/>
      <c r="M2925" s="15"/>
      <c r="N2925" s="15"/>
      <c r="O2925" s="16"/>
      <c r="Q2925" s="16"/>
    </row>
    <row r="2926" spans="1:17" x14ac:dyDescent="0.3">
      <c r="A2926" s="5"/>
      <c r="B2926" s="6"/>
      <c r="C2926" s="7"/>
      <c r="D2926" s="10"/>
      <c r="F2926" s="1"/>
      <c r="G2926" s="1"/>
      <c r="H2926" s="1"/>
      <c r="I2926" s="7"/>
      <c r="J2926" s="12"/>
      <c r="K2926" s="13"/>
      <c r="L2926" s="14"/>
      <c r="M2926" s="15"/>
      <c r="N2926" s="15"/>
      <c r="O2926" s="16"/>
      <c r="Q2926" s="16"/>
    </row>
    <row r="2927" spans="1:17" x14ac:dyDescent="0.3">
      <c r="A2927" s="5"/>
      <c r="B2927" s="6"/>
      <c r="C2927" s="7"/>
      <c r="D2927" s="10"/>
      <c r="F2927" s="1"/>
      <c r="G2927" s="1"/>
      <c r="H2927" s="1"/>
      <c r="I2927" s="7"/>
      <c r="J2927" s="12"/>
      <c r="K2927" s="13"/>
      <c r="L2927" s="14"/>
      <c r="M2927" s="15"/>
      <c r="N2927" s="15"/>
      <c r="O2927" s="16"/>
      <c r="Q2927" s="16"/>
    </row>
    <row r="2928" spans="1:17" x14ac:dyDescent="0.3">
      <c r="A2928" s="5"/>
      <c r="B2928" s="6"/>
      <c r="C2928" s="7"/>
      <c r="D2928" s="10"/>
      <c r="F2928" s="1"/>
      <c r="G2928" s="1"/>
      <c r="H2928" s="1"/>
      <c r="I2928" s="7"/>
      <c r="J2928" s="12"/>
      <c r="K2928" s="13"/>
      <c r="L2928" s="14"/>
      <c r="M2928" s="15"/>
      <c r="N2928" s="15"/>
      <c r="O2928" s="16"/>
      <c r="Q2928" s="16"/>
    </row>
    <row r="2929" spans="1:17" x14ac:dyDescent="0.3">
      <c r="A2929" s="5"/>
      <c r="B2929" s="6"/>
      <c r="C2929" s="7"/>
      <c r="D2929" s="10"/>
      <c r="F2929" s="1"/>
      <c r="G2929" s="1"/>
      <c r="H2929" s="1"/>
      <c r="I2929" s="7"/>
      <c r="J2929" s="12"/>
      <c r="K2929" s="13"/>
      <c r="L2929" s="14"/>
      <c r="M2929" s="15"/>
      <c r="N2929" s="15"/>
      <c r="O2929" s="16"/>
      <c r="Q2929" s="16"/>
    </row>
    <row r="2930" spans="1:17" x14ac:dyDescent="0.3">
      <c r="A2930" s="5"/>
      <c r="B2930" s="6"/>
      <c r="C2930" s="7"/>
      <c r="D2930" s="10"/>
      <c r="F2930" s="1"/>
      <c r="G2930" s="1"/>
      <c r="H2930" s="1"/>
      <c r="I2930" s="7"/>
      <c r="J2930" s="12"/>
      <c r="K2930" s="13"/>
      <c r="L2930" s="14"/>
      <c r="M2930" s="15"/>
      <c r="N2930" s="15"/>
      <c r="O2930" s="16"/>
      <c r="Q2930" s="16"/>
    </row>
    <row r="2931" spans="1:17" x14ac:dyDescent="0.3">
      <c r="A2931" s="5"/>
      <c r="B2931" s="6"/>
      <c r="C2931" s="7"/>
      <c r="D2931" s="10"/>
      <c r="F2931" s="1"/>
      <c r="G2931" s="1"/>
      <c r="H2931" s="1"/>
      <c r="I2931" s="7"/>
      <c r="J2931" s="12"/>
      <c r="K2931" s="13"/>
      <c r="L2931" s="14"/>
      <c r="M2931" s="15"/>
      <c r="N2931" s="15"/>
      <c r="O2931" s="16"/>
      <c r="Q2931" s="16"/>
    </row>
    <row r="2932" spans="1:17" x14ac:dyDescent="0.3">
      <c r="A2932" s="5"/>
      <c r="B2932" s="6"/>
      <c r="C2932" s="7"/>
      <c r="D2932" s="10"/>
      <c r="F2932" s="1"/>
      <c r="G2932" s="1"/>
      <c r="H2932" s="1"/>
      <c r="I2932" s="7"/>
      <c r="J2932" s="12"/>
      <c r="K2932" s="13"/>
      <c r="L2932" s="14"/>
      <c r="M2932" s="15"/>
      <c r="N2932" s="15"/>
      <c r="O2932" s="16"/>
      <c r="Q2932" s="16"/>
    </row>
    <row r="2933" spans="1:17" x14ac:dyDescent="0.3">
      <c r="A2933" s="5"/>
      <c r="B2933" s="6"/>
      <c r="C2933" s="7"/>
      <c r="D2933" s="10"/>
      <c r="F2933" s="1"/>
      <c r="G2933" s="1"/>
      <c r="H2933" s="1"/>
      <c r="I2933" s="7"/>
      <c r="J2933" s="12"/>
      <c r="K2933" s="13"/>
      <c r="L2933" s="14"/>
      <c r="M2933" s="15"/>
      <c r="N2933" s="15"/>
      <c r="O2933" s="16"/>
      <c r="Q2933" s="16"/>
    </row>
    <row r="2934" spans="1:17" x14ac:dyDescent="0.3">
      <c r="A2934" s="5"/>
      <c r="B2934" s="6"/>
      <c r="C2934" s="7"/>
      <c r="D2934" s="10"/>
      <c r="F2934" s="1"/>
      <c r="G2934" s="1"/>
      <c r="H2934" s="1"/>
      <c r="I2934" s="7"/>
      <c r="J2934" s="12"/>
      <c r="K2934" s="13"/>
      <c r="L2934" s="14"/>
      <c r="M2934" s="15"/>
      <c r="N2934" s="15"/>
      <c r="O2934" s="16"/>
      <c r="Q2934" s="16"/>
    </row>
    <row r="2935" spans="1:17" x14ac:dyDescent="0.3">
      <c r="A2935" s="5"/>
      <c r="B2935" s="6"/>
      <c r="C2935" s="7"/>
      <c r="D2935" s="10"/>
      <c r="F2935" s="1"/>
      <c r="G2935" s="1"/>
      <c r="H2935" s="1"/>
      <c r="I2935" s="7"/>
      <c r="J2935" s="12"/>
      <c r="K2935" s="13"/>
      <c r="L2935" s="14"/>
      <c r="M2935" s="15"/>
      <c r="N2935" s="15"/>
      <c r="O2935" s="16"/>
      <c r="Q2935" s="16"/>
    </row>
    <row r="2936" spans="1:17" x14ac:dyDescent="0.3">
      <c r="A2936" s="5"/>
      <c r="B2936" s="6"/>
      <c r="C2936" s="7"/>
      <c r="D2936" s="10"/>
      <c r="F2936" s="1"/>
      <c r="G2936" s="1"/>
      <c r="H2936" s="1"/>
      <c r="I2936" s="7"/>
      <c r="J2936" s="12"/>
      <c r="K2936" s="13"/>
      <c r="L2936" s="14"/>
      <c r="M2936" s="15"/>
      <c r="N2936" s="15"/>
      <c r="O2936" s="16"/>
      <c r="Q2936" s="16"/>
    </row>
    <row r="2937" spans="1:17" x14ac:dyDescent="0.3">
      <c r="A2937" s="5"/>
      <c r="B2937" s="6"/>
      <c r="C2937" s="7"/>
      <c r="D2937" s="10"/>
      <c r="F2937" s="1"/>
      <c r="G2937" s="1"/>
      <c r="H2937" s="1"/>
      <c r="I2937" s="7"/>
      <c r="J2937" s="12"/>
      <c r="K2937" s="13"/>
      <c r="L2937" s="14"/>
      <c r="M2937" s="15"/>
      <c r="N2937" s="15"/>
      <c r="O2937" s="16"/>
      <c r="Q2937" s="16"/>
    </row>
    <row r="2938" spans="1:17" x14ac:dyDescent="0.3">
      <c r="A2938" s="5"/>
      <c r="B2938" s="6"/>
      <c r="C2938" s="7"/>
      <c r="D2938" s="10"/>
      <c r="F2938" s="1"/>
      <c r="G2938" s="1"/>
      <c r="H2938" s="1"/>
      <c r="I2938" s="7"/>
      <c r="J2938" s="12"/>
      <c r="K2938" s="13"/>
      <c r="L2938" s="14"/>
      <c r="M2938" s="15"/>
      <c r="N2938" s="15"/>
      <c r="O2938" s="16"/>
      <c r="Q2938" s="16"/>
    </row>
    <row r="2939" spans="1:17" x14ac:dyDescent="0.3">
      <c r="A2939" s="5"/>
      <c r="B2939" s="6"/>
      <c r="C2939" s="7"/>
      <c r="D2939" s="10"/>
      <c r="F2939" s="1"/>
      <c r="G2939" s="1"/>
      <c r="H2939" s="1"/>
      <c r="I2939" s="7"/>
      <c r="J2939" s="12"/>
      <c r="K2939" s="13"/>
      <c r="L2939" s="14"/>
      <c r="M2939" s="15"/>
      <c r="N2939" s="15"/>
      <c r="O2939" s="16"/>
      <c r="Q2939" s="16"/>
    </row>
    <row r="2940" spans="1:17" x14ac:dyDescent="0.3">
      <c r="A2940" s="5"/>
      <c r="B2940" s="6"/>
      <c r="C2940" s="7"/>
      <c r="D2940" s="10"/>
      <c r="F2940" s="1"/>
      <c r="G2940" s="1"/>
      <c r="H2940" s="1"/>
      <c r="I2940" s="7"/>
      <c r="J2940" s="12"/>
      <c r="K2940" s="13"/>
      <c r="L2940" s="14"/>
      <c r="M2940" s="15"/>
      <c r="N2940" s="15"/>
      <c r="O2940" s="16"/>
      <c r="Q2940" s="16"/>
    </row>
    <row r="2941" spans="1:17" x14ac:dyDescent="0.3">
      <c r="A2941" s="5"/>
      <c r="B2941" s="6"/>
      <c r="C2941" s="7"/>
      <c r="D2941" s="10"/>
      <c r="F2941" s="1"/>
      <c r="G2941" s="1"/>
      <c r="H2941" s="1"/>
      <c r="I2941" s="7"/>
      <c r="J2941" s="12"/>
      <c r="K2941" s="13"/>
      <c r="L2941" s="14"/>
      <c r="M2941" s="15"/>
      <c r="N2941" s="15"/>
      <c r="O2941" s="16"/>
      <c r="Q2941" s="16"/>
    </row>
    <row r="2942" spans="1:17" x14ac:dyDescent="0.3">
      <c r="A2942" s="5"/>
      <c r="B2942" s="6"/>
      <c r="C2942" s="7"/>
      <c r="D2942" s="10"/>
      <c r="F2942" s="1"/>
      <c r="G2942" s="1"/>
      <c r="H2942" s="1"/>
      <c r="I2942" s="7"/>
      <c r="J2942" s="12"/>
      <c r="K2942" s="13"/>
      <c r="L2942" s="14"/>
      <c r="M2942" s="15"/>
      <c r="N2942" s="15"/>
      <c r="O2942" s="16"/>
      <c r="Q2942" s="16"/>
    </row>
    <row r="2943" spans="1:17" x14ac:dyDescent="0.3">
      <c r="A2943" s="5"/>
      <c r="B2943" s="6"/>
      <c r="C2943" s="7"/>
      <c r="D2943" s="10"/>
      <c r="F2943" s="1"/>
      <c r="G2943" s="1"/>
      <c r="H2943" s="1"/>
      <c r="I2943" s="7"/>
      <c r="J2943" s="12"/>
      <c r="K2943" s="13"/>
      <c r="L2943" s="14"/>
      <c r="M2943" s="15"/>
      <c r="N2943" s="15"/>
      <c r="O2943" s="16"/>
      <c r="Q2943" s="16"/>
    </row>
    <row r="2944" spans="1:17" x14ac:dyDescent="0.3">
      <c r="A2944" s="5"/>
      <c r="B2944" s="6"/>
      <c r="C2944" s="7"/>
      <c r="D2944" s="10"/>
      <c r="F2944" s="1"/>
      <c r="G2944" s="1"/>
      <c r="H2944" s="1"/>
      <c r="I2944" s="7"/>
      <c r="J2944" s="12"/>
      <c r="K2944" s="13"/>
      <c r="L2944" s="14"/>
      <c r="M2944" s="15"/>
      <c r="N2944" s="15"/>
      <c r="O2944" s="16"/>
      <c r="Q2944" s="16"/>
    </row>
    <row r="2945" spans="1:17" x14ac:dyDescent="0.3">
      <c r="A2945" s="5"/>
      <c r="B2945" s="6"/>
      <c r="C2945" s="7"/>
      <c r="D2945" s="10"/>
      <c r="F2945" s="1"/>
      <c r="G2945" s="1"/>
      <c r="H2945" s="1"/>
      <c r="I2945" s="7"/>
      <c r="J2945" s="12"/>
      <c r="K2945" s="13"/>
      <c r="L2945" s="14"/>
      <c r="M2945" s="15"/>
      <c r="N2945" s="15"/>
      <c r="O2945" s="16"/>
      <c r="Q2945" s="16"/>
    </row>
    <row r="2946" spans="1:17" x14ac:dyDescent="0.3">
      <c r="A2946" s="5"/>
      <c r="B2946" s="6"/>
      <c r="C2946" s="7"/>
      <c r="D2946" s="10"/>
      <c r="F2946" s="1"/>
      <c r="G2946" s="1"/>
      <c r="H2946" s="1"/>
      <c r="I2946" s="7"/>
      <c r="J2946" s="12"/>
      <c r="K2946" s="13"/>
      <c r="L2946" s="14"/>
      <c r="M2946" s="15"/>
      <c r="N2946" s="15"/>
      <c r="O2946" s="16"/>
      <c r="Q2946" s="16"/>
    </row>
    <row r="2947" spans="1:17" x14ac:dyDescent="0.3">
      <c r="A2947" s="5"/>
      <c r="B2947" s="6"/>
      <c r="C2947" s="7"/>
      <c r="D2947" s="10"/>
      <c r="F2947" s="1"/>
      <c r="G2947" s="1"/>
      <c r="H2947" s="1"/>
      <c r="I2947" s="7"/>
      <c r="J2947" s="12"/>
      <c r="K2947" s="13"/>
      <c r="L2947" s="14"/>
      <c r="M2947" s="15"/>
      <c r="N2947" s="15"/>
      <c r="O2947" s="16"/>
      <c r="Q2947" s="16"/>
    </row>
    <row r="2948" spans="1:17" x14ac:dyDescent="0.3">
      <c r="A2948" s="5"/>
      <c r="B2948" s="6"/>
      <c r="C2948" s="7"/>
      <c r="D2948" s="10"/>
      <c r="F2948" s="1"/>
      <c r="G2948" s="1"/>
      <c r="H2948" s="1"/>
      <c r="I2948" s="7"/>
      <c r="J2948" s="12"/>
      <c r="K2948" s="13"/>
      <c r="L2948" s="14"/>
      <c r="M2948" s="15"/>
      <c r="N2948" s="15"/>
      <c r="O2948" s="16"/>
      <c r="Q2948" s="16"/>
    </row>
    <row r="2949" spans="1:17" x14ac:dyDescent="0.3">
      <c r="A2949" s="5"/>
      <c r="B2949" s="6"/>
      <c r="C2949" s="7"/>
      <c r="D2949" s="10"/>
      <c r="F2949" s="1"/>
      <c r="G2949" s="1"/>
      <c r="H2949" s="1"/>
      <c r="I2949" s="7"/>
      <c r="J2949" s="12"/>
      <c r="K2949" s="13"/>
      <c r="L2949" s="14"/>
      <c r="M2949" s="15"/>
      <c r="N2949" s="15"/>
      <c r="O2949" s="16"/>
      <c r="Q2949" s="16"/>
    </row>
    <row r="2950" spans="1:17" x14ac:dyDescent="0.3">
      <c r="A2950" s="5"/>
      <c r="B2950" s="6"/>
      <c r="C2950" s="7"/>
      <c r="D2950" s="10"/>
      <c r="F2950" s="1"/>
      <c r="G2950" s="1"/>
      <c r="H2950" s="1"/>
      <c r="I2950" s="7"/>
      <c r="J2950" s="12"/>
      <c r="K2950" s="13"/>
      <c r="L2950" s="14"/>
      <c r="M2950" s="15"/>
      <c r="N2950" s="15"/>
      <c r="O2950" s="16"/>
      <c r="Q2950" s="16"/>
    </row>
    <row r="2951" spans="1:17" x14ac:dyDescent="0.3">
      <c r="A2951" s="5"/>
      <c r="B2951" s="6"/>
      <c r="C2951" s="7"/>
      <c r="D2951" s="10"/>
      <c r="F2951" s="1"/>
      <c r="G2951" s="1"/>
      <c r="H2951" s="1"/>
      <c r="I2951" s="7"/>
      <c r="J2951" s="12"/>
      <c r="K2951" s="13"/>
      <c r="L2951" s="14"/>
      <c r="M2951" s="15"/>
      <c r="N2951" s="15"/>
      <c r="O2951" s="16"/>
      <c r="Q2951" s="16"/>
    </row>
    <row r="2952" spans="1:17" x14ac:dyDescent="0.3">
      <c r="A2952" s="5"/>
      <c r="B2952" s="6"/>
      <c r="C2952" s="7"/>
      <c r="D2952" s="10"/>
      <c r="F2952" s="1"/>
      <c r="G2952" s="1"/>
      <c r="H2952" s="1"/>
      <c r="I2952" s="7"/>
      <c r="J2952" s="12"/>
      <c r="K2952" s="13"/>
      <c r="L2952" s="14"/>
      <c r="M2952" s="15"/>
      <c r="N2952" s="15"/>
      <c r="O2952" s="16"/>
      <c r="Q2952" s="16"/>
    </row>
    <row r="2953" spans="1:17" x14ac:dyDescent="0.3">
      <c r="A2953" s="5"/>
      <c r="B2953" s="6"/>
      <c r="C2953" s="7"/>
      <c r="D2953" s="10"/>
      <c r="F2953" s="1"/>
      <c r="G2953" s="1"/>
      <c r="H2953" s="1"/>
      <c r="I2953" s="7"/>
      <c r="J2953" s="12"/>
      <c r="K2953" s="13"/>
      <c r="L2953" s="14"/>
      <c r="M2953" s="15"/>
      <c r="N2953" s="15"/>
      <c r="O2953" s="16"/>
      <c r="Q2953" s="16"/>
    </row>
    <row r="2954" spans="1:17" x14ac:dyDescent="0.3">
      <c r="A2954" s="5"/>
      <c r="B2954" s="6"/>
      <c r="C2954" s="7"/>
      <c r="D2954" s="10"/>
      <c r="F2954" s="1"/>
      <c r="G2954" s="1"/>
      <c r="H2954" s="1"/>
      <c r="I2954" s="7"/>
      <c r="J2954" s="12"/>
      <c r="K2954" s="13"/>
      <c r="L2954" s="14"/>
      <c r="M2954" s="15"/>
      <c r="N2954" s="15"/>
      <c r="O2954" s="16"/>
      <c r="Q2954" s="16"/>
    </row>
    <row r="2955" spans="1:17" x14ac:dyDescent="0.3">
      <c r="A2955" s="5"/>
      <c r="B2955" s="6"/>
      <c r="C2955" s="7"/>
      <c r="D2955" s="10"/>
      <c r="F2955" s="1"/>
      <c r="G2955" s="1"/>
      <c r="H2955" s="1"/>
      <c r="I2955" s="7"/>
      <c r="J2955" s="12"/>
      <c r="K2955" s="13"/>
      <c r="L2955" s="14"/>
      <c r="M2955" s="15"/>
      <c r="N2955" s="15"/>
      <c r="O2955" s="16"/>
      <c r="Q2955" s="16"/>
    </row>
    <row r="2956" spans="1:17" x14ac:dyDescent="0.3">
      <c r="A2956" s="5"/>
      <c r="B2956" s="6"/>
      <c r="C2956" s="7"/>
      <c r="D2956" s="10"/>
      <c r="F2956" s="1"/>
      <c r="G2956" s="1"/>
      <c r="H2956" s="1"/>
      <c r="I2956" s="7"/>
      <c r="J2956" s="12"/>
      <c r="K2956" s="13"/>
      <c r="L2956" s="14"/>
      <c r="M2956" s="15"/>
      <c r="N2956" s="15"/>
      <c r="O2956" s="16"/>
      <c r="Q2956" s="16"/>
    </row>
    <row r="2957" spans="1:17" x14ac:dyDescent="0.3">
      <c r="A2957" s="5"/>
      <c r="B2957" s="6"/>
      <c r="C2957" s="7"/>
      <c r="D2957" s="10"/>
      <c r="F2957" s="1"/>
      <c r="G2957" s="1"/>
      <c r="H2957" s="1"/>
      <c r="I2957" s="7"/>
      <c r="J2957" s="12"/>
      <c r="K2957" s="13"/>
      <c r="L2957" s="14"/>
      <c r="M2957" s="15"/>
      <c r="N2957" s="15"/>
      <c r="O2957" s="16"/>
      <c r="Q2957" s="16"/>
    </row>
    <row r="2958" spans="1:17" x14ac:dyDescent="0.3">
      <c r="A2958" s="5"/>
      <c r="B2958" s="6"/>
      <c r="C2958" s="7"/>
      <c r="D2958" s="10"/>
      <c r="F2958" s="1"/>
      <c r="G2958" s="1"/>
      <c r="H2958" s="1"/>
      <c r="I2958" s="7"/>
      <c r="J2958" s="12"/>
      <c r="K2958" s="13"/>
      <c r="L2958" s="14"/>
      <c r="M2958" s="15"/>
      <c r="N2958" s="15"/>
      <c r="O2958" s="16"/>
      <c r="Q2958" s="16"/>
    </row>
    <row r="2959" spans="1:17" x14ac:dyDescent="0.3">
      <c r="A2959" s="5"/>
      <c r="B2959" s="6"/>
      <c r="C2959" s="7"/>
      <c r="D2959" s="10"/>
      <c r="F2959" s="1"/>
      <c r="G2959" s="1"/>
      <c r="H2959" s="1"/>
      <c r="I2959" s="7"/>
      <c r="J2959" s="12"/>
      <c r="K2959" s="13"/>
      <c r="L2959" s="14"/>
      <c r="M2959" s="15"/>
      <c r="N2959" s="15"/>
      <c r="O2959" s="16"/>
      <c r="Q2959" s="16"/>
    </row>
    <row r="2960" spans="1:17" x14ac:dyDescent="0.3">
      <c r="A2960" s="5"/>
      <c r="B2960" s="6"/>
      <c r="C2960" s="7"/>
      <c r="D2960" s="10"/>
      <c r="F2960" s="1"/>
      <c r="G2960" s="1"/>
      <c r="H2960" s="1"/>
      <c r="I2960" s="7"/>
      <c r="J2960" s="12"/>
      <c r="K2960" s="13"/>
      <c r="L2960" s="14"/>
      <c r="M2960" s="15"/>
      <c r="N2960" s="15"/>
      <c r="O2960" s="16"/>
      <c r="Q2960" s="16"/>
    </row>
    <row r="2961" spans="1:17" x14ac:dyDescent="0.3">
      <c r="A2961" s="5"/>
      <c r="B2961" s="6"/>
      <c r="C2961" s="7"/>
      <c r="D2961" s="10"/>
      <c r="F2961" s="1"/>
      <c r="G2961" s="1"/>
      <c r="H2961" s="1"/>
      <c r="I2961" s="7"/>
      <c r="J2961" s="12"/>
      <c r="K2961" s="13"/>
      <c r="L2961" s="14"/>
      <c r="M2961" s="15"/>
      <c r="N2961" s="15"/>
      <c r="O2961" s="16"/>
      <c r="Q2961" s="16"/>
    </row>
    <row r="2962" spans="1:17" x14ac:dyDescent="0.3">
      <c r="A2962" s="5"/>
      <c r="B2962" s="6"/>
      <c r="C2962" s="7"/>
      <c r="D2962" s="10"/>
      <c r="F2962" s="1"/>
      <c r="G2962" s="1"/>
      <c r="H2962" s="1"/>
      <c r="I2962" s="7"/>
      <c r="J2962" s="12"/>
      <c r="K2962" s="13"/>
      <c r="L2962" s="14"/>
      <c r="M2962" s="15"/>
      <c r="N2962" s="15"/>
      <c r="O2962" s="16"/>
      <c r="Q2962" s="16"/>
    </row>
    <row r="2963" spans="1:17" x14ac:dyDescent="0.3">
      <c r="A2963" s="5"/>
      <c r="B2963" s="6"/>
      <c r="C2963" s="7"/>
      <c r="D2963" s="10"/>
      <c r="F2963" s="1"/>
      <c r="G2963" s="1"/>
      <c r="H2963" s="1"/>
      <c r="I2963" s="7"/>
      <c r="J2963" s="12"/>
      <c r="K2963" s="13"/>
      <c r="L2963" s="14"/>
      <c r="M2963" s="15"/>
      <c r="N2963" s="15"/>
      <c r="O2963" s="16"/>
      <c r="Q2963" s="16"/>
    </row>
    <row r="2964" spans="1:17" x14ac:dyDescent="0.3">
      <c r="A2964" s="5"/>
      <c r="B2964" s="6"/>
      <c r="C2964" s="7"/>
      <c r="D2964" s="10"/>
      <c r="F2964" s="1"/>
      <c r="G2964" s="1"/>
      <c r="H2964" s="1"/>
      <c r="I2964" s="7"/>
      <c r="J2964" s="12"/>
      <c r="K2964" s="13"/>
      <c r="L2964" s="14"/>
      <c r="M2964" s="15"/>
      <c r="N2964" s="15"/>
      <c r="O2964" s="16"/>
      <c r="Q2964" s="16"/>
    </row>
    <row r="2965" spans="1:17" x14ac:dyDescent="0.3">
      <c r="A2965" s="5"/>
      <c r="B2965" s="6"/>
      <c r="C2965" s="7"/>
      <c r="D2965" s="10"/>
      <c r="F2965" s="1"/>
      <c r="G2965" s="1"/>
      <c r="H2965" s="1"/>
      <c r="I2965" s="7"/>
      <c r="J2965" s="12"/>
      <c r="K2965" s="13"/>
      <c r="L2965" s="14"/>
      <c r="M2965" s="15"/>
      <c r="N2965" s="15"/>
      <c r="O2965" s="16"/>
      <c r="Q2965" s="16"/>
    </row>
    <row r="2966" spans="1:17" x14ac:dyDescent="0.3">
      <c r="A2966" s="5"/>
      <c r="B2966" s="6"/>
      <c r="C2966" s="7"/>
      <c r="D2966" s="10"/>
      <c r="F2966" s="1"/>
      <c r="G2966" s="1"/>
      <c r="H2966" s="1"/>
      <c r="I2966" s="7"/>
      <c r="J2966" s="12"/>
      <c r="K2966" s="13"/>
      <c r="L2966" s="14"/>
      <c r="M2966" s="15"/>
      <c r="N2966" s="15"/>
      <c r="O2966" s="16"/>
      <c r="Q2966" s="16"/>
    </row>
    <row r="2967" spans="1:17" x14ac:dyDescent="0.3">
      <c r="A2967" s="5"/>
      <c r="B2967" s="6"/>
      <c r="C2967" s="7"/>
      <c r="D2967" s="10"/>
      <c r="F2967" s="1"/>
      <c r="G2967" s="1"/>
      <c r="H2967" s="1"/>
      <c r="I2967" s="7"/>
      <c r="J2967" s="12"/>
      <c r="K2967" s="13"/>
      <c r="L2967" s="14"/>
      <c r="M2967" s="15"/>
      <c r="N2967" s="15"/>
      <c r="O2967" s="16"/>
      <c r="Q2967" s="16"/>
    </row>
    <row r="2968" spans="1:17" x14ac:dyDescent="0.3">
      <c r="A2968" s="5"/>
      <c r="B2968" s="6"/>
      <c r="C2968" s="7"/>
      <c r="D2968" s="10"/>
      <c r="F2968" s="1"/>
      <c r="G2968" s="1"/>
      <c r="H2968" s="1"/>
      <c r="I2968" s="7"/>
      <c r="J2968" s="12"/>
      <c r="K2968" s="13"/>
      <c r="L2968" s="14"/>
      <c r="M2968" s="15"/>
      <c r="N2968" s="15"/>
      <c r="O2968" s="16"/>
      <c r="Q2968" s="16"/>
    </row>
    <row r="2969" spans="1:17" x14ac:dyDescent="0.3">
      <c r="A2969" s="5"/>
      <c r="B2969" s="6"/>
      <c r="C2969" s="7"/>
      <c r="D2969" s="10"/>
      <c r="F2969" s="1"/>
      <c r="G2969" s="1"/>
      <c r="H2969" s="1"/>
      <c r="I2969" s="7"/>
      <c r="J2969" s="12"/>
      <c r="K2969" s="13"/>
      <c r="L2969" s="14"/>
      <c r="M2969" s="15"/>
      <c r="N2969" s="15"/>
      <c r="O2969" s="16"/>
      <c r="Q2969" s="16"/>
    </row>
    <row r="2970" spans="1:17" x14ac:dyDescent="0.3">
      <c r="A2970" s="5"/>
      <c r="B2970" s="6"/>
      <c r="C2970" s="7"/>
      <c r="D2970" s="10"/>
      <c r="F2970" s="1"/>
      <c r="G2970" s="1"/>
      <c r="H2970" s="1"/>
      <c r="I2970" s="7"/>
      <c r="J2970" s="12"/>
      <c r="K2970" s="13"/>
      <c r="L2970" s="14"/>
      <c r="M2970" s="15"/>
      <c r="N2970" s="15"/>
      <c r="O2970" s="16"/>
      <c r="Q2970" s="16"/>
    </row>
    <row r="2971" spans="1:17" x14ac:dyDescent="0.3">
      <c r="A2971" s="5"/>
      <c r="B2971" s="6"/>
      <c r="C2971" s="7"/>
      <c r="D2971" s="10"/>
      <c r="F2971" s="1"/>
      <c r="G2971" s="1"/>
      <c r="H2971" s="1"/>
      <c r="I2971" s="7"/>
      <c r="J2971" s="12"/>
      <c r="K2971" s="13"/>
      <c r="L2971" s="14"/>
      <c r="M2971" s="15"/>
      <c r="N2971" s="15"/>
      <c r="O2971" s="16"/>
      <c r="Q2971" s="16"/>
    </row>
    <row r="2972" spans="1:17" x14ac:dyDescent="0.3">
      <c r="A2972" s="5"/>
      <c r="B2972" s="6"/>
      <c r="C2972" s="7"/>
      <c r="D2972" s="10"/>
      <c r="F2972" s="1"/>
      <c r="G2972" s="1"/>
      <c r="H2972" s="1"/>
      <c r="I2972" s="7"/>
      <c r="J2972" s="12"/>
      <c r="K2972" s="13"/>
      <c r="L2972" s="14"/>
      <c r="M2972" s="15"/>
      <c r="N2972" s="15"/>
      <c r="O2972" s="16"/>
      <c r="Q2972" s="16"/>
    </row>
    <row r="2973" spans="1:17" x14ac:dyDescent="0.3">
      <c r="A2973" s="5"/>
      <c r="B2973" s="6"/>
      <c r="C2973" s="7"/>
      <c r="D2973" s="10"/>
      <c r="F2973" s="1"/>
      <c r="G2973" s="1"/>
      <c r="H2973" s="1"/>
      <c r="I2973" s="7"/>
      <c r="J2973" s="12"/>
      <c r="K2973" s="13"/>
      <c r="L2973" s="14"/>
      <c r="M2973" s="15"/>
      <c r="N2973" s="15"/>
      <c r="O2973" s="16"/>
      <c r="Q2973" s="16"/>
    </row>
    <row r="2974" spans="1:17" x14ac:dyDescent="0.3">
      <c r="A2974" s="5"/>
      <c r="B2974" s="6"/>
      <c r="C2974" s="7"/>
      <c r="D2974" s="10"/>
      <c r="F2974" s="1"/>
      <c r="G2974" s="1"/>
      <c r="H2974" s="1"/>
      <c r="I2974" s="7"/>
      <c r="J2974" s="12"/>
      <c r="K2974" s="13"/>
      <c r="L2974" s="14"/>
      <c r="M2974" s="15"/>
      <c r="N2974" s="15"/>
      <c r="O2974" s="16"/>
      <c r="Q2974" s="16"/>
    </row>
    <row r="2975" spans="1:17" x14ac:dyDescent="0.3">
      <c r="A2975" s="5"/>
      <c r="B2975" s="6"/>
      <c r="C2975" s="7"/>
      <c r="D2975" s="10"/>
      <c r="F2975" s="1"/>
      <c r="G2975" s="1"/>
      <c r="H2975" s="1"/>
      <c r="I2975" s="7"/>
      <c r="J2975" s="12"/>
      <c r="K2975" s="13"/>
      <c r="L2975" s="14"/>
      <c r="M2975" s="15"/>
      <c r="N2975" s="15"/>
      <c r="O2975" s="16"/>
      <c r="Q2975" s="16"/>
    </row>
    <row r="2976" spans="1:17" x14ac:dyDescent="0.3">
      <c r="A2976" s="5"/>
      <c r="B2976" s="6"/>
      <c r="C2976" s="7"/>
      <c r="D2976" s="10"/>
      <c r="F2976" s="1"/>
      <c r="G2976" s="1"/>
      <c r="H2976" s="1"/>
      <c r="I2976" s="7"/>
      <c r="J2976" s="12"/>
      <c r="K2976" s="13"/>
      <c r="L2976" s="14"/>
      <c r="M2976" s="15"/>
      <c r="N2976" s="15"/>
      <c r="O2976" s="16"/>
      <c r="Q2976" s="16"/>
    </row>
    <row r="2977" spans="1:17" x14ac:dyDescent="0.3">
      <c r="A2977" s="5"/>
      <c r="B2977" s="6"/>
      <c r="C2977" s="7"/>
      <c r="D2977" s="10"/>
      <c r="F2977" s="1"/>
      <c r="G2977" s="1"/>
      <c r="H2977" s="1"/>
      <c r="I2977" s="7"/>
      <c r="J2977" s="12"/>
      <c r="K2977" s="13"/>
      <c r="L2977" s="14"/>
      <c r="M2977" s="15"/>
      <c r="N2977" s="15"/>
      <c r="O2977" s="16"/>
      <c r="Q2977" s="16"/>
    </row>
    <row r="2978" spans="1:17" x14ac:dyDescent="0.3">
      <c r="A2978" s="5"/>
      <c r="B2978" s="6"/>
      <c r="C2978" s="7"/>
      <c r="D2978" s="10"/>
      <c r="F2978" s="1"/>
      <c r="G2978" s="1"/>
      <c r="H2978" s="1"/>
      <c r="I2978" s="7"/>
      <c r="J2978" s="12"/>
      <c r="K2978" s="13"/>
      <c r="L2978" s="14"/>
      <c r="M2978" s="15"/>
      <c r="N2978" s="15"/>
      <c r="O2978" s="16"/>
      <c r="Q2978" s="16"/>
    </row>
    <row r="2979" spans="1:17" x14ac:dyDescent="0.3">
      <c r="A2979" s="5"/>
      <c r="B2979" s="6"/>
      <c r="C2979" s="7"/>
      <c r="D2979" s="10"/>
      <c r="F2979" s="1"/>
      <c r="G2979" s="1"/>
      <c r="H2979" s="1"/>
      <c r="I2979" s="7"/>
      <c r="J2979" s="12"/>
      <c r="K2979" s="13"/>
      <c r="L2979" s="14"/>
      <c r="M2979" s="15"/>
      <c r="N2979" s="15"/>
      <c r="O2979" s="16"/>
      <c r="Q2979" s="16"/>
    </row>
    <row r="2980" spans="1:17" x14ac:dyDescent="0.3">
      <c r="A2980" s="5"/>
      <c r="B2980" s="6"/>
      <c r="C2980" s="7"/>
      <c r="D2980" s="10"/>
      <c r="F2980" s="1"/>
      <c r="G2980" s="1"/>
      <c r="H2980" s="1"/>
      <c r="I2980" s="7"/>
      <c r="J2980" s="12"/>
      <c r="K2980" s="13"/>
      <c r="L2980" s="14"/>
      <c r="M2980" s="15"/>
      <c r="N2980" s="15"/>
      <c r="O2980" s="16"/>
      <c r="Q2980" s="16"/>
    </row>
    <row r="2981" spans="1:17" x14ac:dyDescent="0.3">
      <c r="A2981" s="5"/>
      <c r="B2981" s="6"/>
      <c r="C2981" s="7"/>
      <c r="D2981" s="10"/>
      <c r="F2981" s="1"/>
      <c r="G2981" s="1"/>
      <c r="H2981" s="1"/>
      <c r="I2981" s="7"/>
      <c r="J2981" s="12"/>
      <c r="K2981" s="13"/>
      <c r="L2981" s="14"/>
      <c r="M2981" s="15"/>
      <c r="N2981" s="15"/>
      <c r="O2981" s="16"/>
      <c r="Q2981" s="16"/>
    </row>
    <row r="2982" spans="1:17" x14ac:dyDescent="0.3">
      <c r="A2982" s="5"/>
      <c r="B2982" s="6"/>
      <c r="C2982" s="7"/>
      <c r="D2982" s="10"/>
      <c r="F2982" s="1"/>
      <c r="G2982" s="1"/>
      <c r="H2982" s="1"/>
      <c r="I2982" s="7"/>
      <c r="J2982" s="12"/>
      <c r="K2982" s="13"/>
      <c r="L2982" s="14"/>
      <c r="M2982" s="15"/>
      <c r="N2982" s="15"/>
      <c r="O2982" s="16"/>
      <c r="Q2982" s="16"/>
    </row>
    <row r="2983" spans="1:17" x14ac:dyDescent="0.3">
      <c r="A2983" s="5"/>
      <c r="B2983" s="6"/>
      <c r="C2983" s="7"/>
      <c r="D2983" s="10"/>
      <c r="F2983" s="1"/>
      <c r="G2983" s="1"/>
      <c r="H2983" s="1"/>
      <c r="I2983" s="7"/>
      <c r="J2983" s="12"/>
      <c r="K2983" s="13"/>
      <c r="L2983" s="14"/>
      <c r="M2983" s="15"/>
      <c r="N2983" s="15"/>
      <c r="O2983" s="16"/>
      <c r="Q2983" s="16"/>
    </row>
    <row r="2984" spans="1:17" x14ac:dyDescent="0.3">
      <c r="A2984" s="5"/>
      <c r="B2984" s="6"/>
      <c r="C2984" s="7"/>
      <c r="D2984" s="10"/>
      <c r="F2984" s="1"/>
      <c r="G2984" s="1"/>
      <c r="H2984" s="1"/>
      <c r="I2984" s="7"/>
      <c r="J2984" s="12"/>
      <c r="K2984" s="13"/>
      <c r="L2984" s="14"/>
      <c r="M2984" s="15"/>
      <c r="N2984" s="15"/>
      <c r="O2984" s="16"/>
      <c r="Q2984" s="16"/>
    </row>
    <row r="2985" spans="1:17" x14ac:dyDescent="0.3">
      <c r="A2985" s="5"/>
      <c r="B2985" s="6"/>
      <c r="C2985" s="7"/>
      <c r="D2985" s="10"/>
      <c r="F2985" s="1"/>
      <c r="G2985" s="1"/>
      <c r="H2985" s="1"/>
      <c r="I2985" s="7"/>
      <c r="J2985" s="12"/>
      <c r="K2985" s="13"/>
      <c r="L2985" s="14"/>
      <c r="M2985" s="15"/>
      <c r="N2985" s="15"/>
      <c r="O2985" s="16"/>
      <c r="Q2985" s="16"/>
    </row>
    <row r="2986" spans="1:17" x14ac:dyDescent="0.3">
      <c r="A2986" s="5"/>
      <c r="B2986" s="6"/>
      <c r="C2986" s="7"/>
      <c r="D2986" s="10"/>
      <c r="F2986" s="1"/>
      <c r="G2986" s="1"/>
      <c r="H2986" s="1"/>
      <c r="I2986" s="7"/>
      <c r="J2986" s="12"/>
      <c r="K2986" s="13"/>
      <c r="L2986" s="14"/>
      <c r="M2986" s="15"/>
      <c r="N2986" s="15"/>
      <c r="O2986" s="16"/>
      <c r="Q2986" s="16"/>
    </row>
    <row r="2987" spans="1:17" x14ac:dyDescent="0.3">
      <c r="A2987" s="5"/>
      <c r="B2987" s="6"/>
      <c r="C2987" s="7"/>
      <c r="D2987" s="10"/>
      <c r="F2987" s="1"/>
      <c r="G2987" s="1"/>
      <c r="H2987" s="1"/>
      <c r="I2987" s="7"/>
      <c r="J2987" s="12"/>
      <c r="K2987" s="13"/>
      <c r="L2987" s="14"/>
      <c r="M2987" s="15"/>
      <c r="N2987" s="15"/>
      <c r="O2987" s="16"/>
      <c r="Q2987" s="16"/>
    </row>
    <row r="2988" spans="1:17" x14ac:dyDescent="0.3">
      <c r="A2988" s="5"/>
      <c r="B2988" s="6"/>
      <c r="C2988" s="7"/>
      <c r="D2988" s="10"/>
      <c r="F2988" s="1"/>
      <c r="G2988" s="1"/>
      <c r="H2988" s="1"/>
      <c r="I2988" s="7"/>
      <c r="J2988" s="12"/>
      <c r="K2988" s="13"/>
      <c r="L2988" s="14"/>
      <c r="M2988" s="15"/>
      <c r="N2988" s="15"/>
      <c r="O2988" s="16"/>
      <c r="Q2988" s="16"/>
    </row>
    <row r="2989" spans="1:17" x14ac:dyDescent="0.3">
      <c r="A2989" s="5"/>
      <c r="B2989" s="6"/>
      <c r="C2989" s="7"/>
      <c r="D2989" s="10"/>
      <c r="F2989" s="1"/>
      <c r="G2989" s="1"/>
      <c r="H2989" s="1"/>
      <c r="I2989" s="7"/>
      <c r="J2989" s="12"/>
      <c r="K2989" s="13"/>
      <c r="L2989" s="14"/>
      <c r="M2989" s="15"/>
      <c r="N2989" s="15"/>
      <c r="O2989" s="16"/>
      <c r="Q2989" s="16"/>
    </row>
    <row r="2990" spans="1:17" x14ac:dyDescent="0.3">
      <c r="A2990" s="5"/>
      <c r="B2990" s="6"/>
      <c r="C2990" s="7"/>
      <c r="D2990" s="10"/>
      <c r="F2990" s="1"/>
      <c r="G2990" s="1"/>
      <c r="H2990" s="1"/>
      <c r="I2990" s="7"/>
      <c r="J2990" s="12"/>
      <c r="K2990" s="13"/>
      <c r="L2990" s="14"/>
      <c r="M2990" s="15"/>
      <c r="N2990" s="15"/>
      <c r="O2990" s="16"/>
      <c r="Q2990" s="16"/>
    </row>
    <row r="2991" spans="1:17" x14ac:dyDescent="0.3">
      <c r="A2991" s="5"/>
      <c r="B2991" s="6"/>
      <c r="C2991" s="7"/>
      <c r="D2991" s="10"/>
      <c r="F2991" s="1"/>
      <c r="G2991" s="1"/>
      <c r="H2991" s="1"/>
      <c r="I2991" s="7"/>
      <c r="J2991" s="12"/>
      <c r="K2991" s="13"/>
      <c r="L2991" s="14"/>
      <c r="M2991" s="15"/>
      <c r="N2991" s="15"/>
      <c r="O2991" s="16"/>
      <c r="Q2991" s="16"/>
    </row>
    <row r="2992" spans="1:17" x14ac:dyDescent="0.3">
      <c r="A2992" s="5"/>
      <c r="B2992" s="6"/>
      <c r="C2992" s="7"/>
      <c r="D2992" s="10"/>
      <c r="F2992" s="1"/>
      <c r="G2992" s="1"/>
      <c r="H2992" s="1"/>
      <c r="I2992" s="7"/>
      <c r="J2992" s="12"/>
      <c r="K2992" s="13"/>
      <c r="L2992" s="14"/>
      <c r="M2992" s="15"/>
      <c r="N2992" s="15"/>
      <c r="O2992" s="16"/>
      <c r="Q2992" s="16"/>
    </row>
    <row r="2993" spans="1:17" x14ac:dyDescent="0.3">
      <c r="A2993" s="5"/>
      <c r="B2993" s="6"/>
      <c r="C2993" s="7"/>
      <c r="D2993" s="10"/>
      <c r="F2993" s="1"/>
      <c r="G2993" s="1"/>
      <c r="H2993" s="1"/>
      <c r="I2993" s="7"/>
      <c r="J2993" s="12"/>
      <c r="K2993" s="13"/>
      <c r="L2993" s="14"/>
      <c r="M2993" s="15"/>
      <c r="N2993" s="15"/>
      <c r="O2993" s="16"/>
      <c r="Q2993" s="16"/>
    </row>
    <row r="2994" spans="1:17" x14ac:dyDescent="0.3">
      <c r="A2994" s="5"/>
      <c r="B2994" s="6"/>
      <c r="C2994" s="7"/>
      <c r="D2994" s="10"/>
      <c r="F2994" s="1"/>
      <c r="G2994" s="1"/>
      <c r="H2994" s="1"/>
      <c r="I2994" s="7"/>
      <c r="J2994" s="12"/>
      <c r="K2994" s="13"/>
      <c r="L2994" s="14"/>
      <c r="M2994" s="15"/>
      <c r="N2994" s="15"/>
      <c r="O2994" s="16"/>
      <c r="Q2994" s="16"/>
    </row>
    <row r="2995" spans="1:17" x14ac:dyDescent="0.3">
      <c r="A2995" s="5"/>
      <c r="B2995" s="6"/>
      <c r="C2995" s="7"/>
      <c r="D2995" s="10"/>
      <c r="F2995" s="1"/>
      <c r="G2995" s="1"/>
      <c r="H2995" s="1"/>
      <c r="I2995" s="7"/>
      <c r="J2995" s="12"/>
      <c r="K2995" s="13"/>
      <c r="L2995" s="14"/>
      <c r="M2995" s="15"/>
      <c r="N2995" s="15"/>
      <c r="O2995" s="16"/>
      <c r="Q2995" s="16"/>
    </row>
    <row r="2996" spans="1:17" x14ac:dyDescent="0.3">
      <c r="A2996" s="5"/>
      <c r="B2996" s="6"/>
      <c r="C2996" s="7"/>
      <c r="D2996" s="10"/>
      <c r="F2996" s="1"/>
      <c r="G2996" s="1"/>
      <c r="H2996" s="1"/>
      <c r="I2996" s="7"/>
      <c r="J2996" s="12"/>
      <c r="K2996" s="13"/>
      <c r="L2996" s="14"/>
      <c r="M2996" s="15"/>
      <c r="N2996" s="15"/>
      <c r="O2996" s="16"/>
      <c r="Q2996" s="16"/>
    </row>
    <row r="2997" spans="1:17" x14ac:dyDescent="0.3">
      <c r="A2997" s="5"/>
      <c r="B2997" s="6"/>
      <c r="C2997" s="7"/>
      <c r="D2997" s="10"/>
      <c r="F2997" s="1"/>
      <c r="G2997" s="1"/>
      <c r="H2997" s="1"/>
      <c r="I2997" s="7"/>
      <c r="J2997" s="12"/>
      <c r="K2997" s="13"/>
      <c r="L2997" s="14"/>
      <c r="M2997" s="15"/>
      <c r="N2997" s="15"/>
      <c r="O2997" s="16"/>
      <c r="Q2997" s="16"/>
    </row>
    <row r="2998" spans="1:17" x14ac:dyDescent="0.3">
      <c r="A2998" s="5"/>
      <c r="B2998" s="6"/>
      <c r="C2998" s="7"/>
      <c r="D2998" s="10"/>
      <c r="F2998" s="1"/>
      <c r="G2998" s="1"/>
      <c r="H2998" s="1"/>
      <c r="I2998" s="7"/>
      <c r="J2998" s="12"/>
      <c r="K2998" s="13"/>
      <c r="L2998" s="14"/>
      <c r="M2998" s="15"/>
      <c r="N2998" s="15"/>
      <c r="O2998" s="16"/>
      <c r="Q2998" s="16"/>
    </row>
    <row r="2999" spans="1:17" x14ac:dyDescent="0.3">
      <c r="A2999" s="5"/>
      <c r="B2999" s="6"/>
      <c r="C2999" s="7"/>
      <c r="D2999" s="10"/>
      <c r="F2999" s="1"/>
      <c r="G2999" s="1"/>
      <c r="H2999" s="1"/>
      <c r="I2999" s="7"/>
      <c r="J2999" s="12"/>
      <c r="K2999" s="13"/>
      <c r="L2999" s="14"/>
      <c r="M2999" s="15"/>
      <c r="N2999" s="15"/>
      <c r="O2999" s="16"/>
      <c r="Q2999" s="16"/>
    </row>
    <row r="3000" spans="1:17" x14ac:dyDescent="0.3">
      <c r="A3000" s="5"/>
      <c r="B3000" s="6"/>
      <c r="C3000" s="7"/>
      <c r="D3000" s="10"/>
      <c r="F3000" s="1"/>
      <c r="G3000" s="1"/>
      <c r="H3000" s="1"/>
      <c r="I3000" s="7"/>
      <c r="J3000" s="12"/>
      <c r="K3000" s="13"/>
      <c r="L3000" s="14"/>
      <c r="M3000" s="15"/>
      <c r="N3000" s="15"/>
      <c r="O3000" s="16"/>
      <c r="Q3000" s="16"/>
    </row>
    <row r="3001" spans="1:17" x14ac:dyDescent="0.3">
      <c r="A3001" s="5"/>
      <c r="B3001" s="6"/>
      <c r="C3001" s="7"/>
      <c r="D3001" s="10"/>
      <c r="F3001" s="1"/>
      <c r="G3001" s="1"/>
      <c r="H3001" s="1"/>
      <c r="I3001" s="7"/>
      <c r="J3001" s="12"/>
      <c r="K3001" s="13"/>
      <c r="L3001" s="14"/>
      <c r="M3001" s="15"/>
      <c r="N3001" s="15"/>
      <c r="O3001" s="16"/>
      <c r="Q3001" s="16"/>
    </row>
    <row r="3002" spans="1:17" x14ac:dyDescent="0.3">
      <c r="A3002" s="5"/>
      <c r="B3002" s="6"/>
      <c r="C3002" s="7"/>
      <c r="D3002" s="10"/>
      <c r="F3002" s="1"/>
      <c r="G3002" s="1"/>
      <c r="H3002" s="1"/>
      <c r="I3002" s="7"/>
      <c r="J3002" s="12"/>
      <c r="K3002" s="13"/>
      <c r="L3002" s="14"/>
      <c r="M3002" s="15"/>
      <c r="N3002" s="15"/>
      <c r="O3002" s="16"/>
      <c r="Q3002" s="16"/>
    </row>
    <row r="3003" spans="1:17" x14ac:dyDescent="0.3">
      <c r="A3003" s="5"/>
      <c r="B3003" s="6"/>
      <c r="C3003" s="7"/>
      <c r="D3003" s="10"/>
      <c r="F3003" s="1"/>
      <c r="G3003" s="1"/>
      <c r="H3003" s="1"/>
      <c r="I3003" s="7"/>
      <c r="J3003" s="12"/>
      <c r="K3003" s="13"/>
      <c r="L3003" s="14"/>
      <c r="M3003" s="15"/>
      <c r="N3003" s="15"/>
      <c r="O3003" s="16"/>
      <c r="Q3003" s="16"/>
    </row>
    <row r="3004" spans="1:17" x14ac:dyDescent="0.3">
      <c r="A3004" s="5"/>
      <c r="B3004" s="6"/>
      <c r="C3004" s="7"/>
      <c r="D3004" s="10"/>
      <c r="F3004" s="1"/>
      <c r="G3004" s="1"/>
      <c r="H3004" s="1"/>
      <c r="I3004" s="7"/>
      <c r="J3004" s="12"/>
      <c r="K3004" s="13"/>
      <c r="L3004" s="14"/>
      <c r="M3004" s="15"/>
      <c r="N3004" s="15"/>
      <c r="O3004" s="16"/>
      <c r="Q3004" s="16"/>
    </row>
    <row r="3005" spans="1:17" x14ac:dyDescent="0.3">
      <c r="A3005" s="5"/>
      <c r="B3005" s="6"/>
      <c r="C3005" s="7"/>
      <c r="D3005" s="10"/>
      <c r="F3005" s="1"/>
      <c r="G3005" s="1"/>
      <c r="H3005" s="1"/>
      <c r="I3005" s="7"/>
      <c r="J3005" s="12"/>
      <c r="K3005" s="13"/>
      <c r="L3005" s="14"/>
      <c r="M3005" s="15"/>
      <c r="N3005" s="15"/>
      <c r="O3005" s="16"/>
      <c r="Q3005" s="16"/>
    </row>
    <row r="3006" spans="1:17" x14ac:dyDescent="0.3">
      <c r="A3006" s="5"/>
      <c r="B3006" s="6"/>
      <c r="C3006" s="7"/>
      <c r="D3006" s="10"/>
      <c r="F3006" s="1"/>
      <c r="G3006" s="1"/>
      <c r="H3006" s="1"/>
      <c r="I3006" s="7"/>
      <c r="J3006" s="12"/>
      <c r="K3006" s="13"/>
      <c r="L3006" s="14"/>
      <c r="M3006" s="15"/>
      <c r="N3006" s="15"/>
      <c r="O3006" s="16"/>
      <c r="Q3006" s="16"/>
    </row>
    <row r="3007" spans="1:17" x14ac:dyDescent="0.3">
      <c r="A3007" s="5"/>
      <c r="B3007" s="6"/>
      <c r="C3007" s="7"/>
      <c r="D3007" s="10"/>
      <c r="F3007" s="1"/>
      <c r="G3007" s="1"/>
      <c r="H3007" s="1"/>
      <c r="I3007" s="7"/>
      <c r="J3007" s="12"/>
      <c r="K3007" s="13"/>
      <c r="L3007" s="14"/>
      <c r="M3007" s="15"/>
      <c r="N3007" s="15"/>
      <c r="O3007" s="16"/>
      <c r="Q3007" s="16"/>
    </row>
    <row r="3008" spans="1:17" x14ac:dyDescent="0.3">
      <c r="A3008" s="5"/>
      <c r="B3008" s="6"/>
      <c r="C3008" s="7"/>
      <c r="D3008" s="10"/>
      <c r="F3008" s="1"/>
      <c r="G3008" s="1"/>
      <c r="H3008" s="1"/>
      <c r="I3008" s="7"/>
      <c r="J3008" s="12"/>
      <c r="K3008" s="13"/>
      <c r="L3008" s="14"/>
      <c r="M3008" s="15"/>
      <c r="N3008" s="15"/>
      <c r="O3008" s="16"/>
      <c r="Q3008" s="16"/>
    </row>
    <row r="3009" spans="1:17" x14ac:dyDescent="0.3">
      <c r="A3009" s="5"/>
      <c r="B3009" s="6"/>
      <c r="C3009" s="7"/>
      <c r="D3009" s="10"/>
      <c r="F3009" s="1"/>
      <c r="G3009" s="1"/>
      <c r="H3009" s="1"/>
      <c r="I3009" s="7"/>
      <c r="J3009" s="12"/>
      <c r="K3009" s="13"/>
      <c r="L3009" s="14"/>
      <c r="M3009" s="15"/>
      <c r="N3009" s="15"/>
      <c r="O3009" s="16"/>
      <c r="Q3009" s="16"/>
    </row>
    <row r="3010" spans="1:17" x14ac:dyDescent="0.3">
      <c r="A3010" s="5"/>
      <c r="B3010" s="6"/>
      <c r="C3010" s="7"/>
      <c r="D3010" s="10"/>
      <c r="F3010" s="1"/>
      <c r="G3010" s="1"/>
      <c r="H3010" s="1"/>
      <c r="I3010" s="7"/>
      <c r="J3010" s="12"/>
      <c r="K3010" s="13"/>
      <c r="L3010" s="14"/>
      <c r="M3010" s="15"/>
      <c r="N3010" s="15"/>
      <c r="O3010" s="16"/>
      <c r="Q3010" s="16"/>
    </row>
    <row r="3011" spans="1:17" x14ac:dyDescent="0.3">
      <c r="A3011" s="5"/>
      <c r="B3011" s="6"/>
      <c r="C3011" s="7"/>
      <c r="D3011" s="10"/>
      <c r="F3011" s="1"/>
      <c r="G3011" s="1"/>
      <c r="H3011" s="1"/>
      <c r="I3011" s="7"/>
      <c r="J3011" s="12"/>
      <c r="K3011" s="13"/>
      <c r="L3011" s="14"/>
      <c r="M3011" s="15"/>
      <c r="N3011" s="15"/>
      <c r="O3011" s="16"/>
      <c r="Q3011" s="16"/>
    </row>
    <row r="3012" spans="1:17" x14ac:dyDescent="0.3">
      <c r="A3012" s="5"/>
      <c r="B3012" s="6"/>
      <c r="C3012" s="7"/>
      <c r="D3012" s="10"/>
      <c r="F3012" s="1"/>
      <c r="G3012" s="1"/>
      <c r="H3012" s="1"/>
      <c r="I3012" s="7"/>
      <c r="J3012" s="12"/>
      <c r="K3012" s="13"/>
      <c r="L3012" s="14"/>
      <c r="M3012" s="15"/>
      <c r="N3012" s="15"/>
      <c r="O3012" s="16"/>
      <c r="Q3012" s="16"/>
    </row>
    <row r="3013" spans="1:17" x14ac:dyDescent="0.3">
      <c r="A3013" s="5"/>
      <c r="B3013" s="6"/>
      <c r="C3013" s="7"/>
      <c r="D3013" s="10"/>
      <c r="F3013" s="1"/>
      <c r="G3013" s="1"/>
      <c r="H3013" s="1"/>
      <c r="I3013" s="7"/>
      <c r="J3013" s="12"/>
      <c r="K3013" s="13"/>
      <c r="L3013" s="14"/>
      <c r="M3013" s="15"/>
      <c r="N3013" s="15"/>
      <c r="O3013" s="16"/>
      <c r="Q3013" s="16"/>
    </row>
    <row r="3014" spans="1:17" x14ac:dyDescent="0.3">
      <c r="A3014" s="5"/>
      <c r="B3014" s="6"/>
      <c r="C3014" s="7"/>
      <c r="D3014" s="10"/>
      <c r="F3014" s="1"/>
      <c r="G3014" s="1"/>
      <c r="H3014" s="1"/>
      <c r="I3014" s="7"/>
      <c r="J3014" s="12"/>
      <c r="K3014" s="13"/>
      <c r="L3014" s="14"/>
      <c r="M3014" s="15"/>
      <c r="N3014" s="15"/>
      <c r="O3014" s="16"/>
      <c r="Q3014" s="16"/>
    </row>
    <row r="3015" spans="1:17" x14ac:dyDescent="0.3">
      <c r="A3015" s="5"/>
      <c r="B3015" s="6"/>
      <c r="C3015" s="7"/>
      <c r="D3015" s="10"/>
      <c r="F3015" s="1"/>
      <c r="G3015" s="1"/>
      <c r="H3015" s="1"/>
      <c r="I3015" s="7"/>
      <c r="J3015" s="12"/>
      <c r="K3015" s="13"/>
      <c r="L3015" s="14"/>
      <c r="M3015" s="15"/>
      <c r="N3015" s="15"/>
      <c r="O3015" s="16"/>
      <c r="Q3015" s="16"/>
    </row>
    <row r="3016" spans="1:17" x14ac:dyDescent="0.3">
      <c r="A3016" s="5"/>
      <c r="B3016" s="6"/>
      <c r="C3016" s="7"/>
      <c r="D3016" s="10"/>
      <c r="F3016" s="1"/>
      <c r="G3016" s="1"/>
      <c r="H3016" s="1"/>
      <c r="I3016" s="7"/>
      <c r="J3016" s="12"/>
      <c r="K3016" s="13"/>
      <c r="L3016" s="14"/>
      <c r="M3016" s="15"/>
      <c r="N3016" s="15"/>
      <c r="O3016" s="16"/>
      <c r="Q3016" s="16"/>
    </row>
    <row r="3017" spans="1:17" x14ac:dyDescent="0.3">
      <c r="A3017" s="5"/>
      <c r="B3017" s="6"/>
      <c r="C3017" s="7"/>
      <c r="D3017" s="10"/>
      <c r="F3017" s="1"/>
      <c r="G3017" s="1"/>
      <c r="H3017" s="1"/>
      <c r="I3017" s="7"/>
      <c r="J3017" s="12"/>
      <c r="K3017" s="13"/>
      <c r="L3017" s="14"/>
      <c r="M3017" s="15"/>
      <c r="N3017" s="15"/>
      <c r="O3017" s="16"/>
      <c r="Q3017" s="16"/>
    </row>
    <row r="3018" spans="1:17" x14ac:dyDescent="0.3">
      <c r="A3018" s="5"/>
      <c r="B3018" s="6"/>
      <c r="C3018" s="7"/>
      <c r="D3018" s="10"/>
      <c r="F3018" s="1"/>
      <c r="G3018" s="1"/>
      <c r="H3018" s="1"/>
      <c r="I3018" s="7"/>
      <c r="J3018" s="12"/>
      <c r="K3018" s="13"/>
      <c r="L3018" s="14"/>
      <c r="M3018" s="15"/>
      <c r="N3018" s="15"/>
      <c r="O3018" s="16"/>
      <c r="Q3018" s="16"/>
    </row>
    <row r="3019" spans="1:17" x14ac:dyDescent="0.3">
      <c r="A3019" s="5"/>
      <c r="B3019" s="6"/>
      <c r="C3019" s="7"/>
      <c r="D3019" s="10"/>
      <c r="F3019" s="1"/>
      <c r="G3019" s="1"/>
      <c r="H3019" s="1"/>
      <c r="I3019" s="7"/>
      <c r="J3019" s="12"/>
      <c r="K3019" s="13"/>
      <c r="L3019" s="14"/>
      <c r="M3019" s="15"/>
      <c r="N3019" s="15"/>
      <c r="O3019" s="16"/>
      <c r="Q3019" s="16"/>
    </row>
    <row r="3020" spans="1:17" x14ac:dyDescent="0.3">
      <c r="A3020" s="5"/>
      <c r="B3020" s="6"/>
      <c r="C3020" s="7"/>
      <c r="D3020" s="10"/>
      <c r="F3020" s="1"/>
      <c r="G3020" s="1"/>
      <c r="H3020" s="1"/>
      <c r="I3020" s="7"/>
      <c r="J3020" s="12"/>
      <c r="K3020" s="13"/>
      <c r="L3020" s="14"/>
      <c r="M3020" s="15"/>
      <c r="N3020" s="15"/>
      <c r="O3020" s="16"/>
      <c r="Q3020" s="16"/>
    </row>
    <row r="3021" spans="1:17" x14ac:dyDescent="0.3">
      <c r="A3021" s="5"/>
      <c r="B3021" s="6"/>
      <c r="C3021" s="7"/>
      <c r="D3021" s="10"/>
      <c r="F3021" s="1"/>
      <c r="G3021" s="1"/>
      <c r="H3021" s="1"/>
      <c r="I3021" s="7"/>
      <c r="J3021" s="12"/>
      <c r="K3021" s="13"/>
      <c r="L3021" s="14"/>
      <c r="M3021" s="15"/>
      <c r="N3021" s="15"/>
      <c r="O3021" s="16"/>
      <c r="Q3021" s="16"/>
    </row>
    <row r="3022" spans="1:17" x14ac:dyDescent="0.3">
      <c r="A3022" s="5"/>
      <c r="B3022" s="6"/>
      <c r="C3022" s="7"/>
      <c r="D3022" s="10"/>
      <c r="F3022" s="1"/>
      <c r="G3022" s="1"/>
      <c r="H3022" s="1"/>
      <c r="I3022" s="7"/>
      <c r="J3022" s="12"/>
      <c r="K3022" s="13"/>
      <c r="L3022" s="14"/>
      <c r="M3022" s="15"/>
      <c r="N3022" s="15"/>
      <c r="O3022" s="16"/>
      <c r="Q3022" s="16"/>
    </row>
    <row r="3023" spans="1:17" x14ac:dyDescent="0.3">
      <c r="A3023" s="5"/>
      <c r="B3023" s="6"/>
      <c r="C3023" s="7"/>
      <c r="D3023" s="10"/>
      <c r="F3023" s="1"/>
      <c r="G3023" s="1"/>
      <c r="H3023" s="1"/>
      <c r="I3023" s="7"/>
      <c r="J3023" s="12"/>
      <c r="K3023" s="13"/>
      <c r="L3023" s="14"/>
      <c r="M3023" s="15"/>
      <c r="N3023" s="15"/>
      <c r="O3023" s="16"/>
      <c r="Q3023" s="16"/>
    </row>
    <row r="3024" spans="1:17" x14ac:dyDescent="0.3">
      <c r="A3024" s="5"/>
      <c r="B3024" s="6"/>
      <c r="C3024" s="7"/>
      <c r="D3024" s="10"/>
      <c r="F3024" s="1"/>
      <c r="G3024" s="1"/>
      <c r="H3024" s="1"/>
      <c r="I3024" s="7"/>
      <c r="J3024" s="12"/>
      <c r="K3024" s="13"/>
      <c r="L3024" s="14"/>
      <c r="M3024" s="15"/>
      <c r="N3024" s="15"/>
      <c r="O3024" s="16"/>
      <c r="Q3024" s="16"/>
    </row>
    <row r="3025" spans="1:17" x14ac:dyDescent="0.3">
      <c r="A3025" s="5"/>
      <c r="B3025" s="6"/>
      <c r="C3025" s="7"/>
      <c r="D3025" s="10"/>
      <c r="F3025" s="1"/>
      <c r="G3025" s="1"/>
      <c r="H3025" s="1"/>
      <c r="I3025" s="7"/>
      <c r="J3025" s="12"/>
      <c r="K3025" s="13"/>
      <c r="L3025" s="14"/>
      <c r="M3025" s="15"/>
      <c r="N3025" s="15"/>
      <c r="O3025" s="16"/>
      <c r="Q3025" s="16"/>
    </row>
    <row r="3026" spans="1:17" x14ac:dyDescent="0.3">
      <c r="A3026" s="5"/>
      <c r="B3026" s="6"/>
      <c r="C3026" s="7"/>
      <c r="D3026" s="10"/>
      <c r="F3026" s="1"/>
      <c r="G3026" s="1"/>
      <c r="H3026" s="1"/>
      <c r="I3026" s="7"/>
      <c r="J3026" s="12"/>
      <c r="K3026" s="13"/>
      <c r="L3026" s="14"/>
      <c r="M3026" s="15"/>
      <c r="N3026" s="15"/>
      <c r="O3026" s="16"/>
      <c r="Q3026" s="16"/>
    </row>
    <row r="3027" spans="1:17" x14ac:dyDescent="0.3">
      <c r="A3027" s="5"/>
      <c r="B3027" s="6"/>
      <c r="C3027" s="7"/>
      <c r="D3027" s="10"/>
      <c r="F3027" s="1"/>
      <c r="G3027" s="1"/>
      <c r="H3027" s="1"/>
      <c r="I3027" s="7"/>
      <c r="J3027" s="12"/>
      <c r="K3027" s="13"/>
      <c r="L3027" s="14"/>
      <c r="M3027" s="15"/>
      <c r="N3027" s="15"/>
      <c r="O3027" s="16"/>
      <c r="Q3027" s="16"/>
    </row>
    <row r="3028" spans="1:17" x14ac:dyDescent="0.3">
      <c r="A3028" s="5"/>
      <c r="B3028" s="6"/>
      <c r="C3028" s="7"/>
      <c r="D3028" s="10"/>
      <c r="F3028" s="1"/>
      <c r="G3028" s="1"/>
      <c r="H3028" s="1"/>
      <c r="I3028" s="7"/>
      <c r="J3028" s="12"/>
      <c r="K3028" s="13"/>
      <c r="L3028" s="14"/>
      <c r="M3028" s="15"/>
      <c r="N3028" s="15"/>
      <c r="O3028" s="16"/>
      <c r="Q3028" s="16"/>
    </row>
    <row r="3029" spans="1:17" x14ac:dyDescent="0.3">
      <c r="A3029" s="5"/>
      <c r="B3029" s="6"/>
      <c r="C3029" s="7"/>
      <c r="D3029" s="10"/>
      <c r="F3029" s="1"/>
      <c r="G3029" s="1"/>
      <c r="H3029" s="1"/>
      <c r="I3029" s="7"/>
      <c r="J3029" s="12"/>
      <c r="K3029" s="13"/>
      <c r="L3029" s="14"/>
      <c r="M3029" s="15"/>
      <c r="N3029" s="15"/>
      <c r="O3029" s="16"/>
      <c r="Q3029" s="16"/>
    </row>
    <row r="3030" spans="1:17" x14ac:dyDescent="0.3">
      <c r="A3030" s="5"/>
      <c r="B3030" s="6"/>
      <c r="C3030" s="7"/>
      <c r="D3030" s="10"/>
      <c r="F3030" s="1"/>
      <c r="G3030" s="1"/>
      <c r="H3030" s="1"/>
      <c r="I3030" s="7"/>
      <c r="J3030" s="12"/>
      <c r="K3030" s="13"/>
      <c r="L3030" s="14"/>
      <c r="M3030" s="15"/>
      <c r="N3030" s="15"/>
      <c r="O3030" s="16"/>
      <c r="Q3030" s="16"/>
    </row>
    <row r="3031" spans="1:17" x14ac:dyDescent="0.3">
      <c r="A3031" s="5"/>
      <c r="B3031" s="6"/>
      <c r="C3031" s="7"/>
      <c r="D3031" s="10"/>
      <c r="F3031" s="1"/>
      <c r="G3031" s="1"/>
      <c r="H3031" s="1"/>
      <c r="I3031" s="7"/>
      <c r="J3031" s="12"/>
      <c r="K3031" s="13"/>
      <c r="L3031" s="14"/>
      <c r="M3031" s="15"/>
      <c r="N3031" s="15"/>
      <c r="O3031" s="16"/>
      <c r="Q3031" s="16"/>
    </row>
    <row r="3032" spans="1:17" x14ac:dyDescent="0.3">
      <c r="A3032" s="5"/>
      <c r="B3032" s="6"/>
      <c r="C3032" s="7"/>
      <c r="D3032" s="10"/>
      <c r="F3032" s="1"/>
      <c r="G3032" s="1"/>
      <c r="H3032" s="1"/>
      <c r="I3032" s="7"/>
      <c r="J3032" s="12"/>
      <c r="K3032" s="13"/>
      <c r="L3032" s="14"/>
      <c r="M3032" s="15"/>
      <c r="N3032" s="15"/>
      <c r="O3032" s="16"/>
      <c r="Q3032" s="16"/>
    </row>
    <row r="3033" spans="1:17" x14ac:dyDescent="0.3">
      <c r="A3033" s="5"/>
      <c r="B3033" s="6"/>
      <c r="C3033" s="7"/>
      <c r="D3033" s="10"/>
      <c r="F3033" s="1"/>
      <c r="G3033" s="1"/>
      <c r="H3033" s="1"/>
      <c r="I3033" s="7"/>
      <c r="J3033" s="12"/>
      <c r="K3033" s="13"/>
      <c r="L3033" s="14"/>
      <c r="M3033" s="15"/>
      <c r="N3033" s="15"/>
      <c r="O3033" s="16"/>
      <c r="Q3033" s="16"/>
    </row>
    <row r="3034" spans="1:17" x14ac:dyDescent="0.3">
      <c r="A3034" s="5"/>
      <c r="B3034" s="6"/>
      <c r="C3034" s="7"/>
      <c r="D3034" s="10"/>
      <c r="F3034" s="1"/>
      <c r="G3034" s="1"/>
      <c r="H3034" s="1"/>
      <c r="I3034" s="7"/>
      <c r="J3034" s="12"/>
      <c r="K3034" s="13"/>
      <c r="L3034" s="14"/>
      <c r="M3034" s="15"/>
      <c r="N3034" s="15"/>
      <c r="O3034" s="16"/>
      <c r="Q3034" s="16"/>
    </row>
    <row r="3035" spans="1:17" x14ac:dyDescent="0.3">
      <c r="A3035" s="5"/>
      <c r="B3035" s="6"/>
      <c r="C3035" s="7"/>
      <c r="D3035" s="10"/>
      <c r="F3035" s="1"/>
      <c r="G3035" s="1"/>
      <c r="H3035" s="1"/>
      <c r="I3035" s="7"/>
      <c r="J3035" s="12"/>
      <c r="K3035" s="13"/>
      <c r="L3035" s="14"/>
      <c r="M3035" s="15"/>
      <c r="N3035" s="15"/>
      <c r="O3035" s="16"/>
      <c r="Q3035" s="16"/>
    </row>
    <row r="3036" spans="1:17" x14ac:dyDescent="0.3">
      <c r="A3036" s="5"/>
      <c r="B3036" s="6"/>
      <c r="C3036" s="7"/>
      <c r="D3036" s="10"/>
      <c r="F3036" s="1"/>
      <c r="G3036" s="1"/>
      <c r="H3036" s="1"/>
      <c r="I3036" s="7"/>
      <c r="J3036" s="12"/>
      <c r="K3036" s="13"/>
      <c r="L3036" s="14"/>
      <c r="M3036" s="15"/>
      <c r="N3036" s="15"/>
      <c r="O3036" s="16"/>
      <c r="Q3036" s="16"/>
    </row>
    <row r="3037" spans="1:17" x14ac:dyDescent="0.3">
      <c r="A3037" s="5"/>
      <c r="B3037" s="6"/>
      <c r="C3037" s="7"/>
      <c r="D3037" s="10"/>
      <c r="F3037" s="1"/>
      <c r="G3037" s="1"/>
      <c r="H3037" s="1"/>
      <c r="I3037" s="7"/>
      <c r="J3037" s="12"/>
      <c r="K3037" s="13"/>
      <c r="L3037" s="14"/>
      <c r="M3037" s="15"/>
      <c r="N3037" s="15"/>
      <c r="O3037" s="16"/>
      <c r="Q3037" s="16"/>
    </row>
    <row r="3038" spans="1:17" x14ac:dyDescent="0.3">
      <c r="A3038" s="5"/>
      <c r="B3038" s="6"/>
      <c r="C3038" s="7"/>
      <c r="D3038" s="10"/>
      <c r="F3038" s="1"/>
      <c r="G3038" s="1"/>
      <c r="H3038" s="1"/>
      <c r="I3038" s="7"/>
      <c r="J3038" s="12"/>
      <c r="K3038" s="13"/>
      <c r="L3038" s="14"/>
      <c r="M3038" s="15"/>
      <c r="N3038" s="15"/>
      <c r="O3038" s="16"/>
      <c r="Q3038" s="16"/>
    </row>
    <row r="3039" spans="1:17" x14ac:dyDescent="0.3">
      <c r="A3039" s="5"/>
      <c r="B3039" s="6"/>
      <c r="C3039" s="7"/>
      <c r="D3039" s="10"/>
      <c r="F3039" s="1"/>
      <c r="G3039" s="1"/>
      <c r="H3039" s="1"/>
      <c r="I3039" s="7"/>
      <c r="J3039" s="12"/>
      <c r="K3039" s="13"/>
      <c r="L3039" s="14"/>
      <c r="M3039" s="15"/>
      <c r="N3039" s="15"/>
      <c r="O3039" s="16"/>
      <c r="Q3039" s="16"/>
    </row>
    <row r="3040" spans="1:17" x14ac:dyDescent="0.3">
      <c r="A3040" s="5"/>
      <c r="B3040" s="6"/>
      <c r="C3040" s="7"/>
      <c r="D3040" s="10"/>
      <c r="F3040" s="1"/>
      <c r="G3040" s="1"/>
      <c r="H3040" s="1"/>
      <c r="I3040" s="7"/>
      <c r="J3040" s="12"/>
      <c r="K3040" s="13"/>
      <c r="L3040" s="14"/>
      <c r="M3040" s="15"/>
      <c r="N3040" s="15"/>
      <c r="O3040" s="16"/>
      <c r="Q3040" s="16"/>
    </row>
    <row r="3041" spans="1:17" x14ac:dyDescent="0.3">
      <c r="A3041" s="5"/>
      <c r="B3041" s="6"/>
      <c r="C3041" s="7"/>
      <c r="D3041" s="10"/>
      <c r="F3041" s="1"/>
      <c r="G3041" s="1"/>
      <c r="H3041" s="1"/>
      <c r="I3041" s="7"/>
      <c r="J3041" s="12"/>
      <c r="K3041" s="13"/>
      <c r="L3041" s="14"/>
      <c r="M3041" s="15"/>
      <c r="N3041" s="15"/>
      <c r="O3041" s="16"/>
      <c r="Q3041" s="16"/>
    </row>
    <row r="3042" spans="1:17" x14ac:dyDescent="0.3">
      <c r="A3042" s="5"/>
      <c r="B3042" s="6"/>
      <c r="C3042" s="7"/>
      <c r="D3042" s="10"/>
      <c r="F3042" s="1"/>
      <c r="G3042" s="1"/>
      <c r="H3042" s="1"/>
      <c r="I3042" s="7"/>
      <c r="J3042" s="12"/>
      <c r="K3042" s="13"/>
      <c r="L3042" s="14"/>
      <c r="M3042" s="15"/>
      <c r="N3042" s="15"/>
      <c r="O3042" s="16"/>
      <c r="Q3042" s="16"/>
    </row>
    <row r="3043" spans="1:17" x14ac:dyDescent="0.3">
      <c r="A3043" s="5"/>
      <c r="B3043" s="6"/>
      <c r="C3043" s="7"/>
      <c r="D3043" s="10"/>
      <c r="F3043" s="1"/>
      <c r="G3043" s="1"/>
      <c r="H3043" s="1"/>
      <c r="I3043" s="7"/>
      <c r="J3043" s="12"/>
      <c r="K3043" s="13"/>
      <c r="L3043" s="14"/>
      <c r="M3043" s="15"/>
      <c r="N3043" s="15"/>
      <c r="O3043" s="16"/>
      <c r="Q3043" s="16"/>
    </row>
    <row r="3044" spans="1:17" x14ac:dyDescent="0.3">
      <c r="A3044" s="5"/>
      <c r="B3044" s="6"/>
      <c r="C3044" s="7"/>
      <c r="D3044" s="10"/>
      <c r="F3044" s="1"/>
      <c r="G3044" s="1"/>
      <c r="H3044" s="1"/>
      <c r="I3044" s="7"/>
      <c r="J3044" s="12"/>
      <c r="K3044" s="13"/>
      <c r="L3044" s="14"/>
      <c r="M3044" s="15"/>
      <c r="N3044" s="15"/>
      <c r="O3044" s="16"/>
      <c r="Q3044" s="16"/>
    </row>
    <row r="3045" spans="1:17" x14ac:dyDescent="0.3">
      <c r="A3045" s="5"/>
      <c r="B3045" s="6"/>
      <c r="C3045" s="7"/>
      <c r="D3045" s="10"/>
      <c r="F3045" s="1"/>
      <c r="G3045" s="1"/>
      <c r="H3045" s="1"/>
      <c r="I3045" s="7"/>
      <c r="J3045" s="12"/>
      <c r="K3045" s="13"/>
      <c r="L3045" s="14"/>
      <c r="M3045" s="15"/>
      <c r="N3045" s="15"/>
      <c r="O3045" s="16"/>
      <c r="Q3045" s="16"/>
    </row>
    <row r="3046" spans="1:17" x14ac:dyDescent="0.3">
      <c r="A3046" s="5"/>
      <c r="B3046" s="6"/>
      <c r="C3046" s="7"/>
      <c r="D3046" s="10"/>
      <c r="F3046" s="1"/>
      <c r="G3046" s="1"/>
      <c r="H3046" s="1"/>
      <c r="I3046" s="7"/>
      <c r="J3046" s="12"/>
      <c r="K3046" s="13"/>
      <c r="L3046" s="14"/>
      <c r="M3046" s="15"/>
      <c r="N3046" s="15"/>
      <c r="O3046" s="16"/>
      <c r="Q3046" s="16"/>
    </row>
    <row r="3047" spans="1:17" x14ac:dyDescent="0.3">
      <c r="A3047" s="5"/>
      <c r="B3047" s="6"/>
      <c r="C3047" s="7"/>
      <c r="D3047" s="10"/>
      <c r="F3047" s="1"/>
      <c r="G3047" s="1"/>
      <c r="H3047" s="1"/>
      <c r="I3047" s="7"/>
      <c r="J3047" s="12"/>
      <c r="K3047" s="13"/>
      <c r="L3047" s="14"/>
      <c r="M3047" s="15"/>
      <c r="N3047" s="15"/>
      <c r="O3047" s="16"/>
      <c r="Q3047" s="16"/>
    </row>
    <row r="3048" spans="1:17" x14ac:dyDescent="0.3">
      <c r="A3048" s="5"/>
      <c r="B3048" s="6"/>
      <c r="C3048" s="7"/>
      <c r="D3048" s="10"/>
      <c r="F3048" s="1"/>
      <c r="G3048" s="1"/>
      <c r="H3048" s="1"/>
      <c r="I3048" s="7"/>
      <c r="J3048" s="12"/>
      <c r="K3048" s="13"/>
      <c r="L3048" s="14"/>
      <c r="M3048" s="15"/>
      <c r="N3048" s="15"/>
      <c r="O3048" s="16"/>
      <c r="Q3048" s="16"/>
    </row>
    <row r="3049" spans="1:17" x14ac:dyDescent="0.3">
      <c r="A3049" s="5"/>
      <c r="B3049" s="6"/>
      <c r="C3049" s="7"/>
      <c r="D3049" s="10"/>
      <c r="F3049" s="1"/>
      <c r="G3049" s="1"/>
      <c r="H3049" s="1"/>
      <c r="I3049" s="7"/>
      <c r="J3049" s="12"/>
      <c r="K3049" s="13"/>
      <c r="L3049" s="14"/>
      <c r="M3049" s="15"/>
      <c r="N3049" s="15"/>
      <c r="O3049" s="16"/>
      <c r="Q3049" s="16"/>
    </row>
    <row r="3050" spans="1:17" x14ac:dyDescent="0.3">
      <c r="A3050" s="5"/>
      <c r="B3050" s="6"/>
      <c r="C3050" s="7"/>
      <c r="D3050" s="10"/>
      <c r="F3050" s="1"/>
      <c r="G3050" s="1"/>
      <c r="H3050" s="1"/>
      <c r="I3050" s="7"/>
      <c r="J3050" s="12"/>
      <c r="K3050" s="13"/>
      <c r="L3050" s="14"/>
      <c r="M3050" s="15"/>
      <c r="N3050" s="15"/>
      <c r="O3050" s="16"/>
      <c r="Q3050" s="16"/>
    </row>
    <row r="3051" spans="1:17" x14ac:dyDescent="0.3">
      <c r="A3051" s="5"/>
      <c r="B3051" s="6"/>
      <c r="C3051" s="7"/>
      <c r="D3051" s="10"/>
      <c r="F3051" s="1"/>
      <c r="G3051" s="1"/>
      <c r="H3051" s="1"/>
      <c r="I3051" s="7"/>
      <c r="J3051" s="12"/>
      <c r="K3051" s="13"/>
      <c r="L3051" s="14"/>
      <c r="M3051" s="15"/>
      <c r="N3051" s="15"/>
      <c r="O3051" s="16"/>
      <c r="Q3051" s="16"/>
    </row>
    <row r="3052" spans="1:17" x14ac:dyDescent="0.3">
      <c r="A3052" s="5"/>
      <c r="B3052" s="6"/>
      <c r="C3052" s="7"/>
      <c r="D3052" s="10"/>
      <c r="F3052" s="1"/>
      <c r="G3052" s="1"/>
      <c r="H3052" s="1"/>
      <c r="I3052" s="7"/>
      <c r="J3052" s="12"/>
      <c r="K3052" s="13"/>
      <c r="L3052" s="14"/>
      <c r="M3052" s="15"/>
      <c r="N3052" s="15"/>
      <c r="O3052" s="16"/>
      <c r="Q3052" s="16"/>
    </row>
    <row r="3053" spans="1:17" x14ac:dyDescent="0.3">
      <c r="A3053" s="5"/>
      <c r="B3053" s="6"/>
      <c r="C3053" s="7"/>
      <c r="D3053" s="10"/>
      <c r="F3053" s="1"/>
      <c r="G3053" s="1"/>
      <c r="H3053" s="1"/>
      <c r="I3053" s="7"/>
      <c r="J3053" s="12"/>
      <c r="K3053" s="13"/>
      <c r="L3053" s="14"/>
      <c r="M3053" s="15"/>
      <c r="N3053" s="15"/>
      <c r="O3053" s="16"/>
      <c r="Q3053" s="16"/>
    </row>
    <row r="3054" spans="1:17" x14ac:dyDescent="0.3">
      <c r="A3054" s="5"/>
      <c r="B3054" s="6"/>
      <c r="C3054" s="7"/>
      <c r="D3054" s="10"/>
      <c r="F3054" s="1"/>
      <c r="G3054" s="1"/>
      <c r="H3054" s="1"/>
      <c r="I3054" s="7"/>
      <c r="J3054" s="12"/>
      <c r="K3054" s="13"/>
      <c r="L3054" s="14"/>
      <c r="M3054" s="15"/>
      <c r="N3054" s="15"/>
      <c r="O3054" s="16"/>
      <c r="Q3054" s="16"/>
    </row>
    <row r="3055" spans="1:17" x14ac:dyDescent="0.3">
      <c r="A3055" s="5"/>
      <c r="B3055" s="6"/>
      <c r="C3055" s="7"/>
      <c r="D3055" s="10"/>
      <c r="F3055" s="1"/>
      <c r="G3055" s="1"/>
      <c r="H3055" s="1"/>
      <c r="I3055" s="7"/>
      <c r="J3055" s="12"/>
      <c r="K3055" s="13"/>
      <c r="L3055" s="14"/>
      <c r="M3055" s="15"/>
      <c r="N3055" s="15"/>
      <c r="O3055" s="16"/>
      <c r="Q3055" s="16"/>
    </row>
    <row r="3056" spans="1:17" x14ac:dyDescent="0.3">
      <c r="A3056" s="5"/>
      <c r="B3056" s="6"/>
      <c r="C3056" s="7"/>
      <c r="D3056" s="10"/>
      <c r="F3056" s="1"/>
      <c r="G3056" s="1"/>
      <c r="H3056" s="1"/>
      <c r="I3056" s="7"/>
      <c r="J3056" s="12"/>
      <c r="K3056" s="13"/>
      <c r="L3056" s="14"/>
      <c r="M3056" s="15"/>
      <c r="N3056" s="15"/>
      <c r="O3056" s="16"/>
      <c r="Q3056" s="16"/>
    </row>
    <row r="3057" spans="1:17" x14ac:dyDescent="0.3">
      <c r="A3057" s="5"/>
      <c r="B3057" s="6"/>
      <c r="C3057" s="7"/>
      <c r="D3057" s="10"/>
      <c r="F3057" s="1"/>
      <c r="G3057" s="1"/>
      <c r="H3057" s="1"/>
      <c r="I3057" s="7"/>
      <c r="J3057" s="12"/>
      <c r="K3057" s="13"/>
      <c r="L3057" s="14"/>
      <c r="M3057" s="15"/>
      <c r="N3057" s="15"/>
      <c r="O3057" s="16"/>
      <c r="Q3057" s="16"/>
    </row>
    <row r="3058" spans="1:17" x14ac:dyDescent="0.3">
      <c r="A3058" s="5"/>
      <c r="B3058" s="6"/>
      <c r="C3058" s="7"/>
      <c r="D3058" s="10"/>
      <c r="F3058" s="1"/>
      <c r="G3058" s="1"/>
      <c r="H3058" s="1"/>
      <c r="I3058" s="7"/>
      <c r="J3058" s="12"/>
      <c r="K3058" s="13"/>
      <c r="L3058" s="14"/>
      <c r="M3058" s="15"/>
      <c r="N3058" s="15"/>
      <c r="O3058" s="16"/>
      <c r="Q3058" s="16"/>
    </row>
    <row r="3059" spans="1:17" x14ac:dyDescent="0.3">
      <c r="A3059" s="5"/>
      <c r="B3059" s="6"/>
      <c r="C3059" s="7"/>
      <c r="D3059" s="10"/>
      <c r="F3059" s="1"/>
      <c r="G3059" s="1"/>
      <c r="H3059" s="1"/>
      <c r="I3059" s="7"/>
      <c r="J3059" s="12"/>
      <c r="K3059" s="13"/>
      <c r="L3059" s="14"/>
      <c r="M3059" s="15"/>
      <c r="N3059" s="15"/>
      <c r="O3059" s="16"/>
      <c r="Q3059" s="16"/>
    </row>
    <row r="3060" spans="1:17" x14ac:dyDescent="0.3">
      <c r="A3060" s="5"/>
      <c r="B3060" s="6"/>
      <c r="C3060" s="7"/>
      <c r="D3060" s="10"/>
      <c r="F3060" s="1"/>
      <c r="G3060" s="1"/>
      <c r="H3060" s="1"/>
      <c r="I3060" s="7"/>
      <c r="J3060" s="12"/>
      <c r="K3060" s="13"/>
      <c r="L3060" s="14"/>
      <c r="M3060" s="15"/>
      <c r="N3060" s="15"/>
      <c r="O3060" s="16"/>
      <c r="Q3060" s="16"/>
    </row>
    <row r="3061" spans="1:17" x14ac:dyDescent="0.3">
      <c r="A3061" s="5"/>
      <c r="B3061" s="6"/>
      <c r="C3061" s="7"/>
      <c r="D3061" s="10"/>
      <c r="F3061" s="1"/>
      <c r="G3061" s="1"/>
      <c r="H3061" s="1"/>
      <c r="I3061" s="7"/>
      <c r="J3061" s="12"/>
      <c r="K3061" s="13"/>
      <c r="L3061" s="14"/>
      <c r="M3061" s="15"/>
      <c r="N3061" s="15"/>
      <c r="O3061" s="16"/>
      <c r="Q3061" s="16"/>
    </row>
    <row r="3062" spans="1:17" x14ac:dyDescent="0.3">
      <c r="A3062" s="5"/>
      <c r="B3062" s="6"/>
      <c r="C3062" s="7"/>
      <c r="D3062" s="10"/>
      <c r="F3062" s="1"/>
      <c r="G3062" s="1"/>
      <c r="H3062" s="1"/>
      <c r="I3062" s="7"/>
      <c r="J3062" s="12"/>
      <c r="K3062" s="13"/>
      <c r="L3062" s="14"/>
      <c r="M3062" s="15"/>
      <c r="N3062" s="15"/>
      <c r="O3062" s="16"/>
      <c r="Q3062" s="16"/>
    </row>
    <row r="3063" spans="1:17" x14ac:dyDescent="0.3">
      <c r="A3063" s="5"/>
      <c r="B3063" s="6"/>
      <c r="C3063" s="7"/>
      <c r="D3063" s="10"/>
      <c r="F3063" s="1"/>
      <c r="G3063" s="1"/>
      <c r="H3063" s="1"/>
      <c r="I3063" s="7"/>
      <c r="J3063" s="12"/>
      <c r="K3063" s="13"/>
      <c r="L3063" s="14"/>
      <c r="M3063" s="15"/>
      <c r="N3063" s="15"/>
      <c r="O3063" s="16"/>
      <c r="Q3063" s="16"/>
    </row>
    <row r="3064" spans="1:17" x14ac:dyDescent="0.3">
      <c r="A3064" s="5"/>
      <c r="B3064" s="6"/>
      <c r="C3064" s="7"/>
      <c r="D3064" s="10"/>
      <c r="F3064" s="1"/>
      <c r="G3064" s="1"/>
      <c r="H3064" s="1"/>
      <c r="I3064" s="7"/>
      <c r="J3064" s="12"/>
      <c r="K3064" s="13"/>
      <c r="L3064" s="14"/>
      <c r="M3064" s="15"/>
      <c r="N3064" s="15"/>
      <c r="O3064" s="16"/>
      <c r="Q3064" s="16"/>
    </row>
    <row r="3065" spans="1:17" x14ac:dyDescent="0.3">
      <c r="A3065" s="5"/>
      <c r="B3065" s="6"/>
      <c r="C3065" s="7"/>
      <c r="D3065" s="10"/>
      <c r="F3065" s="1"/>
      <c r="G3065" s="1"/>
      <c r="H3065" s="1"/>
      <c r="I3065" s="7"/>
      <c r="J3065" s="12"/>
      <c r="K3065" s="13"/>
      <c r="L3065" s="14"/>
      <c r="M3065" s="15"/>
      <c r="N3065" s="15"/>
      <c r="O3065" s="16"/>
      <c r="Q3065" s="16"/>
    </row>
    <row r="3066" spans="1:17" x14ac:dyDescent="0.3">
      <c r="A3066" s="5"/>
      <c r="B3066" s="6"/>
      <c r="C3066" s="7"/>
      <c r="D3066" s="10"/>
      <c r="F3066" s="1"/>
      <c r="G3066" s="1"/>
      <c r="H3066" s="1"/>
      <c r="I3066" s="7"/>
      <c r="J3066" s="12"/>
      <c r="K3066" s="13"/>
      <c r="L3066" s="14"/>
      <c r="M3066" s="15"/>
      <c r="N3066" s="15"/>
      <c r="O3066" s="16"/>
      <c r="Q3066" s="16"/>
    </row>
    <row r="3067" spans="1:17" x14ac:dyDescent="0.3">
      <c r="A3067" s="5"/>
      <c r="B3067" s="6"/>
      <c r="C3067" s="7"/>
      <c r="D3067" s="10"/>
      <c r="F3067" s="1"/>
      <c r="G3067" s="1"/>
      <c r="H3067" s="1"/>
      <c r="I3067" s="7"/>
      <c r="J3067" s="12"/>
      <c r="K3067" s="13"/>
      <c r="L3067" s="14"/>
      <c r="M3067" s="15"/>
      <c r="N3067" s="15"/>
      <c r="O3067" s="16"/>
      <c r="Q3067" s="16"/>
    </row>
    <row r="3068" spans="1:17" x14ac:dyDescent="0.3">
      <c r="A3068" s="5"/>
      <c r="B3068" s="6"/>
      <c r="C3068" s="7"/>
      <c r="D3068" s="10"/>
      <c r="F3068" s="1"/>
      <c r="G3068" s="1"/>
      <c r="H3068" s="1"/>
      <c r="I3068" s="7"/>
      <c r="J3068" s="12"/>
      <c r="K3068" s="13"/>
      <c r="L3068" s="14"/>
      <c r="M3068" s="15"/>
      <c r="N3068" s="15"/>
      <c r="O3068" s="16"/>
      <c r="Q3068" s="16"/>
    </row>
    <row r="3069" spans="1:17" x14ac:dyDescent="0.3">
      <c r="A3069" s="5"/>
      <c r="B3069" s="6"/>
      <c r="C3069" s="7"/>
      <c r="D3069" s="10"/>
      <c r="F3069" s="1"/>
      <c r="G3069" s="1"/>
      <c r="H3069" s="1"/>
      <c r="I3069" s="7"/>
      <c r="J3069" s="12"/>
      <c r="K3069" s="13"/>
      <c r="L3069" s="14"/>
      <c r="M3069" s="15"/>
      <c r="N3069" s="15"/>
      <c r="O3069" s="16"/>
      <c r="Q3069" s="16"/>
    </row>
    <row r="3070" spans="1:17" x14ac:dyDescent="0.3">
      <c r="A3070" s="5"/>
      <c r="B3070" s="6"/>
      <c r="C3070" s="7"/>
      <c r="D3070" s="10"/>
      <c r="F3070" s="1"/>
      <c r="G3070" s="1"/>
      <c r="H3070" s="1"/>
      <c r="I3070" s="7"/>
      <c r="J3070" s="12"/>
      <c r="K3070" s="13"/>
      <c r="L3070" s="14"/>
      <c r="M3070" s="15"/>
      <c r="N3070" s="15"/>
      <c r="O3070" s="16"/>
      <c r="Q3070" s="16"/>
    </row>
    <row r="3071" spans="1:17" x14ac:dyDescent="0.3">
      <c r="A3071" s="5"/>
      <c r="B3071" s="6"/>
      <c r="C3071" s="7"/>
      <c r="D3071" s="10"/>
      <c r="F3071" s="1"/>
      <c r="G3071" s="1"/>
      <c r="H3071" s="1"/>
      <c r="I3071" s="7"/>
      <c r="J3071" s="12"/>
      <c r="K3071" s="13"/>
      <c r="L3071" s="14"/>
      <c r="M3071" s="15"/>
      <c r="N3071" s="15"/>
      <c r="O3071" s="16"/>
      <c r="Q3071" s="16"/>
    </row>
    <row r="3072" spans="1:17" x14ac:dyDescent="0.3">
      <c r="A3072" s="5"/>
      <c r="B3072" s="6"/>
      <c r="C3072" s="7"/>
      <c r="D3072" s="10"/>
      <c r="F3072" s="1"/>
      <c r="G3072" s="1"/>
      <c r="H3072" s="1"/>
      <c r="I3072" s="7"/>
      <c r="J3072" s="12"/>
      <c r="K3072" s="13"/>
      <c r="L3072" s="14"/>
      <c r="M3072" s="15"/>
      <c r="N3072" s="15"/>
      <c r="O3072" s="16"/>
      <c r="Q3072" s="16"/>
    </row>
    <row r="3073" spans="1:17" x14ac:dyDescent="0.3">
      <c r="A3073" s="5"/>
      <c r="B3073" s="6"/>
      <c r="C3073" s="7"/>
      <c r="D3073" s="10"/>
      <c r="F3073" s="1"/>
      <c r="G3073" s="1"/>
      <c r="H3073" s="1"/>
      <c r="I3073" s="7"/>
      <c r="J3073" s="12"/>
      <c r="K3073" s="13"/>
      <c r="L3073" s="14"/>
      <c r="M3073" s="15"/>
      <c r="N3073" s="15"/>
      <c r="O3073" s="16"/>
      <c r="Q3073" s="16"/>
    </row>
    <row r="3074" spans="1:17" x14ac:dyDescent="0.3">
      <c r="A3074" s="5"/>
      <c r="B3074" s="6"/>
      <c r="C3074" s="7"/>
      <c r="D3074" s="10"/>
      <c r="F3074" s="1"/>
      <c r="G3074" s="1"/>
      <c r="H3074" s="1"/>
      <c r="I3074" s="7"/>
      <c r="J3074" s="12"/>
      <c r="K3074" s="13"/>
      <c r="L3074" s="14"/>
      <c r="M3074" s="15"/>
      <c r="N3074" s="15"/>
      <c r="O3074" s="16"/>
      <c r="Q3074" s="16"/>
    </row>
    <row r="3075" spans="1:17" x14ac:dyDescent="0.3">
      <c r="A3075" s="5"/>
      <c r="B3075" s="6"/>
      <c r="C3075" s="7"/>
      <c r="D3075" s="10"/>
      <c r="F3075" s="1"/>
      <c r="G3075" s="1"/>
      <c r="H3075" s="1"/>
      <c r="I3075" s="7"/>
      <c r="J3075" s="12"/>
      <c r="K3075" s="13"/>
      <c r="L3075" s="14"/>
      <c r="M3075" s="15"/>
      <c r="N3075" s="15"/>
      <c r="O3075" s="16"/>
      <c r="Q3075" s="16"/>
    </row>
    <row r="3076" spans="1:17" x14ac:dyDescent="0.3">
      <c r="A3076" s="5"/>
      <c r="B3076" s="6"/>
      <c r="C3076" s="7"/>
      <c r="D3076" s="10"/>
      <c r="F3076" s="1"/>
      <c r="G3076" s="1"/>
      <c r="H3076" s="1"/>
      <c r="I3076" s="7"/>
      <c r="J3076" s="12"/>
      <c r="K3076" s="13"/>
      <c r="L3076" s="14"/>
      <c r="M3076" s="15"/>
      <c r="N3076" s="15"/>
      <c r="O3076" s="16"/>
      <c r="Q3076" s="16"/>
    </row>
    <row r="3077" spans="1:17" x14ac:dyDescent="0.3">
      <c r="A3077" s="5"/>
      <c r="B3077" s="6"/>
      <c r="C3077" s="7"/>
      <c r="D3077" s="10"/>
      <c r="F3077" s="1"/>
      <c r="G3077" s="1"/>
      <c r="H3077" s="1"/>
      <c r="I3077" s="7"/>
      <c r="J3077" s="12"/>
      <c r="K3077" s="13"/>
      <c r="L3077" s="14"/>
      <c r="M3077" s="15"/>
      <c r="N3077" s="15"/>
      <c r="O3077" s="16"/>
      <c r="Q3077" s="16"/>
    </row>
    <row r="3078" spans="1:17" x14ac:dyDescent="0.3">
      <c r="A3078" s="5"/>
      <c r="B3078" s="6"/>
      <c r="C3078" s="7"/>
      <c r="D3078" s="10"/>
      <c r="F3078" s="1"/>
      <c r="G3078" s="1"/>
      <c r="H3078" s="1"/>
      <c r="I3078" s="7"/>
      <c r="J3078" s="12"/>
      <c r="K3078" s="13"/>
      <c r="L3078" s="14"/>
      <c r="M3078" s="15"/>
      <c r="N3078" s="15"/>
      <c r="O3078" s="16"/>
      <c r="Q3078" s="16"/>
    </row>
    <row r="3079" spans="1:17" x14ac:dyDescent="0.3">
      <c r="A3079" s="5"/>
      <c r="B3079" s="6"/>
      <c r="C3079" s="7"/>
      <c r="D3079" s="10"/>
      <c r="F3079" s="1"/>
      <c r="G3079" s="1"/>
      <c r="H3079" s="1"/>
      <c r="I3079" s="7"/>
      <c r="J3079" s="12"/>
      <c r="K3079" s="13"/>
      <c r="L3079" s="14"/>
      <c r="M3079" s="15"/>
      <c r="N3079" s="15"/>
      <c r="O3079" s="16"/>
      <c r="Q3079" s="16"/>
    </row>
    <row r="3080" spans="1:17" x14ac:dyDescent="0.3">
      <c r="A3080" s="5"/>
      <c r="B3080" s="6"/>
      <c r="C3080" s="7"/>
      <c r="D3080" s="10"/>
      <c r="F3080" s="1"/>
      <c r="G3080" s="1"/>
      <c r="H3080" s="1"/>
      <c r="I3080" s="7"/>
      <c r="J3080" s="12"/>
      <c r="K3080" s="13"/>
      <c r="L3080" s="14"/>
      <c r="M3080" s="15"/>
      <c r="N3080" s="15"/>
      <c r="O3080" s="16"/>
      <c r="Q3080" s="16"/>
    </row>
    <row r="3081" spans="1:17" x14ac:dyDescent="0.3">
      <c r="A3081" s="5"/>
      <c r="B3081" s="6"/>
      <c r="C3081" s="7"/>
      <c r="D3081" s="10"/>
      <c r="F3081" s="1"/>
      <c r="G3081" s="1"/>
      <c r="H3081" s="1"/>
      <c r="I3081" s="7"/>
      <c r="J3081" s="12"/>
      <c r="K3081" s="13"/>
      <c r="L3081" s="14"/>
      <c r="M3081" s="15"/>
      <c r="N3081" s="15"/>
      <c r="O3081" s="16"/>
      <c r="Q3081" s="16"/>
    </row>
    <row r="3082" spans="1:17" x14ac:dyDescent="0.3">
      <c r="A3082" s="5"/>
      <c r="B3082" s="6"/>
      <c r="C3082" s="7"/>
      <c r="D3082" s="10"/>
      <c r="F3082" s="1"/>
      <c r="G3082" s="1"/>
      <c r="H3082" s="1"/>
      <c r="I3082" s="7"/>
      <c r="J3082" s="12"/>
      <c r="K3082" s="13"/>
      <c r="L3082" s="14"/>
      <c r="M3082" s="15"/>
      <c r="N3082" s="15"/>
      <c r="O3082" s="16"/>
      <c r="Q3082" s="16"/>
    </row>
    <row r="3083" spans="1:17" x14ac:dyDescent="0.3">
      <c r="A3083" s="5"/>
      <c r="B3083" s="6"/>
      <c r="C3083" s="7"/>
      <c r="D3083" s="10"/>
      <c r="F3083" s="1"/>
      <c r="G3083" s="1"/>
      <c r="H3083" s="1"/>
      <c r="I3083" s="7"/>
      <c r="J3083" s="12"/>
      <c r="K3083" s="13"/>
      <c r="L3083" s="14"/>
      <c r="M3083" s="15"/>
      <c r="N3083" s="15"/>
      <c r="O3083" s="16"/>
      <c r="Q3083" s="16"/>
    </row>
    <row r="3084" spans="1:17" x14ac:dyDescent="0.3">
      <c r="A3084" s="5"/>
      <c r="B3084" s="6"/>
      <c r="C3084" s="7"/>
      <c r="D3084" s="10"/>
      <c r="F3084" s="1"/>
      <c r="G3084" s="1"/>
      <c r="H3084" s="1"/>
      <c r="I3084" s="7"/>
      <c r="J3084" s="12"/>
      <c r="K3084" s="13"/>
      <c r="L3084" s="14"/>
      <c r="M3084" s="15"/>
      <c r="N3084" s="15"/>
      <c r="O3084" s="16"/>
      <c r="Q3084" s="16"/>
    </row>
    <row r="3085" spans="1:17" x14ac:dyDescent="0.3">
      <c r="A3085" s="5"/>
      <c r="B3085" s="6"/>
      <c r="C3085" s="7"/>
      <c r="D3085" s="10"/>
      <c r="F3085" s="1"/>
      <c r="G3085" s="1"/>
      <c r="H3085" s="1"/>
      <c r="I3085" s="7"/>
      <c r="J3085" s="12"/>
      <c r="K3085" s="13"/>
      <c r="L3085" s="14"/>
      <c r="M3085" s="15"/>
      <c r="N3085" s="15"/>
      <c r="O3085" s="16"/>
      <c r="Q3085" s="16"/>
    </row>
    <row r="3086" spans="1:17" x14ac:dyDescent="0.3">
      <c r="A3086" s="5"/>
      <c r="B3086" s="6"/>
      <c r="C3086" s="7"/>
      <c r="D3086" s="10"/>
      <c r="F3086" s="1"/>
      <c r="G3086" s="1"/>
      <c r="H3086" s="1"/>
      <c r="I3086" s="7"/>
      <c r="J3086" s="12"/>
      <c r="K3086" s="13"/>
      <c r="L3086" s="14"/>
      <c r="M3086" s="15"/>
      <c r="N3086" s="15"/>
      <c r="O3086" s="16"/>
      <c r="Q3086" s="16"/>
    </row>
    <row r="3087" spans="1:17" x14ac:dyDescent="0.3">
      <c r="A3087" s="5"/>
      <c r="B3087" s="6"/>
      <c r="C3087" s="7"/>
      <c r="D3087" s="10"/>
      <c r="F3087" s="1"/>
      <c r="G3087" s="1"/>
      <c r="H3087" s="1"/>
      <c r="I3087" s="7"/>
      <c r="J3087" s="12"/>
      <c r="K3087" s="13"/>
      <c r="L3087" s="14"/>
      <c r="M3087" s="15"/>
      <c r="N3087" s="15"/>
      <c r="O3087" s="16"/>
      <c r="Q3087" s="16"/>
    </row>
    <row r="3088" spans="1:17" x14ac:dyDescent="0.3">
      <c r="A3088" s="5"/>
      <c r="B3088" s="6"/>
      <c r="C3088" s="7"/>
      <c r="D3088" s="10"/>
      <c r="F3088" s="1"/>
      <c r="G3088" s="1"/>
      <c r="H3088" s="1"/>
      <c r="I3088" s="7"/>
      <c r="J3088" s="12"/>
      <c r="K3088" s="13"/>
      <c r="L3088" s="14"/>
      <c r="M3088" s="15"/>
      <c r="N3088" s="15"/>
      <c r="O3088" s="16"/>
      <c r="Q3088" s="16"/>
    </row>
    <row r="3089" spans="1:17" x14ac:dyDescent="0.3">
      <c r="A3089" s="5"/>
      <c r="B3089" s="6"/>
      <c r="C3089" s="7"/>
      <c r="D3089" s="10"/>
      <c r="F3089" s="1"/>
      <c r="G3089" s="1"/>
      <c r="H3089" s="1"/>
      <c r="I3089" s="7"/>
      <c r="J3089" s="12"/>
      <c r="K3089" s="13"/>
      <c r="L3089" s="14"/>
      <c r="M3089" s="15"/>
      <c r="N3089" s="15"/>
      <c r="O3089" s="16"/>
      <c r="Q3089" s="16"/>
    </row>
    <row r="3090" spans="1:17" x14ac:dyDescent="0.3">
      <c r="A3090" s="5"/>
      <c r="B3090" s="6"/>
      <c r="C3090" s="7"/>
      <c r="D3090" s="10"/>
      <c r="F3090" s="1"/>
      <c r="G3090" s="1"/>
      <c r="H3090" s="1"/>
      <c r="I3090" s="7"/>
      <c r="J3090" s="12"/>
      <c r="K3090" s="13"/>
      <c r="L3090" s="14"/>
      <c r="M3090" s="15"/>
      <c r="N3090" s="15"/>
      <c r="O3090" s="16"/>
      <c r="Q3090" s="16"/>
    </row>
    <row r="3091" spans="1:17" x14ac:dyDescent="0.3">
      <c r="A3091" s="5"/>
      <c r="B3091" s="6"/>
      <c r="C3091" s="7"/>
      <c r="D3091" s="10"/>
      <c r="F3091" s="1"/>
      <c r="G3091" s="1"/>
      <c r="H3091" s="1"/>
      <c r="I3091" s="7"/>
      <c r="J3091" s="12"/>
      <c r="K3091" s="13"/>
      <c r="L3091" s="14"/>
      <c r="M3091" s="15"/>
      <c r="N3091" s="15"/>
      <c r="O3091" s="16"/>
      <c r="Q3091" s="16"/>
    </row>
    <row r="3092" spans="1:17" x14ac:dyDescent="0.3">
      <c r="A3092" s="5"/>
      <c r="B3092" s="6"/>
      <c r="C3092" s="7"/>
      <c r="D3092" s="10"/>
      <c r="F3092" s="1"/>
      <c r="G3092" s="1"/>
      <c r="H3092" s="1"/>
      <c r="I3092" s="7"/>
      <c r="J3092" s="12"/>
      <c r="K3092" s="13"/>
      <c r="L3092" s="14"/>
      <c r="M3092" s="15"/>
      <c r="N3092" s="15"/>
      <c r="O3092" s="16"/>
      <c r="Q3092" s="16"/>
    </row>
    <row r="3093" spans="1:17" x14ac:dyDescent="0.3">
      <c r="A3093" s="5"/>
      <c r="B3093" s="6"/>
      <c r="C3093" s="7"/>
      <c r="D3093" s="10"/>
      <c r="F3093" s="1"/>
      <c r="G3093" s="1"/>
      <c r="H3093" s="1"/>
      <c r="I3093" s="7"/>
      <c r="J3093" s="12"/>
      <c r="K3093" s="13"/>
      <c r="L3093" s="14"/>
      <c r="M3093" s="15"/>
      <c r="N3093" s="15"/>
      <c r="O3093" s="16"/>
      <c r="Q3093" s="16"/>
    </row>
    <row r="3094" spans="1:17" x14ac:dyDescent="0.3">
      <c r="A3094" s="5"/>
      <c r="B3094" s="6"/>
      <c r="C3094" s="7"/>
      <c r="D3094" s="10"/>
      <c r="F3094" s="1"/>
      <c r="G3094" s="1"/>
      <c r="H3094" s="1"/>
      <c r="I3094" s="7"/>
      <c r="J3094" s="12"/>
      <c r="K3094" s="13"/>
      <c r="L3094" s="14"/>
      <c r="M3094" s="15"/>
      <c r="N3094" s="15"/>
      <c r="O3094" s="16"/>
      <c r="Q3094" s="16"/>
    </row>
    <row r="3095" spans="1:17" x14ac:dyDescent="0.3">
      <c r="A3095" s="5"/>
      <c r="B3095" s="6"/>
      <c r="C3095" s="7"/>
      <c r="D3095" s="10"/>
      <c r="F3095" s="1"/>
      <c r="G3095" s="1"/>
      <c r="H3095" s="1"/>
      <c r="I3095" s="7"/>
      <c r="J3095" s="12"/>
      <c r="K3095" s="13"/>
      <c r="L3095" s="14"/>
      <c r="M3095" s="15"/>
      <c r="N3095" s="15"/>
      <c r="O3095" s="16"/>
      <c r="Q3095" s="16"/>
    </row>
    <row r="3096" spans="1:17" x14ac:dyDescent="0.3">
      <c r="A3096" s="5"/>
      <c r="B3096" s="6"/>
      <c r="C3096" s="7"/>
      <c r="D3096" s="10"/>
      <c r="F3096" s="1"/>
      <c r="G3096" s="1"/>
      <c r="H3096" s="1"/>
      <c r="I3096" s="7"/>
      <c r="J3096" s="12"/>
      <c r="K3096" s="13"/>
      <c r="L3096" s="14"/>
      <c r="M3096" s="15"/>
      <c r="N3096" s="15"/>
      <c r="O3096" s="16"/>
      <c r="Q3096" s="16"/>
    </row>
    <row r="3097" spans="1:17" x14ac:dyDescent="0.3">
      <c r="A3097" s="5"/>
      <c r="B3097" s="6"/>
      <c r="C3097" s="7"/>
      <c r="D3097" s="10"/>
      <c r="F3097" s="1"/>
      <c r="G3097" s="1"/>
      <c r="H3097" s="1"/>
      <c r="I3097" s="7"/>
      <c r="J3097" s="12"/>
      <c r="K3097" s="13"/>
      <c r="L3097" s="14"/>
      <c r="M3097" s="15"/>
      <c r="N3097" s="15"/>
      <c r="O3097" s="16"/>
      <c r="Q3097" s="16"/>
    </row>
    <row r="3098" spans="1:17" x14ac:dyDescent="0.3">
      <c r="A3098" s="5"/>
      <c r="B3098" s="6"/>
      <c r="C3098" s="7"/>
      <c r="D3098" s="10"/>
      <c r="F3098" s="1"/>
      <c r="G3098" s="1"/>
      <c r="H3098" s="1"/>
      <c r="I3098" s="7"/>
      <c r="J3098" s="12"/>
      <c r="K3098" s="13"/>
      <c r="L3098" s="14"/>
      <c r="M3098" s="15"/>
      <c r="N3098" s="15"/>
      <c r="O3098" s="16"/>
      <c r="Q3098" s="16"/>
    </row>
    <row r="3099" spans="1:17" x14ac:dyDescent="0.3">
      <c r="A3099" s="5"/>
      <c r="B3099" s="6"/>
      <c r="C3099" s="7"/>
      <c r="D3099" s="10"/>
      <c r="F3099" s="1"/>
      <c r="G3099" s="1"/>
      <c r="H3099" s="1"/>
      <c r="I3099" s="7"/>
      <c r="J3099" s="12"/>
      <c r="K3099" s="13"/>
      <c r="L3099" s="14"/>
      <c r="M3099" s="15"/>
      <c r="N3099" s="15"/>
      <c r="O3099" s="16"/>
      <c r="Q3099" s="16"/>
    </row>
    <row r="3100" spans="1:17" x14ac:dyDescent="0.3">
      <c r="A3100" s="5"/>
      <c r="B3100" s="6"/>
      <c r="C3100" s="7"/>
      <c r="D3100" s="10"/>
      <c r="F3100" s="1"/>
      <c r="G3100" s="1"/>
      <c r="H3100" s="1"/>
      <c r="I3100" s="7"/>
      <c r="J3100" s="12"/>
      <c r="K3100" s="13"/>
      <c r="L3100" s="14"/>
      <c r="M3100" s="15"/>
      <c r="N3100" s="15"/>
      <c r="O3100" s="16"/>
      <c r="Q3100" s="16"/>
    </row>
    <row r="3101" spans="1:17" x14ac:dyDescent="0.3">
      <c r="A3101" s="5"/>
      <c r="B3101" s="6"/>
      <c r="C3101" s="7"/>
      <c r="D3101" s="10"/>
      <c r="F3101" s="1"/>
      <c r="G3101" s="1"/>
      <c r="H3101" s="1"/>
      <c r="I3101" s="7"/>
      <c r="J3101" s="12"/>
      <c r="K3101" s="13"/>
      <c r="L3101" s="14"/>
      <c r="M3101" s="15"/>
      <c r="N3101" s="15"/>
      <c r="O3101" s="16"/>
      <c r="Q3101" s="16"/>
    </row>
    <row r="3102" spans="1:17" x14ac:dyDescent="0.3">
      <c r="A3102" s="5"/>
      <c r="B3102" s="6"/>
      <c r="C3102" s="7"/>
      <c r="D3102" s="10"/>
      <c r="F3102" s="1"/>
      <c r="G3102" s="1"/>
      <c r="H3102" s="1"/>
      <c r="I3102" s="7"/>
      <c r="J3102" s="12"/>
      <c r="K3102" s="13"/>
      <c r="L3102" s="14"/>
      <c r="M3102" s="15"/>
      <c r="N3102" s="15"/>
      <c r="O3102" s="16"/>
      <c r="Q3102" s="16"/>
    </row>
    <row r="3103" spans="1:17" x14ac:dyDescent="0.3">
      <c r="A3103" s="5"/>
      <c r="B3103" s="6"/>
      <c r="C3103" s="7"/>
      <c r="D3103" s="10"/>
      <c r="F3103" s="1"/>
      <c r="G3103" s="1"/>
      <c r="H3103" s="1"/>
      <c r="I3103" s="7"/>
      <c r="J3103" s="12"/>
      <c r="K3103" s="13"/>
      <c r="L3103" s="14"/>
      <c r="M3103" s="15"/>
      <c r="N3103" s="15"/>
      <c r="O3103" s="16"/>
      <c r="Q3103" s="16"/>
    </row>
    <row r="3104" spans="1:17" x14ac:dyDescent="0.3">
      <c r="A3104" s="5"/>
      <c r="B3104" s="6"/>
      <c r="C3104" s="7"/>
      <c r="D3104" s="10"/>
      <c r="F3104" s="1"/>
      <c r="G3104" s="1"/>
      <c r="H3104" s="1"/>
      <c r="I3104" s="7"/>
      <c r="J3104" s="12"/>
      <c r="K3104" s="13"/>
      <c r="L3104" s="14"/>
      <c r="M3104" s="15"/>
      <c r="N3104" s="15"/>
      <c r="O3104" s="16"/>
      <c r="Q3104" s="16"/>
    </row>
    <row r="3105" spans="1:17" x14ac:dyDescent="0.3">
      <c r="A3105" s="5"/>
      <c r="B3105" s="6"/>
      <c r="C3105" s="7"/>
      <c r="D3105" s="10"/>
      <c r="F3105" s="1"/>
      <c r="G3105" s="1"/>
      <c r="H3105" s="1"/>
      <c r="I3105" s="7"/>
      <c r="J3105" s="12"/>
      <c r="K3105" s="13"/>
      <c r="L3105" s="14"/>
      <c r="M3105" s="15"/>
      <c r="N3105" s="15"/>
      <c r="O3105" s="16"/>
      <c r="Q3105" s="16"/>
    </row>
    <row r="3106" spans="1:17" x14ac:dyDescent="0.3">
      <c r="A3106" s="5"/>
      <c r="B3106" s="6"/>
      <c r="C3106" s="7"/>
      <c r="D3106" s="10"/>
      <c r="F3106" s="1"/>
      <c r="G3106" s="1"/>
      <c r="H3106" s="1"/>
      <c r="I3106" s="7"/>
      <c r="J3106" s="12"/>
      <c r="K3106" s="13"/>
      <c r="L3106" s="14"/>
      <c r="M3106" s="15"/>
      <c r="N3106" s="15"/>
      <c r="O3106" s="16"/>
      <c r="Q3106" s="16"/>
    </row>
    <row r="3107" spans="1:17" x14ac:dyDescent="0.3">
      <c r="A3107" s="5"/>
      <c r="B3107" s="6"/>
      <c r="C3107" s="7"/>
      <c r="D3107" s="10"/>
      <c r="F3107" s="1"/>
      <c r="G3107" s="1"/>
      <c r="H3107" s="1"/>
      <c r="I3107" s="7"/>
      <c r="J3107" s="12"/>
      <c r="K3107" s="13"/>
      <c r="L3107" s="14"/>
      <c r="M3107" s="15"/>
      <c r="N3107" s="15"/>
      <c r="O3107" s="16"/>
      <c r="Q3107" s="16"/>
    </row>
    <row r="3108" spans="1:17" x14ac:dyDescent="0.3">
      <c r="A3108" s="5"/>
      <c r="B3108" s="6"/>
      <c r="C3108" s="7"/>
      <c r="D3108" s="10"/>
      <c r="F3108" s="1"/>
      <c r="G3108" s="1"/>
      <c r="H3108" s="1"/>
      <c r="I3108" s="7"/>
      <c r="J3108" s="12"/>
      <c r="K3108" s="13"/>
      <c r="L3108" s="14"/>
      <c r="M3108" s="15"/>
      <c r="N3108" s="15"/>
      <c r="O3108" s="16"/>
      <c r="Q3108" s="16"/>
    </row>
    <row r="3109" spans="1:17" x14ac:dyDescent="0.3">
      <c r="A3109" s="5"/>
      <c r="B3109" s="6"/>
      <c r="C3109" s="7"/>
      <c r="D3109" s="10"/>
      <c r="F3109" s="1"/>
      <c r="G3109" s="1"/>
      <c r="H3109" s="1"/>
      <c r="I3109" s="7"/>
      <c r="J3109" s="12"/>
      <c r="K3109" s="13"/>
      <c r="L3109" s="14"/>
      <c r="M3109" s="15"/>
      <c r="N3109" s="15"/>
      <c r="O3109" s="16"/>
      <c r="Q3109" s="16"/>
    </row>
    <row r="3110" spans="1:17" x14ac:dyDescent="0.3">
      <c r="A3110" s="5"/>
      <c r="B3110" s="6"/>
      <c r="C3110" s="7"/>
      <c r="D3110" s="10"/>
      <c r="F3110" s="1"/>
      <c r="G3110" s="1"/>
      <c r="H3110" s="1"/>
      <c r="I3110" s="7"/>
      <c r="J3110" s="12"/>
      <c r="K3110" s="13"/>
      <c r="L3110" s="14"/>
      <c r="M3110" s="15"/>
      <c r="N3110" s="15"/>
      <c r="O3110" s="16"/>
      <c r="Q3110" s="16"/>
    </row>
    <row r="3111" spans="1:17" x14ac:dyDescent="0.3">
      <c r="A3111" s="5"/>
      <c r="B3111" s="6"/>
      <c r="C3111" s="7"/>
      <c r="D3111" s="10"/>
      <c r="F3111" s="1"/>
      <c r="G3111" s="1"/>
      <c r="H3111" s="1"/>
      <c r="I3111" s="7"/>
      <c r="J3111" s="12"/>
      <c r="K3111" s="13"/>
      <c r="L3111" s="14"/>
      <c r="M3111" s="15"/>
      <c r="N3111" s="15"/>
      <c r="O3111" s="16"/>
      <c r="Q3111" s="16"/>
    </row>
    <row r="3112" spans="1:17" x14ac:dyDescent="0.3">
      <c r="A3112" s="5"/>
      <c r="B3112" s="6"/>
      <c r="C3112" s="7"/>
      <c r="D3112" s="10"/>
      <c r="F3112" s="1"/>
      <c r="G3112" s="1"/>
      <c r="H3112" s="1"/>
      <c r="I3112" s="7"/>
      <c r="J3112" s="12"/>
      <c r="K3112" s="13"/>
      <c r="L3112" s="14"/>
      <c r="M3112" s="15"/>
      <c r="N3112" s="15"/>
      <c r="O3112" s="16"/>
      <c r="Q3112" s="16"/>
    </row>
    <row r="3113" spans="1:17" x14ac:dyDescent="0.3">
      <c r="A3113" s="5"/>
      <c r="B3113" s="6"/>
      <c r="C3113" s="7"/>
      <c r="D3113" s="10"/>
      <c r="F3113" s="1"/>
      <c r="G3113" s="1"/>
      <c r="H3113" s="1"/>
      <c r="I3113" s="7"/>
      <c r="J3113" s="12"/>
      <c r="K3113" s="13"/>
      <c r="L3113" s="14"/>
      <c r="M3113" s="15"/>
      <c r="N3113" s="15"/>
      <c r="O3113" s="16"/>
      <c r="Q3113" s="16"/>
    </row>
    <row r="3114" spans="1:17" x14ac:dyDescent="0.3">
      <c r="A3114" s="5"/>
      <c r="B3114" s="6"/>
      <c r="C3114" s="7"/>
      <c r="D3114" s="10"/>
      <c r="F3114" s="1"/>
      <c r="G3114" s="1"/>
      <c r="H3114" s="1"/>
      <c r="I3114" s="7"/>
      <c r="J3114" s="12"/>
      <c r="K3114" s="13"/>
      <c r="L3114" s="14"/>
      <c r="M3114" s="15"/>
      <c r="N3114" s="15"/>
      <c r="O3114" s="16"/>
      <c r="Q3114" s="16"/>
    </row>
    <row r="3115" spans="1:17" x14ac:dyDescent="0.3">
      <c r="A3115" s="5"/>
      <c r="B3115" s="6"/>
      <c r="C3115" s="7"/>
      <c r="D3115" s="10"/>
      <c r="F3115" s="1"/>
      <c r="G3115" s="1"/>
      <c r="H3115" s="1"/>
      <c r="I3115" s="7"/>
      <c r="J3115" s="12"/>
      <c r="K3115" s="13"/>
      <c r="L3115" s="14"/>
      <c r="M3115" s="15"/>
      <c r="N3115" s="15"/>
      <c r="O3115" s="16"/>
      <c r="Q3115" s="16"/>
    </row>
    <row r="3116" spans="1:17" x14ac:dyDescent="0.3">
      <c r="A3116" s="5"/>
      <c r="B3116" s="6"/>
      <c r="C3116" s="7"/>
      <c r="D3116" s="10"/>
      <c r="F3116" s="1"/>
      <c r="G3116" s="1"/>
      <c r="H3116" s="1"/>
      <c r="I3116" s="7"/>
      <c r="J3116" s="12"/>
      <c r="K3116" s="13"/>
      <c r="L3116" s="14"/>
      <c r="M3116" s="15"/>
      <c r="N3116" s="15"/>
      <c r="O3116" s="16"/>
      <c r="Q3116" s="16"/>
    </row>
    <row r="3117" spans="1:17" x14ac:dyDescent="0.3">
      <c r="A3117" s="5"/>
      <c r="B3117" s="6"/>
      <c r="C3117" s="7"/>
      <c r="D3117" s="10"/>
      <c r="F3117" s="1"/>
      <c r="G3117" s="1"/>
      <c r="H3117" s="1"/>
      <c r="I3117" s="7"/>
      <c r="J3117" s="12"/>
      <c r="K3117" s="13"/>
      <c r="L3117" s="14"/>
      <c r="M3117" s="15"/>
      <c r="N3117" s="15"/>
      <c r="O3117" s="16"/>
      <c r="Q3117" s="16"/>
    </row>
    <row r="3118" spans="1:17" x14ac:dyDescent="0.3">
      <c r="A3118" s="5"/>
      <c r="B3118" s="6"/>
      <c r="C3118" s="7"/>
      <c r="D3118" s="10"/>
      <c r="F3118" s="1"/>
      <c r="G3118" s="1"/>
      <c r="H3118" s="1"/>
      <c r="I3118" s="7"/>
      <c r="J3118" s="12"/>
      <c r="K3118" s="13"/>
      <c r="L3118" s="14"/>
      <c r="M3118" s="15"/>
      <c r="N3118" s="15"/>
      <c r="O3118" s="16"/>
      <c r="Q3118" s="16"/>
    </row>
    <row r="3119" spans="1:17" x14ac:dyDescent="0.3">
      <c r="A3119" s="5"/>
      <c r="B3119" s="6"/>
      <c r="C3119" s="7"/>
      <c r="D3119" s="10"/>
      <c r="F3119" s="1"/>
      <c r="G3119" s="1"/>
      <c r="H3119" s="1"/>
      <c r="I3119" s="7"/>
      <c r="J3119" s="12"/>
      <c r="K3119" s="13"/>
      <c r="L3119" s="14"/>
      <c r="M3119" s="15"/>
      <c r="N3119" s="15"/>
      <c r="O3119" s="16"/>
      <c r="Q3119" s="16"/>
    </row>
    <row r="3120" spans="1:17" x14ac:dyDescent="0.3">
      <c r="A3120" s="5"/>
      <c r="B3120" s="6"/>
      <c r="C3120" s="7"/>
      <c r="D3120" s="10"/>
      <c r="F3120" s="1"/>
      <c r="G3120" s="1"/>
      <c r="H3120" s="1"/>
      <c r="I3120" s="7"/>
      <c r="J3120" s="12"/>
      <c r="K3120" s="13"/>
      <c r="L3120" s="14"/>
      <c r="M3120" s="15"/>
      <c r="N3120" s="15"/>
      <c r="O3120" s="16"/>
      <c r="Q3120" s="16"/>
    </row>
    <row r="3121" spans="1:17" x14ac:dyDescent="0.3">
      <c r="A3121" s="5"/>
      <c r="B3121" s="6"/>
      <c r="C3121" s="7"/>
      <c r="D3121" s="10"/>
      <c r="F3121" s="1"/>
      <c r="G3121" s="1"/>
      <c r="H3121" s="1"/>
      <c r="I3121" s="7"/>
      <c r="J3121" s="12"/>
      <c r="K3121" s="13"/>
      <c r="L3121" s="14"/>
      <c r="M3121" s="15"/>
      <c r="N3121" s="15"/>
      <c r="O3121" s="16"/>
      <c r="Q3121" s="16"/>
    </row>
    <row r="3122" spans="1:17" x14ac:dyDescent="0.3">
      <c r="A3122" s="5"/>
      <c r="B3122" s="6"/>
      <c r="C3122" s="7"/>
      <c r="D3122" s="10"/>
      <c r="F3122" s="1"/>
      <c r="G3122" s="1"/>
      <c r="H3122" s="1"/>
      <c r="I3122" s="7"/>
      <c r="J3122" s="12"/>
      <c r="K3122" s="13"/>
      <c r="L3122" s="14"/>
      <c r="M3122" s="15"/>
      <c r="N3122" s="15"/>
      <c r="O3122" s="16"/>
      <c r="Q3122" s="16"/>
    </row>
    <row r="3123" spans="1:17" x14ac:dyDescent="0.3">
      <c r="A3123" s="5"/>
      <c r="B3123" s="6"/>
      <c r="C3123" s="7"/>
      <c r="D3123" s="10"/>
      <c r="F3123" s="1"/>
      <c r="G3123" s="1"/>
      <c r="H3123" s="1"/>
      <c r="I3123" s="7"/>
      <c r="J3123" s="12"/>
      <c r="K3123" s="13"/>
      <c r="L3123" s="14"/>
      <c r="M3123" s="15"/>
      <c r="N3123" s="15"/>
      <c r="O3123" s="16"/>
      <c r="Q3123" s="16"/>
    </row>
    <row r="3124" spans="1:17" x14ac:dyDescent="0.3">
      <c r="A3124" s="5"/>
      <c r="B3124" s="6"/>
      <c r="C3124" s="7"/>
      <c r="D3124" s="10"/>
      <c r="F3124" s="1"/>
      <c r="G3124" s="1"/>
      <c r="H3124" s="1"/>
      <c r="I3124" s="7"/>
      <c r="J3124" s="12"/>
      <c r="K3124" s="13"/>
      <c r="L3124" s="14"/>
      <c r="M3124" s="15"/>
      <c r="N3124" s="15"/>
      <c r="O3124" s="16"/>
      <c r="Q3124" s="16"/>
    </row>
    <row r="3125" spans="1:17" x14ac:dyDescent="0.3">
      <c r="A3125" s="5"/>
      <c r="B3125" s="6"/>
      <c r="C3125" s="7"/>
      <c r="D3125" s="10"/>
      <c r="F3125" s="1"/>
      <c r="G3125" s="1"/>
      <c r="H3125" s="1"/>
      <c r="I3125" s="7"/>
      <c r="J3125" s="12"/>
      <c r="K3125" s="13"/>
      <c r="L3125" s="14"/>
      <c r="M3125" s="15"/>
      <c r="N3125" s="15"/>
      <c r="O3125" s="16"/>
      <c r="Q3125" s="16"/>
    </row>
    <row r="3126" spans="1:17" x14ac:dyDescent="0.3">
      <c r="A3126" s="5"/>
      <c r="B3126" s="6"/>
      <c r="C3126" s="7"/>
      <c r="D3126" s="10"/>
      <c r="F3126" s="1"/>
      <c r="G3126" s="1"/>
      <c r="H3126" s="1"/>
      <c r="I3126" s="7"/>
      <c r="J3126" s="12"/>
      <c r="K3126" s="13"/>
      <c r="L3126" s="14"/>
      <c r="M3126" s="15"/>
      <c r="N3126" s="15"/>
      <c r="O3126" s="16"/>
      <c r="Q3126" s="16"/>
    </row>
    <row r="3127" spans="1:17" x14ac:dyDescent="0.3">
      <c r="A3127" s="5"/>
      <c r="B3127" s="6"/>
      <c r="C3127" s="7"/>
      <c r="D3127" s="10"/>
      <c r="F3127" s="1"/>
      <c r="G3127" s="1"/>
      <c r="H3127" s="1"/>
      <c r="I3127" s="7"/>
      <c r="J3127" s="12"/>
      <c r="K3127" s="13"/>
      <c r="L3127" s="14"/>
      <c r="M3127" s="15"/>
      <c r="N3127" s="15"/>
      <c r="O3127" s="16"/>
      <c r="Q3127" s="16"/>
    </row>
    <row r="3128" spans="1:17" x14ac:dyDescent="0.3">
      <c r="A3128" s="5"/>
      <c r="B3128" s="6"/>
      <c r="C3128" s="7"/>
      <c r="D3128" s="10"/>
      <c r="F3128" s="1"/>
      <c r="G3128" s="1"/>
      <c r="H3128" s="1"/>
      <c r="I3128" s="7"/>
      <c r="J3128" s="12"/>
      <c r="K3128" s="13"/>
      <c r="L3128" s="14"/>
      <c r="M3128" s="15"/>
      <c r="N3128" s="15"/>
      <c r="O3128" s="16"/>
      <c r="Q3128" s="16"/>
    </row>
    <row r="3129" spans="1:17" x14ac:dyDescent="0.3">
      <c r="A3129" s="5"/>
      <c r="B3129" s="6"/>
      <c r="C3129" s="7"/>
      <c r="D3129" s="10"/>
      <c r="F3129" s="1"/>
      <c r="G3129" s="1"/>
      <c r="H3129" s="1"/>
      <c r="I3129" s="7"/>
      <c r="J3129" s="12"/>
      <c r="K3129" s="13"/>
      <c r="L3129" s="14"/>
      <c r="M3129" s="15"/>
      <c r="N3129" s="15"/>
      <c r="O3129" s="16"/>
      <c r="Q3129" s="16"/>
    </row>
    <row r="3130" spans="1:17" x14ac:dyDescent="0.3">
      <c r="A3130" s="5"/>
      <c r="B3130" s="6"/>
      <c r="C3130" s="7"/>
      <c r="D3130" s="10"/>
      <c r="F3130" s="1"/>
      <c r="G3130" s="1"/>
      <c r="H3130" s="1"/>
      <c r="I3130" s="7"/>
      <c r="J3130" s="12"/>
      <c r="K3130" s="13"/>
      <c r="L3130" s="14"/>
      <c r="M3130" s="15"/>
      <c r="N3130" s="15"/>
      <c r="O3130" s="16"/>
      <c r="Q3130" s="16"/>
    </row>
    <row r="3131" spans="1:17" x14ac:dyDescent="0.3">
      <c r="A3131" s="5"/>
      <c r="B3131" s="6"/>
      <c r="C3131" s="7"/>
      <c r="D3131" s="10"/>
      <c r="F3131" s="1"/>
      <c r="G3131" s="1"/>
      <c r="H3131" s="1"/>
      <c r="I3131" s="7"/>
      <c r="J3131" s="12"/>
      <c r="K3131" s="13"/>
      <c r="L3131" s="14"/>
      <c r="M3131" s="15"/>
      <c r="N3131" s="15"/>
      <c r="O3131" s="16"/>
      <c r="Q3131" s="16"/>
    </row>
    <row r="3132" spans="1:17" x14ac:dyDescent="0.3">
      <c r="A3132" s="5"/>
      <c r="B3132" s="6"/>
      <c r="C3132" s="7"/>
      <c r="D3132" s="10"/>
      <c r="F3132" s="1"/>
      <c r="G3132" s="1"/>
      <c r="H3132" s="1"/>
      <c r="I3132" s="7"/>
      <c r="J3132" s="12"/>
      <c r="K3132" s="13"/>
      <c r="L3132" s="14"/>
      <c r="M3132" s="15"/>
      <c r="N3132" s="15"/>
      <c r="O3132" s="16"/>
      <c r="Q3132" s="16"/>
    </row>
    <row r="3133" spans="1:17" x14ac:dyDescent="0.3">
      <c r="A3133" s="5"/>
      <c r="B3133" s="6"/>
      <c r="C3133" s="7"/>
      <c r="D3133" s="10"/>
      <c r="F3133" s="1"/>
      <c r="G3133" s="1"/>
      <c r="H3133" s="1"/>
      <c r="I3133" s="7"/>
      <c r="J3133" s="12"/>
      <c r="K3133" s="13"/>
      <c r="L3133" s="14"/>
      <c r="M3133" s="15"/>
      <c r="N3133" s="15"/>
      <c r="O3133" s="16"/>
      <c r="Q3133" s="16"/>
    </row>
    <row r="3134" spans="1:17" x14ac:dyDescent="0.3">
      <c r="A3134" s="5"/>
      <c r="B3134" s="6"/>
      <c r="C3134" s="7"/>
      <c r="D3134" s="10"/>
      <c r="F3134" s="1"/>
      <c r="G3134" s="1"/>
      <c r="H3134" s="1"/>
      <c r="I3134" s="7"/>
      <c r="J3134" s="12"/>
      <c r="K3134" s="13"/>
      <c r="L3134" s="14"/>
      <c r="M3134" s="15"/>
      <c r="N3134" s="15"/>
      <c r="O3134" s="16"/>
      <c r="Q3134" s="16"/>
    </row>
    <row r="3135" spans="1:17" x14ac:dyDescent="0.3">
      <c r="A3135" s="5"/>
      <c r="B3135" s="6"/>
      <c r="C3135" s="7"/>
      <c r="D3135" s="10"/>
      <c r="F3135" s="1"/>
      <c r="G3135" s="1"/>
      <c r="H3135" s="1"/>
      <c r="I3135" s="7"/>
      <c r="J3135" s="12"/>
      <c r="K3135" s="13"/>
      <c r="L3135" s="14"/>
      <c r="M3135" s="15"/>
      <c r="N3135" s="15"/>
      <c r="O3135" s="16"/>
      <c r="Q3135" s="16"/>
    </row>
    <row r="3136" spans="1:17" x14ac:dyDescent="0.3">
      <c r="A3136" s="5"/>
      <c r="B3136" s="6"/>
      <c r="C3136" s="7"/>
      <c r="D3136" s="10"/>
      <c r="F3136" s="1"/>
      <c r="G3136" s="1"/>
      <c r="H3136" s="1"/>
      <c r="I3136" s="7"/>
      <c r="J3136" s="12"/>
      <c r="K3136" s="13"/>
      <c r="L3136" s="14"/>
      <c r="M3136" s="15"/>
      <c r="N3136" s="15"/>
      <c r="O3136" s="16"/>
      <c r="Q3136" s="16"/>
    </row>
    <row r="3137" spans="1:17" x14ac:dyDescent="0.3">
      <c r="A3137" s="5"/>
      <c r="B3137" s="6"/>
      <c r="C3137" s="7"/>
      <c r="D3137" s="10"/>
      <c r="F3137" s="1"/>
      <c r="G3137" s="1"/>
      <c r="H3137" s="1"/>
      <c r="I3137" s="7"/>
      <c r="J3137" s="12"/>
      <c r="K3137" s="13"/>
      <c r="L3137" s="14"/>
      <c r="M3137" s="15"/>
      <c r="N3137" s="15"/>
      <c r="O3137" s="16"/>
      <c r="Q3137" s="16"/>
    </row>
    <row r="3138" spans="1:17" x14ac:dyDescent="0.3">
      <c r="A3138" s="5"/>
      <c r="B3138" s="6"/>
      <c r="C3138" s="7"/>
      <c r="D3138" s="10"/>
      <c r="F3138" s="1"/>
      <c r="G3138" s="1"/>
      <c r="H3138" s="1"/>
      <c r="I3138" s="7"/>
      <c r="J3138" s="12"/>
      <c r="K3138" s="13"/>
      <c r="L3138" s="14"/>
      <c r="M3138" s="15"/>
      <c r="N3138" s="15"/>
      <c r="O3138" s="16"/>
      <c r="Q3138" s="16"/>
    </row>
    <row r="3139" spans="1:17" x14ac:dyDescent="0.3">
      <c r="A3139" s="5"/>
      <c r="B3139" s="6"/>
      <c r="C3139" s="7"/>
      <c r="D3139" s="10"/>
      <c r="F3139" s="1"/>
      <c r="G3139" s="1"/>
      <c r="H3139" s="1"/>
      <c r="I3139" s="7"/>
      <c r="J3139" s="12"/>
      <c r="K3139" s="13"/>
      <c r="L3139" s="14"/>
      <c r="M3139" s="15"/>
      <c r="N3139" s="15"/>
      <c r="O3139" s="16"/>
      <c r="Q3139" s="16"/>
    </row>
    <row r="3140" spans="1:17" x14ac:dyDescent="0.3">
      <c r="A3140" s="5"/>
      <c r="B3140" s="6"/>
      <c r="C3140" s="7"/>
      <c r="D3140" s="10"/>
      <c r="F3140" s="1"/>
      <c r="G3140" s="1"/>
      <c r="H3140" s="1"/>
      <c r="I3140" s="7"/>
      <c r="J3140" s="12"/>
      <c r="K3140" s="13"/>
      <c r="L3140" s="14"/>
      <c r="M3140" s="15"/>
      <c r="N3140" s="15"/>
      <c r="O3140" s="16"/>
      <c r="Q3140" s="16"/>
    </row>
    <row r="3141" spans="1:17" x14ac:dyDescent="0.3">
      <c r="A3141" s="5"/>
      <c r="B3141" s="6"/>
      <c r="C3141" s="7"/>
      <c r="D3141" s="10"/>
      <c r="F3141" s="1"/>
      <c r="G3141" s="1"/>
      <c r="H3141" s="1"/>
      <c r="I3141" s="7"/>
      <c r="J3141" s="12"/>
      <c r="K3141" s="13"/>
      <c r="L3141" s="14"/>
      <c r="M3141" s="15"/>
      <c r="N3141" s="15"/>
      <c r="O3141" s="16"/>
      <c r="Q3141" s="16"/>
    </row>
    <row r="3142" spans="1:17" x14ac:dyDescent="0.3">
      <c r="A3142" s="5"/>
      <c r="B3142" s="6"/>
      <c r="C3142" s="7"/>
      <c r="D3142" s="10"/>
      <c r="F3142" s="1"/>
      <c r="G3142" s="1"/>
      <c r="H3142" s="1"/>
      <c r="I3142" s="7"/>
      <c r="J3142" s="12"/>
      <c r="K3142" s="13"/>
      <c r="L3142" s="14"/>
      <c r="M3142" s="15"/>
      <c r="N3142" s="15"/>
      <c r="O3142" s="16"/>
      <c r="Q3142" s="16"/>
    </row>
    <row r="3143" spans="1:17" x14ac:dyDescent="0.3">
      <c r="A3143" s="5"/>
      <c r="B3143" s="6"/>
      <c r="C3143" s="7"/>
      <c r="D3143" s="10"/>
      <c r="F3143" s="1"/>
      <c r="G3143" s="1"/>
      <c r="H3143" s="1"/>
      <c r="I3143" s="7"/>
      <c r="J3143" s="12"/>
      <c r="K3143" s="13"/>
      <c r="L3143" s="14"/>
      <c r="M3143" s="15"/>
      <c r="N3143" s="15"/>
      <c r="O3143" s="16"/>
      <c r="Q3143" s="16"/>
    </row>
    <row r="3144" spans="1:17" x14ac:dyDescent="0.3">
      <c r="A3144" s="5"/>
      <c r="B3144" s="6"/>
      <c r="C3144" s="7"/>
      <c r="D3144" s="10"/>
      <c r="F3144" s="1"/>
      <c r="G3144" s="1"/>
      <c r="H3144" s="1"/>
      <c r="I3144" s="7"/>
      <c r="J3144" s="12"/>
      <c r="K3144" s="13"/>
      <c r="L3144" s="14"/>
      <c r="M3144" s="15"/>
      <c r="N3144" s="15"/>
      <c r="O3144" s="16"/>
      <c r="Q3144" s="16"/>
    </row>
    <row r="3145" spans="1:17" x14ac:dyDescent="0.3">
      <c r="A3145" s="5"/>
      <c r="B3145" s="6"/>
      <c r="C3145" s="7"/>
      <c r="D3145" s="10"/>
      <c r="F3145" s="1"/>
      <c r="G3145" s="1"/>
      <c r="H3145" s="1"/>
      <c r="I3145" s="7"/>
      <c r="J3145" s="12"/>
      <c r="K3145" s="13"/>
      <c r="L3145" s="14"/>
      <c r="M3145" s="15"/>
      <c r="N3145" s="15"/>
      <c r="O3145" s="16"/>
      <c r="Q3145" s="16"/>
    </row>
    <row r="3146" spans="1:17" x14ac:dyDescent="0.3">
      <c r="A3146" s="5"/>
      <c r="B3146" s="6"/>
      <c r="C3146" s="7"/>
      <c r="D3146" s="10"/>
      <c r="F3146" s="1"/>
      <c r="G3146" s="1"/>
      <c r="H3146" s="1"/>
      <c r="I3146" s="7"/>
      <c r="J3146" s="12"/>
      <c r="K3146" s="13"/>
      <c r="L3146" s="14"/>
      <c r="M3146" s="15"/>
      <c r="N3146" s="15"/>
      <c r="O3146" s="16"/>
      <c r="Q3146" s="16"/>
    </row>
    <row r="3147" spans="1:17" x14ac:dyDescent="0.3">
      <c r="A3147" s="5"/>
      <c r="B3147" s="6"/>
      <c r="C3147" s="7"/>
      <c r="D3147" s="10"/>
      <c r="F3147" s="1"/>
      <c r="G3147" s="1"/>
      <c r="H3147" s="1"/>
      <c r="I3147" s="7"/>
      <c r="J3147" s="12"/>
      <c r="K3147" s="13"/>
      <c r="L3147" s="14"/>
      <c r="M3147" s="15"/>
      <c r="N3147" s="15"/>
      <c r="O3147" s="16"/>
      <c r="Q3147" s="16"/>
    </row>
    <row r="3148" spans="1:17" x14ac:dyDescent="0.3">
      <c r="A3148" s="5"/>
      <c r="B3148" s="6"/>
      <c r="C3148" s="7"/>
      <c r="D3148" s="10"/>
      <c r="F3148" s="1"/>
      <c r="G3148" s="1"/>
      <c r="H3148" s="1"/>
      <c r="I3148" s="7"/>
      <c r="J3148" s="12"/>
      <c r="K3148" s="13"/>
      <c r="L3148" s="14"/>
      <c r="M3148" s="15"/>
      <c r="N3148" s="15"/>
      <c r="O3148" s="16"/>
      <c r="Q3148" s="16"/>
    </row>
    <row r="3149" spans="1:17" x14ac:dyDescent="0.3">
      <c r="A3149" s="5"/>
      <c r="B3149" s="6"/>
      <c r="C3149" s="7"/>
      <c r="D3149" s="10"/>
      <c r="F3149" s="1"/>
      <c r="G3149" s="1"/>
      <c r="H3149" s="1"/>
      <c r="I3149" s="7"/>
      <c r="J3149" s="12"/>
      <c r="K3149" s="13"/>
      <c r="L3149" s="14"/>
      <c r="M3149" s="15"/>
      <c r="N3149" s="15"/>
      <c r="O3149" s="16"/>
      <c r="Q3149" s="16"/>
    </row>
    <row r="3150" spans="1:17" x14ac:dyDescent="0.3">
      <c r="A3150" s="5"/>
      <c r="B3150" s="6"/>
      <c r="C3150" s="7"/>
      <c r="D3150" s="10"/>
      <c r="F3150" s="1"/>
      <c r="G3150" s="1"/>
      <c r="H3150" s="1"/>
      <c r="I3150" s="7"/>
      <c r="J3150" s="12"/>
      <c r="K3150" s="13"/>
      <c r="L3150" s="14"/>
      <c r="M3150" s="15"/>
      <c r="N3150" s="15"/>
      <c r="O3150" s="16"/>
      <c r="Q3150" s="16"/>
    </row>
    <row r="3151" spans="1:17" x14ac:dyDescent="0.3">
      <c r="A3151" s="5"/>
      <c r="B3151" s="6"/>
      <c r="C3151" s="7"/>
      <c r="D3151" s="10"/>
      <c r="F3151" s="1"/>
      <c r="G3151" s="1"/>
      <c r="H3151" s="1"/>
      <c r="I3151" s="7"/>
      <c r="J3151" s="12"/>
      <c r="K3151" s="13"/>
      <c r="L3151" s="14"/>
      <c r="M3151" s="15"/>
      <c r="N3151" s="15"/>
      <c r="O3151" s="16"/>
      <c r="Q3151" s="16"/>
    </row>
    <row r="3152" spans="1:17" x14ac:dyDescent="0.3">
      <c r="A3152" s="5"/>
      <c r="B3152" s="6"/>
      <c r="C3152" s="7"/>
      <c r="D3152" s="10"/>
      <c r="F3152" s="1"/>
      <c r="G3152" s="1"/>
      <c r="H3152" s="1"/>
      <c r="I3152" s="7"/>
      <c r="J3152" s="12"/>
      <c r="K3152" s="13"/>
      <c r="L3152" s="14"/>
      <c r="M3152" s="15"/>
      <c r="N3152" s="15"/>
      <c r="O3152" s="16"/>
      <c r="Q3152" s="16"/>
    </row>
    <row r="3153" spans="1:17" x14ac:dyDescent="0.3">
      <c r="A3153" s="5"/>
      <c r="B3153" s="6"/>
      <c r="C3153" s="7"/>
      <c r="D3153" s="10"/>
      <c r="F3153" s="1"/>
      <c r="G3153" s="1"/>
      <c r="H3153" s="1"/>
      <c r="I3153" s="7"/>
      <c r="J3153" s="12"/>
      <c r="K3153" s="13"/>
      <c r="L3153" s="14"/>
      <c r="M3153" s="15"/>
      <c r="N3153" s="15"/>
      <c r="O3153" s="16"/>
      <c r="Q3153" s="16"/>
    </row>
    <row r="3154" spans="1:17" x14ac:dyDescent="0.3">
      <c r="A3154" s="5"/>
      <c r="B3154" s="6"/>
      <c r="C3154" s="7"/>
      <c r="D3154" s="10"/>
      <c r="F3154" s="1"/>
      <c r="G3154" s="1"/>
      <c r="H3154" s="1"/>
      <c r="I3154" s="7"/>
      <c r="J3154" s="12"/>
      <c r="K3154" s="13"/>
      <c r="L3154" s="14"/>
      <c r="M3154" s="15"/>
      <c r="N3154" s="15"/>
      <c r="O3154" s="16"/>
      <c r="Q3154" s="16"/>
    </row>
    <row r="3155" spans="1:17" x14ac:dyDescent="0.3">
      <c r="A3155" s="5"/>
      <c r="B3155" s="6"/>
      <c r="C3155" s="7"/>
      <c r="D3155" s="10"/>
      <c r="F3155" s="1"/>
      <c r="G3155" s="1"/>
      <c r="H3155" s="1"/>
      <c r="I3155" s="7"/>
      <c r="J3155" s="12"/>
      <c r="K3155" s="13"/>
      <c r="L3155" s="14"/>
      <c r="M3155" s="15"/>
      <c r="N3155" s="15"/>
      <c r="O3155" s="16"/>
      <c r="Q3155" s="16"/>
    </row>
    <row r="3156" spans="1:17" x14ac:dyDescent="0.3">
      <c r="A3156" s="5"/>
      <c r="B3156" s="6"/>
      <c r="C3156" s="7"/>
      <c r="D3156" s="10"/>
      <c r="F3156" s="1"/>
      <c r="G3156" s="1"/>
      <c r="H3156" s="1"/>
      <c r="I3156" s="7"/>
      <c r="J3156" s="12"/>
      <c r="K3156" s="13"/>
      <c r="L3156" s="14"/>
      <c r="M3156" s="15"/>
      <c r="N3156" s="15"/>
      <c r="O3156" s="16"/>
      <c r="Q3156" s="16"/>
    </row>
    <row r="3157" spans="1:17" x14ac:dyDescent="0.3">
      <c r="A3157" s="5"/>
      <c r="B3157" s="6"/>
      <c r="C3157" s="7"/>
      <c r="D3157" s="10"/>
      <c r="F3157" s="1"/>
      <c r="G3157" s="1"/>
      <c r="H3157" s="1"/>
      <c r="I3157" s="7"/>
      <c r="J3157" s="12"/>
      <c r="K3157" s="13"/>
      <c r="L3157" s="14"/>
      <c r="M3157" s="15"/>
      <c r="N3157" s="15"/>
      <c r="O3157" s="16"/>
      <c r="Q3157" s="16"/>
    </row>
    <row r="3158" spans="1:17" x14ac:dyDescent="0.3">
      <c r="A3158" s="5"/>
      <c r="B3158" s="6"/>
      <c r="C3158" s="7"/>
      <c r="D3158" s="10"/>
      <c r="F3158" s="1"/>
      <c r="G3158" s="1"/>
      <c r="H3158" s="1"/>
      <c r="I3158" s="7"/>
      <c r="J3158" s="12"/>
      <c r="K3158" s="13"/>
      <c r="L3158" s="14"/>
      <c r="M3158" s="15"/>
      <c r="N3158" s="15"/>
      <c r="O3158" s="16"/>
      <c r="Q3158" s="16"/>
    </row>
    <row r="3159" spans="1:17" x14ac:dyDescent="0.3">
      <c r="A3159" s="5"/>
      <c r="B3159" s="6"/>
      <c r="C3159" s="7"/>
      <c r="D3159" s="10"/>
      <c r="F3159" s="1"/>
      <c r="G3159" s="1"/>
      <c r="H3159" s="1"/>
      <c r="I3159" s="7"/>
      <c r="J3159" s="12"/>
      <c r="K3159" s="13"/>
      <c r="L3159" s="14"/>
      <c r="M3159" s="15"/>
      <c r="N3159" s="15"/>
      <c r="O3159" s="16"/>
      <c r="Q3159" s="16"/>
    </row>
    <row r="3160" spans="1:17" x14ac:dyDescent="0.3">
      <c r="A3160" s="5"/>
      <c r="B3160" s="6"/>
      <c r="C3160" s="7"/>
      <c r="D3160" s="10"/>
      <c r="F3160" s="1"/>
      <c r="G3160" s="1"/>
      <c r="H3160" s="1"/>
      <c r="I3160" s="7"/>
      <c r="J3160" s="12"/>
      <c r="K3160" s="13"/>
      <c r="L3160" s="14"/>
      <c r="M3160" s="15"/>
      <c r="N3160" s="15"/>
      <c r="O3160" s="16"/>
      <c r="Q3160" s="16"/>
    </row>
    <row r="3161" spans="1:17" x14ac:dyDescent="0.3">
      <c r="A3161" s="5"/>
      <c r="B3161" s="6"/>
      <c r="C3161" s="7"/>
      <c r="D3161" s="10"/>
      <c r="F3161" s="1"/>
      <c r="G3161" s="1"/>
      <c r="H3161" s="1"/>
      <c r="I3161" s="7"/>
      <c r="J3161" s="12"/>
      <c r="K3161" s="13"/>
      <c r="L3161" s="14"/>
      <c r="M3161" s="15"/>
      <c r="N3161" s="15"/>
      <c r="O3161" s="16"/>
      <c r="Q3161" s="16"/>
    </row>
    <row r="3162" spans="1:17" x14ac:dyDescent="0.3">
      <c r="A3162" s="5"/>
      <c r="B3162" s="6"/>
      <c r="C3162" s="7"/>
      <c r="D3162" s="10"/>
      <c r="F3162" s="1"/>
      <c r="G3162" s="1"/>
      <c r="H3162" s="1"/>
      <c r="I3162" s="7"/>
      <c r="J3162" s="12"/>
      <c r="K3162" s="13"/>
      <c r="L3162" s="14"/>
      <c r="M3162" s="15"/>
      <c r="N3162" s="15"/>
      <c r="O3162" s="16"/>
      <c r="Q3162" s="16"/>
    </row>
    <row r="3163" spans="1:17" x14ac:dyDescent="0.3">
      <c r="A3163" s="5"/>
      <c r="B3163" s="6"/>
      <c r="C3163" s="7"/>
      <c r="D3163" s="10"/>
      <c r="F3163" s="1"/>
      <c r="G3163" s="1"/>
      <c r="H3163" s="1"/>
      <c r="I3163" s="7"/>
      <c r="J3163" s="12"/>
      <c r="K3163" s="13"/>
      <c r="L3163" s="14"/>
      <c r="M3163" s="15"/>
      <c r="N3163" s="15"/>
      <c r="O3163" s="16"/>
      <c r="Q3163" s="16"/>
    </row>
    <row r="3164" spans="1:17" x14ac:dyDescent="0.3">
      <c r="A3164" s="5"/>
      <c r="B3164" s="6"/>
      <c r="C3164" s="7"/>
      <c r="D3164" s="10"/>
      <c r="F3164" s="1"/>
      <c r="G3164" s="1"/>
      <c r="H3164" s="1"/>
      <c r="I3164" s="7"/>
      <c r="J3164" s="12"/>
      <c r="K3164" s="13"/>
      <c r="L3164" s="14"/>
      <c r="M3164" s="15"/>
      <c r="N3164" s="15"/>
      <c r="O3164" s="16"/>
      <c r="Q3164" s="16"/>
    </row>
    <row r="3165" spans="1:17" x14ac:dyDescent="0.3">
      <c r="A3165" s="5"/>
      <c r="B3165" s="6"/>
      <c r="C3165" s="7"/>
      <c r="D3165" s="10"/>
      <c r="F3165" s="1"/>
      <c r="G3165" s="1"/>
      <c r="H3165" s="1"/>
      <c r="I3165" s="7"/>
      <c r="J3165" s="12"/>
      <c r="K3165" s="13"/>
      <c r="L3165" s="14"/>
      <c r="M3165" s="15"/>
      <c r="N3165" s="15"/>
      <c r="O3165" s="16"/>
      <c r="Q3165" s="16"/>
    </row>
    <row r="3166" spans="1:17" x14ac:dyDescent="0.3">
      <c r="A3166" s="5"/>
      <c r="B3166" s="6"/>
      <c r="C3166" s="7"/>
      <c r="D3166" s="10"/>
      <c r="F3166" s="1"/>
      <c r="G3166" s="1"/>
      <c r="H3166" s="1"/>
      <c r="I3166" s="7"/>
      <c r="J3166" s="12"/>
      <c r="K3166" s="13"/>
      <c r="L3166" s="14"/>
      <c r="M3166" s="15"/>
      <c r="N3166" s="15"/>
      <c r="O3166" s="16"/>
      <c r="Q3166" s="16"/>
    </row>
    <row r="3167" spans="1:17" x14ac:dyDescent="0.3">
      <c r="A3167" s="5"/>
      <c r="B3167" s="6"/>
      <c r="C3167" s="7"/>
      <c r="D3167" s="10"/>
      <c r="F3167" s="1"/>
      <c r="G3167" s="1"/>
      <c r="H3167" s="1"/>
      <c r="I3167" s="7"/>
      <c r="J3167" s="12"/>
      <c r="K3167" s="13"/>
      <c r="L3167" s="14"/>
      <c r="M3167" s="15"/>
      <c r="N3167" s="15"/>
      <c r="O3167" s="16"/>
      <c r="Q3167" s="16"/>
    </row>
    <row r="3168" spans="1:17" x14ac:dyDescent="0.3">
      <c r="A3168" s="5"/>
      <c r="B3168" s="6"/>
      <c r="C3168" s="7"/>
      <c r="D3168" s="10"/>
      <c r="F3168" s="1"/>
      <c r="G3168" s="1"/>
      <c r="H3168" s="1"/>
      <c r="I3168" s="7"/>
      <c r="J3168" s="12"/>
      <c r="K3168" s="13"/>
      <c r="L3168" s="14"/>
      <c r="M3168" s="15"/>
      <c r="N3168" s="15"/>
      <c r="O3168" s="16"/>
      <c r="Q3168" s="16"/>
    </row>
    <row r="3169" spans="1:17" x14ac:dyDescent="0.3">
      <c r="A3169" s="5"/>
      <c r="B3169" s="6"/>
      <c r="C3169" s="7"/>
      <c r="D3169" s="10"/>
      <c r="F3169" s="1"/>
      <c r="G3169" s="1"/>
      <c r="H3169" s="1"/>
      <c r="I3169" s="7"/>
      <c r="J3169" s="12"/>
      <c r="K3169" s="13"/>
      <c r="L3169" s="14"/>
      <c r="M3169" s="15"/>
      <c r="N3169" s="15"/>
      <c r="O3169" s="16"/>
      <c r="Q3169" s="16"/>
    </row>
    <row r="3170" spans="1:17" x14ac:dyDescent="0.3">
      <c r="A3170" s="5"/>
      <c r="B3170" s="6"/>
      <c r="C3170" s="7"/>
      <c r="D3170" s="10"/>
      <c r="F3170" s="1"/>
      <c r="G3170" s="1"/>
      <c r="H3170" s="1"/>
      <c r="I3170" s="7"/>
      <c r="J3170" s="12"/>
      <c r="K3170" s="13"/>
      <c r="L3170" s="14"/>
      <c r="M3170" s="15"/>
      <c r="N3170" s="15"/>
      <c r="O3170" s="16"/>
      <c r="Q3170" s="16"/>
    </row>
    <row r="3171" spans="1:17" x14ac:dyDescent="0.3">
      <c r="A3171" s="5"/>
      <c r="B3171" s="6"/>
      <c r="C3171" s="7"/>
      <c r="D3171" s="10"/>
      <c r="F3171" s="1"/>
      <c r="G3171" s="1"/>
      <c r="H3171" s="1"/>
      <c r="I3171" s="7"/>
      <c r="J3171" s="12"/>
      <c r="K3171" s="13"/>
      <c r="L3171" s="14"/>
      <c r="M3171" s="15"/>
      <c r="N3171" s="15"/>
      <c r="O3171" s="16"/>
      <c r="Q3171" s="16"/>
    </row>
    <row r="3172" spans="1:17" x14ac:dyDescent="0.3">
      <c r="A3172" s="5"/>
      <c r="B3172" s="6"/>
      <c r="C3172" s="7"/>
      <c r="D3172" s="10"/>
      <c r="F3172" s="1"/>
      <c r="G3172" s="1"/>
      <c r="H3172" s="1"/>
      <c r="I3172" s="7"/>
      <c r="J3172" s="12"/>
      <c r="K3172" s="13"/>
      <c r="L3172" s="14"/>
      <c r="M3172" s="15"/>
      <c r="N3172" s="15"/>
      <c r="O3172" s="16"/>
      <c r="Q3172" s="16"/>
    </row>
    <row r="3173" spans="1:17" x14ac:dyDescent="0.3">
      <c r="A3173" s="5"/>
      <c r="B3173" s="6"/>
      <c r="C3173" s="7"/>
      <c r="D3173" s="10"/>
      <c r="F3173" s="1"/>
      <c r="G3173" s="1"/>
      <c r="H3173" s="1"/>
      <c r="I3173" s="7"/>
      <c r="J3173" s="12"/>
      <c r="K3173" s="13"/>
      <c r="L3173" s="14"/>
      <c r="M3173" s="15"/>
      <c r="N3173" s="15"/>
      <c r="O3173" s="16"/>
      <c r="Q3173" s="16"/>
    </row>
    <row r="3174" spans="1:17" x14ac:dyDescent="0.3">
      <c r="A3174" s="5"/>
      <c r="B3174" s="6"/>
      <c r="C3174" s="7"/>
      <c r="D3174" s="10"/>
      <c r="F3174" s="1"/>
      <c r="G3174" s="1"/>
      <c r="H3174" s="1"/>
      <c r="I3174" s="7"/>
      <c r="J3174" s="12"/>
      <c r="K3174" s="13"/>
      <c r="L3174" s="14"/>
      <c r="M3174" s="15"/>
      <c r="N3174" s="15"/>
      <c r="O3174" s="16"/>
      <c r="Q3174" s="16"/>
    </row>
    <row r="3175" spans="1:17" x14ac:dyDescent="0.3">
      <c r="A3175" s="5"/>
      <c r="B3175" s="6"/>
      <c r="C3175" s="7"/>
      <c r="D3175" s="10"/>
      <c r="F3175" s="1"/>
      <c r="G3175" s="1"/>
      <c r="H3175" s="1"/>
      <c r="I3175" s="7"/>
      <c r="J3175" s="12"/>
      <c r="K3175" s="13"/>
      <c r="L3175" s="14"/>
      <c r="M3175" s="15"/>
      <c r="N3175" s="15"/>
      <c r="O3175" s="16"/>
      <c r="Q3175" s="16"/>
    </row>
    <row r="3176" spans="1:17" x14ac:dyDescent="0.3">
      <c r="A3176" s="5"/>
      <c r="B3176" s="6"/>
      <c r="C3176" s="7"/>
      <c r="D3176" s="10"/>
      <c r="F3176" s="1"/>
      <c r="G3176" s="1"/>
      <c r="H3176" s="1"/>
      <c r="I3176" s="7"/>
      <c r="J3176" s="12"/>
      <c r="K3176" s="13"/>
      <c r="L3176" s="14"/>
      <c r="M3176" s="15"/>
      <c r="N3176" s="15"/>
      <c r="O3176" s="16"/>
      <c r="Q3176" s="16"/>
    </row>
    <row r="3177" spans="1:17" x14ac:dyDescent="0.3">
      <c r="A3177" s="5"/>
      <c r="B3177" s="6"/>
      <c r="C3177" s="7"/>
      <c r="D3177" s="10"/>
      <c r="F3177" s="1"/>
      <c r="G3177" s="1"/>
      <c r="H3177" s="1"/>
      <c r="I3177" s="7"/>
      <c r="J3177" s="12"/>
      <c r="K3177" s="13"/>
      <c r="L3177" s="14"/>
      <c r="M3177" s="15"/>
      <c r="N3177" s="15"/>
      <c r="O3177" s="16"/>
      <c r="Q3177" s="16"/>
    </row>
    <row r="3178" spans="1:17" x14ac:dyDescent="0.3">
      <c r="A3178" s="5"/>
      <c r="B3178" s="6"/>
      <c r="C3178" s="7"/>
      <c r="D3178" s="10"/>
      <c r="F3178" s="1"/>
      <c r="G3178" s="1"/>
      <c r="H3178" s="1"/>
      <c r="I3178" s="7"/>
      <c r="J3178" s="12"/>
      <c r="K3178" s="13"/>
      <c r="L3178" s="14"/>
      <c r="M3178" s="15"/>
      <c r="N3178" s="15"/>
      <c r="O3178" s="16"/>
      <c r="Q3178" s="16"/>
    </row>
    <row r="3179" spans="1:17" x14ac:dyDescent="0.3">
      <c r="A3179" s="5"/>
      <c r="B3179" s="6"/>
      <c r="C3179" s="7"/>
      <c r="D3179" s="10"/>
      <c r="F3179" s="1"/>
      <c r="G3179" s="1"/>
      <c r="H3179" s="1"/>
      <c r="I3179" s="7"/>
      <c r="J3179" s="12"/>
      <c r="K3179" s="13"/>
      <c r="L3179" s="14"/>
      <c r="M3179" s="15"/>
      <c r="N3179" s="15"/>
      <c r="O3179" s="16"/>
      <c r="Q3179" s="16"/>
    </row>
    <row r="3180" spans="1:17" x14ac:dyDescent="0.3">
      <c r="A3180" s="5"/>
      <c r="B3180" s="6"/>
      <c r="C3180" s="7"/>
      <c r="D3180" s="10"/>
      <c r="F3180" s="1"/>
      <c r="G3180" s="1"/>
      <c r="H3180" s="1"/>
      <c r="I3180" s="7"/>
      <c r="J3180" s="12"/>
      <c r="K3180" s="13"/>
      <c r="L3180" s="14"/>
      <c r="M3180" s="15"/>
      <c r="N3180" s="15"/>
      <c r="O3180" s="16"/>
      <c r="Q3180" s="16"/>
    </row>
    <row r="3181" spans="1:17" x14ac:dyDescent="0.3">
      <c r="A3181" s="5"/>
      <c r="B3181" s="6"/>
      <c r="C3181" s="7"/>
      <c r="D3181" s="10"/>
      <c r="F3181" s="1"/>
      <c r="G3181" s="1"/>
      <c r="H3181" s="1"/>
      <c r="I3181" s="7"/>
      <c r="J3181" s="12"/>
      <c r="K3181" s="13"/>
      <c r="L3181" s="14"/>
      <c r="M3181" s="15"/>
      <c r="N3181" s="15"/>
      <c r="O3181" s="16"/>
      <c r="Q3181" s="16"/>
    </row>
    <row r="3182" spans="1:17" x14ac:dyDescent="0.3">
      <c r="A3182" s="5"/>
      <c r="B3182" s="6"/>
      <c r="C3182" s="7"/>
      <c r="D3182" s="10"/>
      <c r="F3182" s="1"/>
      <c r="G3182" s="1"/>
      <c r="H3182" s="1"/>
      <c r="I3182" s="7"/>
      <c r="J3182" s="12"/>
      <c r="K3182" s="13"/>
      <c r="L3182" s="14"/>
      <c r="M3182" s="15"/>
      <c r="N3182" s="15"/>
      <c r="O3182" s="16"/>
      <c r="Q3182" s="16"/>
    </row>
    <row r="3183" spans="1:17" x14ac:dyDescent="0.3">
      <c r="A3183" s="5"/>
      <c r="B3183" s="6"/>
      <c r="C3183" s="7"/>
      <c r="D3183" s="10"/>
      <c r="F3183" s="1"/>
      <c r="G3183" s="1"/>
      <c r="H3183" s="1"/>
      <c r="I3183" s="7"/>
      <c r="J3183" s="12"/>
      <c r="K3183" s="13"/>
      <c r="L3183" s="14"/>
      <c r="M3183" s="15"/>
      <c r="N3183" s="15"/>
      <c r="O3183" s="16"/>
      <c r="Q3183" s="16"/>
    </row>
    <row r="3184" spans="1:17" x14ac:dyDescent="0.3">
      <c r="A3184" s="5"/>
      <c r="B3184" s="6"/>
      <c r="C3184" s="7"/>
      <c r="D3184" s="10"/>
      <c r="F3184" s="1"/>
      <c r="G3184" s="1"/>
      <c r="H3184" s="1"/>
      <c r="I3184" s="7"/>
      <c r="J3184" s="12"/>
      <c r="K3184" s="13"/>
      <c r="L3184" s="14"/>
      <c r="M3184" s="15"/>
      <c r="N3184" s="15"/>
      <c r="O3184" s="16"/>
      <c r="Q3184" s="16"/>
    </row>
    <row r="3185" spans="1:17" x14ac:dyDescent="0.3">
      <c r="A3185" s="5"/>
      <c r="B3185" s="6"/>
      <c r="C3185" s="7"/>
      <c r="D3185" s="10"/>
      <c r="F3185" s="1"/>
      <c r="G3185" s="1"/>
      <c r="H3185" s="1"/>
      <c r="I3185" s="7"/>
      <c r="J3185" s="12"/>
      <c r="K3185" s="13"/>
      <c r="L3185" s="14"/>
      <c r="M3185" s="15"/>
      <c r="N3185" s="15"/>
      <c r="O3185" s="16"/>
      <c r="Q3185" s="16"/>
    </row>
    <row r="3186" spans="1:17" x14ac:dyDescent="0.3">
      <c r="A3186" s="5"/>
      <c r="B3186" s="6"/>
      <c r="C3186" s="7"/>
      <c r="D3186" s="10"/>
      <c r="F3186" s="1"/>
      <c r="G3186" s="1"/>
      <c r="H3186" s="1"/>
      <c r="I3186" s="7"/>
      <c r="J3186" s="12"/>
      <c r="K3186" s="13"/>
      <c r="L3186" s="14"/>
      <c r="M3186" s="15"/>
      <c r="N3186" s="15"/>
      <c r="O3186" s="16"/>
      <c r="Q3186" s="16"/>
    </row>
    <row r="3187" spans="1:17" x14ac:dyDescent="0.3">
      <c r="A3187" s="5"/>
      <c r="B3187" s="6"/>
      <c r="C3187" s="7"/>
      <c r="D3187" s="10"/>
      <c r="F3187" s="1"/>
      <c r="G3187" s="1"/>
      <c r="H3187" s="1"/>
      <c r="I3187" s="7"/>
      <c r="J3187" s="12"/>
      <c r="K3187" s="13"/>
      <c r="L3187" s="14"/>
      <c r="M3187" s="15"/>
      <c r="N3187" s="15"/>
      <c r="O3187" s="16"/>
      <c r="Q3187" s="16"/>
    </row>
    <row r="3188" spans="1:17" x14ac:dyDescent="0.3">
      <c r="A3188" s="5"/>
      <c r="B3188" s="6"/>
      <c r="C3188" s="7"/>
      <c r="D3188" s="10"/>
      <c r="F3188" s="1"/>
      <c r="G3188" s="1"/>
      <c r="H3188" s="1"/>
      <c r="I3188" s="7"/>
      <c r="J3188" s="12"/>
      <c r="K3188" s="13"/>
      <c r="L3188" s="14"/>
      <c r="M3188" s="15"/>
      <c r="N3188" s="15"/>
      <c r="O3188" s="16"/>
      <c r="Q3188" s="16"/>
    </row>
    <row r="3189" spans="1:17" x14ac:dyDescent="0.3">
      <c r="A3189" s="5"/>
      <c r="B3189" s="6"/>
      <c r="C3189" s="7"/>
      <c r="D3189" s="10"/>
      <c r="F3189" s="1"/>
      <c r="G3189" s="1"/>
      <c r="H3189" s="1"/>
      <c r="I3189" s="7"/>
      <c r="J3189" s="12"/>
      <c r="K3189" s="13"/>
      <c r="L3189" s="14"/>
      <c r="M3189" s="15"/>
      <c r="N3189" s="15"/>
      <c r="O3189" s="16"/>
      <c r="Q3189" s="16"/>
    </row>
    <row r="3190" spans="1:17" x14ac:dyDescent="0.3">
      <c r="A3190" s="5"/>
      <c r="B3190" s="6"/>
      <c r="C3190" s="7"/>
      <c r="D3190" s="10"/>
      <c r="F3190" s="1"/>
      <c r="G3190" s="1"/>
      <c r="H3190" s="1"/>
      <c r="I3190" s="7"/>
      <c r="J3190" s="12"/>
      <c r="K3190" s="13"/>
      <c r="L3190" s="14"/>
      <c r="M3190" s="15"/>
      <c r="N3190" s="15"/>
      <c r="O3190" s="16"/>
      <c r="Q3190" s="16"/>
    </row>
    <row r="3191" spans="1:17" x14ac:dyDescent="0.3">
      <c r="A3191" s="5"/>
      <c r="B3191" s="6"/>
      <c r="C3191" s="7"/>
      <c r="D3191" s="10"/>
      <c r="F3191" s="1"/>
      <c r="G3191" s="1"/>
      <c r="H3191" s="1"/>
      <c r="I3191" s="7"/>
      <c r="J3191" s="12"/>
      <c r="K3191" s="13"/>
      <c r="L3191" s="14"/>
      <c r="M3191" s="15"/>
      <c r="N3191" s="15"/>
      <c r="O3191" s="16"/>
      <c r="Q3191" s="16"/>
    </row>
    <row r="3192" spans="1:17" x14ac:dyDescent="0.3">
      <c r="A3192" s="5"/>
      <c r="B3192" s="6"/>
      <c r="C3192" s="7"/>
      <c r="D3192" s="10"/>
      <c r="F3192" s="1"/>
      <c r="G3192" s="1"/>
      <c r="H3192" s="1"/>
      <c r="I3192" s="7"/>
      <c r="J3192" s="12"/>
      <c r="K3192" s="13"/>
      <c r="L3192" s="14"/>
      <c r="M3192" s="15"/>
      <c r="N3192" s="15"/>
      <c r="O3192" s="16"/>
      <c r="Q3192" s="16"/>
    </row>
    <row r="3193" spans="1:17" x14ac:dyDescent="0.3">
      <c r="A3193" s="5"/>
      <c r="B3193" s="6"/>
      <c r="C3193" s="7"/>
      <c r="D3193" s="10"/>
      <c r="F3193" s="1"/>
      <c r="G3193" s="1"/>
      <c r="H3193" s="1"/>
      <c r="I3193" s="7"/>
      <c r="J3193" s="12"/>
      <c r="K3193" s="13"/>
      <c r="L3193" s="14"/>
      <c r="M3193" s="15"/>
      <c r="N3193" s="15"/>
      <c r="O3193" s="16"/>
      <c r="Q3193" s="16"/>
    </row>
    <row r="3194" spans="1:17" x14ac:dyDescent="0.3">
      <c r="A3194" s="5"/>
      <c r="B3194" s="6"/>
      <c r="C3194" s="7"/>
      <c r="D3194" s="10"/>
      <c r="F3194" s="1"/>
      <c r="G3194" s="1"/>
      <c r="H3194" s="1"/>
      <c r="I3194" s="7"/>
      <c r="J3194" s="12"/>
      <c r="K3194" s="13"/>
      <c r="L3194" s="14"/>
      <c r="M3194" s="15"/>
      <c r="N3194" s="15"/>
      <c r="O3194" s="16"/>
      <c r="Q3194" s="16"/>
    </row>
    <row r="3195" spans="1:17" x14ac:dyDescent="0.3">
      <c r="A3195" s="5"/>
      <c r="B3195" s="6"/>
      <c r="C3195" s="7"/>
      <c r="D3195" s="10"/>
      <c r="F3195" s="1"/>
      <c r="G3195" s="1"/>
      <c r="H3195" s="1"/>
      <c r="I3195" s="7"/>
      <c r="J3195" s="12"/>
      <c r="K3195" s="13"/>
      <c r="L3195" s="14"/>
      <c r="M3195" s="15"/>
      <c r="N3195" s="15"/>
      <c r="O3195" s="16"/>
      <c r="Q3195" s="16"/>
    </row>
    <row r="3196" spans="1:17" x14ac:dyDescent="0.3">
      <c r="A3196" s="5"/>
      <c r="B3196" s="6"/>
      <c r="C3196" s="7"/>
      <c r="D3196" s="10"/>
      <c r="F3196" s="1"/>
      <c r="G3196" s="1"/>
      <c r="H3196" s="1"/>
      <c r="I3196" s="7"/>
      <c r="J3196" s="12"/>
      <c r="K3196" s="13"/>
      <c r="L3196" s="14"/>
      <c r="M3196" s="15"/>
      <c r="N3196" s="15"/>
      <c r="O3196" s="16"/>
      <c r="Q3196" s="16"/>
    </row>
    <row r="3197" spans="1:17" x14ac:dyDescent="0.3">
      <c r="A3197" s="5"/>
      <c r="B3197" s="6"/>
      <c r="C3197" s="7"/>
      <c r="D3197" s="10"/>
      <c r="F3197" s="1"/>
      <c r="G3197" s="1"/>
      <c r="H3197" s="1"/>
      <c r="I3197" s="7"/>
      <c r="J3197" s="12"/>
      <c r="K3197" s="13"/>
      <c r="L3197" s="14"/>
      <c r="M3197" s="15"/>
      <c r="N3197" s="15"/>
      <c r="O3197" s="16"/>
      <c r="Q3197" s="16"/>
    </row>
    <row r="3198" spans="1:17" x14ac:dyDescent="0.3">
      <c r="A3198" s="5"/>
      <c r="B3198" s="6"/>
      <c r="C3198" s="7"/>
      <c r="D3198" s="10"/>
      <c r="F3198" s="1"/>
      <c r="G3198" s="1"/>
      <c r="H3198" s="1"/>
      <c r="I3198" s="7"/>
      <c r="J3198" s="12"/>
      <c r="K3198" s="13"/>
      <c r="L3198" s="14"/>
      <c r="M3198" s="15"/>
      <c r="N3198" s="15"/>
      <c r="O3198" s="16"/>
      <c r="Q3198" s="16"/>
    </row>
    <row r="3199" spans="1:17" x14ac:dyDescent="0.3">
      <c r="A3199" s="5"/>
      <c r="B3199" s="6"/>
      <c r="C3199" s="7"/>
      <c r="D3199" s="10"/>
      <c r="F3199" s="1"/>
      <c r="G3199" s="1"/>
      <c r="H3199" s="1"/>
      <c r="I3199" s="7"/>
      <c r="J3199" s="12"/>
      <c r="K3199" s="13"/>
      <c r="L3199" s="14"/>
      <c r="M3199" s="15"/>
      <c r="N3199" s="15"/>
      <c r="O3199" s="16"/>
      <c r="Q3199" s="16"/>
    </row>
    <row r="3200" spans="1:17" x14ac:dyDescent="0.3">
      <c r="A3200" s="5"/>
      <c r="B3200" s="6"/>
      <c r="C3200" s="7"/>
      <c r="D3200" s="10"/>
      <c r="F3200" s="1"/>
      <c r="G3200" s="1"/>
      <c r="H3200" s="1"/>
      <c r="I3200" s="7"/>
      <c r="J3200" s="12"/>
      <c r="K3200" s="13"/>
      <c r="L3200" s="14"/>
      <c r="M3200" s="15"/>
      <c r="N3200" s="15"/>
      <c r="O3200" s="16"/>
      <c r="Q3200" s="16"/>
    </row>
    <row r="3201" spans="1:17" x14ac:dyDescent="0.3">
      <c r="A3201" s="5"/>
      <c r="B3201" s="6"/>
      <c r="C3201" s="7"/>
      <c r="D3201" s="10"/>
      <c r="F3201" s="1"/>
      <c r="G3201" s="1"/>
      <c r="H3201" s="1"/>
      <c r="I3201" s="7"/>
      <c r="J3201" s="12"/>
      <c r="K3201" s="13"/>
      <c r="L3201" s="14"/>
      <c r="M3201" s="15"/>
      <c r="N3201" s="15"/>
      <c r="O3201" s="16"/>
      <c r="Q3201" s="16"/>
    </row>
    <row r="3202" spans="1:17" x14ac:dyDescent="0.3">
      <c r="A3202" s="5"/>
      <c r="B3202" s="6"/>
      <c r="C3202" s="7"/>
      <c r="D3202" s="10"/>
      <c r="F3202" s="1"/>
      <c r="G3202" s="1"/>
      <c r="H3202" s="1"/>
      <c r="I3202" s="7"/>
      <c r="J3202" s="12"/>
      <c r="K3202" s="13"/>
      <c r="L3202" s="14"/>
      <c r="M3202" s="15"/>
      <c r="N3202" s="15"/>
      <c r="O3202" s="16"/>
      <c r="Q3202" s="16"/>
    </row>
    <row r="3203" spans="1:17" x14ac:dyDescent="0.3">
      <c r="A3203" s="5"/>
      <c r="B3203" s="6"/>
      <c r="C3203" s="7"/>
      <c r="D3203" s="10"/>
      <c r="F3203" s="1"/>
      <c r="G3203" s="1"/>
      <c r="H3203" s="1"/>
      <c r="I3203" s="7"/>
      <c r="J3203" s="12"/>
      <c r="K3203" s="13"/>
      <c r="L3203" s="14"/>
      <c r="M3203" s="15"/>
      <c r="N3203" s="15"/>
      <c r="O3203" s="16"/>
      <c r="Q3203" s="16"/>
    </row>
    <row r="3204" spans="1:17" x14ac:dyDescent="0.3">
      <c r="A3204" s="5"/>
      <c r="B3204" s="6"/>
      <c r="C3204" s="7"/>
      <c r="D3204" s="10"/>
      <c r="F3204" s="1"/>
      <c r="G3204" s="1"/>
      <c r="H3204" s="1"/>
      <c r="I3204" s="7"/>
      <c r="J3204" s="12"/>
      <c r="K3204" s="13"/>
      <c r="L3204" s="14"/>
      <c r="M3204" s="15"/>
      <c r="N3204" s="15"/>
      <c r="O3204" s="16"/>
      <c r="Q3204" s="16"/>
    </row>
    <row r="3205" spans="1:17" x14ac:dyDescent="0.3">
      <c r="A3205" s="5"/>
      <c r="B3205" s="6"/>
      <c r="C3205" s="7"/>
      <c r="D3205" s="10"/>
      <c r="F3205" s="1"/>
      <c r="G3205" s="1"/>
      <c r="H3205" s="1"/>
      <c r="I3205" s="7"/>
      <c r="J3205" s="12"/>
      <c r="K3205" s="13"/>
      <c r="L3205" s="14"/>
      <c r="M3205" s="15"/>
      <c r="N3205" s="15"/>
      <c r="O3205" s="16"/>
      <c r="Q3205" s="16"/>
    </row>
    <row r="3206" spans="1:17" x14ac:dyDescent="0.3">
      <c r="A3206" s="5"/>
      <c r="B3206" s="6"/>
      <c r="C3206" s="7"/>
      <c r="D3206" s="10"/>
      <c r="F3206" s="1"/>
      <c r="G3206" s="1"/>
      <c r="H3206" s="1"/>
      <c r="I3206" s="7"/>
      <c r="J3206" s="12"/>
      <c r="K3206" s="13"/>
      <c r="L3206" s="14"/>
      <c r="M3206" s="15"/>
      <c r="N3206" s="15"/>
      <c r="O3206" s="16"/>
      <c r="Q3206" s="16"/>
    </row>
    <row r="3207" spans="1:17" x14ac:dyDescent="0.3">
      <c r="A3207" s="5"/>
      <c r="B3207" s="6"/>
      <c r="C3207" s="7"/>
      <c r="D3207" s="10"/>
      <c r="F3207" s="1"/>
      <c r="G3207" s="1"/>
      <c r="H3207" s="1"/>
      <c r="I3207" s="7"/>
      <c r="J3207" s="12"/>
      <c r="K3207" s="13"/>
      <c r="L3207" s="14"/>
      <c r="M3207" s="15"/>
      <c r="N3207" s="15"/>
      <c r="O3207" s="16"/>
      <c r="Q3207" s="16"/>
    </row>
    <row r="3208" spans="1:17" x14ac:dyDescent="0.3">
      <c r="A3208" s="5"/>
      <c r="B3208" s="6"/>
      <c r="C3208" s="7"/>
      <c r="D3208" s="10"/>
      <c r="F3208" s="1"/>
      <c r="G3208" s="1"/>
      <c r="H3208" s="1"/>
      <c r="I3208" s="7"/>
      <c r="J3208" s="12"/>
      <c r="K3208" s="13"/>
      <c r="L3208" s="14"/>
      <c r="M3208" s="15"/>
      <c r="N3208" s="15"/>
      <c r="O3208" s="16"/>
      <c r="Q3208" s="16"/>
    </row>
    <row r="3209" spans="1:17" x14ac:dyDescent="0.3">
      <c r="A3209" s="5"/>
      <c r="B3209" s="6"/>
      <c r="C3209" s="7"/>
      <c r="D3209" s="10"/>
      <c r="F3209" s="1"/>
      <c r="G3209" s="1"/>
      <c r="H3209" s="1"/>
      <c r="I3209" s="7"/>
      <c r="J3209" s="12"/>
      <c r="K3209" s="13"/>
      <c r="L3209" s="14"/>
      <c r="M3209" s="15"/>
      <c r="N3209" s="15"/>
      <c r="O3209" s="16"/>
      <c r="Q3209" s="16"/>
    </row>
    <row r="3210" spans="1:17" x14ac:dyDescent="0.3">
      <c r="A3210" s="5"/>
      <c r="B3210" s="6"/>
      <c r="C3210" s="7"/>
      <c r="D3210" s="10"/>
      <c r="F3210" s="1"/>
      <c r="G3210" s="1"/>
      <c r="H3210" s="1"/>
      <c r="I3210" s="7"/>
      <c r="J3210" s="12"/>
      <c r="K3210" s="13"/>
      <c r="L3210" s="14"/>
      <c r="M3210" s="15"/>
      <c r="N3210" s="15"/>
      <c r="O3210" s="16"/>
      <c r="Q3210" s="16"/>
    </row>
    <row r="3211" spans="1:17" x14ac:dyDescent="0.3">
      <c r="A3211" s="5"/>
      <c r="B3211" s="6"/>
      <c r="C3211" s="7"/>
      <c r="D3211" s="10"/>
      <c r="F3211" s="1"/>
      <c r="G3211" s="1"/>
      <c r="H3211" s="1"/>
      <c r="I3211" s="7"/>
      <c r="J3211" s="12"/>
      <c r="K3211" s="13"/>
      <c r="L3211" s="14"/>
      <c r="M3211" s="15"/>
      <c r="N3211" s="15"/>
      <c r="O3211" s="16"/>
      <c r="Q3211" s="16"/>
    </row>
    <row r="3212" spans="1:17" x14ac:dyDescent="0.3">
      <c r="A3212" s="5"/>
      <c r="B3212" s="6"/>
      <c r="C3212" s="7"/>
      <c r="D3212" s="10"/>
      <c r="F3212" s="1"/>
      <c r="G3212" s="1"/>
      <c r="H3212" s="1"/>
      <c r="I3212" s="7"/>
      <c r="J3212" s="12"/>
      <c r="K3212" s="13"/>
      <c r="L3212" s="14"/>
      <c r="M3212" s="15"/>
      <c r="N3212" s="15"/>
      <c r="O3212" s="16"/>
      <c r="Q3212" s="16"/>
    </row>
    <row r="3213" spans="1:17" x14ac:dyDescent="0.3">
      <c r="A3213" s="5"/>
      <c r="B3213" s="6"/>
      <c r="C3213" s="7"/>
      <c r="D3213" s="10"/>
      <c r="F3213" s="1"/>
      <c r="G3213" s="1"/>
      <c r="H3213" s="1"/>
      <c r="I3213" s="7"/>
      <c r="J3213" s="12"/>
      <c r="K3213" s="13"/>
      <c r="L3213" s="14"/>
      <c r="M3213" s="15"/>
      <c r="N3213" s="15"/>
      <c r="O3213" s="16"/>
      <c r="Q3213" s="16"/>
    </row>
    <row r="3214" spans="1:17" x14ac:dyDescent="0.3">
      <c r="A3214" s="5"/>
      <c r="B3214" s="6"/>
      <c r="C3214" s="7"/>
      <c r="D3214" s="10"/>
      <c r="F3214" s="1"/>
      <c r="G3214" s="1"/>
      <c r="H3214" s="1"/>
      <c r="I3214" s="7"/>
      <c r="J3214" s="12"/>
      <c r="K3214" s="13"/>
      <c r="L3214" s="14"/>
      <c r="M3214" s="15"/>
      <c r="N3214" s="15"/>
      <c r="O3214" s="16"/>
      <c r="Q3214" s="16"/>
    </row>
    <row r="3215" spans="1:17" x14ac:dyDescent="0.3">
      <c r="A3215" s="5"/>
      <c r="B3215" s="6"/>
      <c r="C3215" s="7"/>
      <c r="D3215" s="10"/>
      <c r="F3215" s="1"/>
      <c r="G3215" s="1"/>
      <c r="H3215" s="1"/>
      <c r="I3215" s="7"/>
      <c r="J3215" s="12"/>
      <c r="K3215" s="13"/>
      <c r="L3215" s="14"/>
      <c r="M3215" s="15"/>
      <c r="N3215" s="15"/>
      <c r="O3215" s="16"/>
      <c r="Q3215" s="16"/>
    </row>
    <row r="3216" spans="1:17" x14ac:dyDescent="0.3">
      <c r="A3216" s="5"/>
      <c r="B3216" s="6"/>
      <c r="C3216" s="7"/>
      <c r="D3216" s="10"/>
      <c r="F3216" s="1"/>
      <c r="G3216" s="1"/>
      <c r="H3216" s="1"/>
      <c r="I3216" s="7"/>
      <c r="J3216" s="12"/>
      <c r="K3216" s="13"/>
      <c r="L3216" s="14"/>
      <c r="M3216" s="15"/>
      <c r="N3216" s="15"/>
      <c r="O3216" s="16"/>
      <c r="Q3216" s="16"/>
    </row>
    <row r="3217" spans="1:17" x14ac:dyDescent="0.3">
      <c r="A3217" s="5"/>
      <c r="B3217" s="6"/>
      <c r="C3217" s="7"/>
      <c r="D3217" s="10"/>
      <c r="F3217" s="1"/>
      <c r="G3217" s="1"/>
      <c r="H3217" s="1"/>
      <c r="I3217" s="7"/>
      <c r="J3217" s="12"/>
      <c r="K3217" s="13"/>
      <c r="L3217" s="14"/>
      <c r="M3217" s="15"/>
      <c r="N3217" s="15"/>
      <c r="O3217" s="16"/>
      <c r="Q3217" s="16"/>
    </row>
    <row r="3218" spans="1:17" x14ac:dyDescent="0.3">
      <c r="A3218" s="5"/>
      <c r="B3218" s="6"/>
      <c r="C3218" s="7"/>
      <c r="D3218" s="10"/>
      <c r="F3218" s="1"/>
      <c r="G3218" s="1"/>
      <c r="H3218" s="1"/>
      <c r="I3218" s="7"/>
      <c r="J3218" s="12"/>
      <c r="K3218" s="13"/>
      <c r="L3218" s="14"/>
      <c r="M3218" s="15"/>
      <c r="N3218" s="15"/>
      <c r="O3218" s="16"/>
      <c r="Q3218" s="16"/>
    </row>
    <row r="3219" spans="1:17" x14ac:dyDescent="0.3">
      <c r="A3219" s="5"/>
      <c r="B3219" s="6"/>
      <c r="C3219" s="7"/>
      <c r="D3219" s="10"/>
      <c r="F3219" s="1"/>
      <c r="G3219" s="1"/>
      <c r="H3219" s="1"/>
      <c r="I3219" s="7"/>
      <c r="J3219" s="12"/>
      <c r="K3219" s="13"/>
      <c r="L3219" s="14"/>
      <c r="M3219" s="15"/>
      <c r="N3219" s="15"/>
      <c r="O3219" s="16"/>
      <c r="Q3219" s="16"/>
    </row>
    <row r="3220" spans="1:17" x14ac:dyDescent="0.3">
      <c r="A3220" s="5"/>
      <c r="B3220" s="6"/>
      <c r="C3220" s="7"/>
      <c r="D3220" s="10"/>
      <c r="F3220" s="1"/>
      <c r="G3220" s="1"/>
      <c r="H3220" s="1"/>
      <c r="I3220" s="7"/>
      <c r="J3220" s="12"/>
      <c r="K3220" s="13"/>
      <c r="L3220" s="14"/>
      <c r="M3220" s="15"/>
      <c r="N3220" s="15"/>
      <c r="O3220" s="16"/>
      <c r="Q3220" s="16"/>
    </row>
    <row r="3221" spans="1:17" x14ac:dyDescent="0.3">
      <c r="A3221" s="5"/>
      <c r="B3221" s="6"/>
      <c r="C3221" s="7"/>
      <c r="D3221" s="10"/>
      <c r="F3221" s="1"/>
      <c r="G3221" s="1"/>
      <c r="H3221" s="1"/>
      <c r="I3221" s="7"/>
      <c r="J3221" s="12"/>
      <c r="K3221" s="13"/>
      <c r="L3221" s="14"/>
      <c r="M3221" s="15"/>
      <c r="N3221" s="15"/>
      <c r="O3221" s="16"/>
      <c r="Q3221" s="16"/>
    </row>
    <row r="3222" spans="1:17" x14ac:dyDescent="0.3">
      <c r="A3222" s="5"/>
      <c r="B3222" s="6"/>
      <c r="C3222" s="7"/>
      <c r="D3222" s="10"/>
      <c r="F3222" s="1"/>
      <c r="G3222" s="1"/>
      <c r="H3222" s="1"/>
      <c r="I3222" s="7"/>
      <c r="J3222" s="12"/>
      <c r="K3222" s="13"/>
      <c r="L3222" s="14"/>
      <c r="M3222" s="15"/>
      <c r="N3222" s="15"/>
      <c r="O3222" s="16"/>
      <c r="Q3222" s="16"/>
    </row>
    <row r="3223" spans="1:17" x14ac:dyDescent="0.3">
      <c r="A3223" s="5"/>
      <c r="B3223" s="6"/>
      <c r="C3223" s="7"/>
      <c r="D3223" s="10"/>
      <c r="F3223" s="1"/>
      <c r="G3223" s="1"/>
      <c r="H3223" s="1"/>
      <c r="I3223" s="7"/>
      <c r="J3223" s="12"/>
      <c r="K3223" s="13"/>
      <c r="L3223" s="14"/>
      <c r="M3223" s="15"/>
      <c r="N3223" s="15"/>
      <c r="O3223" s="16"/>
      <c r="Q3223" s="16"/>
    </row>
    <row r="3224" spans="1:17" x14ac:dyDescent="0.3">
      <c r="A3224" s="5"/>
      <c r="B3224" s="6"/>
      <c r="C3224" s="7"/>
      <c r="D3224" s="10"/>
      <c r="F3224" s="1"/>
      <c r="G3224" s="1"/>
      <c r="H3224" s="1"/>
      <c r="I3224" s="7"/>
      <c r="J3224" s="12"/>
      <c r="K3224" s="13"/>
      <c r="L3224" s="14"/>
      <c r="M3224" s="15"/>
      <c r="N3224" s="15"/>
      <c r="O3224" s="16"/>
      <c r="Q3224" s="16"/>
    </row>
    <row r="3225" spans="1:17" x14ac:dyDescent="0.3">
      <c r="A3225" s="5"/>
      <c r="B3225" s="6"/>
      <c r="C3225" s="7"/>
      <c r="D3225" s="10"/>
      <c r="F3225" s="1"/>
      <c r="G3225" s="1"/>
      <c r="H3225" s="1"/>
      <c r="I3225" s="7"/>
      <c r="J3225" s="12"/>
      <c r="K3225" s="13"/>
      <c r="L3225" s="14"/>
      <c r="M3225" s="15"/>
      <c r="N3225" s="15"/>
      <c r="O3225" s="16"/>
      <c r="Q3225" s="16"/>
    </row>
    <row r="3226" spans="1:17" x14ac:dyDescent="0.3">
      <c r="A3226" s="5"/>
      <c r="B3226" s="6"/>
      <c r="C3226" s="7"/>
      <c r="D3226" s="10"/>
      <c r="F3226" s="1"/>
      <c r="G3226" s="1"/>
      <c r="H3226" s="1"/>
      <c r="I3226" s="7"/>
      <c r="J3226" s="12"/>
      <c r="K3226" s="13"/>
      <c r="L3226" s="14"/>
      <c r="M3226" s="15"/>
      <c r="N3226" s="15"/>
      <c r="O3226" s="16"/>
      <c r="Q3226" s="16"/>
    </row>
    <row r="3227" spans="1:17" x14ac:dyDescent="0.3">
      <c r="A3227" s="5"/>
      <c r="B3227" s="6"/>
      <c r="C3227" s="7"/>
      <c r="D3227" s="10"/>
      <c r="F3227" s="1"/>
      <c r="G3227" s="1"/>
      <c r="H3227" s="1"/>
      <c r="I3227" s="7"/>
      <c r="J3227" s="12"/>
      <c r="K3227" s="13"/>
      <c r="L3227" s="14"/>
      <c r="M3227" s="15"/>
      <c r="N3227" s="15"/>
      <c r="O3227" s="16"/>
      <c r="Q3227" s="16"/>
    </row>
    <row r="3228" spans="1:17" x14ac:dyDescent="0.3">
      <c r="A3228" s="5"/>
      <c r="B3228" s="6"/>
      <c r="C3228" s="7"/>
      <c r="D3228" s="10"/>
      <c r="F3228" s="1"/>
      <c r="G3228" s="1"/>
      <c r="H3228" s="1"/>
      <c r="I3228" s="7"/>
      <c r="J3228" s="12"/>
      <c r="K3228" s="13"/>
      <c r="L3228" s="14"/>
      <c r="M3228" s="15"/>
      <c r="N3228" s="15"/>
      <c r="O3228" s="16"/>
      <c r="Q3228" s="16"/>
    </row>
    <row r="3229" spans="1:17" x14ac:dyDescent="0.3">
      <c r="A3229" s="5"/>
      <c r="B3229" s="6"/>
      <c r="C3229" s="7"/>
      <c r="D3229" s="10"/>
      <c r="F3229" s="1"/>
      <c r="G3229" s="1"/>
      <c r="H3229" s="1"/>
      <c r="I3229" s="7"/>
      <c r="J3229" s="12"/>
      <c r="K3229" s="13"/>
      <c r="L3229" s="14"/>
      <c r="M3229" s="15"/>
      <c r="N3229" s="15"/>
      <c r="O3229" s="16"/>
      <c r="Q3229" s="16"/>
    </row>
    <row r="3230" spans="1:17" x14ac:dyDescent="0.3">
      <c r="A3230" s="5"/>
      <c r="B3230" s="6"/>
      <c r="C3230" s="7"/>
      <c r="D3230" s="10"/>
      <c r="F3230" s="1"/>
      <c r="G3230" s="1"/>
      <c r="H3230" s="1"/>
      <c r="I3230" s="7"/>
      <c r="J3230" s="12"/>
      <c r="K3230" s="13"/>
      <c r="L3230" s="14"/>
      <c r="M3230" s="15"/>
      <c r="N3230" s="15"/>
      <c r="O3230" s="16"/>
      <c r="Q3230" s="16"/>
    </row>
    <row r="3231" spans="1:17" x14ac:dyDescent="0.3">
      <c r="A3231" s="5"/>
      <c r="B3231" s="6"/>
      <c r="C3231" s="7"/>
      <c r="D3231" s="10"/>
      <c r="F3231" s="1"/>
      <c r="G3231" s="1"/>
      <c r="H3231" s="1"/>
      <c r="I3231" s="7"/>
      <c r="J3231" s="12"/>
      <c r="K3231" s="13"/>
      <c r="L3231" s="14"/>
      <c r="M3231" s="15"/>
      <c r="N3231" s="15"/>
      <c r="O3231" s="16"/>
      <c r="Q3231" s="16"/>
    </row>
    <row r="3232" spans="1:17" x14ac:dyDescent="0.3">
      <c r="A3232" s="5"/>
      <c r="B3232" s="6"/>
      <c r="C3232" s="7"/>
      <c r="D3232" s="10"/>
      <c r="F3232" s="1"/>
      <c r="G3232" s="1"/>
      <c r="H3232" s="1"/>
      <c r="I3232" s="7"/>
      <c r="J3232" s="12"/>
      <c r="K3232" s="13"/>
      <c r="L3232" s="14"/>
      <c r="M3232" s="15"/>
      <c r="N3232" s="15"/>
      <c r="O3232" s="16"/>
      <c r="Q3232" s="16"/>
    </row>
    <row r="3233" spans="1:17" x14ac:dyDescent="0.3">
      <c r="A3233" s="5"/>
      <c r="B3233" s="6"/>
      <c r="C3233" s="7"/>
      <c r="D3233" s="10"/>
      <c r="F3233" s="1"/>
      <c r="G3233" s="1"/>
      <c r="H3233" s="1"/>
      <c r="I3233" s="7"/>
      <c r="J3233" s="12"/>
      <c r="K3233" s="13"/>
      <c r="L3233" s="14"/>
      <c r="M3233" s="15"/>
      <c r="N3233" s="15"/>
      <c r="O3233" s="16"/>
      <c r="Q3233" s="16"/>
    </row>
    <row r="3234" spans="1:17" x14ac:dyDescent="0.3">
      <c r="A3234" s="5"/>
      <c r="B3234" s="6"/>
      <c r="C3234" s="7"/>
      <c r="D3234" s="10"/>
      <c r="F3234" s="1"/>
      <c r="G3234" s="1"/>
      <c r="H3234" s="1"/>
      <c r="I3234" s="7"/>
      <c r="J3234" s="12"/>
      <c r="K3234" s="13"/>
      <c r="L3234" s="14"/>
      <c r="M3234" s="15"/>
      <c r="N3234" s="15"/>
      <c r="O3234" s="16"/>
      <c r="Q3234" s="16"/>
    </row>
    <row r="3235" spans="1:17" x14ac:dyDescent="0.3">
      <c r="A3235" s="5"/>
      <c r="B3235" s="6"/>
      <c r="C3235" s="7"/>
      <c r="D3235" s="10"/>
      <c r="F3235" s="1"/>
      <c r="G3235" s="1"/>
      <c r="H3235" s="1"/>
      <c r="I3235" s="7"/>
      <c r="J3235" s="12"/>
      <c r="K3235" s="13"/>
      <c r="L3235" s="14"/>
      <c r="M3235" s="15"/>
      <c r="N3235" s="15"/>
      <c r="O3235" s="16"/>
      <c r="Q3235" s="16"/>
    </row>
    <row r="3236" spans="1:17" x14ac:dyDescent="0.3">
      <c r="A3236" s="5"/>
      <c r="B3236" s="6"/>
      <c r="C3236" s="7"/>
      <c r="D3236" s="10"/>
      <c r="F3236" s="1"/>
      <c r="G3236" s="1"/>
      <c r="H3236" s="1"/>
      <c r="I3236" s="7"/>
      <c r="J3236" s="12"/>
      <c r="K3236" s="13"/>
      <c r="L3236" s="14"/>
      <c r="M3236" s="15"/>
      <c r="N3236" s="15"/>
      <c r="O3236" s="16"/>
      <c r="Q3236" s="16"/>
    </row>
    <row r="3237" spans="1:17" x14ac:dyDescent="0.3">
      <c r="A3237" s="5"/>
      <c r="B3237" s="6"/>
      <c r="C3237" s="7"/>
      <c r="D3237" s="10"/>
      <c r="F3237" s="1"/>
      <c r="G3237" s="1"/>
      <c r="H3237" s="1"/>
      <c r="I3237" s="7"/>
      <c r="J3237" s="12"/>
      <c r="K3237" s="13"/>
      <c r="L3237" s="14"/>
      <c r="M3237" s="15"/>
      <c r="N3237" s="15"/>
      <c r="O3237" s="16"/>
      <c r="Q3237" s="16"/>
    </row>
    <row r="3238" spans="1:17" x14ac:dyDescent="0.3">
      <c r="A3238" s="5"/>
      <c r="B3238" s="6"/>
      <c r="C3238" s="7"/>
      <c r="D3238" s="10"/>
      <c r="F3238" s="1"/>
      <c r="G3238" s="1"/>
      <c r="H3238" s="1"/>
      <c r="I3238" s="7"/>
      <c r="J3238" s="12"/>
      <c r="K3238" s="13"/>
      <c r="L3238" s="14"/>
      <c r="M3238" s="15"/>
      <c r="N3238" s="15"/>
      <c r="O3238" s="16"/>
      <c r="Q3238" s="16"/>
    </row>
    <row r="3239" spans="1:17" x14ac:dyDescent="0.3">
      <c r="A3239" s="5"/>
      <c r="B3239" s="6"/>
      <c r="C3239" s="7"/>
      <c r="D3239" s="10"/>
      <c r="F3239" s="1"/>
      <c r="G3239" s="1"/>
      <c r="H3239" s="1"/>
      <c r="I3239" s="7"/>
      <c r="J3239" s="12"/>
      <c r="K3239" s="13"/>
      <c r="L3239" s="14"/>
      <c r="M3239" s="15"/>
      <c r="N3239" s="15"/>
      <c r="O3239" s="16"/>
      <c r="Q3239" s="16"/>
    </row>
    <row r="3240" spans="1:17" x14ac:dyDescent="0.3">
      <c r="A3240" s="5"/>
      <c r="B3240" s="6"/>
      <c r="C3240" s="7"/>
      <c r="D3240" s="10"/>
      <c r="F3240" s="1"/>
      <c r="G3240" s="1"/>
      <c r="H3240" s="1"/>
      <c r="I3240" s="7"/>
      <c r="J3240" s="12"/>
      <c r="K3240" s="13"/>
      <c r="L3240" s="14"/>
      <c r="M3240" s="15"/>
      <c r="N3240" s="15"/>
      <c r="O3240" s="16"/>
      <c r="Q3240" s="16"/>
    </row>
    <row r="3241" spans="1:17" x14ac:dyDescent="0.3">
      <c r="A3241" s="5"/>
      <c r="B3241" s="6"/>
      <c r="C3241" s="7"/>
      <c r="D3241" s="10"/>
      <c r="F3241" s="1"/>
      <c r="G3241" s="1"/>
      <c r="H3241" s="1"/>
      <c r="I3241" s="7"/>
      <c r="J3241" s="12"/>
      <c r="K3241" s="13"/>
      <c r="L3241" s="14"/>
      <c r="M3241" s="15"/>
      <c r="N3241" s="15"/>
      <c r="O3241" s="16"/>
      <c r="Q3241" s="16"/>
    </row>
    <row r="3242" spans="1:17" x14ac:dyDescent="0.3">
      <c r="A3242" s="5"/>
      <c r="B3242" s="6"/>
      <c r="C3242" s="7"/>
      <c r="D3242" s="10"/>
      <c r="F3242" s="1"/>
      <c r="G3242" s="1"/>
      <c r="H3242" s="1"/>
      <c r="I3242" s="7"/>
      <c r="J3242" s="12"/>
      <c r="K3242" s="13"/>
      <c r="L3242" s="14"/>
      <c r="M3242" s="15"/>
      <c r="N3242" s="15"/>
      <c r="O3242" s="16"/>
      <c r="Q3242" s="16"/>
    </row>
    <row r="3243" spans="1:17" x14ac:dyDescent="0.3">
      <c r="A3243" s="5"/>
      <c r="B3243" s="6"/>
      <c r="C3243" s="7"/>
      <c r="D3243" s="10"/>
      <c r="F3243" s="1"/>
      <c r="G3243" s="1"/>
      <c r="H3243" s="1"/>
      <c r="I3243" s="7"/>
      <c r="J3243" s="12"/>
      <c r="K3243" s="13"/>
      <c r="L3243" s="14"/>
      <c r="M3243" s="15"/>
      <c r="N3243" s="15"/>
      <c r="O3243" s="16"/>
      <c r="Q3243" s="16"/>
    </row>
    <row r="3244" spans="1:17" x14ac:dyDescent="0.3">
      <c r="A3244" s="5"/>
      <c r="B3244" s="6"/>
      <c r="C3244" s="7"/>
      <c r="D3244" s="10"/>
      <c r="F3244" s="1"/>
      <c r="G3244" s="1"/>
      <c r="H3244" s="1"/>
      <c r="I3244" s="7"/>
      <c r="J3244" s="12"/>
      <c r="K3244" s="13"/>
      <c r="L3244" s="14"/>
      <c r="M3244" s="15"/>
      <c r="N3244" s="15"/>
      <c r="O3244" s="16"/>
      <c r="Q3244" s="16"/>
    </row>
    <row r="3245" spans="1:17" x14ac:dyDescent="0.3">
      <c r="A3245" s="5"/>
      <c r="B3245" s="6"/>
      <c r="C3245" s="7"/>
      <c r="D3245" s="10"/>
      <c r="F3245" s="1"/>
      <c r="G3245" s="1"/>
      <c r="H3245" s="1"/>
      <c r="I3245" s="7"/>
      <c r="J3245" s="12"/>
      <c r="K3245" s="13"/>
      <c r="L3245" s="14"/>
      <c r="M3245" s="15"/>
      <c r="N3245" s="15"/>
      <c r="O3245" s="16"/>
      <c r="Q3245" s="16"/>
    </row>
    <row r="3246" spans="1:17" x14ac:dyDescent="0.3">
      <c r="A3246" s="5"/>
      <c r="B3246" s="6"/>
      <c r="C3246" s="7"/>
      <c r="D3246" s="10"/>
      <c r="F3246" s="1"/>
      <c r="G3246" s="1"/>
      <c r="H3246" s="1"/>
      <c r="I3246" s="7"/>
      <c r="J3246" s="12"/>
      <c r="K3246" s="13"/>
      <c r="L3246" s="14"/>
      <c r="M3246" s="15"/>
      <c r="N3246" s="15"/>
      <c r="O3246" s="16"/>
      <c r="Q3246" s="16"/>
    </row>
    <row r="3247" spans="1:17" x14ac:dyDescent="0.3">
      <c r="A3247" s="5"/>
      <c r="B3247" s="6"/>
      <c r="C3247" s="7"/>
      <c r="D3247" s="10"/>
      <c r="F3247" s="1"/>
      <c r="G3247" s="1"/>
      <c r="H3247" s="1"/>
      <c r="I3247" s="7"/>
      <c r="J3247" s="12"/>
      <c r="K3247" s="13"/>
      <c r="L3247" s="14"/>
      <c r="M3247" s="15"/>
      <c r="N3247" s="15"/>
      <c r="O3247" s="16"/>
      <c r="Q3247" s="16"/>
    </row>
    <row r="3248" spans="1:17" x14ac:dyDescent="0.3">
      <c r="A3248" s="5"/>
      <c r="B3248" s="6"/>
      <c r="C3248" s="7"/>
      <c r="D3248" s="10"/>
      <c r="F3248" s="1"/>
      <c r="G3248" s="1"/>
      <c r="H3248" s="1"/>
      <c r="I3248" s="7"/>
      <c r="J3248" s="12"/>
      <c r="K3248" s="13"/>
      <c r="L3248" s="14"/>
      <c r="M3248" s="15"/>
      <c r="N3248" s="15"/>
      <c r="O3248" s="16"/>
      <c r="Q3248" s="16"/>
    </row>
    <row r="3249" spans="1:17" x14ac:dyDescent="0.3">
      <c r="A3249" s="5"/>
      <c r="B3249" s="6"/>
      <c r="C3249" s="7"/>
      <c r="D3249" s="10"/>
      <c r="F3249" s="1"/>
      <c r="G3249" s="1"/>
      <c r="H3249" s="1"/>
      <c r="I3249" s="7"/>
      <c r="J3249" s="12"/>
      <c r="K3249" s="13"/>
      <c r="L3249" s="14"/>
      <c r="M3249" s="15"/>
      <c r="N3249" s="15"/>
      <c r="O3249" s="16"/>
      <c r="Q3249" s="16"/>
    </row>
    <row r="3250" spans="1:17" x14ac:dyDescent="0.3">
      <c r="A3250" s="5"/>
      <c r="B3250" s="6"/>
      <c r="C3250" s="7"/>
      <c r="D3250" s="10"/>
      <c r="F3250" s="1"/>
      <c r="G3250" s="1"/>
      <c r="H3250" s="1"/>
      <c r="I3250" s="7"/>
      <c r="J3250" s="12"/>
      <c r="K3250" s="13"/>
      <c r="L3250" s="14"/>
      <c r="M3250" s="15"/>
      <c r="N3250" s="15"/>
      <c r="O3250" s="16"/>
      <c r="Q3250" s="16"/>
    </row>
    <row r="3251" spans="1:17" x14ac:dyDescent="0.3">
      <c r="A3251" s="5"/>
      <c r="B3251" s="6"/>
      <c r="C3251" s="7"/>
      <c r="D3251" s="10"/>
      <c r="F3251" s="1"/>
      <c r="G3251" s="1"/>
      <c r="H3251" s="1"/>
      <c r="I3251" s="7"/>
      <c r="J3251" s="12"/>
      <c r="K3251" s="13"/>
      <c r="L3251" s="14"/>
      <c r="M3251" s="15"/>
      <c r="N3251" s="15"/>
      <c r="O3251" s="16"/>
      <c r="Q3251" s="16"/>
    </row>
    <row r="3252" spans="1:17" x14ac:dyDescent="0.3">
      <c r="A3252" s="5"/>
      <c r="B3252" s="6"/>
      <c r="C3252" s="7"/>
      <c r="D3252" s="10"/>
      <c r="F3252" s="1"/>
      <c r="G3252" s="1"/>
      <c r="H3252" s="1"/>
      <c r="I3252" s="7"/>
      <c r="J3252" s="12"/>
      <c r="K3252" s="13"/>
      <c r="L3252" s="14"/>
      <c r="M3252" s="15"/>
      <c r="N3252" s="15"/>
      <c r="O3252" s="16"/>
      <c r="Q3252" s="16"/>
    </row>
    <row r="3253" spans="1:17" x14ac:dyDescent="0.3">
      <c r="A3253" s="5"/>
      <c r="B3253" s="6"/>
      <c r="C3253" s="7"/>
      <c r="D3253" s="10"/>
      <c r="F3253" s="1"/>
      <c r="G3253" s="1"/>
      <c r="H3253" s="1"/>
      <c r="I3253" s="7"/>
      <c r="J3253" s="12"/>
      <c r="K3253" s="13"/>
      <c r="L3253" s="14"/>
      <c r="M3253" s="15"/>
      <c r="N3253" s="15"/>
      <c r="O3253" s="16"/>
      <c r="Q3253" s="16"/>
    </row>
    <row r="3254" spans="1:17" x14ac:dyDescent="0.3">
      <c r="A3254" s="5"/>
      <c r="B3254" s="6"/>
      <c r="C3254" s="7"/>
      <c r="D3254" s="10"/>
      <c r="F3254" s="1"/>
      <c r="G3254" s="1"/>
      <c r="H3254" s="1"/>
      <c r="I3254" s="7"/>
      <c r="J3254" s="12"/>
      <c r="K3254" s="13"/>
      <c r="L3254" s="14"/>
      <c r="M3254" s="15"/>
      <c r="N3254" s="15"/>
      <c r="O3254" s="16"/>
      <c r="Q3254" s="16"/>
    </row>
    <row r="3255" spans="1:17" x14ac:dyDescent="0.3">
      <c r="A3255" s="5"/>
      <c r="B3255" s="6"/>
      <c r="C3255" s="7"/>
      <c r="D3255" s="10"/>
      <c r="F3255" s="1"/>
      <c r="G3255" s="1"/>
      <c r="H3255" s="1"/>
      <c r="I3255" s="7"/>
      <c r="J3255" s="12"/>
      <c r="K3255" s="13"/>
      <c r="L3255" s="14"/>
      <c r="M3255" s="15"/>
      <c r="N3255" s="15"/>
      <c r="O3255" s="16"/>
      <c r="Q3255" s="16"/>
    </row>
    <row r="3256" spans="1:17" x14ac:dyDescent="0.3">
      <c r="A3256" s="5"/>
      <c r="B3256" s="6"/>
      <c r="C3256" s="7"/>
      <c r="D3256" s="10"/>
      <c r="F3256" s="1"/>
      <c r="G3256" s="1"/>
      <c r="H3256" s="1"/>
      <c r="I3256" s="7"/>
      <c r="J3256" s="12"/>
      <c r="K3256" s="13"/>
      <c r="L3256" s="14"/>
      <c r="M3256" s="15"/>
      <c r="N3256" s="15"/>
      <c r="O3256" s="16"/>
      <c r="Q3256" s="16"/>
    </row>
    <row r="3257" spans="1:17" x14ac:dyDescent="0.3">
      <c r="A3257" s="5"/>
      <c r="B3257" s="6"/>
      <c r="C3257" s="7"/>
      <c r="D3257" s="10"/>
      <c r="F3257" s="1"/>
      <c r="G3257" s="1"/>
      <c r="H3257" s="1"/>
      <c r="I3257" s="7"/>
      <c r="J3257" s="12"/>
      <c r="K3257" s="13"/>
      <c r="L3257" s="14"/>
      <c r="M3257" s="15"/>
      <c r="N3257" s="15"/>
      <c r="O3257" s="16"/>
      <c r="Q3257" s="16"/>
    </row>
    <row r="3258" spans="1:17" x14ac:dyDescent="0.3">
      <c r="A3258" s="5"/>
      <c r="B3258" s="6"/>
      <c r="C3258" s="7"/>
      <c r="D3258" s="10"/>
      <c r="F3258" s="1"/>
      <c r="G3258" s="1"/>
      <c r="H3258" s="1"/>
      <c r="I3258" s="7"/>
      <c r="J3258" s="12"/>
      <c r="K3258" s="13"/>
      <c r="L3258" s="14"/>
      <c r="M3258" s="15"/>
      <c r="N3258" s="15"/>
      <c r="O3258" s="16"/>
      <c r="Q3258" s="16"/>
    </row>
    <row r="3259" spans="1:17" x14ac:dyDescent="0.3">
      <c r="A3259" s="5"/>
      <c r="B3259" s="6"/>
      <c r="C3259" s="7"/>
      <c r="D3259" s="10"/>
      <c r="F3259" s="1"/>
      <c r="G3259" s="1"/>
      <c r="H3259" s="1"/>
      <c r="I3259" s="7"/>
      <c r="J3259" s="12"/>
      <c r="K3259" s="13"/>
      <c r="L3259" s="14"/>
      <c r="M3259" s="15"/>
      <c r="N3259" s="15"/>
      <c r="O3259" s="16"/>
      <c r="Q3259" s="16"/>
    </row>
    <row r="3260" spans="1:17" x14ac:dyDescent="0.3">
      <c r="A3260" s="5"/>
      <c r="B3260" s="6"/>
      <c r="C3260" s="7"/>
      <c r="D3260" s="10"/>
      <c r="F3260" s="1"/>
      <c r="G3260" s="1"/>
      <c r="H3260" s="1"/>
      <c r="I3260" s="7"/>
      <c r="J3260" s="12"/>
      <c r="K3260" s="13"/>
      <c r="L3260" s="14"/>
      <c r="M3260" s="15"/>
      <c r="N3260" s="15"/>
      <c r="O3260" s="16"/>
      <c r="Q3260" s="16"/>
    </row>
    <row r="3261" spans="1:17" x14ac:dyDescent="0.3">
      <c r="A3261" s="5"/>
      <c r="B3261" s="6"/>
      <c r="C3261" s="7"/>
      <c r="D3261" s="10"/>
      <c r="F3261" s="1"/>
      <c r="G3261" s="1"/>
      <c r="H3261" s="1"/>
      <c r="I3261" s="7"/>
      <c r="J3261" s="12"/>
      <c r="K3261" s="13"/>
      <c r="L3261" s="14"/>
      <c r="M3261" s="15"/>
      <c r="N3261" s="15"/>
      <c r="O3261" s="16"/>
      <c r="Q3261" s="16"/>
    </row>
    <row r="3262" spans="1:17" x14ac:dyDescent="0.3">
      <c r="A3262" s="5"/>
      <c r="B3262" s="6"/>
      <c r="C3262" s="7"/>
      <c r="D3262" s="10"/>
      <c r="F3262" s="1"/>
      <c r="G3262" s="1"/>
      <c r="H3262" s="1"/>
      <c r="I3262" s="7"/>
      <c r="J3262" s="12"/>
      <c r="K3262" s="13"/>
      <c r="L3262" s="14"/>
      <c r="M3262" s="15"/>
      <c r="N3262" s="15"/>
      <c r="O3262" s="16"/>
      <c r="Q3262" s="16"/>
    </row>
    <row r="3263" spans="1:17" x14ac:dyDescent="0.3">
      <c r="A3263" s="5"/>
      <c r="B3263" s="6"/>
      <c r="C3263" s="7"/>
      <c r="D3263" s="10"/>
      <c r="F3263" s="1"/>
      <c r="G3263" s="1"/>
      <c r="H3263" s="1"/>
      <c r="I3263" s="7"/>
      <c r="J3263" s="12"/>
      <c r="K3263" s="13"/>
      <c r="L3263" s="14"/>
      <c r="M3263" s="15"/>
      <c r="N3263" s="15"/>
      <c r="O3263" s="16"/>
      <c r="Q3263" s="16"/>
    </row>
    <row r="3264" spans="1:17" x14ac:dyDescent="0.3">
      <c r="A3264" s="5"/>
      <c r="B3264" s="6"/>
      <c r="C3264" s="7"/>
      <c r="D3264" s="10"/>
      <c r="F3264" s="1"/>
      <c r="G3264" s="1"/>
      <c r="H3264" s="1"/>
      <c r="I3264" s="7"/>
      <c r="J3264" s="12"/>
      <c r="K3264" s="13"/>
      <c r="L3264" s="14"/>
      <c r="M3264" s="15"/>
      <c r="N3264" s="15"/>
      <c r="O3264" s="16"/>
      <c r="Q3264" s="16"/>
    </row>
    <row r="3265" spans="1:17" x14ac:dyDescent="0.3">
      <c r="A3265" s="5"/>
      <c r="B3265" s="6"/>
      <c r="C3265" s="7"/>
      <c r="D3265" s="10"/>
      <c r="F3265" s="1"/>
      <c r="G3265" s="1"/>
      <c r="H3265" s="1"/>
      <c r="I3265" s="7"/>
      <c r="J3265" s="12"/>
      <c r="K3265" s="13"/>
      <c r="L3265" s="14"/>
      <c r="M3265" s="15"/>
      <c r="N3265" s="15"/>
      <c r="O3265" s="16"/>
      <c r="Q3265" s="16"/>
    </row>
    <row r="3266" spans="1:17" x14ac:dyDescent="0.3">
      <c r="A3266" s="5"/>
      <c r="B3266" s="6"/>
      <c r="C3266" s="7"/>
      <c r="D3266" s="10"/>
      <c r="F3266" s="1"/>
      <c r="G3266" s="1"/>
      <c r="H3266" s="1"/>
      <c r="I3266" s="7"/>
      <c r="J3266" s="12"/>
      <c r="K3266" s="13"/>
      <c r="L3266" s="14"/>
      <c r="M3266" s="15"/>
      <c r="N3266" s="15"/>
      <c r="O3266" s="16"/>
      <c r="Q3266" s="16"/>
    </row>
    <row r="3267" spans="1:17" x14ac:dyDescent="0.3">
      <c r="A3267" s="5"/>
      <c r="B3267" s="6"/>
      <c r="C3267" s="7"/>
      <c r="D3267" s="10"/>
      <c r="F3267" s="1"/>
      <c r="G3267" s="1"/>
      <c r="H3267" s="1"/>
      <c r="I3267" s="7"/>
      <c r="J3267" s="12"/>
      <c r="K3267" s="13"/>
      <c r="L3267" s="14"/>
      <c r="M3267" s="15"/>
      <c r="N3267" s="15"/>
      <c r="O3267" s="16"/>
      <c r="Q3267" s="16"/>
    </row>
    <row r="3268" spans="1:17" x14ac:dyDescent="0.3">
      <c r="A3268" s="5"/>
      <c r="B3268" s="6"/>
      <c r="C3268" s="7"/>
      <c r="D3268" s="10"/>
      <c r="F3268" s="1"/>
      <c r="G3268" s="1"/>
      <c r="H3268" s="1"/>
      <c r="I3268" s="7"/>
      <c r="J3268" s="12"/>
      <c r="K3268" s="13"/>
      <c r="L3268" s="14"/>
      <c r="M3268" s="15"/>
      <c r="N3268" s="15"/>
      <c r="O3268" s="16"/>
      <c r="Q3268" s="16"/>
    </row>
    <row r="3269" spans="1:17" x14ac:dyDescent="0.3">
      <c r="A3269" s="5"/>
      <c r="B3269" s="6"/>
      <c r="C3269" s="7"/>
      <c r="D3269" s="10"/>
      <c r="F3269" s="1"/>
      <c r="G3269" s="1"/>
      <c r="H3269" s="1"/>
      <c r="I3269" s="7"/>
      <c r="J3269" s="12"/>
      <c r="K3269" s="13"/>
      <c r="L3269" s="14"/>
      <c r="M3269" s="15"/>
      <c r="N3269" s="15"/>
      <c r="O3269" s="16"/>
      <c r="Q3269" s="16"/>
    </row>
    <row r="3270" spans="1:17" x14ac:dyDescent="0.3">
      <c r="A3270" s="5"/>
      <c r="B3270" s="6"/>
      <c r="C3270" s="7"/>
      <c r="D3270" s="10"/>
      <c r="F3270" s="1"/>
      <c r="G3270" s="1"/>
      <c r="H3270" s="1"/>
      <c r="I3270" s="7"/>
      <c r="J3270" s="12"/>
      <c r="K3270" s="13"/>
      <c r="L3270" s="14"/>
      <c r="M3270" s="15"/>
      <c r="N3270" s="15"/>
      <c r="O3270" s="16"/>
      <c r="Q3270" s="16"/>
    </row>
    <row r="3271" spans="1:17" x14ac:dyDescent="0.3">
      <c r="A3271" s="5"/>
      <c r="B3271" s="6"/>
      <c r="C3271" s="7"/>
      <c r="D3271" s="10"/>
      <c r="F3271" s="1"/>
      <c r="G3271" s="1"/>
      <c r="H3271" s="1"/>
      <c r="I3271" s="7"/>
      <c r="J3271" s="12"/>
      <c r="K3271" s="13"/>
      <c r="L3271" s="14"/>
      <c r="M3271" s="15"/>
      <c r="N3271" s="15"/>
      <c r="O3271" s="16"/>
      <c r="Q3271" s="16"/>
    </row>
    <row r="3272" spans="1:17" x14ac:dyDescent="0.3">
      <c r="A3272" s="5"/>
      <c r="B3272" s="6"/>
      <c r="C3272" s="7"/>
      <c r="D3272" s="10"/>
      <c r="F3272" s="1"/>
      <c r="G3272" s="1"/>
      <c r="H3272" s="1"/>
      <c r="I3272" s="7"/>
      <c r="J3272" s="12"/>
      <c r="K3272" s="13"/>
      <c r="L3272" s="14"/>
      <c r="M3272" s="15"/>
      <c r="N3272" s="15"/>
      <c r="O3272" s="16"/>
      <c r="Q3272" s="16"/>
    </row>
    <row r="3273" spans="1:17" x14ac:dyDescent="0.3">
      <c r="A3273" s="5"/>
      <c r="B3273" s="6"/>
      <c r="C3273" s="7"/>
      <c r="D3273" s="10"/>
      <c r="F3273" s="1"/>
      <c r="G3273" s="1"/>
      <c r="H3273" s="1"/>
      <c r="I3273" s="7"/>
      <c r="J3273" s="12"/>
      <c r="K3273" s="13"/>
      <c r="L3273" s="14"/>
      <c r="M3273" s="15"/>
      <c r="N3273" s="15"/>
      <c r="O3273" s="16"/>
      <c r="Q3273" s="16"/>
    </row>
    <row r="3274" spans="1:17" x14ac:dyDescent="0.3">
      <c r="A3274" s="5"/>
      <c r="B3274" s="6"/>
      <c r="C3274" s="7"/>
      <c r="D3274" s="10"/>
      <c r="F3274" s="1"/>
      <c r="G3274" s="1"/>
      <c r="H3274" s="1"/>
      <c r="I3274" s="7"/>
      <c r="J3274" s="12"/>
      <c r="K3274" s="13"/>
      <c r="L3274" s="14"/>
      <c r="M3274" s="15"/>
      <c r="N3274" s="15"/>
      <c r="O3274" s="16"/>
      <c r="Q3274" s="16"/>
    </row>
    <row r="3275" spans="1:17" x14ac:dyDescent="0.3">
      <c r="A3275" s="5"/>
      <c r="B3275" s="6"/>
      <c r="C3275" s="7"/>
      <c r="D3275" s="10"/>
      <c r="F3275" s="1"/>
      <c r="G3275" s="1"/>
      <c r="H3275" s="1"/>
      <c r="I3275" s="7"/>
      <c r="J3275" s="12"/>
      <c r="K3275" s="13"/>
      <c r="L3275" s="14"/>
      <c r="M3275" s="15"/>
      <c r="N3275" s="15"/>
      <c r="O3275" s="16"/>
      <c r="Q3275" s="16"/>
    </row>
    <row r="3276" spans="1:17" x14ac:dyDescent="0.3">
      <c r="A3276" s="5"/>
      <c r="B3276" s="6"/>
      <c r="C3276" s="7"/>
      <c r="D3276" s="10"/>
      <c r="F3276" s="1"/>
      <c r="G3276" s="1"/>
      <c r="H3276" s="1"/>
      <c r="I3276" s="7"/>
      <c r="J3276" s="12"/>
      <c r="K3276" s="13"/>
      <c r="L3276" s="14"/>
      <c r="M3276" s="15"/>
      <c r="N3276" s="15"/>
      <c r="O3276" s="16"/>
      <c r="Q3276" s="16"/>
    </row>
    <row r="3277" spans="1:17" x14ac:dyDescent="0.3">
      <c r="A3277" s="5"/>
      <c r="B3277" s="6"/>
      <c r="C3277" s="7"/>
      <c r="D3277" s="10"/>
      <c r="F3277" s="1"/>
      <c r="G3277" s="1"/>
      <c r="H3277" s="1"/>
      <c r="I3277" s="7"/>
      <c r="J3277" s="12"/>
      <c r="K3277" s="13"/>
      <c r="L3277" s="14"/>
      <c r="M3277" s="15"/>
      <c r="N3277" s="15"/>
      <c r="O3277" s="16"/>
      <c r="Q3277" s="16"/>
    </row>
    <row r="3278" spans="1:17" x14ac:dyDescent="0.3">
      <c r="A3278" s="5"/>
      <c r="B3278" s="6"/>
      <c r="C3278" s="7"/>
      <c r="D3278" s="10"/>
      <c r="F3278" s="1"/>
      <c r="G3278" s="1"/>
      <c r="H3278" s="1"/>
      <c r="I3278" s="7"/>
      <c r="J3278" s="12"/>
      <c r="K3278" s="13"/>
      <c r="L3278" s="14"/>
      <c r="M3278" s="15"/>
      <c r="N3278" s="15"/>
      <c r="O3278" s="16"/>
      <c r="Q3278" s="16"/>
    </row>
    <row r="3279" spans="1:17" x14ac:dyDescent="0.3">
      <c r="A3279" s="5"/>
      <c r="B3279" s="6"/>
      <c r="C3279" s="7"/>
      <c r="D3279" s="10"/>
      <c r="F3279" s="1"/>
      <c r="G3279" s="1"/>
      <c r="H3279" s="1"/>
      <c r="I3279" s="7"/>
      <c r="J3279" s="12"/>
      <c r="K3279" s="13"/>
      <c r="L3279" s="14"/>
      <c r="M3279" s="15"/>
      <c r="N3279" s="15"/>
      <c r="O3279" s="16"/>
      <c r="Q3279" s="16"/>
    </row>
    <row r="3280" spans="1:17" x14ac:dyDescent="0.3">
      <c r="A3280" s="5"/>
      <c r="B3280" s="6"/>
      <c r="C3280" s="7"/>
      <c r="D3280" s="10"/>
      <c r="F3280" s="1"/>
      <c r="G3280" s="1"/>
      <c r="H3280" s="1"/>
      <c r="I3280" s="7"/>
      <c r="J3280" s="12"/>
      <c r="K3280" s="13"/>
      <c r="L3280" s="14"/>
      <c r="M3280" s="15"/>
      <c r="N3280" s="15"/>
      <c r="O3280" s="16"/>
      <c r="Q3280" s="16"/>
    </row>
    <row r="3281" spans="1:17" x14ac:dyDescent="0.3">
      <c r="A3281" s="5"/>
      <c r="B3281" s="6"/>
      <c r="C3281" s="7"/>
      <c r="D3281" s="10"/>
      <c r="F3281" s="1"/>
      <c r="G3281" s="1"/>
      <c r="H3281" s="1"/>
      <c r="I3281" s="7"/>
      <c r="J3281" s="12"/>
      <c r="K3281" s="13"/>
      <c r="L3281" s="14"/>
      <c r="M3281" s="15"/>
      <c r="N3281" s="15"/>
      <c r="O3281" s="16"/>
      <c r="Q3281" s="16"/>
    </row>
    <row r="3282" spans="1:17" x14ac:dyDescent="0.3">
      <c r="A3282" s="5"/>
      <c r="B3282" s="6"/>
      <c r="C3282" s="7"/>
      <c r="D3282" s="10"/>
      <c r="F3282" s="1"/>
      <c r="G3282" s="1"/>
      <c r="H3282" s="1"/>
      <c r="I3282" s="7"/>
      <c r="J3282" s="12"/>
      <c r="K3282" s="13"/>
      <c r="L3282" s="14"/>
      <c r="M3282" s="15"/>
      <c r="N3282" s="15"/>
      <c r="O3282" s="16"/>
      <c r="Q3282" s="16"/>
    </row>
    <row r="3283" spans="1:17" x14ac:dyDescent="0.3">
      <c r="A3283" s="5"/>
      <c r="B3283" s="6"/>
      <c r="C3283" s="7"/>
      <c r="D3283" s="10"/>
      <c r="F3283" s="1"/>
      <c r="G3283" s="1"/>
      <c r="H3283" s="1"/>
      <c r="I3283" s="7"/>
      <c r="J3283" s="12"/>
      <c r="K3283" s="13"/>
      <c r="L3283" s="14"/>
      <c r="M3283" s="15"/>
      <c r="N3283" s="15"/>
      <c r="O3283" s="16"/>
      <c r="Q3283" s="16"/>
    </row>
    <row r="3284" spans="1:17" x14ac:dyDescent="0.3">
      <c r="A3284" s="5"/>
      <c r="B3284" s="6"/>
      <c r="C3284" s="7"/>
      <c r="D3284" s="10"/>
      <c r="F3284" s="1"/>
      <c r="G3284" s="1"/>
      <c r="H3284" s="1"/>
      <c r="I3284" s="7"/>
      <c r="J3284" s="12"/>
      <c r="K3284" s="13"/>
      <c r="L3284" s="14"/>
      <c r="M3284" s="15"/>
      <c r="N3284" s="15"/>
      <c r="O3284" s="16"/>
      <c r="Q3284" s="16"/>
    </row>
    <row r="3285" spans="1:17" x14ac:dyDescent="0.3">
      <c r="A3285" s="5"/>
      <c r="B3285" s="6"/>
      <c r="C3285" s="7"/>
      <c r="D3285" s="10"/>
      <c r="F3285" s="1"/>
      <c r="G3285" s="1"/>
      <c r="H3285" s="1"/>
      <c r="I3285" s="7"/>
      <c r="J3285" s="12"/>
      <c r="K3285" s="13"/>
      <c r="L3285" s="14"/>
      <c r="M3285" s="15"/>
      <c r="N3285" s="15"/>
      <c r="O3285" s="16"/>
      <c r="Q3285" s="16"/>
    </row>
    <row r="3286" spans="1:17" x14ac:dyDescent="0.3">
      <c r="A3286" s="5"/>
      <c r="B3286" s="6"/>
      <c r="C3286" s="7"/>
      <c r="D3286" s="10"/>
      <c r="F3286" s="1"/>
      <c r="G3286" s="1"/>
      <c r="H3286" s="1"/>
      <c r="I3286" s="7"/>
      <c r="J3286" s="12"/>
      <c r="K3286" s="13"/>
      <c r="L3286" s="14"/>
      <c r="M3286" s="15"/>
      <c r="N3286" s="15"/>
      <c r="O3286" s="16"/>
      <c r="Q3286" s="16"/>
    </row>
    <row r="3287" spans="1:17" x14ac:dyDescent="0.3">
      <c r="A3287" s="5"/>
      <c r="B3287" s="6"/>
      <c r="C3287" s="7"/>
      <c r="D3287" s="10"/>
      <c r="F3287" s="1"/>
      <c r="G3287" s="1"/>
      <c r="H3287" s="1"/>
      <c r="I3287" s="7"/>
      <c r="J3287" s="12"/>
      <c r="K3287" s="13"/>
      <c r="L3287" s="14"/>
      <c r="M3287" s="15"/>
      <c r="N3287" s="15"/>
      <c r="O3287" s="16"/>
      <c r="Q3287" s="16"/>
    </row>
    <row r="3288" spans="1:17" x14ac:dyDescent="0.3">
      <c r="A3288" s="5"/>
      <c r="B3288" s="6"/>
      <c r="C3288" s="7"/>
      <c r="D3288" s="10"/>
      <c r="F3288" s="1"/>
      <c r="G3288" s="1"/>
      <c r="H3288" s="1"/>
      <c r="I3288" s="7"/>
      <c r="J3288" s="12"/>
      <c r="K3288" s="13"/>
      <c r="L3288" s="14"/>
      <c r="M3288" s="15"/>
      <c r="N3288" s="15"/>
      <c r="O3288" s="16"/>
      <c r="Q3288" s="16"/>
    </row>
    <row r="3289" spans="1:17" x14ac:dyDescent="0.3">
      <c r="A3289" s="5"/>
      <c r="B3289" s="6"/>
      <c r="C3289" s="7"/>
      <c r="D3289" s="10"/>
      <c r="F3289" s="1"/>
      <c r="G3289" s="1"/>
      <c r="H3289" s="1"/>
      <c r="I3289" s="7"/>
      <c r="J3289" s="12"/>
      <c r="K3289" s="13"/>
      <c r="L3289" s="14"/>
      <c r="M3289" s="15"/>
      <c r="N3289" s="15"/>
      <c r="O3289" s="16"/>
      <c r="Q3289" s="16"/>
    </row>
    <row r="3290" spans="1:17" x14ac:dyDescent="0.3">
      <c r="A3290" s="5"/>
      <c r="B3290" s="6"/>
      <c r="C3290" s="7"/>
      <c r="D3290" s="10"/>
      <c r="F3290" s="1"/>
      <c r="G3290" s="1"/>
      <c r="H3290" s="1"/>
      <c r="I3290" s="7"/>
      <c r="J3290" s="12"/>
      <c r="K3290" s="13"/>
      <c r="L3290" s="14"/>
      <c r="M3290" s="15"/>
      <c r="N3290" s="15"/>
      <c r="O3290" s="16"/>
      <c r="Q3290" s="16"/>
    </row>
    <row r="3291" spans="1:17" x14ac:dyDescent="0.3">
      <c r="A3291" s="5"/>
      <c r="B3291" s="6"/>
      <c r="C3291" s="7"/>
      <c r="D3291" s="10"/>
      <c r="F3291" s="1"/>
      <c r="G3291" s="1"/>
      <c r="H3291" s="1"/>
      <c r="I3291" s="7"/>
      <c r="J3291" s="12"/>
      <c r="K3291" s="13"/>
      <c r="L3291" s="14"/>
      <c r="M3291" s="15"/>
      <c r="N3291" s="15"/>
      <c r="O3291" s="16"/>
      <c r="Q3291" s="16"/>
    </row>
    <row r="3292" spans="1:17" x14ac:dyDescent="0.3">
      <c r="A3292" s="5"/>
      <c r="B3292" s="6"/>
      <c r="C3292" s="7"/>
      <c r="D3292" s="10"/>
      <c r="F3292" s="1"/>
      <c r="G3292" s="1"/>
      <c r="H3292" s="1"/>
      <c r="I3292" s="7"/>
      <c r="J3292" s="12"/>
      <c r="K3292" s="13"/>
      <c r="L3292" s="14"/>
      <c r="M3292" s="15"/>
      <c r="N3292" s="15"/>
      <c r="O3292" s="16"/>
      <c r="Q3292" s="16"/>
    </row>
    <row r="3293" spans="1:17" x14ac:dyDescent="0.3">
      <c r="A3293" s="5"/>
      <c r="B3293" s="6"/>
      <c r="C3293" s="7"/>
      <c r="D3293" s="10"/>
      <c r="F3293" s="1"/>
      <c r="G3293" s="1"/>
      <c r="H3293" s="1"/>
      <c r="I3293" s="7"/>
      <c r="J3293" s="12"/>
      <c r="K3293" s="13"/>
      <c r="L3293" s="14"/>
      <c r="M3293" s="15"/>
      <c r="N3293" s="15"/>
      <c r="O3293" s="16"/>
      <c r="Q3293" s="16"/>
    </row>
    <row r="3294" spans="1:17" x14ac:dyDescent="0.3">
      <c r="A3294" s="5"/>
      <c r="B3294" s="6"/>
      <c r="C3294" s="7"/>
      <c r="D3294" s="10"/>
      <c r="F3294" s="1"/>
      <c r="G3294" s="1"/>
      <c r="H3294" s="1"/>
      <c r="I3294" s="7"/>
      <c r="J3294" s="12"/>
      <c r="K3294" s="13"/>
      <c r="L3294" s="14"/>
      <c r="M3294" s="15"/>
      <c r="N3294" s="15"/>
      <c r="O3294" s="16"/>
      <c r="Q3294" s="16"/>
    </row>
    <row r="3295" spans="1:17" x14ac:dyDescent="0.3">
      <c r="A3295" s="5"/>
      <c r="B3295" s="6"/>
      <c r="C3295" s="7"/>
      <c r="D3295" s="10"/>
      <c r="F3295" s="1"/>
      <c r="G3295" s="1"/>
      <c r="H3295" s="1"/>
      <c r="I3295" s="7"/>
      <c r="J3295" s="12"/>
      <c r="K3295" s="13"/>
      <c r="L3295" s="14"/>
      <c r="M3295" s="15"/>
      <c r="N3295" s="15"/>
      <c r="O3295" s="16"/>
      <c r="Q3295" s="16"/>
    </row>
    <row r="3296" spans="1:17" x14ac:dyDescent="0.3">
      <c r="A3296" s="5"/>
      <c r="B3296" s="6"/>
      <c r="C3296" s="7"/>
      <c r="D3296" s="10"/>
      <c r="F3296" s="1"/>
      <c r="G3296" s="1"/>
      <c r="H3296" s="1"/>
      <c r="I3296" s="7"/>
      <c r="J3296" s="12"/>
      <c r="K3296" s="13"/>
      <c r="L3296" s="14"/>
      <c r="M3296" s="15"/>
      <c r="N3296" s="15"/>
      <c r="O3296" s="16"/>
      <c r="Q3296" s="16"/>
    </row>
    <row r="3297" spans="1:17" x14ac:dyDescent="0.3">
      <c r="A3297" s="5"/>
      <c r="B3297" s="6"/>
      <c r="C3297" s="7"/>
      <c r="D3297" s="10"/>
      <c r="F3297" s="1"/>
      <c r="G3297" s="1"/>
      <c r="H3297" s="1"/>
      <c r="I3297" s="7"/>
      <c r="J3297" s="12"/>
      <c r="K3297" s="13"/>
      <c r="L3297" s="14"/>
      <c r="M3297" s="15"/>
      <c r="N3297" s="15"/>
      <c r="O3297" s="16"/>
      <c r="Q3297" s="16"/>
    </row>
    <row r="3298" spans="1:17" x14ac:dyDescent="0.3">
      <c r="A3298" s="5"/>
      <c r="B3298" s="6"/>
      <c r="C3298" s="7"/>
      <c r="D3298" s="10"/>
      <c r="F3298" s="1"/>
      <c r="G3298" s="1"/>
      <c r="H3298" s="1"/>
      <c r="I3298" s="7"/>
      <c r="J3298" s="12"/>
      <c r="K3298" s="13"/>
      <c r="L3298" s="14"/>
      <c r="M3298" s="15"/>
      <c r="N3298" s="15"/>
      <c r="O3298" s="16"/>
      <c r="Q3298" s="16"/>
    </row>
    <row r="3299" spans="1:17" x14ac:dyDescent="0.3">
      <c r="A3299" s="5"/>
      <c r="B3299" s="6"/>
      <c r="C3299" s="7"/>
      <c r="D3299" s="10"/>
      <c r="F3299" s="1"/>
      <c r="G3299" s="1"/>
      <c r="H3299" s="1"/>
      <c r="I3299" s="7"/>
      <c r="J3299" s="12"/>
      <c r="K3299" s="13"/>
      <c r="L3299" s="14"/>
      <c r="M3299" s="15"/>
      <c r="N3299" s="15"/>
      <c r="O3299" s="16"/>
      <c r="Q3299" s="16"/>
    </row>
    <row r="3300" spans="1:17" x14ac:dyDescent="0.3">
      <c r="A3300" s="5"/>
      <c r="B3300" s="6"/>
      <c r="C3300" s="7"/>
      <c r="D3300" s="10"/>
      <c r="F3300" s="1"/>
      <c r="G3300" s="1"/>
      <c r="H3300" s="1"/>
      <c r="I3300" s="7"/>
      <c r="J3300" s="12"/>
      <c r="K3300" s="13"/>
      <c r="L3300" s="14"/>
      <c r="M3300" s="15"/>
      <c r="N3300" s="15"/>
      <c r="O3300" s="16"/>
      <c r="Q3300" s="16"/>
    </row>
    <row r="3301" spans="1:17" x14ac:dyDescent="0.3">
      <c r="A3301" s="5"/>
      <c r="B3301" s="6"/>
      <c r="C3301" s="7"/>
      <c r="D3301" s="10"/>
      <c r="F3301" s="1"/>
      <c r="G3301" s="1"/>
      <c r="H3301" s="1"/>
      <c r="I3301" s="7"/>
      <c r="J3301" s="12"/>
      <c r="K3301" s="13"/>
      <c r="L3301" s="14"/>
      <c r="M3301" s="15"/>
      <c r="N3301" s="15"/>
      <c r="O3301" s="16"/>
      <c r="Q3301" s="16"/>
    </row>
    <row r="3302" spans="1:17" x14ac:dyDescent="0.3">
      <c r="A3302" s="5"/>
      <c r="B3302" s="6"/>
      <c r="C3302" s="7"/>
      <c r="D3302" s="10"/>
      <c r="F3302" s="1"/>
      <c r="G3302" s="1"/>
      <c r="H3302" s="1"/>
      <c r="I3302" s="7"/>
      <c r="J3302" s="12"/>
      <c r="K3302" s="13"/>
      <c r="L3302" s="14"/>
      <c r="M3302" s="15"/>
      <c r="N3302" s="15"/>
      <c r="O3302" s="16"/>
      <c r="Q3302" s="16"/>
    </row>
    <row r="3303" spans="1:17" x14ac:dyDescent="0.3">
      <c r="A3303" s="5"/>
      <c r="B3303" s="6"/>
      <c r="C3303" s="7"/>
      <c r="D3303" s="10"/>
      <c r="F3303" s="1"/>
      <c r="G3303" s="1"/>
      <c r="H3303" s="1"/>
      <c r="I3303" s="7"/>
      <c r="J3303" s="12"/>
      <c r="K3303" s="13"/>
      <c r="L3303" s="14"/>
      <c r="M3303" s="15"/>
      <c r="N3303" s="15"/>
      <c r="O3303" s="16"/>
      <c r="Q3303" s="16"/>
    </row>
    <row r="3304" spans="1:17" x14ac:dyDescent="0.3">
      <c r="A3304" s="5"/>
      <c r="B3304" s="6"/>
      <c r="C3304" s="7"/>
      <c r="D3304" s="10"/>
      <c r="F3304" s="1"/>
      <c r="G3304" s="1"/>
      <c r="H3304" s="1"/>
      <c r="I3304" s="7"/>
      <c r="J3304" s="12"/>
      <c r="K3304" s="13"/>
      <c r="L3304" s="14"/>
      <c r="M3304" s="15"/>
      <c r="N3304" s="15"/>
      <c r="O3304" s="16"/>
      <c r="Q3304" s="16"/>
    </row>
    <row r="3305" spans="1:17" x14ac:dyDescent="0.3">
      <c r="A3305" s="5"/>
      <c r="B3305" s="6"/>
      <c r="C3305" s="7"/>
      <c r="D3305" s="10"/>
      <c r="F3305" s="1"/>
      <c r="G3305" s="1"/>
      <c r="H3305" s="1"/>
      <c r="I3305" s="7"/>
      <c r="J3305" s="12"/>
      <c r="K3305" s="13"/>
      <c r="L3305" s="14"/>
      <c r="M3305" s="15"/>
      <c r="N3305" s="15"/>
      <c r="O3305" s="16"/>
      <c r="Q3305" s="16"/>
    </row>
    <row r="3306" spans="1:17" x14ac:dyDescent="0.3">
      <c r="A3306" s="5"/>
      <c r="B3306" s="6"/>
      <c r="C3306" s="7"/>
      <c r="D3306" s="10"/>
      <c r="F3306" s="1"/>
      <c r="G3306" s="1"/>
      <c r="H3306" s="1"/>
      <c r="I3306" s="7"/>
      <c r="J3306" s="12"/>
      <c r="K3306" s="13"/>
      <c r="L3306" s="14"/>
      <c r="M3306" s="15"/>
      <c r="N3306" s="15"/>
      <c r="O3306" s="16"/>
      <c r="Q3306" s="16"/>
    </row>
    <row r="3307" spans="1:17" x14ac:dyDescent="0.3">
      <c r="A3307" s="5"/>
      <c r="B3307" s="6"/>
      <c r="C3307" s="7"/>
      <c r="D3307" s="10"/>
      <c r="F3307" s="1"/>
      <c r="G3307" s="1"/>
      <c r="H3307" s="1"/>
      <c r="I3307" s="7"/>
      <c r="J3307" s="12"/>
      <c r="K3307" s="13"/>
      <c r="L3307" s="14"/>
      <c r="M3307" s="15"/>
      <c r="N3307" s="15"/>
      <c r="O3307" s="16"/>
      <c r="Q3307" s="16"/>
    </row>
    <row r="3308" spans="1:17" x14ac:dyDescent="0.3">
      <c r="A3308" s="5"/>
      <c r="B3308" s="6"/>
      <c r="C3308" s="7"/>
      <c r="D3308" s="10"/>
      <c r="F3308" s="1"/>
      <c r="G3308" s="1"/>
      <c r="H3308" s="1"/>
      <c r="I3308" s="7"/>
      <c r="J3308" s="12"/>
      <c r="K3308" s="13"/>
      <c r="L3308" s="14"/>
      <c r="M3308" s="15"/>
      <c r="N3308" s="15"/>
      <c r="O3308" s="16"/>
      <c r="Q3308" s="16"/>
    </row>
    <row r="3309" spans="1:17" x14ac:dyDescent="0.3">
      <c r="A3309" s="5"/>
      <c r="B3309" s="6"/>
      <c r="C3309" s="7"/>
      <c r="D3309" s="10"/>
      <c r="F3309" s="1"/>
      <c r="G3309" s="1"/>
      <c r="H3309" s="1"/>
      <c r="I3309" s="7"/>
      <c r="J3309" s="12"/>
      <c r="K3309" s="13"/>
      <c r="L3309" s="14"/>
      <c r="M3309" s="15"/>
      <c r="N3309" s="15"/>
      <c r="O3309" s="16"/>
      <c r="Q3309" s="16"/>
    </row>
    <row r="3310" spans="1:17" x14ac:dyDescent="0.3">
      <c r="A3310" s="5"/>
      <c r="B3310" s="6"/>
      <c r="C3310" s="7"/>
      <c r="D3310" s="10"/>
      <c r="F3310" s="1"/>
      <c r="G3310" s="1"/>
      <c r="H3310" s="1"/>
      <c r="I3310" s="7"/>
      <c r="J3310" s="12"/>
      <c r="K3310" s="13"/>
      <c r="L3310" s="14"/>
      <c r="M3310" s="15"/>
      <c r="N3310" s="15"/>
      <c r="O3310" s="16"/>
      <c r="Q3310" s="16"/>
    </row>
    <row r="3311" spans="1:17" x14ac:dyDescent="0.3">
      <c r="A3311" s="5"/>
      <c r="B3311" s="6"/>
      <c r="C3311" s="7"/>
      <c r="D3311" s="10"/>
      <c r="F3311" s="1"/>
      <c r="G3311" s="1"/>
      <c r="H3311" s="1"/>
      <c r="I3311" s="7"/>
      <c r="J3311" s="12"/>
      <c r="K3311" s="13"/>
      <c r="L3311" s="14"/>
      <c r="M3311" s="15"/>
      <c r="N3311" s="15"/>
      <c r="O3311" s="16"/>
      <c r="Q3311" s="16"/>
    </row>
    <row r="3312" spans="1:17" x14ac:dyDescent="0.3">
      <c r="A3312" s="5"/>
      <c r="B3312" s="6"/>
      <c r="C3312" s="7"/>
      <c r="D3312" s="10"/>
      <c r="F3312" s="1"/>
      <c r="G3312" s="1"/>
      <c r="H3312" s="1"/>
      <c r="I3312" s="7"/>
      <c r="J3312" s="12"/>
      <c r="K3312" s="13"/>
      <c r="L3312" s="14"/>
      <c r="M3312" s="15"/>
      <c r="N3312" s="15"/>
      <c r="O3312" s="16"/>
      <c r="Q3312" s="16"/>
    </row>
    <row r="3313" spans="1:17" x14ac:dyDescent="0.3">
      <c r="A3313" s="5"/>
      <c r="B3313" s="6"/>
      <c r="C3313" s="7"/>
      <c r="D3313" s="10"/>
      <c r="F3313" s="1"/>
      <c r="G3313" s="1"/>
      <c r="H3313" s="1"/>
      <c r="I3313" s="7"/>
      <c r="J3313" s="12"/>
      <c r="K3313" s="13"/>
      <c r="L3313" s="14"/>
      <c r="M3313" s="15"/>
      <c r="N3313" s="15"/>
      <c r="O3313" s="16"/>
      <c r="Q3313" s="16"/>
    </row>
    <row r="3314" spans="1:17" x14ac:dyDescent="0.3">
      <c r="A3314" s="5"/>
      <c r="B3314" s="6"/>
      <c r="C3314" s="7"/>
      <c r="D3314" s="10"/>
      <c r="F3314" s="1"/>
      <c r="G3314" s="1"/>
      <c r="H3314" s="1"/>
      <c r="I3314" s="7"/>
      <c r="J3314" s="12"/>
      <c r="K3314" s="13"/>
      <c r="L3314" s="14"/>
      <c r="M3314" s="15"/>
      <c r="N3314" s="15"/>
      <c r="O3314" s="16"/>
      <c r="Q3314" s="16"/>
    </row>
    <row r="3315" spans="1:17" x14ac:dyDescent="0.3">
      <c r="A3315" s="5"/>
      <c r="B3315" s="6"/>
      <c r="C3315" s="7"/>
      <c r="D3315" s="10"/>
      <c r="F3315" s="1"/>
      <c r="G3315" s="1"/>
      <c r="H3315" s="1"/>
      <c r="I3315" s="7"/>
      <c r="J3315" s="12"/>
      <c r="K3315" s="13"/>
      <c r="L3315" s="14"/>
      <c r="M3315" s="15"/>
      <c r="N3315" s="15"/>
      <c r="O3315" s="16"/>
      <c r="Q3315" s="16"/>
    </row>
    <row r="3316" spans="1:17" x14ac:dyDescent="0.3">
      <c r="A3316" s="5"/>
      <c r="B3316" s="6"/>
      <c r="C3316" s="7"/>
      <c r="D3316" s="10"/>
      <c r="F3316" s="1"/>
      <c r="G3316" s="1"/>
      <c r="H3316" s="1"/>
      <c r="I3316" s="7"/>
      <c r="J3316" s="12"/>
      <c r="K3316" s="13"/>
      <c r="L3316" s="14"/>
      <c r="M3316" s="15"/>
      <c r="N3316" s="15"/>
      <c r="O3316" s="16"/>
      <c r="Q3316" s="16"/>
    </row>
    <row r="3317" spans="1:17" x14ac:dyDescent="0.3">
      <c r="A3317" s="5"/>
      <c r="B3317" s="6"/>
      <c r="C3317" s="7"/>
      <c r="D3317" s="10"/>
      <c r="F3317" s="1"/>
      <c r="G3317" s="1"/>
      <c r="H3317" s="1"/>
      <c r="I3317" s="7"/>
      <c r="J3317" s="12"/>
      <c r="K3317" s="13"/>
      <c r="L3317" s="14"/>
      <c r="M3317" s="15"/>
      <c r="N3317" s="15"/>
      <c r="O3317" s="16"/>
      <c r="Q3317" s="16"/>
    </row>
    <row r="3318" spans="1:17" x14ac:dyDescent="0.3">
      <c r="A3318" s="5"/>
      <c r="B3318" s="6"/>
      <c r="C3318" s="7"/>
      <c r="D3318" s="10"/>
      <c r="F3318" s="1"/>
      <c r="G3318" s="1"/>
      <c r="H3318" s="1"/>
      <c r="I3318" s="7"/>
      <c r="J3318" s="12"/>
      <c r="K3318" s="13"/>
      <c r="L3318" s="14"/>
      <c r="M3318" s="15"/>
      <c r="N3318" s="15"/>
      <c r="O3318" s="16"/>
      <c r="Q3318" s="16"/>
    </row>
    <row r="3319" spans="1:17" x14ac:dyDescent="0.3">
      <c r="A3319" s="5"/>
      <c r="B3319" s="6"/>
      <c r="C3319" s="7"/>
      <c r="D3319" s="10"/>
      <c r="F3319" s="1"/>
      <c r="G3319" s="1"/>
      <c r="H3319" s="1"/>
      <c r="I3319" s="7"/>
      <c r="J3319" s="12"/>
      <c r="K3319" s="13"/>
      <c r="L3319" s="14"/>
      <c r="M3319" s="15"/>
      <c r="N3319" s="15"/>
      <c r="O3319" s="16"/>
      <c r="Q3319" s="16"/>
    </row>
    <row r="3320" spans="1:17" x14ac:dyDescent="0.3">
      <c r="A3320" s="5"/>
      <c r="B3320" s="6"/>
      <c r="C3320" s="7"/>
      <c r="D3320" s="10"/>
      <c r="F3320" s="1"/>
      <c r="G3320" s="1"/>
      <c r="H3320" s="1"/>
      <c r="I3320" s="7"/>
      <c r="J3320" s="12"/>
      <c r="K3320" s="13"/>
      <c r="L3320" s="14"/>
      <c r="M3320" s="15"/>
      <c r="N3320" s="15"/>
      <c r="O3320" s="16"/>
      <c r="Q3320" s="16"/>
    </row>
    <row r="3321" spans="1:17" x14ac:dyDescent="0.3">
      <c r="A3321" s="5"/>
      <c r="B3321" s="6"/>
      <c r="C3321" s="7"/>
      <c r="D3321" s="10"/>
      <c r="F3321" s="1"/>
      <c r="G3321" s="1"/>
      <c r="H3321" s="1"/>
      <c r="I3321" s="7"/>
      <c r="J3321" s="12"/>
      <c r="K3321" s="13"/>
      <c r="L3321" s="14"/>
      <c r="M3321" s="15"/>
      <c r="N3321" s="15"/>
      <c r="O3321" s="16"/>
      <c r="Q3321" s="16"/>
    </row>
    <row r="3322" spans="1:17" x14ac:dyDescent="0.3">
      <c r="A3322" s="5"/>
      <c r="B3322" s="6"/>
      <c r="C3322" s="7"/>
      <c r="D3322" s="10"/>
      <c r="F3322" s="1"/>
      <c r="G3322" s="1"/>
      <c r="H3322" s="1"/>
      <c r="I3322" s="7"/>
      <c r="J3322" s="12"/>
      <c r="K3322" s="13"/>
      <c r="L3322" s="14"/>
      <c r="M3322" s="15"/>
      <c r="N3322" s="15"/>
      <c r="O3322" s="16"/>
      <c r="Q3322" s="16"/>
    </row>
    <row r="3323" spans="1:17" x14ac:dyDescent="0.3">
      <c r="A3323" s="5"/>
      <c r="B3323" s="6"/>
      <c r="C3323" s="7"/>
      <c r="D3323" s="10"/>
      <c r="F3323" s="1"/>
      <c r="G3323" s="1"/>
      <c r="H3323" s="1"/>
      <c r="I3323" s="7"/>
      <c r="J3323" s="12"/>
      <c r="K3323" s="13"/>
      <c r="L3323" s="14"/>
      <c r="M3323" s="15"/>
      <c r="N3323" s="15"/>
      <c r="O3323" s="16"/>
      <c r="Q3323" s="16"/>
    </row>
    <row r="3324" spans="1:17" x14ac:dyDescent="0.3">
      <c r="A3324" s="5"/>
      <c r="B3324" s="6"/>
      <c r="C3324" s="7"/>
      <c r="D3324" s="10"/>
      <c r="F3324" s="1"/>
      <c r="G3324" s="1"/>
      <c r="H3324" s="1"/>
      <c r="I3324" s="7"/>
      <c r="J3324" s="12"/>
      <c r="K3324" s="13"/>
      <c r="L3324" s="14"/>
      <c r="M3324" s="15"/>
      <c r="N3324" s="15"/>
      <c r="O3324" s="16"/>
      <c r="Q3324" s="16"/>
    </row>
    <row r="3325" spans="1:17" x14ac:dyDescent="0.3">
      <c r="A3325" s="5"/>
      <c r="B3325" s="6"/>
      <c r="C3325" s="7"/>
      <c r="D3325" s="10"/>
      <c r="F3325" s="1"/>
      <c r="G3325" s="1"/>
      <c r="H3325" s="1"/>
      <c r="I3325" s="7"/>
      <c r="J3325" s="12"/>
      <c r="K3325" s="13"/>
      <c r="L3325" s="14"/>
      <c r="M3325" s="15"/>
      <c r="N3325" s="15"/>
      <c r="O3325" s="16"/>
      <c r="Q3325" s="16"/>
    </row>
    <row r="3326" spans="1:17" x14ac:dyDescent="0.3">
      <c r="A3326" s="5"/>
      <c r="B3326" s="6"/>
      <c r="C3326" s="7"/>
      <c r="D3326" s="10"/>
      <c r="F3326" s="1"/>
      <c r="G3326" s="1"/>
      <c r="H3326" s="1"/>
      <c r="I3326" s="7"/>
      <c r="J3326" s="12"/>
      <c r="K3326" s="13"/>
      <c r="L3326" s="14"/>
      <c r="M3326" s="15"/>
      <c r="N3326" s="15"/>
      <c r="O3326" s="16"/>
      <c r="Q3326" s="16"/>
    </row>
    <row r="3327" spans="1:17" x14ac:dyDescent="0.3">
      <c r="A3327" s="5"/>
      <c r="B3327" s="6"/>
      <c r="C3327" s="7"/>
      <c r="D3327" s="10"/>
      <c r="F3327" s="1"/>
      <c r="G3327" s="1"/>
      <c r="H3327" s="1"/>
      <c r="I3327" s="7"/>
      <c r="J3327" s="12"/>
      <c r="K3327" s="13"/>
      <c r="L3327" s="14"/>
      <c r="M3327" s="15"/>
      <c r="N3327" s="15"/>
      <c r="O3327" s="16"/>
      <c r="Q3327" s="16"/>
    </row>
    <row r="3328" spans="1:17" x14ac:dyDescent="0.3">
      <c r="A3328" s="5"/>
      <c r="B3328" s="6"/>
      <c r="C3328" s="7"/>
      <c r="D3328" s="10"/>
      <c r="F3328" s="1"/>
      <c r="G3328" s="1"/>
      <c r="H3328" s="1"/>
      <c r="I3328" s="7"/>
      <c r="J3328" s="12"/>
      <c r="K3328" s="13"/>
      <c r="L3328" s="14"/>
      <c r="M3328" s="15"/>
      <c r="N3328" s="15"/>
      <c r="O3328" s="16"/>
      <c r="Q3328" s="16"/>
    </row>
    <row r="3329" spans="1:17" x14ac:dyDescent="0.3">
      <c r="A3329" s="5"/>
      <c r="B3329" s="6"/>
      <c r="C3329" s="7"/>
      <c r="D3329" s="10"/>
      <c r="F3329" s="1"/>
      <c r="G3329" s="1"/>
      <c r="H3329" s="1"/>
      <c r="I3329" s="7"/>
      <c r="J3329" s="12"/>
      <c r="K3329" s="13"/>
      <c r="L3329" s="14"/>
      <c r="M3329" s="15"/>
      <c r="N3329" s="15"/>
      <c r="O3329" s="16"/>
      <c r="Q3329" s="16"/>
    </row>
    <row r="3330" spans="1:17" x14ac:dyDescent="0.3">
      <c r="A3330" s="5"/>
      <c r="B3330" s="6"/>
      <c r="C3330" s="7"/>
      <c r="D3330" s="10"/>
      <c r="F3330" s="1"/>
      <c r="G3330" s="1"/>
      <c r="H3330" s="1"/>
      <c r="I3330" s="7"/>
      <c r="J3330" s="12"/>
      <c r="K3330" s="13"/>
      <c r="L3330" s="14"/>
      <c r="M3330" s="15"/>
      <c r="N3330" s="15"/>
      <c r="O3330" s="16"/>
      <c r="Q3330" s="16"/>
    </row>
    <row r="3331" spans="1:17" x14ac:dyDescent="0.3">
      <c r="A3331" s="5"/>
      <c r="B3331" s="6"/>
      <c r="C3331" s="7"/>
      <c r="D3331" s="10"/>
      <c r="F3331" s="1"/>
      <c r="G3331" s="1"/>
      <c r="H3331" s="1"/>
      <c r="I3331" s="7"/>
      <c r="J3331" s="12"/>
      <c r="K3331" s="13"/>
      <c r="L3331" s="14"/>
      <c r="M3331" s="15"/>
      <c r="N3331" s="15"/>
      <c r="O3331" s="16"/>
      <c r="Q3331" s="16"/>
    </row>
    <row r="3332" spans="1:17" x14ac:dyDescent="0.3">
      <c r="A3332" s="5"/>
      <c r="B3332" s="6"/>
      <c r="C3332" s="7"/>
      <c r="D3332" s="10"/>
      <c r="F3332" s="1"/>
      <c r="G3332" s="1"/>
      <c r="H3332" s="1"/>
      <c r="I3332" s="7"/>
      <c r="J3332" s="12"/>
      <c r="K3332" s="13"/>
      <c r="L3332" s="14"/>
      <c r="M3332" s="15"/>
      <c r="N3332" s="15"/>
      <c r="O3332" s="16"/>
      <c r="Q3332" s="16"/>
    </row>
    <row r="3333" spans="1:17" x14ac:dyDescent="0.3">
      <c r="A3333" s="5"/>
      <c r="B3333" s="6"/>
      <c r="C3333" s="7"/>
      <c r="D3333" s="10"/>
      <c r="F3333" s="1"/>
      <c r="G3333" s="1"/>
      <c r="H3333" s="1"/>
      <c r="I3333" s="7"/>
      <c r="J3333" s="12"/>
      <c r="K3333" s="13"/>
      <c r="L3333" s="14"/>
      <c r="M3333" s="15"/>
      <c r="N3333" s="15"/>
      <c r="O3333" s="16"/>
      <c r="Q3333" s="16"/>
    </row>
    <row r="3334" spans="1:17" x14ac:dyDescent="0.3">
      <c r="A3334" s="5"/>
      <c r="B3334" s="6"/>
      <c r="C3334" s="7"/>
      <c r="D3334" s="10"/>
      <c r="F3334" s="1"/>
      <c r="G3334" s="1"/>
      <c r="H3334" s="1"/>
      <c r="I3334" s="7"/>
      <c r="J3334" s="12"/>
      <c r="K3334" s="13"/>
      <c r="L3334" s="14"/>
      <c r="M3334" s="15"/>
      <c r="N3334" s="15"/>
      <c r="O3334" s="16"/>
      <c r="Q3334" s="16"/>
    </row>
    <row r="3335" spans="1:17" x14ac:dyDescent="0.3">
      <c r="A3335" s="5"/>
      <c r="B3335" s="6"/>
      <c r="C3335" s="7"/>
      <c r="D3335" s="10"/>
      <c r="F3335" s="1"/>
      <c r="G3335" s="1"/>
      <c r="H3335" s="1"/>
      <c r="I3335" s="7"/>
      <c r="J3335" s="12"/>
      <c r="K3335" s="13"/>
      <c r="L3335" s="14"/>
      <c r="M3335" s="15"/>
      <c r="N3335" s="15"/>
      <c r="O3335" s="16"/>
      <c r="Q3335" s="16"/>
    </row>
    <row r="3336" spans="1:17" x14ac:dyDescent="0.3">
      <c r="A3336" s="5"/>
      <c r="B3336" s="6"/>
      <c r="C3336" s="7"/>
      <c r="D3336" s="10"/>
      <c r="F3336" s="1"/>
      <c r="G3336" s="1"/>
      <c r="H3336" s="1"/>
      <c r="I3336" s="7"/>
      <c r="J3336" s="12"/>
      <c r="K3336" s="13"/>
      <c r="L3336" s="14"/>
      <c r="M3336" s="15"/>
      <c r="N3336" s="15"/>
      <c r="O3336" s="16"/>
      <c r="Q3336" s="16"/>
    </row>
    <row r="3337" spans="1:17" x14ac:dyDescent="0.3">
      <c r="A3337" s="5"/>
      <c r="B3337" s="6"/>
      <c r="C3337" s="7"/>
      <c r="D3337" s="10"/>
      <c r="F3337" s="1"/>
      <c r="G3337" s="1"/>
      <c r="H3337" s="1"/>
      <c r="I3337" s="7"/>
      <c r="J3337" s="12"/>
      <c r="K3337" s="13"/>
      <c r="L3337" s="14"/>
      <c r="M3337" s="15"/>
      <c r="N3337" s="15"/>
      <c r="O3337" s="16"/>
      <c r="Q3337" s="16"/>
    </row>
    <row r="3338" spans="1:17" x14ac:dyDescent="0.3">
      <c r="A3338" s="5"/>
      <c r="B3338" s="6"/>
      <c r="C3338" s="7"/>
      <c r="D3338" s="10"/>
      <c r="F3338" s="1"/>
      <c r="G3338" s="1"/>
      <c r="H3338" s="1"/>
      <c r="I3338" s="7"/>
      <c r="J3338" s="12"/>
      <c r="K3338" s="13"/>
      <c r="L3338" s="14"/>
      <c r="M3338" s="15"/>
      <c r="N3338" s="15"/>
      <c r="O3338" s="16"/>
      <c r="Q3338" s="16"/>
    </row>
    <row r="3339" spans="1:17" x14ac:dyDescent="0.3">
      <c r="A3339" s="5"/>
      <c r="B3339" s="6"/>
      <c r="C3339" s="7"/>
      <c r="D3339" s="10"/>
      <c r="F3339" s="1"/>
      <c r="G3339" s="1"/>
      <c r="H3339" s="1"/>
      <c r="I3339" s="7"/>
      <c r="J3339" s="12"/>
      <c r="K3339" s="13"/>
      <c r="L3339" s="14"/>
      <c r="M3339" s="15"/>
      <c r="N3339" s="15"/>
      <c r="O3339" s="16"/>
      <c r="Q3339" s="16"/>
    </row>
    <row r="3340" spans="1:17" x14ac:dyDescent="0.3">
      <c r="A3340" s="5"/>
      <c r="B3340" s="6"/>
      <c r="C3340" s="7"/>
      <c r="D3340" s="10"/>
      <c r="F3340" s="1"/>
      <c r="G3340" s="1"/>
      <c r="H3340" s="1"/>
      <c r="I3340" s="7"/>
      <c r="J3340" s="12"/>
      <c r="K3340" s="13"/>
      <c r="L3340" s="14"/>
      <c r="M3340" s="15"/>
      <c r="N3340" s="15"/>
      <c r="O3340" s="16"/>
      <c r="Q3340" s="16"/>
    </row>
    <row r="3341" spans="1:17" x14ac:dyDescent="0.3">
      <c r="A3341" s="5"/>
      <c r="B3341" s="6"/>
      <c r="C3341" s="7"/>
      <c r="D3341" s="10"/>
      <c r="F3341" s="1"/>
      <c r="G3341" s="1"/>
      <c r="H3341" s="1"/>
      <c r="I3341" s="7"/>
      <c r="J3341" s="12"/>
      <c r="K3341" s="13"/>
      <c r="L3341" s="14"/>
      <c r="M3341" s="15"/>
      <c r="N3341" s="15"/>
      <c r="O3341" s="16"/>
      <c r="Q3341" s="16"/>
    </row>
    <row r="3342" spans="1:17" x14ac:dyDescent="0.3">
      <c r="A3342" s="5"/>
      <c r="B3342" s="6"/>
      <c r="C3342" s="7"/>
      <c r="D3342" s="10"/>
      <c r="F3342" s="1"/>
      <c r="G3342" s="1"/>
      <c r="H3342" s="1"/>
      <c r="I3342" s="7"/>
      <c r="J3342" s="12"/>
      <c r="K3342" s="13"/>
      <c r="L3342" s="14"/>
      <c r="M3342" s="15"/>
      <c r="N3342" s="15"/>
      <c r="O3342" s="16"/>
      <c r="Q3342" s="16"/>
    </row>
    <row r="3343" spans="1:17" x14ac:dyDescent="0.3">
      <c r="A3343" s="5"/>
      <c r="B3343" s="6"/>
      <c r="C3343" s="7"/>
      <c r="D3343" s="10"/>
      <c r="F3343" s="1"/>
      <c r="G3343" s="1"/>
      <c r="H3343" s="1"/>
      <c r="I3343" s="7"/>
      <c r="J3343" s="12"/>
      <c r="K3343" s="13"/>
      <c r="L3343" s="14"/>
      <c r="M3343" s="15"/>
      <c r="N3343" s="15"/>
      <c r="O3343" s="16"/>
      <c r="Q3343" s="16"/>
    </row>
    <row r="3344" spans="1:17" x14ac:dyDescent="0.3">
      <c r="A3344" s="5"/>
      <c r="B3344" s="6"/>
      <c r="C3344" s="7"/>
      <c r="D3344" s="10"/>
      <c r="F3344" s="1"/>
      <c r="G3344" s="1"/>
      <c r="H3344" s="1"/>
      <c r="I3344" s="7"/>
      <c r="J3344" s="12"/>
      <c r="K3344" s="13"/>
      <c r="L3344" s="14"/>
      <c r="M3344" s="15"/>
      <c r="N3344" s="15"/>
      <c r="O3344" s="16"/>
      <c r="Q3344" s="16"/>
    </row>
    <row r="3345" spans="1:17" x14ac:dyDescent="0.3">
      <c r="A3345" s="5"/>
      <c r="B3345" s="6"/>
      <c r="C3345" s="7"/>
      <c r="D3345" s="10"/>
      <c r="F3345" s="1"/>
      <c r="G3345" s="1"/>
      <c r="H3345" s="1"/>
      <c r="I3345" s="7"/>
      <c r="J3345" s="12"/>
      <c r="K3345" s="13"/>
      <c r="L3345" s="14"/>
      <c r="M3345" s="15"/>
      <c r="N3345" s="15"/>
      <c r="O3345" s="16"/>
      <c r="Q3345" s="16"/>
    </row>
    <row r="3346" spans="1:17" x14ac:dyDescent="0.3">
      <c r="A3346" s="5"/>
      <c r="B3346" s="6"/>
      <c r="C3346" s="7"/>
      <c r="D3346" s="10"/>
      <c r="F3346" s="1"/>
      <c r="G3346" s="1"/>
      <c r="H3346" s="1"/>
      <c r="I3346" s="7"/>
      <c r="J3346" s="12"/>
      <c r="K3346" s="13"/>
      <c r="L3346" s="14"/>
      <c r="M3346" s="15"/>
      <c r="N3346" s="15"/>
      <c r="O3346" s="16"/>
      <c r="Q3346" s="16"/>
    </row>
    <row r="3347" spans="1:17" x14ac:dyDescent="0.3">
      <c r="A3347" s="5"/>
      <c r="B3347" s="6"/>
      <c r="C3347" s="7"/>
      <c r="D3347" s="10"/>
      <c r="F3347" s="1"/>
      <c r="G3347" s="1"/>
      <c r="H3347" s="1"/>
      <c r="I3347" s="7"/>
      <c r="J3347" s="12"/>
      <c r="K3347" s="13"/>
      <c r="L3347" s="14"/>
      <c r="M3347" s="15"/>
      <c r="N3347" s="15"/>
      <c r="O3347" s="16"/>
      <c r="Q3347" s="16"/>
    </row>
    <row r="3348" spans="1:17" x14ac:dyDescent="0.3">
      <c r="A3348" s="5"/>
      <c r="B3348" s="6"/>
      <c r="C3348" s="7"/>
      <c r="D3348" s="10"/>
      <c r="F3348" s="1"/>
      <c r="G3348" s="1"/>
      <c r="H3348" s="1"/>
      <c r="I3348" s="7"/>
      <c r="J3348" s="12"/>
      <c r="K3348" s="13"/>
      <c r="L3348" s="14"/>
      <c r="M3348" s="15"/>
      <c r="N3348" s="15"/>
      <c r="O3348" s="16"/>
      <c r="Q3348" s="16"/>
    </row>
    <row r="3349" spans="1:17" x14ac:dyDescent="0.3">
      <c r="A3349" s="5"/>
      <c r="B3349" s="6"/>
      <c r="C3349" s="7"/>
      <c r="D3349" s="10"/>
      <c r="F3349" s="1"/>
      <c r="G3349" s="1"/>
      <c r="H3349" s="1"/>
      <c r="I3349" s="7"/>
      <c r="J3349" s="12"/>
      <c r="K3349" s="13"/>
      <c r="L3349" s="14"/>
      <c r="M3349" s="15"/>
      <c r="N3349" s="15"/>
      <c r="O3349" s="16"/>
      <c r="Q3349" s="16"/>
    </row>
    <row r="3350" spans="1:17" x14ac:dyDescent="0.3">
      <c r="A3350" s="5"/>
      <c r="B3350" s="6"/>
      <c r="C3350" s="7"/>
      <c r="D3350" s="10"/>
      <c r="F3350" s="1"/>
      <c r="G3350" s="1"/>
      <c r="H3350" s="1"/>
      <c r="I3350" s="7"/>
      <c r="J3350" s="12"/>
      <c r="K3350" s="13"/>
      <c r="L3350" s="14"/>
      <c r="M3350" s="15"/>
      <c r="N3350" s="15"/>
      <c r="O3350" s="16"/>
      <c r="Q3350" s="16"/>
    </row>
    <row r="3351" spans="1:17" x14ac:dyDescent="0.3">
      <c r="A3351" s="5"/>
      <c r="B3351" s="6"/>
      <c r="C3351" s="7"/>
      <c r="D3351" s="10"/>
      <c r="F3351" s="1"/>
      <c r="G3351" s="1"/>
      <c r="H3351" s="1"/>
      <c r="I3351" s="7"/>
      <c r="J3351" s="12"/>
      <c r="K3351" s="13"/>
      <c r="L3351" s="14"/>
      <c r="M3351" s="15"/>
      <c r="N3351" s="15"/>
      <c r="O3351" s="16"/>
      <c r="Q3351" s="16"/>
    </row>
    <row r="3352" spans="1:17" x14ac:dyDescent="0.3">
      <c r="A3352" s="5"/>
      <c r="B3352" s="6"/>
      <c r="C3352" s="7"/>
      <c r="D3352" s="10"/>
      <c r="F3352" s="1"/>
      <c r="G3352" s="1"/>
      <c r="H3352" s="1"/>
      <c r="I3352" s="7"/>
      <c r="J3352" s="12"/>
      <c r="K3352" s="13"/>
      <c r="L3352" s="14"/>
      <c r="M3352" s="15"/>
      <c r="N3352" s="15"/>
      <c r="O3352" s="16"/>
      <c r="Q3352" s="16"/>
    </row>
    <row r="3353" spans="1:17" x14ac:dyDescent="0.3">
      <c r="A3353" s="5"/>
      <c r="B3353" s="6"/>
      <c r="C3353" s="7"/>
      <c r="D3353" s="10"/>
      <c r="F3353" s="1"/>
      <c r="G3353" s="1"/>
      <c r="H3353" s="1"/>
      <c r="I3353" s="7"/>
      <c r="J3353" s="12"/>
      <c r="K3353" s="13"/>
      <c r="L3353" s="14"/>
      <c r="M3353" s="15"/>
      <c r="N3353" s="15"/>
      <c r="O3353" s="16"/>
      <c r="Q3353" s="16"/>
    </row>
    <row r="3354" spans="1:17" x14ac:dyDescent="0.3">
      <c r="A3354" s="5"/>
      <c r="B3354" s="6"/>
      <c r="C3354" s="7"/>
      <c r="D3354" s="10"/>
      <c r="F3354" s="1"/>
      <c r="G3354" s="1"/>
      <c r="H3354" s="1"/>
      <c r="I3354" s="7"/>
      <c r="J3354" s="12"/>
      <c r="K3354" s="13"/>
      <c r="L3354" s="14"/>
      <c r="M3354" s="15"/>
      <c r="N3354" s="15"/>
      <c r="O3354" s="16"/>
      <c r="Q3354" s="16"/>
    </row>
    <row r="3355" spans="1:17" x14ac:dyDescent="0.3">
      <c r="A3355" s="5"/>
      <c r="B3355" s="6"/>
      <c r="C3355" s="7"/>
      <c r="D3355" s="10"/>
      <c r="F3355" s="1"/>
      <c r="G3355" s="1"/>
      <c r="H3355" s="1"/>
      <c r="I3355" s="7"/>
      <c r="J3355" s="12"/>
      <c r="K3355" s="13"/>
      <c r="L3355" s="14"/>
      <c r="M3355" s="15"/>
      <c r="N3355" s="15"/>
      <c r="O3355" s="16"/>
      <c r="Q3355" s="16"/>
    </row>
    <row r="3356" spans="1:17" x14ac:dyDescent="0.3">
      <c r="A3356" s="5"/>
      <c r="B3356" s="6"/>
      <c r="C3356" s="7"/>
      <c r="D3356" s="10"/>
      <c r="F3356" s="1"/>
      <c r="G3356" s="1"/>
      <c r="H3356" s="1"/>
      <c r="I3356" s="7"/>
      <c r="J3356" s="12"/>
      <c r="K3356" s="13"/>
      <c r="L3356" s="14"/>
      <c r="M3356" s="15"/>
      <c r="N3356" s="15"/>
      <c r="O3356" s="16"/>
      <c r="Q3356" s="16"/>
    </row>
    <row r="3357" spans="1:17" x14ac:dyDescent="0.3">
      <c r="A3357" s="5"/>
      <c r="B3357" s="6"/>
      <c r="C3357" s="7"/>
      <c r="D3357" s="10"/>
      <c r="F3357" s="1"/>
      <c r="G3357" s="1"/>
      <c r="H3357" s="1"/>
      <c r="I3357" s="7"/>
      <c r="J3357" s="12"/>
      <c r="K3357" s="13"/>
      <c r="L3357" s="14"/>
      <c r="M3357" s="15"/>
      <c r="N3357" s="15"/>
      <c r="O3357" s="16"/>
      <c r="Q3357" s="16"/>
    </row>
    <row r="3358" spans="1:17" x14ac:dyDescent="0.3">
      <c r="A3358" s="5"/>
      <c r="B3358" s="6"/>
      <c r="C3358" s="7"/>
      <c r="D3358" s="10"/>
      <c r="F3358" s="1"/>
      <c r="G3358" s="1"/>
      <c r="H3358" s="1"/>
      <c r="I3358" s="7"/>
      <c r="J3358" s="12"/>
      <c r="K3358" s="13"/>
      <c r="L3358" s="14"/>
      <c r="M3358" s="15"/>
      <c r="N3358" s="15"/>
      <c r="O3358" s="16"/>
      <c r="Q3358" s="16"/>
    </row>
    <row r="3359" spans="1:17" x14ac:dyDescent="0.3">
      <c r="A3359" s="5"/>
      <c r="B3359" s="6"/>
      <c r="C3359" s="7"/>
      <c r="D3359" s="10"/>
      <c r="F3359" s="1"/>
      <c r="G3359" s="1"/>
      <c r="H3359" s="1"/>
      <c r="I3359" s="7"/>
      <c r="J3359" s="12"/>
      <c r="K3359" s="13"/>
      <c r="L3359" s="14"/>
      <c r="M3359" s="15"/>
      <c r="N3359" s="15"/>
      <c r="O3359" s="16"/>
      <c r="Q3359" s="16"/>
    </row>
    <row r="3360" spans="1:17" x14ac:dyDescent="0.3">
      <c r="A3360" s="5"/>
      <c r="B3360" s="6"/>
      <c r="C3360" s="7"/>
      <c r="D3360" s="10"/>
      <c r="F3360" s="1"/>
      <c r="G3360" s="1"/>
      <c r="H3360" s="1"/>
      <c r="I3360" s="7"/>
      <c r="J3360" s="12"/>
      <c r="K3360" s="13"/>
      <c r="L3360" s="14"/>
      <c r="M3360" s="15"/>
      <c r="N3360" s="15"/>
      <c r="O3360" s="16"/>
      <c r="Q3360" s="16"/>
    </row>
    <row r="3361" spans="1:17" x14ac:dyDescent="0.3">
      <c r="A3361" s="5"/>
      <c r="B3361" s="6"/>
      <c r="C3361" s="7"/>
      <c r="D3361" s="10"/>
      <c r="F3361" s="1"/>
      <c r="G3361" s="1"/>
      <c r="H3361" s="1"/>
      <c r="I3361" s="7"/>
      <c r="J3361" s="12"/>
      <c r="K3361" s="13"/>
      <c r="L3361" s="14"/>
      <c r="M3361" s="15"/>
      <c r="N3361" s="15"/>
      <c r="O3361" s="16"/>
      <c r="Q3361" s="16"/>
    </row>
    <row r="3362" spans="1:17" x14ac:dyDescent="0.3">
      <c r="A3362" s="5"/>
      <c r="B3362" s="6"/>
      <c r="C3362" s="7"/>
      <c r="D3362" s="10"/>
      <c r="F3362" s="1"/>
      <c r="G3362" s="1"/>
      <c r="H3362" s="1"/>
      <c r="I3362" s="7"/>
      <c r="J3362" s="12"/>
      <c r="K3362" s="13"/>
      <c r="L3362" s="14"/>
      <c r="M3362" s="15"/>
      <c r="N3362" s="15"/>
      <c r="O3362" s="16"/>
      <c r="Q3362" s="16"/>
    </row>
    <row r="3363" spans="1:17" x14ac:dyDescent="0.3">
      <c r="A3363" s="5"/>
      <c r="B3363" s="6"/>
      <c r="C3363" s="7"/>
      <c r="D3363" s="10"/>
      <c r="F3363" s="1"/>
      <c r="G3363" s="1"/>
      <c r="H3363" s="1"/>
      <c r="I3363" s="7"/>
      <c r="J3363" s="12"/>
      <c r="K3363" s="13"/>
      <c r="L3363" s="14"/>
      <c r="M3363" s="15"/>
      <c r="N3363" s="15"/>
      <c r="O3363" s="16"/>
      <c r="Q3363" s="16"/>
    </row>
    <row r="3364" spans="1:17" x14ac:dyDescent="0.3">
      <c r="A3364" s="5"/>
      <c r="B3364" s="6"/>
      <c r="C3364" s="7"/>
      <c r="D3364" s="10"/>
      <c r="F3364" s="1"/>
      <c r="G3364" s="1"/>
      <c r="H3364" s="1"/>
      <c r="I3364" s="7"/>
      <c r="J3364" s="12"/>
      <c r="K3364" s="13"/>
      <c r="L3364" s="14"/>
      <c r="M3364" s="15"/>
      <c r="N3364" s="15"/>
      <c r="O3364" s="16"/>
      <c r="Q3364" s="16"/>
    </row>
    <row r="3365" spans="1:17" x14ac:dyDescent="0.3">
      <c r="A3365" s="5"/>
      <c r="B3365" s="6"/>
      <c r="C3365" s="7"/>
      <c r="D3365" s="10"/>
      <c r="F3365" s="1"/>
      <c r="G3365" s="1"/>
      <c r="H3365" s="1"/>
      <c r="I3365" s="7"/>
      <c r="J3365" s="12"/>
      <c r="K3365" s="13"/>
      <c r="L3365" s="14"/>
      <c r="M3365" s="15"/>
      <c r="N3365" s="15"/>
      <c r="O3365" s="16"/>
      <c r="Q3365" s="16"/>
    </row>
    <row r="3366" spans="1:17" x14ac:dyDescent="0.3">
      <c r="A3366" s="5"/>
      <c r="B3366" s="6"/>
      <c r="C3366" s="7"/>
      <c r="D3366" s="10"/>
      <c r="F3366" s="1"/>
      <c r="G3366" s="1"/>
      <c r="H3366" s="1"/>
      <c r="I3366" s="7"/>
      <c r="J3366" s="12"/>
      <c r="K3366" s="13"/>
      <c r="L3366" s="14"/>
      <c r="M3366" s="15"/>
      <c r="N3366" s="15"/>
      <c r="O3366" s="16"/>
      <c r="Q3366" s="16"/>
    </row>
    <row r="3367" spans="1:17" x14ac:dyDescent="0.3">
      <c r="A3367" s="5"/>
      <c r="B3367" s="6"/>
      <c r="C3367" s="7"/>
      <c r="D3367" s="10"/>
      <c r="F3367" s="1"/>
      <c r="G3367" s="1"/>
      <c r="H3367" s="1"/>
      <c r="I3367" s="7"/>
      <c r="J3367" s="12"/>
      <c r="K3367" s="13"/>
      <c r="L3367" s="14"/>
      <c r="M3367" s="15"/>
      <c r="N3367" s="15"/>
      <c r="O3367" s="16"/>
      <c r="Q3367" s="16"/>
    </row>
    <row r="3368" spans="1:17" x14ac:dyDescent="0.3">
      <c r="A3368" s="5"/>
      <c r="B3368" s="6"/>
      <c r="C3368" s="7"/>
      <c r="D3368" s="10"/>
      <c r="F3368" s="1"/>
      <c r="G3368" s="1"/>
      <c r="H3368" s="1"/>
      <c r="I3368" s="7"/>
      <c r="J3368" s="12"/>
      <c r="K3368" s="13"/>
      <c r="L3368" s="14"/>
      <c r="M3368" s="15"/>
      <c r="N3368" s="15"/>
      <c r="O3368" s="16"/>
      <c r="Q3368" s="16"/>
    </row>
    <row r="3369" spans="1:17" x14ac:dyDescent="0.3">
      <c r="A3369" s="5"/>
      <c r="B3369" s="6"/>
      <c r="C3369" s="7"/>
      <c r="D3369" s="10"/>
      <c r="F3369" s="1"/>
      <c r="G3369" s="1"/>
      <c r="H3369" s="1"/>
      <c r="I3369" s="7"/>
      <c r="J3369" s="12"/>
      <c r="K3369" s="13"/>
      <c r="L3369" s="14"/>
      <c r="M3369" s="15"/>
      <c r="N3369" s="15"/>
      <c r="O3369" s="16"/>
      <c r="Q3369" s="16"/>
    </row>
    <row r="3370" spans="1:17" x14ac:dyDescent="0.3">
      <c r="A3370" s="5"/>
      <c r="B3370" s="6"/>
      <c r="C3370" s="7"/>
      <c r="D3370" s="10"/>
      <c r="F3370" s="1"/>
      <c r="G3370" s="1"/>
      <c r="H3370" s="1"/>
      <c r="I3370" s="7"/>
      <c r="J3370" s="12"/>
      <c r="K3370" s="13"/>
      <c r="L3370" s="14"/>
      <c r="M3370" s="15"/>
      <c r="N3370" s="15"/>
      <c r="O3370" s="16"/>
      <c r="Q3370" s="16"/>
    </row>
    <row r="3371" spans="1:17" x14ac:dyDescent="0.3">
      <c r="A3371" s="5"/>
      <c r="B3371" s="6"/>
      <c r="C3371" s="7"/>
      <c r="D3371" s="10"/>
      <c r="F3371" s="1"/>
      <c r="G3371" s="1"/>
      <c r="H3371" s="1"/>
      <c r="I3371" s="7"/>
      <c r="J3371" s="12"/>
      <c r="K3371" s="13"/>
      <c r="L3371" s="14"/>
      <c r="M3371" s="15"/>
      <c r="N3371" s="15"/>
      <c r="O3371" s="16"/>
      <c r="Q3371" s="16"/>
    </row>
    <row r="3372" spans="1:17" x14ac:dyDescent="0.3">
      <c r="A3372" s="5"/>
      <c r="B3372" s="6"/>
      <c r="C3372" s="7"/>
      <c r="D3372" s="10"/>
      <c r="F3372" s="1"/>
      <c r="G3372" s="1"/>
      <c r="H3372" s="1"/>
      <c r="I3372" s="7"/>
      <c r="J3372" s="12"/>
      <c r="K3372" s="13"/>
      <c r="L3372" s="14"/>
      <c r="M3372" s="15"/>
      <c r="N3372" s="15"/>
      <c r="O3372" s="16"/>
      <c r="Q3372" s="16"/>
    </row>
    <row r="3373" spans="1:17" x14ac:dyDescent="0.3">
      <c r="A3373" s="5"/>
      <c r="B3373" s="6"/>
      <c r="C3373" s="7"/>
      <c r="D3373" s="10"/>
      <c r="F3373" s="1"/>
      <c r="G3373" s="1"/>
      <c r="H3373" s="1"/>
      <c r="I3373" s="7"/>
      <c r="J3373" s="12"/>
      <c r="K3373" s="13"/>
      <c r="L3373" s="14"/>
      <c r="M3373" s="15"/>
      <c r="N3373" s="15"/>
      <c r="O3373" s="16"/>
      <c r="Q3373" s="16"/>
    </row>
    <row r="3374" spans="1:17" x14ac:dyDescent="0.3">
      <c r="A3374" s="5"/>
      <c r="B3374" s="6"/>
      <c r="C3374" s="7"/>
      <c r="D3374" s="10"/>
      <c r="F3374" s="1"/>
      <c r="G3374" s="1"/>
      <c r="H3374" s="1"/>
      <c r="I3374" s="7"/>
      <c r="J3374" s="12"/>
      <c r="K3374" s="13"/>
      <c r="L3374" s="14"/>
      <c r="M3374" s="15"/>
      <c r="N3374" s="15"/>
      <c r="O3374" s="16"/>
      <c r="Q3374" s="16"/>
    </row>
    <row r="3375" spans="1:17" x14ac:dyDescent="0.3">
      <c r="A3375" s="5"/>
      <c r="B3375" s="6"/>
      <c r="C3375" s="7"/>
      <c r="D3375" s="10"/>
      <c r="F3375" s="1"/>
      <c r="G3375" s="1"/>
      <c r="H3375" s="1"/>
      <c r="I3375" s="7"/>
      <c r="J3375" s="12"/>
      <c r="K3375" s="13"/>
      <c r="L3375" s="14"/>
      <c r="M3375" s="15"/>
      <c r="N3375" s="15"/>
      <c r="O3375" s="16"/>
      <c r="Q3375" s="16"/>
    </row>
    <row r="3376" spans="1:17" x14ac:dyDescent="0.3">
      <c r="A3376" s="5"/>
      <c r="B3376" s="6"/>
      <c r="C3376" s="7"/>
      <c r="D3376" s="10"/>
      <c r="F3376" s="1"/>
      <c r="G3376" s="1"/>
      <c r="H3376" s="1"/>
      <c r="I3376" s="7"/>
      <c r="J3376" s="12"/>
      <c r="K3376" s="13"/>
      <c r="L3376" s="14"/>
      <c r="M3376" s="15"/>
      <c r="N3376" s="15"/>
      <c r="O3376" s="16"/>
      <c r="Q3376" s="16"/>
    </row>
    <row r="3377" spans="1:17" x14ac:dyDescent="0.3">
      <c r="A3377" s="5"/>
      <c r="B3377" s="6"/>
      <c r="C3377" s="7"/>
      <c r="D3377" s="10"/>
      <c r="F3377" s="1"/>
      <c r="G3377" s="1"/>
      <c r="H3377" s="1"/>
      <c r="I3377" s="7"/>
      <c r="J3377" s="12"/>
      <c r="K3377" s="13"/>
      <c r="L3377" s="14"/>
      <c r="M3377" s="15"/>
      <c r="N3377" s="15"/>
      <c r="O3377" s="16"/>
      <c r="Q3377" s="16"/>
    </row>
    <row r="3378" spans="1:17" x14ac:dyDescent="0.3">
      <c r="A3378" s="5"/>
      <c r="B3378" s="6"/>
      <c r="C3378" s="7"/>
      <c r="D3378" s="10"/>
      <c r="F3378" s="1"/>
      <c r="G3378" s="1"/>
      <c r="H3378" s="1"/>
      <c r="I3378" s="7"/>
      <c r="J3378" s="12"/>
      <c r="K3378" s="13"/>
      <c r="L3378" s="14"/>
      <c r="M3378" s="15"/>
      <c r="N3378" s="15"/>
      <c r="O3378" s="16"/>
      <c r="Q3378" s="16"/>
    </row>
    <row r="3379" spans="1:17" x14ac:dyDescent="0.3">
      <c r="A3379" s="5"/>
      <c r="B3379" s="6"/>
      <c r="C3379" s="7"/>
      <c r="D3379" s="10"/>
      <c r="F3379" s="1"/>
      <c r="G3379" s="1"/>
      <c r="H3379" s="1"/>
      <c r="I3379" s="7"/>
      <c r="J3379" s="12"/>
      <c r="K3379" s="13"/>
      <c r="L3379" s="14"/>
      <c r="M3379" s="15"/>
      <c r="N3379" s="15"/>
      <c r="O3379" s="16"/>
      <c r="Q3379" s="16"/>
    </row>
    <row r="3380" spans="1:17" x14ac:dyDescent="0.3">
      <c r="A3380" s="5"/>
      <c r="B3380" s="6"/>
      <c r="C3380" s="7"/>
      <c r="D3380" s="10"/>
      <c r="F3380" s="1"/>
      <c r="G3380" s="1"/>
      <c r="H3380" s="1"/>
      <c r="I3380" s="7"/>
      <c r="J3380" s="12"/>
      <c r="K3380" s="13"/>
      <c r="L3380" s="14"/>
      <c r="M3380" s="15"/>
      <c r="N3380" s="15"/>
      <c r="O3380" s="16"/>
      <c r="Q3380" s="16"/>
    </row>
    <row r="3381" spans="1:17" x14ac:dyDescent="0.3">
      <c r="A3381" s="5"/>
      <c r="B3381" s="6"/>
      <c r="C3381" s="7"/>
      <c r="D3381" s="10"/>
      <c r="F3381" s="1"/>
      <c r="G3381" s="1"/>
      <c r="H3381" s="1"/>
      <c r="I3381" s="7"/>
      <c r="J3381" s="12"/>
      <c r="K3381" s="13"/>
      <c r="L3381" s="14"/>
      <c r="M3381" s="15"/>
      <c r="N3381" s="15"/>
      <c r="O3381" s="16"/>
      <c r="Q3381" s="16"/>
    </row>
    <row r="3382" spans="1:17" x14ac:dyDescent="0.3">
      <c r="A3382" s="5"/>
      <c r="B3382" s="6"/>
      <c r="C3382" s="7"/>
      <c r="D3382" s="10"/>
      <c r="F3382" s="1"/>
      <c r="G3382" s="1"/>
      <c r="H3382" s="1"/>
      <c r="I3382" s="7"/>
      <c r="J3382" s="12"/>
      <c r="K3382" s="13"/>
      <c r="L3382" s="14"/>
      <c r="M3382" s="15"/>
      <c r="N3382" s="15"/>
      <c r="O3382" s="16"/>
      <c r="Q3382" s="16"/>
    </row>
    <row r="3383" spans="1:17" x14ac:dyDescent="0.3">
      <c r="A3383" s="5"/>
      <c r="B3383" s="6"/>
      <c r="C3383" s="7"/>
      <c r="D3383" s="10"/>
      <c r="F3383" s="1"/>
      <c r="G3383" s="1"/>
      <c r="H3383" s="1"/>
      <c r="I3383" s="7"/>
      <c r="J3383" s="12"/>
      <c r="K3383" s="13"/>
      <c r="L3383" s="14"/>
      <c r="M3383" s="15"/>
      <c r="N3383" s="15"/>
      <c r="O3383" s="16"/>
      <c r="Q3383" s="16"/>
    </row>
    <row r="3384" spans="1:17" x14ac:dyDescent="0.3">
      <c r="A3384" s="5"/>
      <c r="B3384" s="6"/>
      <c r="C3384" s="7"/>
      <c r="D3384" s="10"/>
      <c r="F3384" s="1"/>
      <c r="G3384" s="1"/>
      <c r="H3384" s="1"/>
      <c r="I3384" s="7"/>
      <c r="J3384" s="12"/>
      <c r="K3384" s="13"/>
      <c r="L3384" s="14"/>
      <c r="M3384" s="15"/>
      <c r="N3384" s="15"/>
      <c r="O3384" s="16"/>
      <c r="Q3384" s="16"/>
    </row>
    <row r="3385" spans="1:17" x14ac:dyDescent="0.3">
      <c r="A3385" s="5"/>
      <c r="B3385" s="6"/>
      <c r="C3385" s="7"/>
      <c r="D3385" s="10"/>
      <c r="F3385" s="1"/>
      <c r="G3385" s="1"/>
      <c r="H3385" s="1"/>
      <c r="I3385" s="7"/>
      <c r="J3385" s="12"/>
      <c r="K3385" s="13"/>
      <c r="L3385" s="14"/>
      <c r="M3385" s="15"/>
      <c r="N3385" s="15"/>
      <c r="O3385" s="16"/>
      <c r="Q3385" s="16"/>
    </row>
    <row r="3386" spans="1:17" x14ac:dyDescent="0.3">
      <c r="A3386" s="5"/>
      <c r="B3386" s="6"/>
      <c r="C3386" s="7"/>
      <c r="D3386" s="10"/>
      <c r="F3386" s="1"/>
      <c r="G3386" s="1"/>
      <c r="H3386" s="1"/>
      <c r="I3386" s="7"/>
      <c r="J3386" s="12"/>
      <c r="K3386" s="13"/>
      <c r="L3386" s="14"/>
      <c r="M3386" s="15"/>
      <c r="N3386" s="15"/>
      <c r="O3386" s="16"/>
      <c r="Q3386" s="16"/>
    </row>
    <row r="3387" spans="1:17" x14ac:dyDescent="0.3">
      <c r="A3387" s="5"/>
      <c r="B3387" s="6"/>
      <c r="C3387" s="7"/>
      <c r="D3387" s="10"/>
      <c r="F3387" s="1"/>
      <c r="G3387" s="1"/>
      <c r="H3387" s="1"/>
      <c r="I3387" s="7"/>
      <c r="J3387" s="12"/>
      <c r="K3387" s="13"/>
      <c r="L3387" s="14"/>
      <c r="M3387" s="15"/>
      <c r="N3387" s="15"/>
      <c r="O3387" s="16"/>
      <c r="Q3387" s="16"/>
    </row>
    <row r="3388" spans="1:17" x14ac:dyDescent="0.3">
      <c r="A3388" s="5"/>
      <c r="B3388" s="6"/>
      <c r="C3388" s="7"/>
      <c r="D3388" s="10"/>
      <c r="F3388" s="1"/>
      <c r="G3388" s="1"/>
      <c r="H3388" s="1"/>
      <c r="I3388" s="7"/>
      <c r="J3388" s="12"/>
      <c r="K3388" s="13"/>
      <c r="L3388" s="14"/>
      <c r="M3388" s="15"/>
      <c r="N3388" s="15"/>
      <c r="O3388" s="16"/>
      <c r="Q3388" s="16"/>
    </row>
    <row r="3389" spans="1:17" x14ac:dyDescent="0.3">
      <c r="A3389" s="5"/>
      <c r="B3389" s="6"/>
      <c r="C3389" s="7"/>
      <c r="D3389" s="10"/>
      <c r="F3389" s="1"/>
      <c r="G3389" s="1"/>
      <c r="H3389" s="1"/>
      <c r="I3389" s="7"/>
      <c r="J3389" s="12"/>
      <c r="K3389" s="13"/>
      <c r="L3389" s="14"/>
      <c r="M3389" s="15"/>
      <c r="N3389" s="15"/>
      <c r="O3389" s="16"/>
      <c r="Q3389" s="16"/>
    </row>
    <row r="3390" spans="1:17" x14ac:dyDescent="0.3">
      <c r="A3390" s="5"/>
      <c r="B3390" s="6"/>
      <c r="C3390" s="7"/>
      <c r="D3390" s="10"/>
      <c r="F3390" s="1"/>
      <c r="G3390" s="1"/>
      <c r="H3390" s="1"/>
      <c r="I3390" s="7"/>
      <c r="J3390" s="12"/>
      <c r="K3390" s="13"/>
      <c r="L3390" s="14"/>
      <c r="M3390" s="15"/>
      <c r="N3390" s="15"/>
      <c r="O3390" s="16"/>
      <c r="Q3390" s="16"/>
    </row>
    <row r="3391" spans="1:17" x14ac:dyDescent="0.3">
      <c r="A3391" s="5"/>
      <c r="B3391" s="6"/>
      <c r="C3391" s="7"/>
      <c r="D3391" s="10"/>
      <c r="F3391" s="1"/>
      <c r="G3391" s="1"/>
      <c r="H3391" s="1"/>
      <c r="I3391" s="7"/>
      <c r="J3391" s="12"/>
      <c r="K3391" s="13"/>
      <c r="L3391" s="14"/>
      <c r="M3391" s="15"/>
      <c r="N3391" s="15"/>
      <c r="O3391" s="16"/>
      <c r="Q3391" s="16"/>
    </row>
    <row r="3392" spans="1:17" x14ac:dyDescent="0.3">
      <c r="A3392" s="5"/>
      <c r="B3392" s="6"/>
      <c r="C3392" s="7"/>
      <c r="D3392" s="10"/>
      <c r="F3392" s="1"/>
      <c r="G3392" s="1"/>
      <c r="H3392" s="1"/>
      <c r="I3392" s="7"/>
      <c r="J3392" s="12"/>
      <c r="K3392" s="13"/>
      <c r="L3392" s="14"/>
      <c r="M3392" s="15"/>
      <c r="N3392" s="15"/>
      <c r="O3392" s="16"/>
      <c r="Q3392" s="16"/>
    </row>
    <row r="3393" spans="1:17" x14ac:dyDescent="0.3">
      <c r="A3393" s="5"/>
      <c r="B3393" s="6"/>
      <c r="C3393" s="7"/>
      <c r="D3393" s="10"/>
      <c r="F3393" s="1"/>
      <c r="G3393" s="1"/>
      <c r="H3393" s="1"/>
      <c r="I3393" s="7"/>
      <c r="J3393" s="12"/>
      <c r="K3393" s="13"/>
      <c r="L3393" s="14"/>
      <c r="M3393" s="15"/>
      <c r="N3393" s="15"/>
      <c r="O3393" s="16"/>
      <c r="Q3393" s="16"/>
    </row>
    <row r="3394" spans="1:17" x14ac:dyDescent="0.3">
      <c r="A3394" s="5"/>
      <c r="B3394" s="6"/>
      <c r="C3394" s="7"/>
      <c r="D3394" s="10"/>
      <c r="F3394" s="1"/>
      <c r="G3394" s="1"/>
      <c r="H3394" s="1"/>
      <c r="I3394" s="7"/>
      <c r="J3394" s="12"/>
      <c r="K3394" s="13"/>
      <c r="L3394" s="14"/>
      <c r="M3394" s="15"/>
      <c r="N3394" s="15"/>
      <c r="O3394" s="16"/>
      <c r="Q3394" s="16"/>
    </row>
    <row r="3395" spans="1:17" x14ac:dyDescent="0.3">
      <c r="A3395" s="5"/>
      <c r="B3395" s="6"/>
      <c r="C3395" s="7"/>
      <c r="D3395" s="10"/>
      <c r="F3395" s="1"/>
      <c r="G3395" s="1"/>
      <c r="H3395" s="1"/>
      <c r="I3395" s="7"/>
      <c r="J3395" s="12"/>
      <c r="K3395" s="13"/>
      <c r="L3395" s="14"/>
      <c r="M3395" s="15"/>
      <c r="N3395" s="15"/>
      <c r="O3395" s="16"/>
      <c r="Q3395" s="16"/>
    </row>
    <row r="3396" spans="1:17" x14ac:dyDescent="0.3">
      <c r="A3396" s="5"/>
      <c r="B3396" s="6"/>
      <c r="C3396" s="7"/>
      <c r="D3396" s="10"/>
      <c r="F3396" s="1"/>
      <c r="G3396" s="1"/>
      <c r="H3396" s="1"/>
      <c r="I3396" s="7"/>
      <c r="J3396" s="12"/>
      <c r="K3396" s="13"/>
      <c r="L3396" s="14"/>
      <c r="M3396" s="15"/>
      <c r="N3396" s="15"/>
      <c r="O3396" s="16"/>
      <c r="Q3396" s="16"/>
    </row>
    <row r="3397" spans="1:17" x14ac:dyDescent="0.3">
      <c r="A3397" s="5"/>
      <c r="B3397" s="6"/>
      <c r="C3397" s="7"/>
      <c r="D3397" s="10"/>
      <c r="F3397" s="1"/>
      <c r="G3397" s="1"/>
      <c r="H3397" s="1"/>
      <c r="I3397" s="7"/>
      <c r="J3397" s="12"/>
      <c r="K3397" s="13"/>
      <c r="L3397" s="14"/>
      <c r="M3397" s="15"/>
      <c r="N3397" s="15"/>
      <c r="O3397" s="16"/>
      <c r="Q3397" s="16"/>
    </row>
    <row r="3398" spans="1:17" x14ac:dyDescent="0.3">
      <c r="A3398" s="5"/>
      <c r="B3398" s="6"/>
      <c r="C3398" s="7"/>
      <c r="D3398" s="10"/>
      <c r="F3398" s="1"/>
      <c r="G3398" s="1"/>
      <c r="H3398" s="1"/>
      <c r="I3398" s="7"/>
      <c r="J3398" s="12"/>
      <c r="K3398" s="13"/>
      <c r="L3398" s="14"/>
      <c r="M3398" s="15"/>
      <c r="N3398" s="15"/>
      <c r="O3398" s="16"/>
      <c r="Q3398" s="16"/>
    </row>
    <row r="3399" spans="1:17" x14ac:dyDescent="0.3">
      <c r="A3399" s="5"/>
      <c r="B3399" s="6"/>
      <c r="C3399" s="7"/>
      <c r="D3399" s="10"/>
      <c r="F3399" s="1"/>
      <c r="G3399" s="1"/>
      <c r="H3399" s="1"/>
      <c r="I3399" s="7"/>
      <c r="J3399" s="12"/>
      <c r="K3399" s="13"/>
      <c r="L3399" s="14"/>
      <c r="M3399" s="15"/>
      <c r="N3399" s="15"/>
      <c r="O3399" s="16"/>
      <c r="Q3399" s="16"/>
    </row>
    <row r="3400" spans="1:17" x14ac:dyDescent="0.3">
      <c r="A3400" s="5"/>
      <c r="B3400" s="6"/>
      <c r="C3400" s="7"/>
      <c r="D3400" s="10"/>
      <c r="F3400" s="1"/>
      <c r="G3400" s="1"/>
      <c r="H3400" s="1"/>
      <c r="I3400" s="7"/>
      <c r="J3400" s="12"/>
      <c r="K3400" s="13"/>
      <c r="L3400" s="14"/>
      <c r="M3400" s="15"/>
      <c r="N3400" s="15"/>
      <c r="O3400" s="16"/>
      <c r="Q3400" s="16"/>
    </row>
    <row r="3401" spans="1:17" x14ac:dyDescent="0.3">
      <c r="A3401" s="5"/>
      <c r="B3401" s="6"/>
      <c r="C3401" s="7"/>
      <c r="D3401" s="10"/>
      <c r="F3401" s="1"/>
      <c r="G3401" s="1"/>
      <c r="H3401" s="1"/>
      <c r="I3401" s="7"/>
      <c r="J3401" s="12"/>
      <c r="K3401" s="13"/>
      <c r="L3401" s="14"/>
      <c r="M3401" s="15"/>
      <c r="N3401" s="15"/>
      <c r="O3401" s="16"/>
      <c r="Q3401" s="16"/>
    </row>
    <row r="3402" spans="1:17" x14ac:dyDescent="0.3">
      <c r="A3402" s="5"/>
      <c r="B3402" s="6"/>
      <c r="C3402" s="7"/>
      <c r="D3402" s="10"/>
      <c r="F3402" s="1"/>
      <c r="G3402" s="1"/>
      <c r="H3402" s="1"/>
      <c r="I3402" s="7"/>
      <c r="J3402" s="12"/>
      <c r="K3402" s="13"/>
      <c r="L3402" s="14"/>
      <c r="M3402" s="15"/>
      <c r="N3402" s="15"/>
      <c r="O3402" s="16"/>
      <c r="Q3402" s="16"/>
    </row>
    <row r="3403" spans="1:17" x14ac:dyDescent="0.3">
      <c r="A3403" s="5"/>
      <c r="B3403" s="6"/>
      <c r="C3403" s="7"/>
      <c r="D3403" s="10"/>
      <c r="F3403" s="1"/>
      <c r="G3403" s="1"/>
      <c r="H3403" s="1"/>
      <c r="I3403" s="7"/>
      <c r="J3403" s="12"/>
      <c r="K3403" s="13"/>
      <c r="L3403" s="14"/>
      <c r="M3403" s="15"/>
      <c r="N3403" s="15"/>
      <c r="O3403" s="16"/>
      <c r="Q3403" s="16"/>
    </row>
    <row r="3404" spans="1:17" x14ac:dyDescent="0.3">
      <c r="A3404" s="5"/>
      <c r="B3404" s="6"/>
      <c r="C3404" s="7"/>
      <c r="D3404" s="10"/>
      <c r="F3404" s="1"/>
      <c r="G3404" s="1"/>
      <c r="H3404" s="1"/>
      <c r="I3404" s="7"/>
      <c r="J3404" s="12"/>
      <c r="K3404" s="13"/>
      <c r="L3404" s="14"/>
      <c r="M3404" s="15"/>
      <c r="N3404" s="15"/>
      <c r="O3404" s="16"/>
      <c r="Q3404" s="16"/>
    </row>
    <row r="3405" spans="1:17" x14ac:dyDescent="0.3">
      <c r="A3405" s="5"/>
      <c r="B3405" s="6"/>
      <c r="C3405" s="7"/>
      <c r="D3405" s="10"/>
      <c r="F3405" s="1"/>
      <c r="G3405" s="1"/>
      <c r="H3405" s="1"/>
      <c r="I3405" s="7"/>
      <c r="J3405" s="12"/>
      <c r="K3405" s="13"/>
      <c r="L3405" s="14"/>
      <c r="M3405" s="15"/>
      <c r="N3405" s="15"/>
      <c r="O3405" s="16"/>
      <c r="Q3405" s="16"/>
    </row>
    <row r="3406" spans="1:17" x14ac:dyDescent="0.3">
      <c r="A3406" s="5"/>
      <c r="B3406" s="6"/>
      <c r="C3406" s="7"/>
      <c r="D3406" s="10"/>
      <c r="F3406" s="1"/>
      <c r="G3406" s="1"/>
      <c r="H3406" s="1"/>
      <c r="I3406" s="7"/>
      <c r="J3406" s="12"/>
      <c r="K3406" s="13"/>
      <c r="L3406" s="14"/>
      <c r="M3406" s="15"/>
      <c r="N3406" s="15"/>
      <c r="O3406" s="16"/>
      <c r="Q3406" s="16"/>
    </row>
    <row r="3407" spans="1:17" x14ac:dyDescent="0.3">
      <c r="A3407" s="5"/>
      <c r="B3407" s="6"/>
      <c r="C3407" s="7"/>
      <c r="D3407" s="10"/>
      <c r="F3407" s="1"/>
      <c r="G3407" s="1"/>
      <c r="H3407" s="1"/>
      <c r="I3407" s="7"/>
      <c r="J3407" s="12"/>
      <c r="K3407" s="13"/>
      <c r="L3407" s="14"/>
      <c r="M3407" s="15"/>
      <c r="N3407" s="15"/>
      <c r="O3407" s="16"/>
      <c r="Q3407" s="16"/>
    </row>
    <row r="3408" spans="1:17" x14ac:dyDescent="0.3">
      <c r="A3408" s="5"/>
      <c r="B3408" s="6"/>
      <c r="C3408" s="7"/>
      <c r="D3408" s="10"/>
      <c r="F3408" s="1"/>
      <c r="G3408" s="1"/>
      <c r="H3408" s="1"/>
      <c r="I3408" s="7"/>
      <c r="J3408" s="12"/>
      <c r="K3408" s="13"/>
      <c r="L3408" s="14"/>
      <c r="M3408" s="15"/>
      <c r="N3408" s="15"/>
      <c r="O3408" s="16"/>
      <c r="Q3408" s="16"/>
    </row>
    <row r="3409" spans="1:17" x14ac:dyDescent="0.3">
      <c r="A3409" s="5"/>
      <c r="B3409" s="6"/>
      <c r="C3409" s="7"/>
      <c r="D3409" s="10"/>
      <c r="F3409" s="1"/>
      <c r="G3409" s="1"/>
      <c r="H3409" s="1"/>
      <c r="I3409" s="7"/>
      <c r="J3409" s="12"/>
      <c r="K3409" s="13"/>
      <c r="L3409" s="14"/>
      <c r="M3409" s="15"/>
      <c r="N3409" s="15"/>
      <c r="O3409" s="16"/>
      <c r="Q3409" s="16"/>
    </row>
    <row r="3410" spans="1:17" x14ac:dyDescent="0.3">
      <c r="A3410" s="5"/>
      <c r="B3410" s="6"/>
      <c r="C3410" s="7"/>
      <c r="D3410" s="10"/>
      <c r="F3410" s="1"/>
      <c r="G3410" s="1"/>
      <c r="H3410" s="1"/>
      <c r="I3410" s="7"/>
      <c r="J3410" s="12"/>
      <c r="K3410" s="13"/>
      <c r="L3410" s="14"/>
      <c r="M3410" s="15"/>
      <c r="N3410" s="15"/>
      <c r="O3410" s="16"/>
      <c r="Q3410" s="16"/>
    </row>
    <row r="3411" spans="1:17" x14ac:dyDescent="0.3">
      <c r="A3411" s="5"/>
      <c r="B3411" s="6"/>
      <c r="C3411" s="7"/>
      <c r="D3411" s="10"/>
      <c r="F3411" s="1"/>
      <c r="G3411" s="1"/>
      <c r="H3411" s="1"/>
      <c r="I3411" s="7"/>
      <c r="J3411" s="12"/>
      <c r="K3411" s="13"/>
      <c r="L3411" s="14"/>
      <c r="M3411" s="15"/>
      <c r="N3411" s="15"/>
      <c r="O3411" s="16"/>
      <c r="Q3411" s="16"/>
    </row>
    <row r="3412" spans="1:17" x14ac:dyDescent="0.3">
      <c r="A3412" s="5"/>
      <c r="B3412" s="6"/>
      <c r="C3412" s="7"/>
      <c r="D3412" s="10"/>
      <c r="F3412" s="1"/>
      <c r="G3412" s="1"/>
      <c r="H3412" s="1"/>
      <c r="I3412" s="7"/>
      <c r="J3412" s="12"/>
      <c r="K3412" s="13"/>
      <c r="L3412" s="14"/>
      <c r="M3412" s="15"/>
      <c r="N3412" s="15"/>
      <c r="O3412" s="16"/>
      <c r="Q3412" s="16"/>
    </row>
    <row r="3413" spans="1:17" x14ac:dyDescent="0.3">
      <c r="A3413" s="5"/>
      <c r="B3413" s="6"/>
      <c r="C3413" s="7"/>
      <c r="D3413" s="10"/>
      <c r="F3413" s="1"/>
      <c r="G3413" s="1"/>
      <c r="H3413" s="1"/>
      <c r="I3413" s="7"/>
      <c r="J3413" s="12"/>
      <c r="K3413" s="13"/>
      <c r="L3413" s="14"/>
      <c r="M3413" s="15"/>
      <c r="N3413" s="15"/>
      <c r="O3413" s="16"/>
      <c r="Q3413" s="16"/>
    </row>
    <row r="3414" spans="1:17" x14ac:dyDescent="0.3">
      <c r="A3414" s="5"/>
      <c r="B3414" s="6"/>
      <c r="C3414" s="7"/>
      <c r="D3414" s="10"/>
      <c r="F3414" s="1"/>
      <c r="G3414" s="1"/>
      <c r="H3414" s="1"/>
      <c r="I3414" s="7"/>
      <c r="J3414" s="12"/>
      <c r="K3414" s="13"/>
      <c r="L3414" s="14"/>
      <c r="M3414" s="15"/>
      <c r="N3414" s="15"/>
      <c r="O3414" s="16"/>
      <c r="Q3414" s="16"/>
    </row>
    <row r="3415" spans="1:17" x14ac:dyDescent="0.3">
      <c r="A3415" s="5"/>
      <c r="B3415" s="6"/>
      <c r="C3415" s="7"/>
      <c r="D3415" s="10"/>
      <c r="F3415" s="1"/>
      <c r="G3415" s="1"/>
      <c r="H3415" s="1"/>
      <c r="I3415" s="7"/>
      <c r="J3415" s="12"/>
      <c r="K3415" s="13"/>
      <c r="L3415" s="14"/>
      <c r="M3415" s="15"/>
      <c r="N3415" s="15"/>
      <c r="O3415" s="16"/>
      <c r="Q3415" s="16"/>
    </row>
    <row r="3416" spans="1:17" x14ac:dyDescent="0.3">
      <c r="A3416" s="5"/>
      <c r="B3416" s="6"/>
      <c r="C3416" s="7"/>
      <c r="D3416" s="10"/>
      <c r="F3416" s="1"/>
      <c r="G3416" s="1"/>
      <c r="H3416" s="1"/>
      <c r="I3416" s="7"/>
      <c r="J3416" s="12"/>
      <c r="K3416" s="13"/>
      <c r="L3416" s="14"/>
      <c r="M3416" s="15"/>
      <c r="N3416" s="15"/>
      <c r="O3416" s="16"/>
      <c r="Q3416" s="16"/>
    </row>
    <row r="3417" spans="1:17" x14ac:dyDescent="0.3">
      <c r="A3417" s="5"/>
      <c r="B3417" s="6"/>
      <c r="C3417" s="7"/>
      <c r="D3417" s="10"/>
      <c r="F3417" s="1"/>
      <c r="G3417" s="1"/>
      <c r="H3417" s="1"/>
      <c r="I3417" s="7"/>
      <c r="J3417" s="12"/>
      <c r="K3417" s="13"/>
      <c r="L3417" s="14"/>
      <c r="M3417" s="15"/>
      <c r="N3417" s="15"/>
      <c r="O3417" s="16"/>
      <c r="Q3417" s="16"/>
    </row>
    <row r="3418" spans="1:17" x14ac:dyDescent="0.3">
      <c r="A3418" s="5"/>
      <c r="B3418" s="6"/>
      <c r="C3418" s="7"/>
      <c r="D3418" s="10"/>
      <c r="F3418" s="1"/>
      <c r="G3418" s="1"/>
      <c r="H3418" s="1"/>
      <c r="I3418" s="7"/>
      <c r="J3418" s="12"/>
      <c r="K3418" s="13"/>
      <c r="L3418" s="14"/>
      <c r="M3418" s="15"/>
      <c r="N3418" s="15"/>
      <c r="O3418" s="16"/>
      <c r="Q3418" s="16"/>
    </row>
    <row r="3419" spans="1:17" x14ac:dyDescent="0.3">
      <c r="A3419" s="5"/>
      <c r="B3419" s="6"/>
      <c r="C3419" s="7"/>
      <c r="D3419" s="10"/>
      <c r="F3419" s="1"/>
      <c r="G3419" s="1"/>
      <c r="H3419" s="1"/>
      <c r="I3419" s="7"/>
      <c r="J3419" s="12"/>
      <c r="K3419" s="13"/>
      <c r="L3419" s="14"/>
      <c r="M3419" s="15"/>
      <c r="N3419" s="15"/>
      <c r="O3419" s="16"/>
      <c r="Q3419" s="16"/>
    </row>
    <row r="3420" spans="1:17" x14ac:dyDescent="0.3">
      <c r="A3420" s="5"/>
      <c r="B3420" s="6"/>
      <c r="C3420" s="7"/>
      <c r="D3420" s="10"/>
      <c r="F3420" s="1"/>
      <c r="G3420" s="1"/>
      <c r="H3420" s="1"/>
      <c r="I3420" s="7"/>
      <c r="J3420" s="12"/>
      <c r="K3420" s="13"/>
      <c r="L3420" s="14"/>
      <c r="M3420" s="15"/>
      <c r="N3420" s="15"/>
      <c r="O3420" s="16"/>
      <c r="Q3420" s="16"/>
    </row>
    <row r="3421" spans="1:17" x14ac:dyDescent="0.3">
      <c r="A3421" s="5"/>
      <c r="B3421" s="6"/>
      <c r="C3421" s="7"/>
      <c r="D3421" s="10"/>
      <c r="F3421" s="1"/>
      <c r="G3421" s="1"/>
      <c r="H3421" s="1"/>
      <c r="I3421" s="7"/>
      <c r="J3421" s="12"/>
      <c r="K3421" s="13"/>
      <c r="L3421" s="14"/>
      <c r="M3421" s="15"/>
      <c r="N3421" s="15"/>
      <c r="O3421" s="16"/>
      <c r="Q3421" s="16"/>
    </row>
    <row r="3422" spans="1:17" x14ac:dyDescent="0.3">
      <c r="A3422" s="5"/>
      <c r="B3422" s="6"/>
      <c r="C3422" s="7"/>
      <c r="D3422" s="10"/>
      <c r="F3422" s="1"/>
      <c r="G3422" s="1"/>
      <c r="H3422" s="1"/>
      <c r="I3422" s="7"/>
      <c r="J3422" s="12"/>
      <c r="K3422" s="13"/>
      <c r="L3422" s="14"/>
      <c r="M3422" s="15"/>
      <c r="N3422" s="15"/>
      <c r="O3422" s="16"/>
      <c r="Q3422" s="16"/>
    </row>
    <row r="3423" spans="1:17" x14ac:dyDescent="0.3">
      <c r="A3423" s="5"/>
      <c r="B3423" s="6"/>
      <c r="C3423" s="7"/>
      <c r="D3423" s="10"/>
      <c r="F3423" s="1"/>
      <c r="G3423" s="1"/>
      <c r="H3423" s="1"/>
      <c r="I3423" s="7"/>
      <c r="J3423" s="12"/>
      <c r="K3423" s="13"/>
      <c r="L3423" s="14"/>
      <c r="M3423" s="15"/>
      <c r="N3423" s="15"/>
      <c r="O3423" s="16"/>
      <c r="Q3423" s="16"/>
    </row>
    <row r="3424" spans="1:17" x14ac:dyDescent="0.3">
      <c r="A3424" s="5"/>
      <c r="B3424" s="6"/>
      <c r="C3424" s="7"/>
      <c r="D3424" s="10"/>
      <c r="F3424" s="1"/>
      <c r="G3424" s="1"/>
      <c r="H3424" s="1"/>
      <c r="I3424" s="7"/>
      <c r="J3424" s="12"/>
      <c r="K3424" s="13"/>
      <c r="L3424" s="14"/>
      <c r="M3424" s="15"/>
      <c r="N3424" s="15"/>
      <c r="O3424" s="16"/>
      <c r="Q3424" s="16"/>
    </row>
    <row r="3425" spans="1:17" x14ac:dyDescent="0.3">
      <c r="A3425" s="5"/>
      <c r="B3425" s="6"/>
      <c r="C3425" s="7"/>
      <c r="D3425" s="10"/>
      <c r="F3425" s="1"/>
      <c r="G3425" s="1"/>
      <c r="H3425" s="1"/>
      <c r="I3425" s="7"/>
      <c r="J3425" s="12"/>
      <c r="K3425" s="13"/>
      <c r="L3425" s="14"/>
      <c r="M3425" s="15"/>
      <c r="N3425" s="15"/>
      <c r="O3425" s="16"/>
      <c r="Q3425" s="16"/>
    </row>
    <row r="3426" spans="1:17" x14ac:dyDescent="0.3">
      <c r="A3426" s="5"/>
      <c r="B3426" s="6"/>
      <c r="C3426" s="7"/>
      <c r="D3426" s="10"/>
      <c r="F3426" s="1"/>
      <c r="G3426" s="1"/>
      <c r="H3426" s="1"/>
      <c r="I3426" s="7"/>
      <c r="J3426" s="12"/>
      <c r="K3426" s="13"/>
      <c r="L3426" s="14"/>
      <c r="M3426" s="15"/>
      <c r="N3426" s="15"/>
      <c r="O3426" s="16"/>
      <c r="Q3426" s="16"/>
    </row>
    <row r="3427" spans="1:17" x14ac:dyDescent="0.3">
      <c r="A3427" s="5"/>
      <c r="B3427" s="6"/>
      <c r="C3427" s="7"/>
      <c r="D3427" s="10"/>
      <c r="F3427" s="1"/>
      <c r="G3427" s="1"/>
      <c r="H3427" s="1"/>
      <c r="I3427" s="7"/>
      <c r="J3427" s="12"/>
      <c r="K3427" s="13"/>
      <c r="L3427" s="14"/>
      <c r="M3427" s="15"/>
      <c r="N3427" s="15"/>
      <c r="O3427" s="16"/>
      <c r="Q3427" s="16"/>
    </row>
    <row r="3428" spans="1:17" x14ac:dyDescent="0.3">
      <c r="A3428" s="5"/>
      <c r="B3428" s="6"/>
      <c r="C3428" s="7"/>
      <c r="D3428" s="10"/>
      <c r="F3428" s="1"/>
      <c r="G3428" s="1"/>
      <c r="H3428" s="1"/>
      <c r="I3428" s="7"/>
      <c r="J3428" s="12"/>
      <c r="K3428" s="13"/>
      <c r="L3428" s="14"/>
      <c r="M3428" s="15"/>
      <c r="N3428" s="15"/>
      <c r="O3428" s="16"/>
      <c r="Q3428" s="16"/>
    </row>
    <row r="3429" spans="1:17" x14ac:dyDescent="0.3">
      <c r="A3429" s="5"/>
      <c r="B3429" s="6"/>
      <c r="C3429" s="7"/>
      <c r="D3429" s="10"/>
      <c r="F3429" s="1"/>
      <c r="G3429" s="1"/>
      <c r="H3429" s="1"/>
      <c r="I3429" s="7"/>
      <c r="J3429" s="12"/>
      <c r="K3429" s="13"/>
      <c r="L3429" s="14"/>
      <c r="M3429" s="15"/>
      <c r="N3429" s="15"/>
      <c r="O3429" s="16"/>
      <c r="Q3429" s="16"/>
    </row>
    <row r="3430" spans="1:17" x14ac:dyDescent="0.3">
      <c r="A3430" s="5"/>
      <c r="B3430" s="6"/>
      <c r="C3430" s="7"/>
      <c r="D3430" s="10"/>
      <c r="F3430" s="1"/>
      <c r="G3430" s="1"/>
      <c r="H3430" s="1"/>
      <c r="I3430" s="7"/>
      <c r="J3430" s="12"/>
      <c r="K3430" s="13"/>
      <c r="L3430" s="14"/>
      <c r="M3430" s="15"/>
      <c r="N3430" s="15"/>
      <c r="O3430" s="16"/>
      <c r="Q3430" s="16"/>
    </row>
    <row r="3431" spans="1:17" x14ac:dyDescent="0.3">
      <c r="A3431" s="5"/>
      <c r="B3431" s="6"/>
      <c r="C3431" s="7"/>
      <c r="D3431" s="10"/>
      <c r="F3431" s="1"/>
      <c r="G3431" s="1"/>
      <c r="H3431" s="1"/>
      <c r="I3431" s="7"/>
      <c r="J3431" s="12"/>
      <c r="K3431" s="13"/>
      <c r="L3431" s="14"/>
      <c r="M3431" s="15"/>
      <c r="N3431" s="15"/>
      <c r="O3431" s="16"/>
      <c r="Q3431" s="16"/>
    </row>
    <row r="3432" spans="1:17" x14ac:dyDescent="0.3">
      <c r="A3432" s="5"/>
      <c r="B3432" s="6"/>
      <c r="C3432" s="7"/>
      <c r="D3432" s="10"/>
      <c r="F3432" s="1"/>
      <c r="G3432" s="1"/>
      <c r="H3432" s="1"/>
      <c r="I3432" s="7"/>
      <c r="J3432" s="12"/>
      <c r="K3432" s="13"/>
      <c r="L3432" s="14"/>
      <c r="M3432" s="15"/>
      <c r="N3432" s="15"/>
      <c r="O3432" s="16"/>
      <c r="Q3432" s="16"/>
    </row>
    <row r="3433" spans="1:17" x14ac:dyDescent="0.3">
      <c r="A3433" s="5"/>
      <c r="B3433" s="6"/>
      <c r="C3433" s="7"/>
      <c r="D3433" s="10"/>
      <c r="F3433" s="1"/>
      <c r="G3433" s="1"/>
      <c r="H3433" s="1"/>
      <c r="I3433" s="7"/>
      <c r="J3433" s="12"/>
      <c r="K3433" s="13"/>
      <c r="L3433" s="14"/>
      <c r="M3433" s="15"/>
      <c r="N3433" s="15"/>
      <c r="O3433" s="16"/>
      <c r="Q3433" s="16"/>
    </row>
    <row r="3434" spans="1:17" x14ac:dyDescent="0.3">
      <c r="A3434" s="5"/>
      <c r="B3434" s="6"/>
      <c r="C3434" s="7"/>
      <c r="D3434" s="10"/>
      <c r="F3434" s="1"/>
      <c r="G3434" s="1"/>
      <c r="H3434" s="1"/>
      <c r="I3434" s="7"/>
      <c r="J3434" s="12"/>
      <c r="K3434" s="13"/>
      <c r="L3434" s="14"/>
      <c r="M3434" s="15"/>
      <c r="N3434" s="15"/>
      <c r="O3434" s="16"/>
      <c r="Q3434" s="16"/>
    </row>
    <row r="3435" spans="1:17" x14ac:dyDescent="0.3">
      <c r="A3435" s="5"/>
      <c r="B3435" s="6"/>
      <c r="C3435" s="7"/>
      <c r="D3435" s="10"/>
      <c r="F3435" s="1"/>
      <c r="G3435" s="1"/>
      <c r="H3435" s="1"/>
      <c r="I3435" s="7"/>
      <c r="J3435" s="12"/>
      <c r="K3435" s="13"/>
      <c r="L3435" s="14"/>
      <c r="M3435" s="15"/>
      <c r="N3435" s="15"/>
      <c r="O3435" s="16"/>
      <c r="Q3435" s="16"/>
    </row>
    <row r="3436" spans="1:17" x14ac:dyDescent="0.3">
      <c r="A3436" s="5"/>
      <c r="B3436" s="6"/>
      <c r="C3436" s="7"/>
      <c r="D3436" s="10"/>
      <c r="F3436" s="1"/>
      <c r="G3436" s="1"/>
      <c r="H3436" s="1"/>
      <c r="I3436" s="7"/>
      <c r="J3436" s="12"/>
      <c r="K3436" s="13"/>
      <c r="L3436" s="14"/>
      <c r="M3436" s="15"/>
      <c r="N3436" s="15"/>
      <c r="O3436" s="16"/>
      <c r="Q3436" s="16"/>
    </row>
    <row r="3437" spans="1:17" x14ac:dyDescent="0.3">
      <c r="A3437" s="5"/>
      <c r="B3437" s="6"/>
      <c r="C3437" s="7"/>
      <c r="D3437" s="10"/>
      <c r="F3437" s="1"/>
      <c r="G3437" s="1"/>
      <c r="H3437" s="1"/>
      <c r="I3437" s="7"/>
      <c r="J3437" s="12"/>
      <c r="K3437" s="13"/>
      <c r="L3437" s="14"/>
      <c r="M3437" s="15"/>
      <c r="N3437" s="15"/>
      <c r="O3437" s="16"/>
      <c r="Q3437" s="16"/>
    </row>
    <row r="3438" spans="1:17" x14ac:dyDescent="0.3">
      <c r="A3438" s="5"/>
      <c r="B3438" s="6"/>
      <c r="C3438" s="7"/>
      <c r="D3438" s="10"/>
      <c r="F3438" s="1"/>
      <c r="G3438" s="1"/>
      <c r="H3438" s="1"/>
      <c r="I3438" s="7"/>
      <c r="J3438" s="12"/>
      <c r="K3438" s="13"/>
      <c r="L3438" s="14"/>
      <c r="M3438" s="15"/>
      <c r="N3438" s="15"/>
      <c r="O3438" s="16"/>
      <c r="Q3438" s="16"/>
    </row>
    <row r="3439" spans="1:17" x14ac:dyDescent="0.3">
      <c r="A3439" s="5"/>
      <c r="B3439" s="6"/>
      <c r="C3439" s="7"/>
      <c r="D3439" s="10"/>
      <c r="F3439" s="1"/>
      <c r="G3439" s="1"/>
      <c r="H3439" s="1"/>
      <c r="I3439" s="7"/>
      <c r="J3439" s="12"/>
      <c r="K3439" s="13"/>
      <c r="L3439" s="14"/>
      <c r="M3439" s="15"/>
      <c r="N3439" s="15"/>
      <c r="O3439" s="16"/>
      <c r="Q3439" s="16"/>
    </row>
    <row r="3440" spans="1:17" x14ac:dyDescent="0.3">
      <c r="A3440" s="5"/>
      <c r="B3440" s="6"/>
      <c r="C3440" s="7"/>
      <c r="D3440" s="10"/>
      <c r="F3440" s="1"/>
      <c r="G3440" s="1"/>
      <c r="H3440" s="1"/>
      <c r="I3440" s="7"/>
      <c r="J3440" s="12"/>
      <c r="K3440" s="13"/>
      <c r="L3440" s="14"/>
      <c r="M3440" s="15"/>
      <c r="N3440" s="15"/>
      <c r="O3440" s="16"/>
      <c r="Q3440" s="16"/>
    </row>
    <row r="3441" spans="1:17" x14ac:dyDescent="0.3">
      <c r="A3441" s="5"/>
      <c r="B3441" s="6"/>
      <c r="C3441" s="7"/>
      <c r="D3441" s="10"/>
      <c r="F3441" s="1"/>
      <c r="G3441" s="1"/>
      <c r="H3441" s="1"/>
      <c r="I3441" s="7"/>
      <c r="J3441" s="12"/>
      <c r="K3441" s="13"/>
      <c r="L3441" s="14"/>
      <c r="M3441" s="15"/>
      <c r="N3441" s="15"/>
      <c r="O3441" s="16"/>
      <c r="Q3441" s="16"/>
    </row>
    <row r="3442" spans="1:17" x14ac:dyDescent="0.3">
      <c r="A3442" s="5"/>
      <c r="B3442" s="6"/>
      <c r="C3442" s="7"/>
      <c r="D3442" s="10"/>
      <c r="F3442" s="1"/>
      <c r="G3442" s="1"/>
      <c r="H3442" s="1"/>
      <c r="I3442" s="7"/>
      <c r="J3442" s="12"/>
      <c r="K3442" s="13"/>
      <c r="L3442" s="14"/>
      <c r="M3442" s="15"/>
      <c r="N3442" s="15"/>
      <c r="O3442" s="16"/>
      <c r="Q3442" s="16"/>
    </row>
    <row r="3443" spans="1:17" x14ac:dyDescent="0.3">
      <c r="A3443" s="5"/>
      <c r="B3443" s="6"/>
      <c r="C3443" s="7"/>
      <c r="D3443" s="10"/>
      <c r="F3443" s="1"/>
      <c r="G3443" s="1"/>
      <c r="H3443" s="1"/>
      <c r="I3443" s="7"/>
      <c r="J3443" s="12"/>
      <c r="K3443" s="13"/>
      <c r="L3443" s="14"/>
      <c r="M3443" s="15"/>
      <c r="N3443" s="15"/>
      <c r="O3443" s="16"/>
      <c r="Q3443" s="16"/>
    </row>
    <row r="3444" spans="1:17" x14ac:dyDescent="0.3">
      <c r="A3444" s="5"/>
      <c r="B3444" s="6"/>
      <c r="C3444" s="7"/>
      <c r="D3444" s="10"/>
      <c r="F3444" s="1"/>
      <c r="G3444" s="1"/>
      <c r="H3444" s="1"/>
      <c r="I3444" s="7"/>
      <c r="J3444" s="12"/>
      <c r="K3444" s="13"/>
      <c r="L3444" s="14"/>
      <c r="M3444" s="15"/>
      <c r="N3444" s="15"/>
      <c r="O3444" s="16"/>
      <c r="Q3444" s="16"/>
    </row>
    <row r="3445" spans="1:17" x14ac:dyDescent="0.3">
      <c r="A3445" s="5"/>
      <c r="B3445" s="6"/>
      <c r="C3445" s="7"/>
      <c r="D3445" s="10"/>
      <c r="F3445" s="1"/>
      <c r="G3445" s="1"/>
      <c r="H3445" s="1"/>
      <c r="I3445" s="7"/>
      <c r="J3445" s="12"/>
      <c r="K3445" s="13"/>
      <c r="L3445" s="14"/>
      <c r="M3445" s="15"/>
      <c r="N3445" s="15"/>
      <c r="O3445" s="16"/>
      <c r="Q3445" s="16"/>
    </row>
    <row r="3446" spans="1:17" x14ac:dyDescent="0.3">
      <c r="A3446" s="5"/>
      <c r="B3446" s="6"/>
      <c r="C3446" s="7"/>
      <c r="D3446" s="10"/>
      <c r="F3446" s="1"/>
      <c r="G3446" s="1"/>
      <c r="H3446" s="1"/>
      <c r="I3446" s="7"/>
      <c r="J3446" s="12"/>
      <c r="K3446" s="13"/>
      <c r="L3446" s="14"/>
      <c r="M3446" s="15"/>
      <c r="N3446" s="15"/>
      <c r="O3446" s="16"/>
      <c r="Q3446" s="16"/>
    </row>
    <row r="3447" spans="1:17" x14ac:dyDescent="0.3">
      <c r="A3447" s="5"/>
      <c r="B3447" s="6"/>
      <c r="C3447" s="7"/>
      <c r="D3447" s="10"/>
      <c r="F3447" s="1"/>
      <c r="G3447" s="1"/>
      <c r="H3447" s="1"/>
      <c r="I3447" s="7"/>
      <c r="J3447" s="12"/>
      <c r="K3447" s="13"/>
      <c r="L3447" s="14"/>
      <c r="M3447" s="15"/>
      <c r="N3447" s="15"/>
      <c r="O3447" s="16"/>
      <c r="Q3447" s="16"/>
    </row>
    <row r="3448" spans="1:17" x14ac:dyDescent="0.3">
      <c r="A3448" s="5"/>
      <c r="B3448" s="6"/>
      <c r="C3448" s="7"/>
      <c r="D3448" s="10"/>
      <c r="F3448" s="1"/>
      <c r="G3448" s="1"/>
      <c r="H3448" s="1"/>
      <c r="I3448" s="7"/>
      <c r="J3448" s="12"/>
      <c r="K3448" s="13"/>
      <c r="L3448" s="14"/>
      <c r="M3448" s="15"/>
      <c r="N3448" s="15"/>
      <c r="O3448" s="16"/>
      <c r="Q3448" s="16"/>
    </row>
    <row r="3449" spans="1:17" x14ac:dyDescent="0.3">
      <c r="A3449" s="5"/>
      <c r="B3449" s="6"/>
      <c r="C3449" s="7"/>
      <c r="D3449" s="10"/>
      <c r="F3449" s="1"/>
      <c r="G3449" s="1"/>
      <c r="H3449" s="1"/>
      <c r="I3449" s="7"/>
      <c r="J3449" s="12"/>
      <c r="K3449" s="13"/>
      <c r="L3449" s="14"/>
      <c r="M3449" s="15"/>
      <c r="N3449" s="15"/>
      <c r="O3449" s="16"/>
      <c r="Q3449" s="16"/>
    </row>
    <row r="3450" spans="1:17" x14ac:dyDescent="0.3">
      <c r="A3450" s="5"/>
      <c r="B3450" s="6"/>
      <c r="C3450" s="7"/>
      <c r="D3450" s="10"/>
      <c r="F3450" s="1"/>
      <c r="G3450" s="1"/>
      <c r="H3450" s="1"/>
      <c r="I3450" s="7"/>
      <c r="J3450" s="12"/>
      <c r="K3450" s="13"/>
      <c r="L3450" s="14"/>
      <c r="M3450" s="15"/>
      <c r="N3450" s="15"/>
      <c r="O3450" s="16"/>
      <c r="Q3450" s="16"/>
    </row>
    <row r="3451" spans="1:17" x14ac:dyDescent="0.3">
      <c r="A3451" s="5"/>
      <c r="B3451" s="6"/>
      <c r="C3451" s="7"/>
      <c r="D3451" s="10"/>
      <c r="F3451" s="1"/>
      <c r="G3451" s="1"/>
      <c r="H3451" s="1"/>
      <c r="I3451" s="7"/>
      <c r="J3451" s="12"/>
      <c r="K3451" s="13"/>
      <c r="L3451" s="14"/>
      <c r="M3451" s="15"/>
      <c r="N3451" s="15"/>
      <c r="O3451" s="16"/>
      <c r="Q3451" s="16"/>
    </row>
    <row r="3452" spans="1:17" x14ac:dyDescent="0.3">
      <c r="A3452" s="5"/>
      <c r="B3452" s="6"/>
      <c r="C3452" s="7"/>
      <c r="D3452" s="10"/>
      <c r="F3452" s="1"/>
      <c r="G3452" s="1"/>
      <c r="H3452" s="1"/>
      <c r="I3452" s="7"/>
      <c r="J3452" s="12"/>
      <c r="K3452" s="13"/>
      <c r="L3452" s="14"/>
      <c r="M3452" s="15"/>
      <c r="N3452" s="15"/>
      <c r="O3452" s="16"/>
      <c r="Q3452" s="16"/>
    </row>
    <row r="3453" spans="1:17" x14ac:dyDescent="0.3">
      <c r="A3453" s="5"/>
      <c r="B3453" s="6"/>
      <c r="C3453" s="7"/>
      <c r="D3453" s="10"/>
      <c r="F3453" s="1"/>
      <c r="G3453" s="1"/>
      <c r="H3453" s="1"/>
      <c r="I3453" s="7"/>
      <c r="J3453" s="12"/>
      <c r="K3453" s="13"/>
      <c r="L3453" s="14"/>
      <c r="M3453" s="15"/>
      <c r="N3453" s="15"/>
      <c r="O3453" s="16"/>
      <c r="Q3453" s="16"/>
    </row>
    <row r="3454" spans="1:17" x14ac:dyDescent="0.3">
      <c r="A3454" s="5"/>
      <c r="B3454" s="6"/>
      <c r="C3454" s="7"/>
      <c r="D3454" s="10"/>
      <c r="F3454" s="1"/>
      <c r="G3454" s="1"/>
      <c r="H3454" s="1"/>
      <c r="I3454" s="7"/>
      <c r="J3454" s="12"/>
      <c r="K3454" s="13"/>
      <c r="L3454" s="14"/>
      <c r="M3454" s="15"/>
      <c r="N3454" s="15"/>
      <c r="O3454" s="16"/>
      <c r="Q3454" s="16"/>
    </row>
    <row r="3455" spans="1:17" x14ac:dyDescent="0.3">
      <c r="A3455" s="5"/>
      <c r="B3455" s="6"/>
      <c r="C3455" s="7"/>
      <c r="D3455" s="10"/>
      <c r="F3455" s="1"/>
      <c r="G3455" s="1"/>
      <c r="H3455" s="1"/>
      <c r="I3455" s="7"/>
      <c r="J3455" s="12"/>
      <c r="K3455" s="13"/>
      <c r="L3455" s="14"/>
      <c r="M3455" s="15"/>
      <c r="N3455" s="15"/>
      <c r="O3455" s="16"/>
      <c r="Q3455" s="16"/>
    </row>
    <row r="3456" spans="1:17" x14ac:dyDescent="0.3">
      <c r="A3456" s="5"/>
      <c r="B3456" s="6"/>
      <c r="C3456" s="7"/>
      <c r="D3456" s="10"/>
      <c r="F3456" s="1"/>
      <c r="G3456" s="1"/>
      <c r="H3456" s="1"/>
      <c r="I3456" s="7"/>
      <c r="J3456" s="12"/>
      <c r="K3456" s="13"/>
      <c r="L3456" s="14"/>
      <c r="M3456" s="15"/>
      <c r="N3456" s="15"/>
      <c r="O3456" s="16"/>
      <c r="Q3456" s="16"/>
    </row>
    <row r="3457" spans="1:17" x14ac:dyDescent="0.3">
      <c r="A3457" s="5"/>
      <c r="B3457" s="6"/>
      <c r="C3457" s="7"/>
      <c r="D3457" s="10"/>
      <c r="F3457" s="1"/>
      <c r="G3457" s="1"/>
      <c r="H3457" s="1"/>
      <c r="I3457" s="7"/>
      <c r="J3457" s="12"/>
      <c r="K3457" s="13"/>
      <c r="L3457" s="14"/>
      <c r="M3457" s="15"/>
      <c r="N3457" s="15"/>
      <c r="O3457" s="16"/>
      <c r="Q3457" s="16"/>
    </row>
    <row r="3458" spans="1:17" x14ac:dyDescent="0.3">
      <c r="A3458" s="5"/>
      <c r="B3458" s="6"/>
      <c r="C3458" s="7"/>
      <c r="D3458" s="10"/>
      <c r="F3458" s="1"/>
      <c r="G3458" s="1"/>
      <c r="H3458" s="1"/>
      <c r="I3458" s="7"/>
      <c r="J3458" s="12"/>
      <c r="K3458" s="13"/>
      <c r="L3458" s="14"/>
      <c r="M3458" s="15"/>
      <c r="N3458" s="15"/>
      <c r="O3458" s="16"/>
      <c r="Q3458" s="16"/>
    </row>
    <row r="3459" spans="1:17" x14ac:dyDescent="0.3">
      <c r="A3459" s="5"/>
      <c r="B3459" s="6"/>
      <c r="C3459" s="7"/>
      <c r="D3459" s="10"/>
      <c r="F3459" s="1"/>
      <c r="G3459" s="1"/>
      <c r="H3459" s="1"/>
      <c r="I3459" s="7"/>
      <c r="J3459" s="12"/>
      <c r="K3459" s="13"/>
      <c r="L3459" s="14"/>
      <c r="M3459" s="15"/>
      <c r="N3459" s="15"/>
      <c r="O3459" s="16"/>
      <c r="Q3459" s="16"/>
    </row>
    <row r="3460" spans="1:17" x14ac:dyDescent="0.3">
      <c r="A3460" s="5"/>
      <c r="B3460" s="6"/>
      <c r="C3460" s="7"/>
      <c r="D3460" s="10"/>
      <c r="F3460" s="1"/>
      <c r="G3460" s="1"/>
      <c r="H3460" s="1"/>
      <c r="I3460" s="7"/>
      <c r="J3460" s="12"/>
      <c r="K3460" s="13"/>
      <c r="L3460" s="14"/>
      <c r="M3460" s="15"/>
      <c r="N3460" s="15"/>
      <c r="O3460" s="16"/>
      <c r="Q3460" s="16"/>
    </row>
    <row r="3461" spans="1:17" x14ac:dyDescent="0.3">
      <c r="A3461" s="5"/>
      <c r="B3461" s="6"/>
      <c r="C3461" s="7"/>
      <c r="D3461" s="10"/>
      <c r="F3461" s="1"/>
      <c r="G3461" s="1"/>
      <c r="H3461" s="1"/>
      <c r="I3461" s="7"/>
      <c r="J3461" s="12"/>
      <c r="K3461" s="13"/>
      <c r="L3461" s="14"/>
      <c r="M3461" s="15"/>
      <c r="N3461" s="15"/>
      <c r="O3461" s="16"/>
      <c r="Q3461" s="16"/>
    </row>
    <row r="3462" spans="1:17" x14ac:dyDescent="0.3">
      <c r="A3462" s="5"/>
      <c r="B3462" s="6"/>
      <c r="C3462" s="7"/>
      <c r="D3462" s="10"/>
      <c r="F3462" s="1"/>
      <c r="G3462" s="1"/>
      <c r="H3462" s="1"/>
      <c r="I3462" s="7"/>
      <c r="J3462" s="12"/>
      <c r="K3462" s="13"/>
      <c r="L3462" s="14"/>
      <c r="M3462" s="15"/>
      <c r="N3462" s="15"/>
      <c r="O3462" s="16"/>
      <c r="Q3462" s="16"/>
    </row>
    <row r="3463" spans="1:17" x14ac:dyDescent="0.3">
      <c r="A3463" s="5"/>
      <c r="B3463" s="6"/>
      <c r="C3463" s="7"/>
      <c r="D3463" s="10"/>
      <c r="F3463" s="1"/>
      <c r="G3463" s="1"/>
      <c r="H3463" s="1"/>
      <c r="I3463" s="7"/>
      <c r="J3463" s="12"/>
      <c r="K3463" s="13"/>
      <c r="L3463" s="14"/>
      <c r="M3463" s="15"/>
      <c r="N3463" s="15"/>
      <c r="O3463" s="16"/>
      <c r="Q3463" s="16"/>
    </row>
    <row r="3464" spans="1:17" x14ac:dyDescent="0.3">
      <c r="A3464" s="5"/>
      <c r="B3464" s="6"/>
      <c r="C3464" s="7"/>
      <c r="D3464" s="10"/>
      <c r="F3464" s="1"/>
      <c r="G3464" s="1"/>
      <c r="H3464" s="1"/>
      <c r="I3464" s="7"/>
      <c r="J3464" s="12"/>
      <c r="K3464" s="13"/>
      <c r="L3464" s="14"/>
      <c r="M3464" s="15"/>
      <c r="N3464" s="15"/>
      <c r="O3464" s="16"/>
      <c r="Q3464" s="16"/>
    </row>
    <row r="3465" spans="1:17" x14ac:dyDescent="0.3">
      <c r="A3465" s="5"/>
      <c r="B3465" s="6"/>
      <c r="C3465" s="7"/>
      <c r="D3465" s="10"/>
      <c r="F3465" s="1"/>
      <c r="G3465" s="1"/>
      <c r="H3465" s="1"/>
      <c r="I3465" s="7"/>
      <c r="J3465" s="12"/>
      <c r="K3465" s="13"/>
      <c r="L3465" s="14"/>
      <c r="M3465" s="15"/>
      <c r="N3465" s="15"/>
      <c r="O3465" s="16"/>
      <c r="Q3465" s="16"/>
    </row>
    <row r="3466" spans="1:17" x14ac:dyDescent="0.3">
      <c r="A3466" s="5"/>
      <c r="B3466" s="6"/>
      <c r="C3466" s="7"/>
      <c r="D3466" s="10"/>
      <c r="F3466" s="1"/>
      <c r="G3466" s="1"/>
      <c r="H3466" s="1"/>
      <c r="I3466" s="7"/>
      <c r="J3466" s="12"/>
      <c r="K3466" s="13"/>
      <c r="L3466" s="14"/>
      <c r="M3466" s="15"/>
      <c r="N3466" s="15"/>
      <c r="O3466" s="16"/>
      <c r="Q3466" s="16"/>
    </row>
    <row r="3467" spans="1:17" x14ac:dyDescent="0.3">
      <c r="A3467" s="5"/>
      <c r="B3467" s="6"/>
      <c r="C3467" s="7"/>
      <c r="D3467" s="10"/>
      <c r="F3467" s="1"/>
      <c r="G3467" s="1"/>
      <c r="H3467" s="1"/>
      <c r="I3467" s="7"/>
      <c r="J3467" s="12"/>
      <c r="K3467" s="13"/>
      <c r="L3467" s="14"/>
      <c r="M3467" s="15"/>
      <c r="N3467" s="15"/>
      <c r="O3467" s="16"/>
      <c r="Q3467" s="16"/>
    </row>
    <row r="3468" spans="1:17" x14ac:dyDescent="0.3">
      <c r="A3468" s="5"/>
      <c r="B3468" s="6"/>
      <c r="C3468" s="7"/>
      <c r="D3468" s="10"/>
      <c r="F3468" s="1"/>
      <c r="G3468" s="1"/>
      <c r="H3468" s="1"/>
      <c r="I3468" s="7"/>
      <c r="J3468" s="12"/>
      <c r="K3468" s="13"/>
      <c r="L3468" s="14"/>
      <c r="M3468" s="15"/>
      <c r="N3468" s="15"/>
      <c r="O3468" s="16"/>
      <c r="Q3468" s="16"/>
    </row>
    <row r="3469" spans="1:17" x14ac:dyDescent="0.3">
      <c r="A3469" s="5"/>
      <c r="B3469" s="6"/>
      <c r="C3469" s="7"/>
      <c r="D3469" s="10"/>
      <c r="F3469" s="1"/>
      <c r="G3469" s="1"/>
      <c r="H3469" s="1"/>
      <c r="I3469" s="7"/>
      <c r="J3469" s="12"/>
      <c r="K3469" s="13"/>
      <c r="L3469" s="14"/>
      <c r="M3469" s="15"/>
      <c r="N3469" s="15"/>
      <c r="O3469" s="16"/>
      <c r="Q3469" s="16"/>
    </row>
    <row r="3470" spans="1:17" x14ac:dyDescent="0.3">
      <c r="A3470" s="5"/>
      <c r="B3470" s="6"/>
      <c r="C3470" s="7"/>
      <c r="D3470" s="10"/>
      <c r="F3470" s="1"/>
      <c r="G3470" s="1"/>
      <c r="H3470" s="1"/>
      <c r="I3470" s="7"/>
      <c r="J3470" s="12"/>
      <c r="K3470" s="13"/>
      <c r="L3470" s="14"/>
      <c r="M3470" s="15"/>
      <c r="N3470" s="15"/>
      <c r="O3470" s="16"/>
      <c r="Q3470" s="16"/>
    </row>
    <row r="3471" spans="1:17" x14ac:dyDescent="0.3">
      <c r="A3471" s="5"/>
      <c r="B3471" s="6"/>
      <c r="C3471" s="7"/>
      <c r="D3471" s="10"/>
      <c r="F3471" s="1"/>
      <c r="G3471" s="1"/>
      <c r="H3471" s="1"/>
      <c r="I3471" s="7"/>
      <c r="J3471" s="12"/>
      <c r="K3471" s="13"/>
      <c r="L3471" s="14"/>
      <c r="M3471" s="15"/>
      <c r="N3471" s="15"/>
      <c r="O3471" s="16"/>
      <c r="Q3471" s="16"/>
    </row>
    <row r="3472" spans="1:17" x14ac:dyDescent="0.3">
      <c r="A3472" s="5"/>
      <c r="B3472" s="6"/>
      <c r="C3472" s="7"/>
      <c r="D3472" s="10"/>
      <c r="F3472" s="1"/>
      <c r="G3472" s="1"/>
      <c r="H3472" s="1"/>
      <c r="I3472" s="7"/>
      <c r="J3472" s="12"/>
      <c r="K3472" s="13"/>
      <c r="L3472" s="14"/>
      <c r="M3472" s="15"/>
      <c r="N3472" s="15"/>
      <c r="O3472" s="16"/>
      <c r="Q3472" s="16"/>
    </row>
    <row r="3473" spans="1:17" x14ac:dyDescent="0.3">
      <c r="A3473" s="5"/>
      <c r="B3473" s="6"/>
      <c r="C3473" s="7"/>
      <c r="D3473" s="10"/>
      <c r="F3473" s="1"/>
      <c r="G3473" s="1"/>
      <c r="H3473" s="1"/>
      <c r="I3473" s="7"/>
      <c r="J3473" s="12"/>
      <c r="K3473" s="13"/>
      <c r="L3473" s="14"/>
      <c r="M3473" s="15"/>
      <c r="N3473" s="15"/>
      <c r="O3473" s="16"/>
      <c r="Q3473" s="16"/>
    </row>
    <row r="3474" spans="1:17" x14ac:dyDescent="0.3">
      <c r="A3474" s="5"/>
      <c r="B3474" s="6"/>
      <c r="C3474" s="7"/>
      <c r="D3474" s="10"/>
      <c r="F3474" s="1"/>
      <c r="G3474" s="1"/>
      <c r="H3474" s="1"/>
      <c r="I3474" s="7"/>
      <c r="J3474" s="12"/>
      <c r="K3474" s="13"/>
      <c r="L3474" s="14"/>
      <c r="M3474" s="15"/>
      <c r="N3474" s="15"/>
      <c r="O3474" s="16"/>
      <c r="Q3474" s="16"/>
    </row>
    <row r="3475" spans="1:17" x14ac:dyDescent="0.3">
      <c r="A3475" s="5"/>
      <c r="B3475" s="6"/>
      <c r="C3475" s="7"/>
      <c r="D3475" s="10"/>
      <c r="F3475" s="1"/>
      <c r="G3475" s="1"/>
      <c r="H3475" s="1"/>
      <c r="I3475" s="7"/>
      <c r="J3475" s="12"/>
      <c r="K3475" s="13"/>
      <c r="L3475" s="14"/>
      <c r="M3475" s="15"/>
      <c r="N3475" s="15"/>
      <c r="O3475" s="16"/>
      <c r="Q3475" s="16"/>
    </row>
    <row r="3476" spans="1:17" x14ac:dyDescent="0.3">
      <c r="A3476" s="5"/>
      <c r="B3476" s="6"/>
      <c r="C3476" s="7"/>
      <c r="D3476" s="10"/>
      <c r="F3476" s="1"/>
      <c r="G3476" s="1"/>
      <c r="H3476" s="1"/>
      <c r="I3476" s="7"/>
      <c r="J3476" s="12"/>
      <c r="K3476" s="13"/>
      <c r="L3476" s="14"/>
      <c r="M3476" s="15"/>
      <c r="N3476" s="15"/>
      <c r="O3476" s="16"/>
      <c r="Q3476" s="16"/>
    </row>
    <row r="3477" spans="1:17" x14ac:dyDescent="0.3">
      <c r="A3477" s="5"/>
      <c r="B3477" s="6"/>
      <c r="C3477" s="7"/>
      <c r="D3477" s="10"/>
      <c r="F3477" s="1"/>
      <c r="G3477" s="1"/>
      <c r="H3477" s="1"/>
      <c r="I3477" s="7"/>
      <c r="J3477" s="12"/>
      <c r="K3477" s="13"/>
      <c r="L3477" s="14"/>
      <c r="M3477" s="15"/>
      <c r="N3477" s="15"/>
      <c r="O3477" s="16"/>
      <c r="Q3477" s="16"/>
    </row>
    <row r="3478" spans="1:17" x14ac:dyDescent="0.3">
      <c r="A3478" s="5"/>
      <c r="B3478" s="6"/>
      <c r="C3478" s="7"/>
      <c r="D3478" s="10"/>
      <c r="F3478" s="1"/>
      <c r="G3478" s="1"/>
      <c r="H3478" s="1"/>
      <c r="I3478" s="7"/>
      <c r="J3478" s="12"/>
      <c r="K3478" s="13"/>
      <c r="L3478" s="14"/>
      <c r="M3478" s="15"/>
      <c r="N3478" s="15"/>
      <c r="O3478" s="16"/>
      <c r="Q3478" s="16"/>
    </row>
    <row r="3479" spans="1:17" x14ac:dyDescent="0.3">
      <c r="A3479" s="5"/>
      <c r="B3479" s="6"/>
      <c r="C3479" s="7"/>
      <c r="D3479" s="10"/>
      <c r="F3479" s="1"/>
      <c r="G3479" s="1"/>
      <c r="H3479" s="1"/>
      <c r="I3479" s="7"/>
      <c r="J3479" s="12"/>
      <c r="K3479" s="13"/>
      <c r="L3479" s="14"/>
      <c r="M3479" s="15"/>
      <c r="N3479" s="15"/>
      <c r="O3479" s="16"/>
      <c r="Q3479" s="16"/>
    </row>
    <row r="3480" spans="1:17" x14ac:dyDescent="0.3">
      <c r="A3480" s="5"/>
      <c r="B3480" s="6"/>
      <c r="C3480" s="7"/>
      <c r="D3480" s="10"/>
      <c r="F3480" s="1"/>
      <c r="G3480" s="1"/>
      <c r="H3480" s="1"/>
      <c r="I3480" s="7"/>
      <c r="J3480" s="12"/>
      <c r="K3480" s="13"/>
      <c r="L3480" s="14"/>
      <c r="M3480" s="15"/>
      <c r="N3480" s="15"/>
      <c r="O3480" s="16"/>
      <c r="Q3480" s="16"/>
    </row>
    <row r="3481" spans="1:17" x14ac:dyDescent="0.3">
      <c r="A3481" s="5"/>
      <c r="B3481" s="6"/>
      <c r="C3481" s="7"/>
      <c r="D3481" s="10"/>
      <c r="F3481" s="1"/>
      <c r="G3481" s="1"/>
      <c r="H3481" s="1"/>
      <c r="I3481" s="7"/>
      <c r="J3481" s="12"/>
      <c r="K3481" s="13"/>
      <c r="L3481" s="14"/>
      <c r="M3481" s="15"/>
      <c r="N3481" s="15"/>
      <c r="O3481" s="16"/>
      <c r="Q3481" s="16"/>
    </row>
    <row r="3482" spans="1:17" x14ac:dyDescent="0.3">
      <c r="A3482" s="5"/>
      <c r="B3482" s="6"/>
      <c r="C3482" s="7"/>
      <c r="D3482" s="10"/>
      <c r="F3482" s="1"/>
      <c r="G3482" s="1"/>
      <c r="H3482" s="1"/>
      <c r="I3482" s="7"/>
      <c r="J3482" s="12"/>
      <c r="K3482" s="13"/>
      <c r="L3482" s="14"/>
      <c r="M3482" s="15"/>
      <c r="N3482" s="15"/>
      <c r="O3482" s="16"/>
      <c r="Q3482" s="16"/>
    </row>
    <row r="3483" spans="1:17" x14ac:dyDescent="0.3">
      <c r="A3483" s="5"/>
      <c r="B3483" s="6"/>
      <c r="C3483" s="7"/>
      <c r="D3483" s="10"/>
      <c r="F3483" s="1"/>
      <c r="G3483" s="1"/>
      <c r="H3483" s="1"/>
      <c r="I3483" s="7"/>
      <c r="J3483" s="12"/>
      <c r="K3483" s="13"/>
      <c r="L3483" s="14"/>
      <c r="M3483" s="15"/>
      <c r="N3483" s="15"/>
      <c r="O3483" s="16"/>
      <c r="Q3483" s="16"/>
    </row>
    <row r="3484" spans="1:17" x14ac:dyDescent="0.3">
      <c r="A3484" s="5"/>
      <c r="B3484" s="6"/>
      <c r="C3484" s="7"/>
      <c r="D3484" s="10"/>
      <c r="F3484" s="1"/>
      <c r="G3484" s="1"/>
      <c r="H3484" s="1"/>
      <c r="I3484" s="7"/>
      <c r="J3484" s="12"/>
      <c r="K3484" s="13"/>
      <c r="L3484" s="14"/>
      <c r="M3484" s="15"/>
      <c r="N3484" s="15"/>
      <c r="O3484" s="16"/>
      <c r="Q3484" s="16"/>
    </row>
    <row r="3485" spans="1:17" x14ac:dyDescent="0.3">
      <c r="A3485" s="5"/>
      <c r="B3485" s="6"/>
      <c r="C3485" s="7"/>
      <c r="D3485" s="10"/>
      <c r="F3485" s="1"/>
      <c r="G3485" s="1"/>
      <c r="H3485" s="1"/>
      <c r="I3485" s="7"/>
      <c r="J3485" s="12"/>
      <c r="K3485" s="13"/>
      <c r="L3485" s="14"/>
      <c r="M3485" s="15"/>
      <c r="N3485" s="15"/>
      <c r="O3485" s="16"/>
      <c r="Q3485" s="16"/>
    </row>
    <row r="3486" spans="1:17" x14ac:dyDescent="0.3">
      <c r="A3486" s="5"/>
      <c r="B3486" s="6"/>
      <c r="C3486" s="7"/>
      <c r="D3486" s="10"/>
      <c r="F3486" s="1"/>
      <c r="G3486" s="1"/>
      <c r="H3486" s="1"/>
      <c r="I3486" s="7"/>
      <c r="J3486" s="12"/>
      <c r="K3486" s="13"/>
      <c r="L3486" s="14"/>
      <c r="M3486" s="15"/>
      <c r="N3486" s="15"/>
      <c r="O3486" s="16"/>
      <c r="Q3486" s="16"/>
    </row>
    <row r="3487" spans="1:17" x14ac:dyDescent="0.3">
      <c r="A3487" s="5"/>
      <c r="B3487" s="6"/>
      <c r="C3487" s="7"/>
      <c r="D3487" s="10"/>
      <c r="F3487" s="1"/>
      <c r="G3487" s="1"/>
      <c r="H3487" s="1"/>
      <c r="I3487" s="7"/>
      <c r="J3487" s="12"/>
      <c r="K3487" s="13"/>
      <c r="L3487" s="14"/>
      <c r="M3487" s="15"/>
      <c r="N3487" s="15"/>
      <c r="O3487" s="16"/>
      <c r="Q3487" s="16"/>
    </row>
    <row r="3488" spans="1:17" x14ac:dyDescent="0.3">
      <c r="A3488" s="5"/>
      <c r="B3488" s="6"/>
      <c r="C3488" s="7"/>
      <c r="D3488" s="10"/>
      <c r="F3488" s="1"/>
      <c r="G3488" s="1"/>
      <c r="H3488" s="1"/>
      <c r="I3488" s="7"/>
      <c r="J3488" s="12"/>
      <c r="K3488" s="13"/>
      <c r="L3488" s="14"/>
      <c r="M3488" s="15"/>
      <c r="N3488" s="15"/>
      <c r="O3488" s="16"/>
      <c r="Q3488" s="16"/>
    </row>
    <row r="3489" spans="1:17" x14ac:dyDescent="0.3">
      <c r="A3489" s="5"/>
      <c r="B3489" s="6"/>
      <c r="C3489" s="7"/>
      <c r="D3489" s="10"/>
      <c r="F3489" s="1"/>
      <c r="G3489" s="1"/>
      <c r="H3489" s="1"/>
      <c r="I3489" s="7"/>
      <c r="J3489" s="12"/>
      <c r="K3489" s="13"/>
      <c r="L3489" s="14"/>
      <c r="M3489" s="15"/>
      <c r="N3489" s="15"/>
      <c r="O3489" s="16"/>
      <c r="Q3489" s="16"/>
    </row>
    <row r="3490" spans="1:17" x14ac:dyDescent="0.3">
      <c r="A3490" s="5"/>
      <c r="B3490" s="6"/>
      <c r="C3490" s="7"/>
      <c r="D3490" s="10"/>
      <c r="F3490" s="1"/>
      <c r="G3490" s="1"/>
      <c r="H3490" s="1"/>
      <c r="I3490" s="7"/>
      <c r="J3490" s="12"/>
      <c r="K3490" s="13"/>
      <c r="L3490" s="14"/>
      <c r="M3490" s="15"/>
      <c r="N3490" s="15"/>
      <c r="O3490" s="16"/>
      <c r="Q3490" s="16"/>
    </row>
    <row r="3491" spans="1:17" x14ac:dyDescent="0.3">
      <c r="A3491" s="5"/>
      <c r="B3491" s="6"/>
      <c r="C3491" s="7"/>
      <c r="D3491" s="10"/>
      <c r="F3491" s="1"/>
      <c r="G3491" s="1"/>
      <c r="H3491" s="1"/>
      <c r="I3491" s="7"/>
      <c r="J3491" s="12"/>
      <c r="K3491" s="13"/>
      <c r="L3491" s="14"/>
      <c r="M3491" s="15"/>
      <c r="N3491" s="15"/>
      <c r="O3491" s="16"/>
      <c r="Q3491" s="16"/>
    </row>
    <row r="3492" spans="1:17" x14ac:dyDescent="0.3">
      <c r="A3492" s="5"/>
      <c r="B3492" s="6"/>
      <c r="C3492" s="7"/>
      <c r="D3492" s="10"/>
      <c r="F3492" s="1"/>
      <c r="G3492" s="1"/>
      <c r="H3492" s="1"/>
      <c r="I3492" s="7"/>
      <c r="J3492" s="12"/>
      <c r="K3492" s="13"/>
      <c r="L3492" s="14"/>
      <c r="M3492" s="15"/>
      <c r="N3492" s="15"/>
      <c r="O3492" s="16"/>
      <c r="Q3492" s="16"/>
    </row>
    <row r="3493" spans="1:17" x14ac:dyDescent="0.3">
      <c r="A3493" s="5"/>
      <c r="B3493" s="6"/>
      <c r="C3493" s="7"/>
      <c r="D3493" s="10"/>
      <c r="F3493" s="1"/>
      <c r="G3493" s="1"/>
      <c r="H3493" s="1"/>
      <c r="I3493" s="7"/>
      <c r="J3493" s="12"/>
      <c r="K3493" s="13"/>
      <c r="L3493" s="14"/>
      <c r="M3493" s="15"/>
      <c r="N3493" s="15"/>
      <c r="O3493" s="16"/>
      <c r="Q3493" s="16"/>
    </row>
    <row r="3494" spans="1:17" x14ac:dyDescent="0.3">
      <c r="A3494" s="5"/>
      <c r="B3494" s="6"/>
      <c r="C3494" s="7"/>
      <c r="D3494" s="10"/>
      <c r="F3494" s="1"/>
      <c r="G3494" s="1"/>
      <c r="H3494" s="1"/>
      <c r="I3494" s="7"/>
      <c r="J3494" s="12"/>
      <c r="K3494" s="13"/>
      <c r="L3494" s="14"/>
      <c r="M3494" s="15"/>
      <c r="N3494" s="15"/>
      <c r="O3494" s="16"/>
      <c r="Q3494" s="16"/>
    </row>
    <row r="3495" spans="1:17" x14ac:dyDescent="0.3">
      <c r="A3495" s="5"/>
      <c r="B3495" s="6"/>
      <c r="C3495" s="7"/>
      <c r="D3495" s="10"/>
      <c r="F3495" s="1"/>
      <c r="G3495" s="1"/>
      <c r="H3495" s="1"/>
      <c r="I3495" s="7"/>
      <c r="J3495" s="12"/>
      <c r="K3495" s="13"/>
      <c r="L3495" s="14"/>
      <c r="M3495" s="15"/>
      <c r="N3495" s="15"/>
      <c r="O3495" s="16"/>
      <c r="Q3495" s="16"/>
    </row>
    <row r="3496" spans="1:17" x14ac:dyDescent="0.3">
      <c r="A3496" s="5"/>
      <c r="B3496" s="6"/>
      <c r="C3496" s="7"/>
      <c r="D3496" s="10"/>
      <c r="F3496" s="1"/>
      <c r="G3496" s="1"/>
      <c r="H3496" s="1"/>
      <c r="I3496" s="7"/>
      <c r="J3496" s="12"/>
      <c r="K3496" s="13"/>
      <c r="L3496" s="14"/>
      <c r="M3496" s="15"/>
      <c r="N3496" s="15"/>
      <c r="O3496" s="16"/>
      <c r="Q3496" s="16"/>
    </row>
    <row r="3497" spans="1:17" x14ac:dyDescent="0.3">
      <c r="A3497" s="5"/>
      <c r="B3497" s="6"/>
      <c r="C3497" s="7"/>
      <c r="D3497" s="10"/>
      <c r="F3497" s="1"/>
      <c r="G3497" s="1"/>
      <c r="H3497" s="1"/>
      <c r="I3497" s="7"/>
      <c r="J3497" s="12"/>
      <c r="K3497" s="13"/>
      <c r="L3497" s="14"/>
      <c r="M3497" s="15"/>
      <c r="N3497" s="15"/>
      <c r="O3497" s="16"/>
      <c r="Q3497" s="16"/>
    </row>
    <row r="3498" spans="1:17" x14ac:dyDescent="0.3">
      <c r="A3498" s="5"/>
      <c r="B3498" s="6"/>
      <c r="C3498" s="7"/>
      <c r="D3498" s="10"/>
      <c r="F3498" s="1"/>
      <c r="G3498" s="1"/>
      <c r="H3498" s="1"/>
      <c r="I3498" s="7"/>
      <c r="J3498" s="12"/>
      <c r="K3498" s="13"/>
      <c r="L3498" s="14"/>
      <c r="M3498" s="15"/>
      <c r="N3498" s="15"/>
      <c r="O3498" s="16"/>
      <c r="Q3498" s="16"/>
    </row>
    <row r="3499" spans="1:17" x14ac:dyDescent="0.3">
      <c r="A3499" s="5"/>
      <c r="B3499" s="6"/>
      <c r="C3499" s="7"/>
      <c r="D3499" s="10"/>
      <c r="F3499" s="1"/>
      <c r="G3499" s="1"/>
      <c r="H3499" s="1"/>
      <c r="I3499" s="7"/>
      <c r="J3499" s="12"/>
      <c r="K3499" s="13"/>
      <c r="L3499" s="14"/>
      <c r="M3499" s="15"/>
      <c r="N3499" s="15"/>
      <c r="O3499" s="16"/>
      <c r="Q3499" s="16"/>
    </row>
    <row r="3500" spans="1:17" x14ac:dyDescent="0.3">
      <c r="A3500" s="5"/>
      <c r="B3500" s="6"/>
      <c r="C3500" s="7"/>
      <c r="D3500" s="10"/>
      <c r="F3500" s="1"/>
      <c r="G3500" s="1"/>
      <c r="H3500" s="1"/>
      <c r="I3500" s="7"/>
      <c r="J3500" s="12"/>
      <c r="K3500" s="13"/>
      <c r="L3500" s="14"/>
      <c r="M3500" s="15"/>
      <c r="N3500" s="15"/>
      <c r="O3500" s="16"/>
      <c r="Q3500" s="16"/>
    </row>
    <row r="3501" spans="1:17" x14ac:dyDescent="0.3">
      <c r="A3501" s="5"/>
      <c r="B3501" s="6"/>
      <c r="C3501" s="7"/>
      <c r="D3501" s="10"/>
      <c r="F3501" s="1"/>
      <c r="G3501" s="1"/>
      <c r="H3501" s="1"/>
      <c r="I3501" s="7"/>
      <c r="J3501" s="12"/>
      <c r="K3501" s="13"/>
      <c r="L3501" s="14"/>
      <c r="M3501" s="15"/>
      <c r="N3501" s="15"/>
      <c r="O3501" s="16"/>
      <c r="Q3501" s="16"/>
    </row>
    <row r="3502" spans="1:17" x14ac:dyDescent="0.3">
      <c r="A3502" s="5"/>
      <c r="B3502" s="6"/>
      <c r="C3502" s="7"/>
      <c r="D3502" s="10"/>
      <c r="F3502" s="1"/>
      <c r="G3502" s="1"/>
      <c r="H3502" s="1"/>
      <c r="I3502" s="7"/>
      <c r="J3502" s="12"/>
      <c r="K3502" s="13"/>
      <c r="L3502" s="14"/>
      <c r="M3502" s="15"/>
      <c r="N3502" s="15"/>
      <c r="O3502" s="16"/>
      <c r="Q3502" s="16"/>
    </row>
    <row r="3503" spans="1:17" x14ac:dyDescent="0.3">
      <c r="A3503" s="5"/>
      <c r="B3503" s="6"/>
      <c r="C3503" s="7"/>
      <c r="D3503" s="10"/>
      <c r="F3503" s="1"/>
      <c r="G3503" s="1"/>
      <c r="H3503" s="1"/>
      <c r="I3503" s="7"/>
      <c r="J3503" s="12"/>
      <c r="K3503" s="13"/>
      <c r="L3503" s="14"/>
      <c r="M3503" s="15"/>
      <c r="N3503" s="15"/>
      <c r="O3503" s="16"/>
      <c r="Q3503" s="16"/>
    </row>
    <row r="3504" spans="1:17" x14ac:dyDescent="0.3">
      <c r="A3504" s="5"/>
      <c r="B3504" s="6"/>
      <c r="C3504" s="7"/>
      <c r="D3504" s="10"/>
      <c r="F3504" s="1"/>
      <c r="G3504" s="1"/>
      <c r="H3504" s="1"/>
      <c r="I3504" s="7"/>
      <c r="J3504" s="12"/>
      <c r="K3504" s="13"/>
      <c r="L3504" s="14"/>
      <c r="M3504" s="15"/>
      <c r="N3504" s="15"/>
      <c r="O3504" s="16"/>
      <c r="Q3504" s="16"/>
    </row>
    <row r="3505" spans="1:17" x14ac:dyDescent="0.3">
      <c r="A3505" s="5"/>
      <c r="B3505" s="6"/>
      <c r="C3505" s="7"/>
      <c r="D3505" s="10"/>
      <c r="F3505" s="1"/>
      <c r="G3505" s="1"/>
      <c r="H3505" s="1"/>
      <c r="I3505" s="7"/>
      <c r="J3505" s="12"/>
      <c r="K3505" s="13"/>
      <c r="L3505" s="14"/>
      <c r="M3505" s="15"/>
      <c r="N3505" s="15"/>
      <c r="O3505" s="16"/>
      <c r="Q3505" s="16"/>
    </row>
    <row r="3506" spans="1:17" x14ac:dyDescent="0.3">
      <c r="A3506" s="5"/>
      <c r="B3506" s="6"/>
      <c r="C3506" s="7"/>
      <c r="D3506" s="10"/>
      <c r="F3506" s="1"/>
      <c r="G3506" s="1"/>
      <c r="H3506" s="1"/>
      <c r="I3506" s="7"/>
      <c r="J3506" s="12"/>
      <c r="K3506" s="13"/>
      <c r="L3506" s="14"/>
      <c r="M3506" s="15"/>
      <c r="N3506" s="15"/>
      <c r="O3506" s="16"/>
      <c r="Q3506" s="16"/>
    </row>
    <row r="3507" spans="1:17" x14ac:dyDescent="0.3">
      <c r="A3507" s="5"/>
      <c r="B3507" s="6"/>
      <c r="C3507" s="7"/>
      <c r="D3507" s="10"/>
      <c r="F3507" s="1"/>
      <c r="G3507" s="1"/>
      <c r="H3507" s="1"/>
      <c r="I3507" s="7"/>
      <c r="J3507" s="12"/>
      <c r="K3507" s="13"/>
      <c r="L3507" s="14"/>
      <c r="M3507" s="15"/>
      <c r="N3507" s="15"/>
      <c r="O3507" s="16"/>
      <c r="Q3507" s="16"/>
    </row>
    <row r="3508" spans="1:17" x14ac:dyDescent="0.3">
      <c r="A3508" s="5"/>
      <c r="B3508" s="6"/>
      <c r="C3508" s="7"/>
      <c r="D3508" s="10"/>
      <c r="F3508" s="1"/>
      <c r="G3508" s="1"/>
      <c r="H3508" s="1"/>
      <c r="I3508" s="7"/>
      <c r="J3508" s="12"/>
      <c r="K3508" s="13"/>
      <c r="L3508" s="14"/>
      <c r="M3508" s="15"/>
      <c r="N3508" s="15"/>
      <c r="O3508" s="16"/>
      <c r="Q3508" s="16"/>
    </row>
    <row r="3509" spans="1:17" x14ac:dyDescent="0.3">
      <c r="A3509" s="5"/>
      <c r="B3509" s="6"/>
      <c r="C3509" s="7"/>
      <c r="D3509" s="10"/>
      <c r="F3509" s="1"/>
      <c r="G3509" s="1"/>
      <c r="H3509" s="1"/>
      <c r="I3509" s="7"/>
      <c r="J3509" s="12"/>
      <c r="K3509" s="13"/>
      <c r="L3509" s="14"/>
      <c r="M3509" s="15"/>
      <c r="N3509" s="15"/>
      <c r="O3509" s="16"/>
      <c r="Q3509" s="16"/>
    </row>
    <row r="3510" spans="1:17" x14ac:dyDescent="0.3">
      <c r="A3510" s="5"/>
      <c r="B3510" s="6"/>
      <c r="C3510" s="7"/>
      <c r="D3510" s="10"/>
      <c r="F3510" s="1"/>
      <c r="G3510" s="1"/>
      <c r="H3510" s="1"/>
      <c r="I3510" s="7"/>
      <c r="J3510" s="12"/>
      <c r="K3510" s="13"/>
      <c r="L3510" s="14"/>
      <c r="M3510" s="15"/>
      <c r="N3510" s="15"/>
      <c r="O3510" s="16"/>
      <c r="Q3510" s="16"/>
    </row>
    <row r="3511" spans="1:17" x14ac:dyDescent="0.3">
      <c r="A3511" s="5"/>
      <c r="B3511" s="6"/>
      <c r="C3511" s="7"/>
      <c r="D3511" s="10"/>
      <c r="F3511" s="1"/>
      <c r="G3511" s="1"/>
      <c r="H3511" s="1"/>
      <c r="I3511" s="7"/>
      <c r="J3511" s="12"/>
      <c r="K3511" s="13"/>
      <c r="L3511" s="14"/>
      <c r="M3511" s="15"/>
      <c r="N3511" s="15"/>
      <c r="O3511" s="16"/>
      <c r="Q3511" s="16"/>
    </row>
    <row r="3512" spans="1:17" x14ac:dyDescent="0.3">
      <c r="A3512" s="5"/>
      <c r="B3512" s="6"/>
      <c r="C3512" s="7"/>
      <c r="D3512" s="10"/>
      <c r="F3512" s="1"/>
      <c r="G3512" s="1"/>
      <c r="H3512" s="1"/>
      <c r="I3512" s="7"/>
      <c r="J3512" s="12"/>
      <c r="K3512" s="13"/>
      <c r="L3512" s="14"/>
      <c r="M3512" s="15"/>
      <c r="N3512" s="15"/>
      <c r="O3512" s="16"/>
      <c r="Q3512" s="16"/>
    </row>
    <row r="3513" spans="1:17" x14ac:dyDescent="0.3">
      <c r="A3513" s="5"/>
      <c r="B3513" s="6"/>
      <c r="C3513" s="7"/>
      <c r="D3513" s="10"/>
      <c r="F3513" s="1"/>
      <c r="G3513" s="1"/>
      <c r="H3513" s="1"/>
      <c r="I3513" s="7"/>
      <c r="J3513" s="12"/>
      <c r="K3513" s="13"/>
      <c r="L3513" s="14"/>
      <c r="M3513" s="15"/>
      <c r="N3513" s="15"/>
      <c r="O3513" s="16"/>
      <c r="Q3513" s="16"/>
    </row>
    <row r="3514" spans="1:17" x14ac:dyDescent="0.3">
      <c r="A3514" s="5"/>
      <c r="B3514" s="6"/>
      <c r="C3514" s="7"/>
      <c r="D3514" s="10"/>
      <c r="F3514" s="1"/>
      <c r="G3514" s="1"/>
      <c r="H3514" s="1"/>
      <c r="I3514" s="7"/>
      <c r="J3514" s="12"/>
      <c r="K3514" s="13"/>
      <c r="L3514" s="14"/>
      <c r="M3514" s="15"/>
      <c r="N3514" s="15"/>
      <c r="O3514" s="16"/>
      <c r="Q3514" s="16"/>
    </row>
    <row r="3515" spans="1:17" x14ac:dyDescent="0.3">
      <c r="A3515" s="5"/>
      <c r="B3515" s="6"/>
      <c r="C3515" s="7"/>
      <c r="D3515" s="10"/>
      <c r="F3515" s="1"/>
      <c r="G3515" s="1"/>
      <c r="H3515" s="1"/>
      <c r="I3515" s="7"/>
      <c r="J3515" s="12"/>
      <c r="K3515" s="13"/>
      <c r="L3515" s="14"/>
      <c r="M3515" s="15"/>
      <c r="N3515" s="15"/>
      <c r="O3515" s="16"/>
      <c r="Q3515" s="16"/>
    </row>
    <row r="3516" spans="1:17" x14ac:dyDescent="0.3">
      <c r="A3516" s="5"/>
      <c r="B3516" s="6"/>
      <c r="C3516" s="7"/>
      <c r="D3516" s="10"/>
      <c r="F3516" s="1"/>
      <c r="G3516" s="1"/>
      <c r="H3516" s="1"/>
      <c r="I3516" s="7"/>
      <c r="J3516" s="12"/>
      <c r="K3516" s="13"/>
      <c r="L3516" s="14"/>
      <c r="M3516" s="15"/>
      <c r="N3516" s="15"/>
      <c r="O3516" s="16"/>
      <c r="Q3516" s="16"/>
    </row>
    <row r="3517" spans="1:17" x14ac:dyDescent="0.3">
      <c r="A3517" s="5"/>
      <c r="B3517" s="6"/>
      <c r="C3517" s="7"/>
      <c r="D3517" s="10"/>
      <c r="F3517" s="1"/>
      <c r="G3517" s="1"/>
      <c r="H3517" s="1"/>
      <c r="I3517" s="7"/>
      <c r="J3517" s="12"/>
      <c r="K3517" s="13"/>
      <c r="L3517" s="14"/>
      <c r="M3517" s="15"/>
      <c r="N3517" s="15"/>
      <c r="O3517" s="16"/>
      <c r="Q3517" s="16"/>
    </row>
    <row r="3518" spans="1:17" x14ac:dyDescent="0.3">
      <c r="A3518" s="5"/>
      <c r="B3518" s="6"/>
      <c r="C3518" s="7"/>
      <c r="D3518" s="10"/>
      <c r="F3518" s="1"/>
      <c r="G3518" s="1"/>
      <c r="H3518" s="1"/>
      <c r="I3518" s="7"/>
      <c r="J3518" s="12"/>
      <c r="K3518" s="13"/>
      <c r="L3518" s="14"/>
      <c r="M3518" s="15"/>
      <c r="N3518" s="15"/>
      <c r="O3518" s="16"/>
      <c r="Q3518" s="16"/>
    </row>
    <row r="3519" spans="1:17" x14ac:dyDescent="0.3">
      <c r="A3519" s="5"/>
      <c r="B3519" s="6"/>
      <c r="C3519" s="7"/>
      <c r="D3519" s="10"/>
      <c r="F3519" s="1"/>
      <c r="G3519" s="1"/>
      <c r="H3519" s="1"/>
      <c r="I3519" s="7"/>
      <c r="J3519" s="12"/>
      <c r="K3519" s="13"/>
      <c r="L3519" s="14"/>
      <c r="M3519" s="15"/>
      <c r="N3519" s="15"/>
      <c r="O3519" s="16"/>
      <c r="Q3519" s="16"/>
    </row>
    <row r="3520" spans="1:17" x14ac:dyDescent="0.3">
      <c r="A3520" s="5"/>
      <c r="B3520" s="6"/>
      <c r="C3520" s="7"/>
      <c r="D3520" s="10"/>
      <c r="F3520" s="1"/>
      <c r="G3520" s="1"/>
      <c r="H3520" s="1"/>
      <c r="I3520" s="7"/>
      <c r="J3520" s="12"/>
      <c r="K3520" s="13"/>
      <c r="L3520" s="14"/>
      <c r="M3520" s="15"/>
      <c r="N3520" s="15"/>
      <c r="O3520" s="16"/>
      <c r="Q3520" s="16"/>
    </row>
    <row r="3521" spans="1:17" x14ac:dyDescent="0.3">
      <c r="A3521" s="5"/>
      <c r="B3521" s="6"/>
      <c r="C3521" s="7"/>
      <c r="D3521" s="10"/>
      <c r="F3521" s="1"/>
      <c r="G3521" s="1"/>
      <c r="H3521" s="1"/>
      <c r="I3521" s="7"/>
      <c r="J3521" s="12"/>
      <c r="K3521" s="13"/>
      <c r="L3521" s="14"/>
      <c r="M3521" s="15"/>
      <c r="N3521" s="15"/>
      <c r="O3521" s="16"/>
      <c r="Q3521" s="16"/>
    </row>
    <row r="3522" spans="1:17" x14ac:dyDescent="0.3">
      <c r="A3522" s="5"/>
      <c r="B3522" s="6"/>
      <c r="C3522" s="7"/>
      <c r="D3522" s="10"/>
      <c r="F3522" s="1"/>
      <c r="G3522" s="1"/>
      <c r="H3522" s="1"/>
      <c r="I3522" s="7"/>
      <c r="J3522" s="12"/>
      <c r="K3522" s="13"/>
      <c r="L3522" s="14"/>
      <c r="M3522" s="15"/>
      <c r="N3522" s="15"/>
      <c r="O3522" s="16"/>
      <c r="Q3522" s="16"/>
    </row>
    <row r="3523" spans="1:17" x14ac:dyDescent="0.3">
      <c r="A3523" s="5"/>
      <c r="B3523" s="6"/>
      <c r="C3523" s="7"/>
      <c r="D3523" s="10"/>
      <c r="F3523" s="1"/>
      <c r="G3523" s="1"/>
      <c r="H3523" s="1"/>
      <c r="I3523" s="7"/>
      <c r="J3523" s="12"/>
      <c r="K3523" s="13"/>
      <c r="L3523" s="14"/>
      <c r="M3523" s="15"/>
      <c r="N3523" s="15"/>
      <c r="O3523" s="16"/>
      <c r="Q3523" s="16"/>
    </row>
    <row r="3524" spans="1:17" x14ac:dyDescent="0.3">
      <c r="A3524" s="5"/>
      <c r="B3524" s="6"/>
      <c r="C3524" s="7"/>
      <c r="D3524" s="10"/>
      <c r="F3524" s="1"/>
      <c r="G3524" s="1"/>
      <c r="H3524" s="1"/>
      <c r="I3524" s="7"/>
      <c r="J3524" s="12"/>
      <c r="K3524" s="13"/>
      <c r="L3524" s="14"/>
      <c r="M3524" s="15"/>
      <c r="N3524" s="15"/>
      <c r="O3524" s="16"/>
      <c r="Q3524" s="16"/>
    </row>
    <row r="3525" spans="1:17" x14ac:dyDescent="0.3">
      <c r="A3525" s="5"/>
      <c r="B3525" s="6"/>
      <c r="C3525" s="7"/>
      <c r="D3525" s="10"/>
      <c r="F3525" s="1"/>
      <c r="G3525" s="1"/>
      <c r="H3525" s="1"/>
      <c r="I3525" s="7"/>
      <c r="J3525" s="12"/>
      <c r="K3525" s="13"/>
      <c r="L3525" s="14"/>
      <c r="M3525" s="15"/>
      <c r="N3525" s="15"/>
      <c r="O3525" s="16"/>
      <c r="Q3525" s="16"/>
    </row>
    <row r="3526" spans="1:17" x14ac:dyDescent="0.3">
      <c r="A3526" s="5"/>
      <c r="B3526" s="6"/>
      <c r="C3526" s="7"/>
      <c r="D3526" s="10"/>
      <c r="F3526" s="1"/>
      <c r="G3526" s="1"/>
      <c r="H3526" s="1"/>
      <c r="I3526" s="7"/>
      <c r="J3526" s="12"/>
      <c r="K3526" s="13"/>
      <c r="L3526" s="14"/>
      <c r="M3526" s="15"/>
      <c r="N3526" s="15"/>
      <c r="O3526" s="16"/>
      <c r="Q3526" s="16"/>
    </row>
    <row r="3527" spans="1:17" x14ac:dyDescent="0.3">
      <c r="A3527" s="5"/>
      <c r="B3527" s="6"/>
      <c r="C3527" s="7"/>
      <c r="D3527" s="10"/>
      <c r="F3527" s="1"/>
      <c r="G3527" s="1"/>
      <c r="H3527" s="1"/>
      <c r="I3527" s="7"/>
      <c r="J3527" s="12"/>
      <c r="K3527" s="13"/>
      <c r="L3527" s="14"/>
      <c r="M3527" s="15"/>
      <c r="N3527" s="15"/>
      <c r="O3527" s="16"/>
      <c r="Q3527" s="16"/>
    </row>
    <row r="3528" spans="1:17" x14ac:dyDescent="0.3">
      <c r="A3528" s="5"/>
      <c r="B3528" s="6"/>
      <c r="C3528" s="7"/>
      <c r="D3528" s="10"/>
      <c r="F3528" s="1"/>
      <c r="G3528" s="1"/>
      <c r="H3528" s="1"/>
      <c r="I3528" s="7"/>
      <c r="J3528" s="12"/>
      <c r="K3528" s="13"/>
      <c r="L3528" s="14"/>
      <c r="M3528" s="15"/>
      <c r="N3528" s="15"/>
      <c r="O3528" s="16"/>
      <c r="Q3528" s="16"/>
    </row>
    <row r="3529" spans="1:17" x14ac:dyDescent="0.3">
      <c r="A3529" s="5"/>
      <c r="B3529" s="6"/>
      <c r="C3529" s="7"/>
      <c r="D3529" s="10"/>
      <c r="F3529" s="1"/>
      <c r="G3529" s="1"/>
      <c r="H3529" s="1"/>
      <c r="I3529" s="7"/>
      <c r="J3529" s="12"/>
      <c r="K3529" s="13"/>
      <c r="L3529" s="14"/>
      <c r="M3529" s="15"/>
      <c r="N3529" s="15"/>
      <c r="O3529" s="16"/>
      <c r="Q3529" s="16"/>
    </row>
    <row r="3530" spans="1:17" x14ac:dyDescent="0.3">
      <c r="A3530" s="5"/>
      <c r="B3530" s="6"/>
      <c r="C3530" s="7"/>
      <c r="D3530" s="10"/>
      <c r="F3530" s="1"/>
      <c r="G3530" s="1"/>
      <c r="H3530" s="1"/>
      <c r="I3530" s="7"/>
      <c r="J3530" s="12"/>
      <c r="K3530" s="13"/>
      <c r="L3530" s="14"/>
      <c r="M3530" s="15"/>
      <c r="N3530" s="15"/>
      <c r="O3530" s="16"/>
      <c r="Q3530" s="16"/>
    </row>
    <row r="3531" spans="1:17" x14ac:dyDescent="0.3">
      <c r="A3531" s="5"/>
      <c r="B3531" s="6"/>
      <c r="C3531" s="7"/>
      <c r="D3531" s="10"/>
      <c r="F3531" s="1"/>
      <c r="G3531" s="1"/>
      <c r="H3531" s="1"/>
      <c r="I3531" s="7"/>
      <c r="J3531" s="12"/>
      <c r="K3531" s="13"/>
      <c r="L3531" s="14"/>
      <c r="M3531" s="15"/>
      <c r="N3531" s="15"/>
      <c r="O3531" s="16"/>
      <c r="Q3531" s="16"/>
    </row>
    <row r="3532" spans="1:17" x14ac:dyDescent="0.3">
      <c r="A3532" s="5"/>
      <c r="B3532" s="6"/>
      <c r="C3532" s="7"/>
      <c r="D3532" s="10"/>
      <c r="F3532" s="1"/>
      <c r="G3532" s="1"/>
      <c r="H3532" s="1"/>
      <c r="I3532" s="7"/>
      <c r="J3532" s="12"/>
      <c r="K3532" s="13"/>
      <c r="L3532" s="14"/>
      <c r="M3532" s="15"/>
      <c r="N3532" s="15"/>
      <c r="O3532" s="16"/>
      <c r="Q3532" s="16"/>
    </row>
    <row r="3533" spans="1:17" x14ac:dyDescent="0.3">
      <c r="A3533" s="5"/>
      <c r="B3533" s="6"/>
      <c r="C3533" s="7"/>
      <c r="D3533" s="10"/>
      <c r="F3533" s="1"/>
      <c r="G3533" s="1"/>
      <c r="H3533" s="1"/>
      <c r="I3533" s="7"/>
      <c r="J3533" s="12"/>
      <c r="K3533" s="13"/>
      <c r="L3533" s="14"/>
      <c r="M3533" s="15"/>
      <c r="N3533" s="15"/>
      <c r="O3533" s="16"/>
      <c r="Q3533" s="16"/>
    </row>
    <row r="3534" spans="1:17" x14ac:dyDescent="0.3">
      <c r="A3534" s="5"/>
      <c r="B3534" s="6"/>
      <c r="C3534" s="7"/>
      <c r="D3534" s="10"/>
      <c r="F3534" s="1"/>
      <c r="G3534" s="1"/>
      <c r="H3534" s="1"/>
      <c r="I3534" s="7"/>
      <c r="J3534" s="12"/>
      <c r="K3534" s="13"/>
      <c r="L3534" s="14"/>
      <c r="M3534" s="15"/>
      <c r="N3534" s="15"/>
      <c r="O3534" s="16"/>
      <c r="Q3534" s="16"/>
    </row>
    <row r="3535" spans="1:17" x14ac:dyDescent="0.3">
      <c r="A3535" s="5"/>
      <c r="B3535" s="6"/>
      <c r="C3535" s="7"/>
      <c r="D3535" s="10"/>
      <c r="F3535" s="1"/>
      <c r="G3535" s="1"/>
      <c r="H3535" s="1"/>
      <c r="I3535" s="7"/>
      <c r="J3535" s="12"/>
      <c r="K3535" s="13"/>
      <c r="L3535" s="14"/>
      <c r="M3535" s="15"/>
      <c r="N3535" s="15"/>
      <c r="O3535" s="16"/>
      <c r="Q3535" s="16"/>
    </row>
    <row r="3536" spans="1:17" x14ac:dyDescent="0.3">
      <c r="A3536" s="5"/>
      <c r="B3536" s="6"/>
      <c r="C3536" s="7"/>
      <c r="D3536" s="10"/>
      <c r="F3536" s="1"/>
      <c r="G3536" s="1"/>
      <c r="H3536" s="1"/>
      <c r="I3536" s="7"/>
      <c r="J3536" s="12"/>
      <c r="K3536" s="13"/>
      <c r="L3536" s="14"/>
      <c r="M3536" s="15"/>
      <c r="N3536" s="15"/>
      <c r="O3536" s="16"/>
      <c r="Q3536" s="16"/>
    </row>
    <row r="3537" spans="1:17" x14ac:dyDescent="0.3">
      <c r="A3537" s="5"/>
      <c r="B3537" s="6"/>
      <c r="C3537" s="7"/>
      <c r="D3537" s="10"/>
      <c r="F3537" s="1"/>
      <c r="G3537" s="1"/>
      <c r="H3537" s="1"/>
      <c r="I3537" s="7"/>
      <c r="J3537" s="12"/>
      <c r="K3537" s="13"/>
      <c r="L3537" s="14"/>
      <c r="M3537" s="15"/>
      <c r="N3537" s="15"/>
      <c r="O3537" s="16"/>
      <c r="Q3537" s="16"/>
    </row>
    <row r="3538" spans="1:17" x14ac:dyDescent="0.3">
      <c r="A3538" s="5"/>
      <c r="B3538" s="6"/>
      <c r="C3538" s="7"/>
      <c r="D3538" s="10"/>
      <c r="F3538" s="1"/>
      <c r="G3538" s="1"/>
      <c r="H3538" s="1"/>
      <c r="I3538" s="7"/>
      <c r="J3538" s="12"/>
      <c r="K3538" s="13"/>
      <c r="L3538" s="14"/>
      <c r="M3538" s="15"/>
      <c r="N3538" s="15"/>
      <c r="O3538" s="16"/>
      <c r="Q3538" s="16"/>
    </row>
    <row r="3539" spans="1:17" x14ac:dyDescent="0.3">
      <c r="A3539" s="5"/>
      <c r="B3539" s="6"/>
      <c r="C3539" s="7"/>
      <c r="D3539" s="10"/>
      <c r="F3539" s="1"/>
      <c r="G3539" s="1"/>
      <c r="H3539" s="1"/>
      <c r="I3539" s="7"/>
      <c r="J3539" s="12"/>
      <c r="K3539" s="13"/>
      <c r="L3539" s="14"/>
      <c r="M3539" s="15"/>
      <c r="N3539" s="15"/>
      <c r="O3539" s="16"/>
      <c r="Q3539" s="16"/>
    </row>
    <row r="3540" spans="1:17" x14ac:dyDescent="0.3">
      <c r="A3540" s="5"/>
      <c r="B3540" s="6"/>
      <c r="C3540" s="7"/>
      <c r="D3540" s="10"/>
      <c r="F3540" s="1"/>
      <c r="G3540" s="1"/>
      <c r="H3540" s="1"/>
      <c r="I3540" s="7"/>
      <c r="J3540" s="12"/>
      <c r="K3540" s="13"/>
      <c r="L3540" s="14"/>
      <c r="M3540" s="15"/>
      <c r="N3540" s="15"/>
      <c r="O3540" s="16"/>
      <c r="Q3540" s="16"/>
    </row>
    <row r="3541" spans="1:17" x14ac:dyDescent="0.3">
      <c r="A3541" s="5"/>
      <c r="B3541" s="6"/>
      <c r="C3541" s="7"/>
      <c r="D3541" s="10"/>
      <c r="F3541" s="1"/>
      <c r="G3541" s="1"/>
      <c r="H3541" s="1"/>
      <c r="I3541" s="7"/>
      <c r="J3541" s="12"/>
      <c r="K3541" s="13"/>
      <c r="L3541" s="14"/>
      <c r="M3541" s="15"/>
      <c r="N3541" s="15"/>
      <c r="O3541" s="16"/>
      <c r="Q3541" s="16"/>
    </row>
    <row r="3542" spans="1:17" x14ac:dyDescent="0.3">
      <c r="A3542" s="5"/>
      <c r="B3542" s="6"/>
      <c r="C3542" s="7"/>
      <c r="D3542" s="10"/>
      <c r="F3542" s="1"/>
      <c r="G3542" s="1"/>
      <c r="H3542" s="1"/>
      <c r="I3542" s="7"/>
      <c r="J3542" s="12"/>
      <c r="K3542" s="13"/>
      <c r="L3542" s="14"/>
      <c r="M3542" s="15"/>
      <c r="N3542" s="15"/>
      <c r="O3542" s="16"/>
      <c r="Q3542" s="16"/>
    </row>
    <row r="3543" spans="1:17" x14ac:dyDescent="0.3">
      <c r="A3543" s="5"/>
      <c r="B3543" s="6"/>
      <c r="C3543" s="7"/>
      <c r="D3543" s="10"/>
      <c r="F3543" s="1"/>
      <c r="G3543" s="1"/>
      <c r="H3543" s="1"/>
      <c r="I3543" s="7"/>
      <c r="J3543" s="12"/>
      <c r="K3543" s="13"/>
      <c r="L3543" s="14"/>
      <c r="M3543" s="15"/>
      <c r="N3543" s="15"/>
      <c r="O3543" s="16"/>
      <c r="Q3543" s="16"/>
    </row>
    <row r="3544" spans="1:17" x14ac:dyDescent="0.3">
      <c r="A3544" s="5"/>
      <c r="B3544" s="6"/>
      <c r="C3544" s="7"/>
      <c r="D3544" s="10"/>
      <c r="F3544" s="1"/>
      <c r="G3544" s="1"/>
      <c r="H3544" s="1"/>
      <c r="I3544" s="7"/>
      <c r="J3544" s="12"/>
      <c r="K3544" s="13"/>
      <c r="L3544" s="14"/>
      <c r="M3544" s="15"/>
      <c r="N3544" s="15"/>
      <c r="O3544" s="16"/>
      <c r="Q3544" s="16"/>
    </row>
    <row r="3545" spans="1:17" x14ac:dyDescent="0.3">
      <c r="A3545" s="5"/>
      <c r="B3545" s="6"/>
      <c r="C3545" s="7"/>
      <c r="D3545" s="10"/>
      <c r="F3545" s="1"/>
      <c r="G3545" s="1"/>
      <c r="H3545" s="1"/>
      <c r="I3545" s="7"/>
      <c r="J3545" s="12"/>
      <c r="K3545" s="13"/>
      <c r="L3545" s="14"/>
      <c r="M3545" s="15"/>
      <c r="N3545" s="15"/>
      <c r="O3545" s="16"/>
      <c r="Q3545" s="16"/>
    </row>
    <row r="3546" spans="1:17" x14ac:dyDescent="0.3">
      <c r="A3546" s="5"/>
      <c r="B3546" s="6"/>
      <c r="C3546" s="7"/>
      <c r="D3546" s="10"/>
      <c r="F3546" s="1"/>
      <c r="G3546" s="1"/>
      <c r="H3546" s="1"/>
      <c r="I3546" s="7"/>
      <c r="J3546" s="12"/>
      <c r="K3546" s="13"/>
      <c r="L3546" s="14"/>
      <c r="M3546" s="15"/>
      <c r="N3546" s="15"/>
      <c r="O3546" s="16"/>
      <c r="Q3546" s="16"/>
    </row>
    <row r="3547" spans="1:17" x14ac:dyDescent="0.3">
      <c r="A3547" s="5"/>
      <c r="B3547" s="6"/>
      <c r="C3547" s="7"/>
      <c r="D3547" s="10"/>
      <c r="F3547" s="1"/>
      <c r="G3547" s="1"/>
      <c r="H3547" s="1"/>
      <c r="I3547" s="7"/>
      <c r="J3547" s="12"/>
      <c r="K3547" s="13"/>
      <c r="L3547" s="14"/>
      <c r="M3547" s="15"/>
      <c r="N3547" s="15"/>
      <c r="O3547" s="16"/>
      <c r="Q3547" s="16"/>
    </row>
    <row r="3548" spans="1:17" x14ac:dyDescent="0.3">
      <c r="A3548" s="5"/>
      <c r="B3548" s="6"/>
      <c r="C3548" s="7"/>
      <c r="D3548" s="10"/>
      <c r="F3548" s="1"/>
      <c r="G3548" s="1"/>
      <c r="H3548" s="1"/>
      <c r="I3548" s="7"/>
      <c r="J3548" s="12"/>
      <c r="K3548" s="13"/>
      <c r="L3548" s="14"/>
      <c r="M3548" s="15"/>
      <c r="N3548" s="15"/>
      <c r="O3548" s="16"/>
      <c r="Q3548" s="16"/>
    </row>
    <row r="3549" spans="1:17" x14ac:dyDescent="0.3">
      <c r="A3549" s="5"/>
      <c r="B3549" s="6"/>
      <c r="C3549" s="7"/>
      <c r="D3549" s="10"/>
      <c r="F3549" s="1"/>
      <c r="G3549" s="1"/>
      <c r="H3549" s="1"/>
      <c r="I3549" s="7"/>
      <c r="J3549" s="12"/>
      <c r="K3549" s="13"/>
      <c r="L3549" s="14"/>
      <c r="M3549" s="15"/>
      <c r="N3549" s="15"/>
      <c r="O3549" s="16"/>
      <c r="Q3549" s="16"/>
    </row>
    <row r="3550" spans="1:17" x14ac:dyDescent="0.3">
      <c r="A3550" s="5"/>
      <c r="B3550" s="6"/>
      <c r="C3550" s="7"/>
      <c r="D3550" s="10"/>
      <c r="F3550" s="1"/>
      <c r="G3550" s="1"/>
      <c r="H3550" s="1"/>
      <c r="I3550" s="7"/>
      <c r="J3550" s="12"/>
      <c r="K3550" s="13"/>
      <c r="L3550" s="14"/>
      <c r="M3550" s="15"/>
      <c r="N3550" s="15"/>
      <c r="O3550" s="16"/>
      <c r="Q3550" s="16"/>
    </row>
    <row r="3551" spans="1:17" x14ac:dyDescent="0.3">
      <c r="A3551" s="5"/>
      <c r="B3551" s="6"/>
      <c r="C3551" s="7"/>
      <c r="D3551" s="10"/>
      <c r="F3551" s="1"/>
      <c r="G3551" s="1"/>
      <c r="H3551" s="1"/>
      <c r="I3551" s="7"/>
      <c r="J3551" s="12"/>
      <c r="K3551" s="13"/>
      <c r="L3551" s="14"/>
      <c r="M3551" s="15"/>
      <c r="N3551" s="15"/>
      <c r="O3551" s="16"/>
      <c r="Q3551" s="16"/>
    </row>
    <row r="3552" spans="1:17" x14ac:dyDescent="0.3">
      <c r="A3552" s="5"/>
      <c r="B3552" s="6"/>
      <c r="C3552" s="7"/>
      <c r="D3552" s="10"/>
      <c r="F3552" s="1"/>
      <c r="G3552" s="1"/>
      <c r="H3552" s="1"/>
      <c r="I3552" s="7"/>
      <c r="J3552" s="12"/>
      <c r="K3552" s="13"/>
      <c r="L3552" s="14"/>
      <c r="M3552" s="15"/>
      <c r="N3552" s="15"/>
      <c r="O3552" s="16"/>
      <c r="Q3552" s="16"/>
    </row>
    <row r="3553" spans="1:17" x14ac:dyDescent="0.3">
      <c r="A3553" s="5"/>
      <c r="B3553" s="6"/>
      <c r="C3553" s="7"/>
      <c r="D3553" s="10"/>
      <c r="F3553" s="1"/>
      <c r="G3553" s="1"/>
      <c r="H3553" s="1"/>
      <c r="I3553" s="7"/>
      <c r="J3553" s="12"/>
      <c r="K3553" s="13"/>
      <c r="L3553" s="14"/>
      <c r="M3553" s="15"/>
      <c r="N3553" s="15"/>
      <c r="O3553" s="16"/>
      <c r="Q3553" s="16"/>
    </row>
    <row r="3554" spans="1:17" x14ac:dyDescent="0.3">
      <c r="A3554" s="5"/>
      <c r="B3554" s="6"/>
      <c r="C3554" s="7"/>
      <c r="D3554" s="10"/>
      <c r="F3554" s="1"/>
      <c r="G3554" s="1"/>
      <c r="H3554" s="1"/>
      <c r="I3554" s="7"/>
      <c r="J3554" s="12"/>
      <c r="K3554" s="13"/>
      <c r="L3554" s="14"/>
      <c r="M3554" s="15"/>
      <c r="N3554" s="15"/>
      <c r="O3554" s="16"/>
      <c r="Q3554" s="16"/>
    </row>
    <row r="3555" spans="1:17" x14ac:dyDescent="0.3">
      <c r="A3555" s="5"/>
      <c r="B3555" s="6"/>
      <c r="C3555" s="7"/>
      <c r="D3555" s="10"/>
      <c r="F3555" s="1"/>
      <c r="G3555" s="1"/>
      <c r="H3555" s="1"/>
      <c r="I3555" s="7"/>
      <c r="J3555" s="12"/>
      <c r="K3555" s="13"/>
      <c r="L3555" s="14"/>
      <c r="M3555" s="15"/>
      <c r="N3555" s="15"/>
      <c r="O3555" s="16"/>
      <c r="Q3555" s="16"/>
    </row>
    <row r="3556" spans="1:17" x14ac:dyDescent="0.3">
      <c r="A3556" s="5"/>
      <c r="B3556" s="6"/>
      <c r="C3556" s="7"/>
      <c r="D3556" s="10"/>
      <c r="F3556" s="1"/>
      <c r="G3556" s="1"/>
      <c r="H3556" s="1"/>
      <c r="I3556" s="7"/>
      <c r="J3556" s="12"/>
      <c r="K3556" s="13"/>
      <c r="L3556" s="14"/>
      <c r="M3556" s="15"/>
      <c r="N3556" s="15"/>
      <c r="O3556" s="16"/>
      <c r="Q3556" s="16"/>
    </row>
    <row r="3557" spans="1:17" x14ac:dyDescent="0.3">
      <c r="A3557" s="5"/>
      <c r="B3557" s="6"/>
      <c r="C3557" s="7"/>
      <c r="D3557" s="10"/>
      <c r="F3557" s="1"/>
      <c r="G3557" s="1"/>
      <c r="H3557" s="1"/>
      <c r="I3557" s="7"/>
      <c r="J3557" s="12"/>
      <c r="K3557" s="13"/>
      <c r="L3557" s="14"/>
      <c r="M3557" s="15"/>
      <c r="N3557" s="15"/>
      <c r="O3557" s="16"/>
      <c r="Q3557" s="16"/>
    </row>
    <row r="3558" spans="1:17" x14ac:dyDescent="0.3">
      <c r="A3558" s="5"/>
      <c r="B3558" s="6"/>
      <c r="C3558" s="7"/>
      <c r="D3558" s="10"/>
      <c r="F3558" s="1"/>
      <c r="G3558" s="1"/>
      <c r="H3558" s="1"/>
      <c r="I3558" s="7"/>
      <c r="J3558" s="12"/>
      <c r="K3558" s="13"/>
      <c r="L3558" s="14"/>
      <c r="M3558" s="15"/>
      <c r="N3558" s="15"/>
      <c r="O3558" s="16"/>
      <c r="Q3558" s="16"/>
    </row>
    <row r="3559" spans="1:17" x14ac:dyDescent="0.3">
      <c r="A3559" s="5"/>
      <c r="B3559" s="6"/>
      <c r="C3559" s="7"/>
      <c r="D3559" s="10"/>
      <c r="F3559" s="1"/>
      <c r="G3559" s="1"/>
      <c r="H3559" s="1"/>
      <c r="I3559" s="7"/>
      <c r="J3559" s="12"/>
      <c r="K3559" s="13"/>
      <c r="L3559" s="14"/>
      <c r="M3559" s="15"/>
      <c r="N3559" s="15"/>
      <c r="O3559" s="16"/>
      <c r="Q3559" s="16"/>
    </row>
    <row r="3560" spans="1:17" x14ac:dyDescent="0.3">
      <c r="A3560" s="5"/>
      <c r="B3560" s="6"/>
      <c r="C3560" s="7"/>
      <c r="D3560" s="10"/>
      <c r="F3560" s="1"/>
      <c r="G3560" s="1"/>
      <c r="H3560" s="1"/>
      <c r="I3560" s="7"/>
      <c r="J3560" s="12"/>
      <c r="K3560" s="13"/>
      <c r="L3560" s="14"/>
      <c r="M3560" s="15"/>
      <c r="N3560" s="15"/>
      <c r="O3560" s="16"/>
      <c r="Q3560" s="16"/>
    </row>
    <row r="3561" spans="1:17" x14ac:dyDescent="0.3">
      <c r="A3561" s="5"/>
      <c r="B3561" s="6"/>
      <c r="C3561" s="7"/>
      <c r="D3561" s="10"/>
      <c r="F3561" s="1"/>
      <c r="G3561" s="1"/>
      <c r="H3561" s="1"/>
      <c r="I3561" s="7"/>
      <c r="J3561" s="12"/>
      <c r="K3561" s="13"/>
      <c r="L3561" s="14"/>
      <c r="M3561" s="15"/>
      <c r="N3561" s="15"/>
      <c r="O3561" s="16"/>
      <c r="Q3561" s="16"/>
    </row>
    <row r="3562" spans="1:17" x14ac:dyDescent="0.3">
      <c r="A3562" s="5"/>
      <c r="B3562" s="6"/>
      <c r="C3562" s="7"/>
      <c r="D3562" s="10"/>
      <c r="F3562" s="1"/>
      <c r="G3562" s="1"/>
      <c r="H3562" s="1"/>
      <c r="I3562" s="7"/>
      <c r="J3562" s="12"/>
      <c r="K3562" s="13"/>
      <c r="L3562" s="14"/>
      <c r="M3562" s="15"/>
      <c r="N3562" s="15"/>
      <c r="O3562" s="16"/>
      <c r="Q3562" s="16"/>
    </row>
    <row r="3563" spans="1:17" x14ac:dyDescent="0.3">
      <c r="A3563" s="5"/>
      <c r="B3563" s="6"/>
      <c r="C3563" s="7"/>
      <c r="D3563" s="10"/>
      <c r="F3563" s="1"/>
      <c r="G3563" s="1"/>
      <c r="H3563" s="1"/>
      <c r="I3563" s="7"/>
      <c r="J3563" s="12"/>
      <c r="K3563" s="13"/>
      <c r="L3563" s="14"/>
      <c r="M3563" s="15"/>
      <c r="N3563" s="15"/>
      <c r="O3563" s="16"/>
      <c r="Q3563" s="16"/>
    </row>
    <row r="3564" spans="1:17" x14ac:dyDescent="0.3">
      <c r="A3564" s="5"/>
      <c r="B3564" s="6"/>
      <c r="C3564" s="7"/>
      <c r="D3564" s="10"/>
      <c r="F3564" s="1"/>
      <c r="G3564" s="1"/>
      <c r="H3564" s="1"/>
      <c r="I3564" s="7"/>
      <c r="J3564" s="12"/>
      <c r="K3564" s="13"/>
      <c r="L3564" s="14"/>
      <c r="M3564" s="15"/>
      <c r="N3564" s="15"/>
      <c r="O3564" s="16"/>
      <c r="Q3564" s="16"/>
    </row>
    <row r="3565" spans="1:17" x14ac:dyDescent="0.3">
      <c r="A3565" s="5"/>
      <c r="B3565" s="6"/>
      <c r="C3565" s="7"/>
      <c r="D3565" s="10"/>
      <c r="F3565" s="1"/>
      <c r="G3565" s="1"/>
      <c r="H3565" s="1"/>
      <c r="I3565" s="7"/>
      <c r="J3565" s="12"/>
      <c r="K3565" s="13"/>
      <c r="L3565" s="14"/>
      <c r="M3565" s="15"/>
      <c r="N3565" s="15"/>
      <c r="O3565" s="16"/>
      <c r="Q3565" s="16"/>
    </row>
    <row r="3566" spans="1:17" x14ac:dyDescent="0.3">
      <c r="A3566" s="5"/>
      <c r="B3566" s="6"/>
      <c r="C3566" s="7"/>
      <c r="D3566" s="10"/>
      <c r="F3566" s="1"/>
      <c r="G3566" s="1"/>
      <c r="H3566" s="1"/>
      <c r="I3566" s="7"/>
      <c r="J3566" s="12"/>
      <c r="K3566" s="13"/>
      <c r="L3566" s="14"/>
      <c r="M3566" s="15"/>
      <c r="N3566" s="15"/>
      <c r="O3566" s="16"/>
      <c r="Q3566" s="16"/>
    </row>
    <row r="3567" spans="1:17" x14ac:dyDescent="0.3">
      <c r="A3567" s="5"/>
      <c r="B3567" s="6"/>
      <c r="C3567" s="7"/>
      <c r="D3567" s="10"/>
      <c r="F3567" s="1"/>
      <c r="G3567" s="1"/>
      <c r="H3567" s="1"/>
      <c r="I3567" s="7"/>
      <c r="J3567" s="12"/>
      <c r="K3567" s="13"/>
      <c r="L3567" s="14"/>
      <c r="M3567" s="15"/>
      <c r="N3567" s="15"/>
      <c r="O3567" s="16"/>
      <c r="Q3567" s="16"/>
    </row>
    <row r="3568" spans="1:17" x14ac:dyDescent="0.3">
      <c r="A3568" s="5"/>
      <c r="B3568" s="6"/>
      <c r="C3568" s="7"/>
      <c r="D3568" s="10"/>
      <c r="F3568" s="1"/>
      <c r="G3568" s="1"/>
      <c r="H3568" s="1"/>
      <c r="I3568" s="7"/>
      <c r="J3568" s="12"/>
      <c r="K3568" s="13"/>
      <c r="L3568" s="14"/>
      <c r="M3568" s="15"/>
      <c r="N3568" s="15"/>
      <c r="O3568" s="16"/>
      <c r="Q3568" s="16"/>
    </row>
    <row r="3569" spans="1:17" x14ac:dyDescent="0.3">
      <c r="A3569" s="5"/>
      <c r="B3569" s="6"/>
      <c r="C3569" s="7"/>
      <c r="D3569" s="10"/>
      <c r="F3569" s="1"/>
      <c r="G3569" s="1"/>
      <c r="H3569" s="1"/>
      <c r="I3569" s="7"/>
      <c r="J3569" s="12"/>
      <c r="K3569" s="13"/>
      <c r="L3569" s="14"/>
      <c r="M3569" s="15"/>
      <c r="N3569" s="15"/>
      <c r="O3569" s="16"/>
      <c r="Q3569" s="16"/>
    </row>
    <row r="3570" spans="1:17" x14ac:dyDescent="0.3">
      <c r="A3570" s="5"/>
      <c r="B3570" s="6"/>
      <c r="C3570" s="7"/>
      <c r="D3570" s="10"/>
      <c r="F3570" s="1"/>
      <c r="G3570" s="1"/>
      <c r="H3570" s="1"/>
      <c r="I3570" s="7"/>
      <c r="J3570" s="12"/>
      <c r="K3570" s="13"/>
      <c r="L3570" s="14"/>
      <c r="M3570" s="15"/>
      <c r="N3570" s="15"/>
      <c r="O3570" s="16"/>
      <c r="Q3570" s="16"/>
    </row>
    <row r="3571" spans="1:17" x14ac:dyDescent="0.3">
      <c r="A3571" s="5"/>
      <c r="B3571" s="6"/>
      <c r="C3571" s="7"/>
      <c r="D3571" s="10"/>
      <c r="F3571" s="1"/>
      <c r="G3571" s="1"/>
      <c r="H3571" s="1"/>
      <c r="I3571" s="7"/>
      <c r="J3571" s="12"/>
      <c r="K3571" s="13"/>
      <c r="L3571" s="14"/>
      <c r="M3571" s="15"/>
      <c r="N3571" s="15"/>
      <c r="O3571" s="16"/>
      <c r="Q3571" s="16"/>
    </row>
    <row r="3572" spans="1:17" x14ac:dyDescent="0.3">
      <c r="A3572" s="5"/>
      <c r="B3572" s="6"/>
      <c r="C3572" s="7"/>
      <c r="D3572" s="10"/>
      <c r="F3572" s="1"/>
      <c r="G3572" s="1"/>
      <c r="H3572" s="1"/>
      <c r="I3572" s="7"/>
      <c r="J3572" s="12"/>
      <c r="K3572" s="13"/>
      <c r="L3572" s="14"/>
      <c r="M3572" s="15"/>
      <c r="N3572" s="15"/>
      <c r="O3572" s="16"/>
      <c r="Q3572" s="16"/>
    </row>
    <row r="3573" spans="1:17" x14ac:dyDescent="0.3">
      <c r="A3573" s="5"/>
      <c r="B3573" s="6"/>
      <c r="C3573" s="7"/>
      <c r="D3573" s="10"/>
      <c r="F3573" s="1"/>
      <c r="G3573" s="1"/>
      <c r="H3573" s="1"/>
      <c r="I3573" s="7"/>
      <c r="J3573" s="12"/>
      <c r="K3573" s="13"/>
      <c r="L3573" s="14"/>
      <c r="M3573" s="15"/>
      <c r="N3573" s="15"/>
      <c r="O3573" s="16"/>
      <c r="Q3573" s="16"/>
    </row>
    <row r="3574" spans="1:17" x14ac:dyDescent="0.3">
      <c r="A3574" s="5"/>
      <c r="B3574" s="6"/>
      <c r="C3574" s="7"/>
      <c r="D3574" s="10"/>
      <c r="F3574" s="1"/>
      <c r="G3574" s="1"/>
      <c r="H3574" s="1"/>
      <c r="I3574" s="7"/>
      <c r="J3574" s="12"/>
      <c r="K3574" s="13"/>
      <c r="L3574" s="14"/>
      <c r="M3574" s="15"/>
      <c r="N3574" s="15"/>
      <c r="O3574" s="16"/>
      <c r="Q3574" s="16"/>
    </row>
    <row r="3575" spans="1:17" x14ac:dyDescent="0.3">
      <c r="A3575" s="5"/>
      <c r="B3575" s="6"/>
      <c r="C3575" s="7"/>
      <c r="D3575" s="10"/>
      <c r="F3575" s="1"/>
      <c r="G3575" s="1"/>
      <c r="H3575" s="1"/>
      <c r="I3575" s="7"/>
      <c r="J3575" s="12"/>
      <c r="K3575" s="13"/>
      <c r="L3575" s="14"/>
      <c r="M3575" s="15"/>
      <c r="N3575" s="15"/>
      <c r="O3575" s="16"/>
      <c r="Q3575" s="16"/>
    </row>
    <row r="3576" spans="1:17" x14ac:dyDescent="0.3">
      <c r="A3576" s="5"/>
      <c r="B3576" s="6"/>
      <c r="C3576" s="7"/>
      <c r="D3576" s="10"/>
      <c r="F3576" s="1"/>
      <c r="G3576" s="1"/>
      <c r="H3576" s="1"/>
      <c r="I3576" s="7"/>
      <c r="J3576" s="12"/>
      <c r="K3576" s="13"/>
      <c r="L3576" s="14"/>
      <c r="M3576" s="15"/>
      <c r="N3576" s="15"/>
      <c r="O3576" s="16"/>
      <c r="Q3576" s="16"/>
    </row>
    <row r="3577" spans="1:17" x14ac:dyDescent="0.3">
      <c r="A3577" s="5"/>
      <c r="B3577" s="6"/>
      <c r="C3577" s="7"/>
      <c r="D3577" s="10"/>
      <c r="F3577" s="1"/>
      <c r="G3577" s="1"/>
      <c r="H3577" s="1"/>
      <c r="I3577" s="7"/>
      <c r="J3577" s="12"/>
      <c r="K3577" s="13"/>
      <c r="L3577" s="14"/>
      <c r="M3577" s="15"/>
      <c r="N3577" s="15"/>
      <c r="O3577" s="16"/>
      <c r="Q3577" s="16"/>
    </row>
    <row r="3578" spans="1:17" x14ac:dyDescent="0.3">
      <c r="A3578" s="5"/>
      <c r="B3578" s="6"/>
      <c r="C3578" s="7"/>
      <c r="D3578" s="10"/>
      <c r="F3578" s="1"/>
      <c r="G3578" s="1"/>
      <c r="H3578" s="1"/>
      <c r="I3578" s="7"/>
      <c r="J3578" s="12"/>
      <c r="K3578" s="13"/>
      <c r="L3578" s="14"/>
      <c r="M3578" s="15"/>
      <c r="N3578" s="15"/>
      <c r="O3578" s="16"/>
      <c r="Q3578" s="16"/>
    </row>
    <row r="3579" spans="1:17" x14ac:dyDescent="0.3">
      <c r="A3579" s="5"/>
      <c r="B3579" s="6"/>
      <c r="C3579" s="7"/>
      <c r="D3579" s="10"/>
      <c r="F3579" s="1"/>
      <c r="G3579" s="1"/>
      <c r="H3579" s="1"/>
      <c r="I3579" s="7"/>
      <c r="J3579" s="12"/>
      <c r="K3579" s="13"/>
      <c r="L3579" s="14"/>
      <c r="M3579" s="15"/>
      <c r="N3579" s="15"/>
      <c r="O3579" s="16"/>
      <c r="Q3579" s="16"/>
    </row>
    <row r="3580" spans="1:17" x14ac:dyDescent="0.3">
      <c r="A3580" s="5"/>
      <c r="B3580" s="6"/>
      <c r="C3580" s="7"/>
      <c r="D3580" s="10"/>
      <c r="F3580" s="1"/>
      <c r="G3580" s="1"/>
      <c r="H3580" s="1"/>
      <c r="I3580" s="7"/>
      <c r="J3580" s="12"/>
      <c r="K3580" s="13"/>
      <c r="L3580" s="14"/>
      <c r="M3580" s="15"/>
      <c r="N3580" s="15"/>
      <c r="O3580" s="16"/>
      <c r="Q3580" s="16"/>
    </row>
    <row r="3581" spans="1:17" x14ac:dyDescent="0.3">
      <c r="A3581" s="5"/>
      <c r="B3581" s="6"/>
      <c r="C3581" s="7"/>
      <c r="D3581" s="10"/>
      <c r="F3581" s="1"/>
      <c r="G3581" s="1"/>
      <c r="H3581" s="1"/>
      <c r="I3581" s="7"/>
      <c r="J3581" s="12"/>
      <c r="K3581" s="13"/>
      <c r="L3581" s="14"/>
      <c r="M3581" s="15"/>
      <c r="N3581" s="15"/>
      <c r="O3581" s="16"/>
      <c r="Q3581" s="16"/>
    </row>
    <row r="3582" spans="1:17" x14ac:dyDescent="0.3">
      <c r="A3582" s="5"/>
      <c r="B3582" s="6"/>
      <c r="C3582" s="7"/>
      <c r="D3582" s="10"/>
      <c r="F3582" s="1"/>
      <c r="G3582" s="1"/>
      <c r="H3582" s="1"/>
      <c r="I3582" s="7"/>
      <c r="J3582" s="12"/>
      <c r="K3582" s="13"/>
      <c r="L3582" s="14"/>
      <c r="M3582" s="15"/>
      <c r="N3582" s="15"/>
      <c r="O3582" s="16"/>
      <c r="Q3582" s="16"/>
    </row>
    <row r="3583" spans="1:17" x14ac:dyDescent="0.3">
      <c r="A3583" s="5"/>
      <c r="B3583" s="6"/>
      <c r="C3583" s="7"/>
      <c r="D3583" s="10"/>
      <c r="F3583" s="1"/>
      <c r="G3583" s="1"/>
      <c r="H3583" s="1"/>
      <c r="I3583" s="7"/>
      <c r="J3583" s="12"/>
      <c r="K3583" s="13"/>
      <c r="L3583" s="14"/>
      <c r="M3583" s="15"/>
      <c r="N3583" s="15"/>
      <c r="O3583" s="16"/>
      <c r="Q3583" s="16"/>
    </row>
    <row r="3584" spans="1:17" x14ac:dyDescent="0.3">
      <c r="A3584" s="5"/>
      <c r="B3584" s="6"/>
      <c r="C3584" s="7"/>
      <c r="D3584" s="10"/>
      <c r="F3584" s="1"/>
      <c r="G3584" s="1"/>
      <c r="H3584" s="1"/>
      <c r="I3584" s="7"/>
      <c r="J3584" s="12"/>
      <c r="K3584" s="13"/>
      <c r="L3584" s="14"/>
      <c r="M3584" s="15"/>
      <c r="N3584" s="15"/>
      <c r="O3584" s="16"/>
      <c r="Q3584" s="16"/>
    </row>
    <row r="3585" spans="1:17" x14ac:dyDescent="0.3">
      <c r="A3585" s="5"/>
      <c r="B3585" s="6"/>
      <c r="C3585" s="7"/>
      <c r="D3585" s="10"/>
      <c r="F3585" s="1"/>
      <c r="G3585" s="1"/>
      <c r="H3585" s="1"/>
      <c r="I3585" s="7"/>
      <c r="J3585" s="12"/>
      <c r="K3585" s="13"/>
      <c r="L3585" s="14"/>
      <c r="M3585" s="15"/>
      <c r="N3585" s="15"/>
      <c r="O3585" s="16"/>
      <c r="Q3585" s="16"/>
    </row>
    <row r="3586" spans="1:17" x14ac:dyDescent="0.3">
      <c r="A3586" s="5"/>
      <c r="B3586" s="6"/>
      <c r="C3586" s="7"/>
      <c r="D3586" s="10"/>
      <c r="F3586" s="1"/>
      <c r="G3586" s="1"/>
      <c r="H3586" s="1"/>
      <c r="I3586" s="7"/>
      <c r="J3586" s="12"/>
      <c r="K3586" s="13"/>
      <c r="L3586" s="14"/>
      <c r="M3586" s="15"/>
      <c r="N3586" s="15"/>
      <c r="O3586" s="16"/>
      <c r="Q3586" s="16"/>
    </row>
    <row r="3587" spans="1:17" x14ac:dyDescent="0.3">
      <c r="A3587" s="5"/>
      <c r="B3587" s="6"/>
      <c r="C3587" s="7"/>
      <c r="D3587" s="10"/>
      <c r="F3587" s="1"/>
      <c r="G3587" s="1"/>
      <c r="H3587" s="1"/>
      <c r="I3587" s="7"/>
      <c r="J3587" s="12"/>
      <c r="K3587" s="13"/>
      <c r="L3587" s="14"/>
      <c r="M3587" s="15"/>
      <c r="N3587" s="15"/>
      <c r="O3587" s="16"/>
      <c r="Q3587" s="16"/>
    </row>
    <row r="3588" spans="1:17" x14ac:dyDescent="0.3">
      <c r="A3588" s="5"/>
      <c r="B3588" s="6"/>
      <c r="C3588" s="7"/>
      <c r="D3588" s="10"/>
      <c r="F3588" s="1"/>
      <c r="G3588" s="1"/>
      <c r="H3588" s="1"/>
      <c r="I3588" s="7"/>
      <c r="J3588" s="12"/>
      <c r="K3588" s="13"/>
      <c r="L3588" s="14"/>
      <c r="M3588" s="15"/>
      <c r="N3588" s="15"/>
      <c r="O3588" s="16"/>
      <c r="Q3588" s="16"/>
    </row>
    <row r="3589" spans="1:17" x14ac:dyDescent="0.3">
      <c r="A3589" s="5"/>
      <c r="B3589" s="6"/>
      <c r="C3589" s="7"/>
      <c r="D3589" s="10"/>
      <c r="F3589" s="1"/>
      <c r="G3589" s="1"/>
      <c r="H3589" s="1"/>
      <c r="I3589" s="7"/>
      <c r="J3589" s="12"/>
      <c r="K3589" s="13"/>
      <c r="L3589" s="14"/>
      <c r="M3589" s="15"/>
      <c r="N3589" s="15"/>
      <c r="O3589" s="16"/>
      <c r="Q3589" s="16"/>
    </row>
    <row r="3590" spans="1:17" x14ac:dyDescent="0.3">
      <c r="A3590" s="5"/>
      <c r="B3590" s="6"/>
      <c r="C3590" s="7"/>
      <c r="D3590" s="10"/>
      <c r="F3590" s="1"/>
      <c r="G3590" s="1"/>
      <c r="H3590" s="1"/>
      <c r="I3590" s="7"/>
      <c r="J3590" s="12"/>
      <c r="K3590" s="13"/>
      <c r="L3590" s="14"/>
      <c r="M3590" s="15"/>
      <c r="N3590" s="15"/>
      <c r="O3590" s="16"/>
      <c r="Q3590" s="16"/>
    </row>
    <row r="3591" spans="1:17" x14ac:dyDescent="0.3">
      <c r="A3591" s="5"/>
      <c r="B3591" s="6"/>
      <c r="C3591" s="7"/>
      <c r="D3591" s="10"/>
      <c r="F3591" s="1"/>
      <c r="G3591" s="1"/>
      <c r="H3591" s="1"/>
      <c r="I3591" s="7"/>
      <c r="J3591" s="12"/>
      <c r="K3591" s="13"/>
      <c r="L3591" s="14"/>
      <c r="M3591" s="15"/>
      <c r="N3591" s="15"/>
      <c r="O3591" s="16"/>
      <c r="Q3591" s="16"/>
    </row>
    <row r="3592" spans="1:17" x14ac:dyDescent="0.3">
      <c r="A3592" s="5"/>
      <c r="B3592" s="6"/>
      <c r="C3592" s="7"/>
      <c r="D3592" s="10"/>
      <c r="F3592" s="1"/>
      <c r="G3592" s="1"/>
      <c r="H3592" s="1"/>
      <c r="I3592" s="7"/>
      <c r="J3592" s="12"/>
      <c r="K3592" s="13"/>
      <c r="L3592" s="14"/>
      <c r="M3592" s="15"/>
      <c r="N3592" s="15"/>
      <c r="O3592" s="16"/>
      <c r="Q3592" s="16"/>
    </row>
    <row r="3593" spans="1:17" x14ac:dyDescent="0.3">
      <c r="A3593" s="5"/>
      <c r="B3593" s="6"/>
      <c r="C3593" s="7"/>
      <c r="D3593" s="10"/>
      <c r="F3593" s="1"/>
      <c r="G3593" s="1"/>
      <c r="H3593" s="1"/>
      <c r="I3593" s="7"/>
      <c r="J3593" s="12"/>
      <c r="K3593" s="13"/>
      <c r="L3593" s="14"/>
      <c r="M3593" s="15"/>
      <c r="N3593" s="15"/>
      <c r="O3593" s="16"/>
      <c r="Q3593" s="16"/>
    </row>
    <row r="3594" spans="1:17" x14ac:dyDescent="0.3">
      <c r="A3594" s="5"/>
      <c r="B3594" s="6"/>
      <c r="C3594" s="7"/>
      <c r="D3594" s="10"/>
      <c r="F3594" s="1"/>
      <c r="G3594" s="1"/>
      <c r="H3594" s="1"/>
      <c r="I3594" s="7"/>
      <c r="J3594" s="12"/>
      <c r="K3594" s="13"/>
      <c r="L3594" s="14"/>
      <c r="M3594" s="15"/>
      <c r="N3594" s="15"/>
      <c r="O3594" s="16"/>
      <c r="Q3594" s="16"/>
    </row>
    <row r="3595" spans="1:17" x14ac:dyDescent="0.3">
      <c r="A3595" s="5"/>
      <c r="B3595" s="6"/>
      <c r="C3595" s="7"/>
      <c r="D3595" s="10"/>
      <c r="F3595" s="1"/>
      <c r="G3595" s="1"/>
      <c r="H3595" s="1"/>
      <c r="I3595" s="7"/>
      <c r="J3595" s="12"/>
      <c r="K3595" s="13"/>
      <c r="L3595" s="14"/>
      <c r="M3595" s="15"/>
      <c r="N3595" s="15"/>
      <c r="O3595" s="16"/>
      <c r="Q3595" s="16"/>
    </row>
    <row r="3596" spans="1:17" x14ac:dyDescent="0.3">
      <c r="A3596" s="5"/>
      <c r="B3596" s="6"/>
      <c r="C3596" s="7"/>
      <c r="D3596" s="10"/>
      <c r="F3596" s="1"/>
      <c r="G3596" s="1"/>
      <c r="H3596" s="1"/>
      <c r="I3596" s="7"/>
      <c r="J3596" s="12"/>
      <c r="K3596" s="13"/>
      <c r="L3596" s="14"/>
      <c r="M3596" s="15"/>
      <c r="N3596" s="15"/>
      <c r="O3596" s="16"/>
      <c r="Q3596" s="16"/>
    </row>
    <row r="3597" spans="1:17" x14ac:dyDescent="0.3">
      <c r="A3597" s="5"/>
      <c r="B3597" s="6"/>
      <c r="C3597" s="7"/>
      <c r="D3597" s="10"/>
      <c r="F3597" s="1"/>
      <c r="G3597" s="1"/>
      <c r="H3597" s="1"/>
      <c r="I3597" s="7"/>
      <c r="J3597" s="12"/>
      <c r="K3597" s="13"/>
      <c r="L3597" s="14"/>
      <c r="M3597" s="15"/>
      <c r="N3597" s="15"/>
      <c r="O3597" s="16"/>
      <c r="Q3597" s="16"/>
    </row>
    <row r="3598" spans="1:17" x14ac:dyDescent="0.3">
      <c r="A3598" s="5"/>
      <c r="B3598" s="6"/>
      <c r="C3598" s="7"/>
      <c r="D3598" s="10"/>
      <c r="F3598" s="1"/>
      <c r="G3598" s="1"/>
      <c r="H3598" s="1"/>
      <c r="I3598" s="7"/>
      <c r="J3598" s="12"/>
      <c r="K3598" s="13"/>
      <c r="L3598" s="14"/>
      <c r="M3598" s="15"/>
      <c r="N3598" s="15"/>
      <c r="O3598" s="16"/>
      <c r="Q3598" s="16"/>
    </row>
    <row r="3599" spans="1:17" x14ac:dyDescent="0.3">
      <c r="A3599" s="5"/>
      <c r="B3599" s="6"/>
      <c r="C3599" s="7"/>
      <c r="D3599" s="10"/>
      <c r="F3599" s="1"/>
      <c r="G3599" s="1"/>
      <c r="H3599" s="1"/>
      <c r="I3599" s="7"/>
      <c r="J3599" s="12"/>
      <c r="K3599" s="13"/>
      <c r="L3599" s="14"/>
      <c r="M3599" s="15"/>
      <c r="N3599" s="15"/>
      <c r="O3599" s="16"/>
      <c r="Q3599" s="16"/>
    </row>
    <row r="3600" spans="1:17" x14ac:dyDescent="0.3">
      <c r="A3600" s="5"/>
      <c r="B3600" s="6"/>
      <c r="C3600" s="7"/>
      <c r="D3600" s="10"/>
      <c r="F3600" s="1"/>
      <c r="G3600" s="1"/>
      <c r="H3600" s="1"/>
      <c r="I3600" s="7"/>
      <c r="J3600" s="12"/>
      <c r="K3600" s="13"/>
      <c r="L3600" s="14"/>
      <c r="M3600" s="15"/>
      <c r="N3600" s="15"/>
      <c r="O3600" s="16"/>
      <c r="Q3600" s="16"/>
    </row>
    <row r="3601" spans="1:17" x14ac:dyDescent="0.3">
      <c r="A3601" s="5"/>
      <c r="B3601" s="6"/>
      <c r="C3601" s="7"/>
      <c r="D3601" s="10"/>
      <c r="F3601" s="1"/>
      <c r="G3601" s="1"/>
      <c r="H3601" s="1"/>
      <c r="I3601" s="7"/>
      <c r="J3601" s="12"/>
      <c r="K3601" s="13"/>
      <c r="L3601" s="14"/>
      <c r="M3601" s="15"/>
      <c r="N3601" s="15"/>
      <c r="O3601" s="16"/>
      <c r="Q3601" s="16"/>
    </row>
    <row r="3602" spans="1:17" x14ac:dyDescent="0.3">
      <c r="A3602" s="5"/>
      <c r="B3602" s="6"/>
      <c r="C3602" s="7"/>
      <c r="D3602" s="10"/>
      <c r="F3602" s="1"/>
      <c r="G3602" s="1"/>
      <c r="H3602" s="1"/>
      <c r="I3602" s="7"/>
      <c r="J3602" s="12"/>
      <c r="K3602" s="13"/>
      <c r="L3602" s="14"/>
      <c r="M3602" s="15"/>
      <c r="N3602" s="15"/>
      <c r="O3602" s="16"/>
      <c r="Q3602" s="16"/>
    </row>
    <row r="3603" spans="1:17" x14ac:dyDescent="0.3">
      <c r="A3603" s="5"/>
      <c r="B3603" s="6"/>
      <c r="C3603" s="7"/>
      <c r="D3603" s="10"/>
      <c r="F3603" s="1"/>
      <c r="G3603" s="1"/>
      <c r="H3603" s="1"/>
      <c r="I3603" s="7"/>
      <c r="J3603" s="12"/>
      <c r="K3603" s="13"/>
      <c r="L3603" s="14"/>
      <c r="M3603" s="15"/>
      <c r="N3603" s="15"/>
      <c r="O3603" s="16"/>
      <c r="Q3603" s="16"/>
    </row>
    <row r="3604" spans="1:17" x14ac:dyDescent="0.3">
      <c r="A3604" s="5"/>
      <c r="B3604" s="6"/>
      <c r="C3604" s="7"/>
      <c r="D3604" s="10"/>
      <c r="F3604" s="1"/>
      <c r="G3604" s="1"/>
      <c r="H3604" s="1"/>
      <c r="I3604" s="7"/>
      <c r="J3604" s="12"/>
      <c r="K3604" s="13"/>
      <c r="L3604" s="14"/>
      <c r="M3604" s="15"/>
      <c r="N3604" s="15"/>
      <c r="O3604" s="16"/>
      <c r="Q3604" s="16"/>
    </row>
    <row r="3605" spans="1:17" x14ac:dyDescent="0.3">
      <c r="A3605" s="5"/>
      <c r="B3605" s="6"/>
      <c r="C3605" s="7"/>
      <c r="D3605" s="10"/>
      <c r="F3605" s="1"/>
      <c r="G3605" s="1"/>
      <c r="H3605" s="1"/>
      <c r="I3605" s="7"/>
      <c r="J3605" s="12"/>
      <c r="K3605" s="13"/>
      <c r="L3605" s="14"/>
      <c r="M3605" s="15"/>
      <c r="N3605" s="15"/>
      <c r="O3605" s="16"/>
      <c r="Q3605" s="16"/>
    </row>
    <row r="3606" spans="1:17" x14ac:dyDescent="0.3">
      <c r="A3606" s="5"/>
      <c r="B3606" s="6"/>
      <c r="C3606" s="7"/>
      <c r="D3606" s="10"/>
      <c r="F3606" s="1"/>
      <c r="G3606" s="1"/>
      <c r="H3606" s="1"/>
      <c r="I3606" s="7"/>
      <c r="J3606" s="12"/>
      <c r="K3606" s="13"/>
      <c r="L3606" s="14"/>
      <c r="M3606" s="15"/>
      <c r="N3606" s="15"/>
      <c r="O3606" s="16"/>
      <c r="Q3606" s="16"/>
    </row>
    <row r="3607" spans="1:17" x14ac:dyDescent="0.3">
      <c r="A3607" s="5"/>
      <c r="B3607" s="6"/>
      <c r="C3607" s="7"/>
      <c r="D3607" s="10"/>
      <c r="F3607" s="1"/>
      <c r="G3607" s="1"/>
      <c r="H3607" s="1"/>
      <c r="I3607" s="7"/>
      <c r="J3607" s="12"/>
      <c r="K3607" s="13"/>
      <c r="L3607" s="14"/>
      <c r="M3607" s="15"/>
      <c r="N3607" s="15"/>
      <c r="O3607" s="16"/>
      <c r="Q3607" s="16"/>
    </row>
    <row r="3608" spans="1:17" x14ac:dyDescent="0.3">
      <c r="A3608" s="5"/>
      <c r="B3608" s="6"/>
      <c r="C3608" s="7"/>
      <c r="D3608" s="10"/>
      <c r="F3608" s="1"/>
      <c r="G3608" s="1"/>
      <c r="H3608" s="1"/>
      <c r="I3608" s="7"/>
      <c r="J3608" s="12"/>
      <c r="K3608" s="13"/>
      <c r="L3608" s="14"/>
      <c r="M3608" s="15"/>
      <c r="N3608" s="15"/>
      <c r="O3608" s="16"/>
      <c r="Q3608" s="16"/>
    </row>
    <row r="3609" spans="1:17" x14ac:dyDescent="0.3">
      <c r="A3609" s="5"/>
      <c r="B3609" s="6"/>
      <c r="C3609" s="7"/>
      <c r="D3609" s="10"/>
      <c r="F3609" s="1"/>
      <c r="G3609" s="1"/>
      <c r="H3609" s="1"/>
      <c r="I3609" s="7"/>
      <c r="J3609" s="12"/>
      <c r="K3609" s="13"/>
      <c r="L3609" s="14"/>
      <c r="M3609" s="15"/>
      <c r="N3609" s="15"/>
      <c r="O3609" s="16"/>
      <c r="Q3609" s="16"/>
    </row>
    <row r="3610" spans="1:17" x14ac:dyDescent="0.3">
      <c r="A3610" s="5"/>
      <c r="B3610" s="6"/>
      <c r="C3610" s="7"/>
      <c r="D3610" s="10"/>
      <c r="F3610" s="1"/>
      <c r="G3610" s="1"/>
      <c r="H3610" s="1"/>
      <c r="I3610" s="7"/>
      <c r="J3610" s="12"/>
      <c r="K3610" s="13"/>
      <c r="L3610" s="14"/>
      <c r="M3610" s="15"/>
      <c r="N3610" s="15"/>
      <c r="O3610" s="16"/>
      <c r="Q3610" s="16"/>
    </row>
    <row r="3611" spans="1:17" x14ac:dyDescent="0.3">
      <c r="A3611" s="5"/>
      <c r="B3611" s="6"/>
      <c r="C3611" s="7"/>
      <c r="D3611" s="10"/>
      <c r="F3611" s="1"/>
      <c r="G3611" s="1"/>
      <c r="H3611" s="1"/>
      <c r="I3611" s="7"/>
      <c r="J3611" s="12"/>
      <c r="K3611" s="13"/>
      <c r="L3611" s="14"/>
      <c r="M3611" s="15"/>
      <c r="N3611" s="15"/>
      <c r="O3611" s="16"/>
      <c r="Q3611" s="16"/>
    </row>
    <row r="3612" spans="1:17" x14ac:dyDescent="0.3">
      <c r="A3612" s="5"/>
      <c r="B3612" s="6"/>
      <c r="C3612" s="7"/>
      <c r="D3612" s="10"/>
      <c r="F3612" s="1"/>
      <c r="G3612" s="1"/>
      <c r="H3612" s="1"/>
      <c r="I3612" s="7"/>
      <c r="J3612" s="12"/>
      <c r="K3612" s="13"/>
      <c r="L3612" s="14"/>
      <c r="M3612" s="15"/>
      <c r="N3612" s="15"/>
      <c r="O3612" s="16"/>
      <c r="Q3612" s="16"/>
    </row>
    <row r="3613" spans="1:17" x14ac:dyDescent="0.3">
      <c r="A3613" s="5"/>
      <c r="B3613" s="6"/>
      <c r="C3613" s="7"/>
      <c r="D3613" s="10"/>
      <c r="F3613" s="1"/>
      <c r="G3613" s="1"/>
      <c r="H3613" s="1"/>
      <c r="I3613" s="7"/>
      <c r="J3613" s="12"/>
      <c r="K3613" s="13"/>
      <c r="L3613" s="14"/>
      <c r="M3613" s="15"/>
      <c r="N3613" s="15"/>
      <c r="O3613" s="16"/>
      <c r="Q3613" s="16"/>
    </row>
    <row r="3614" spans="1:17" x14ac:dyDescent="0.3">
      <c r="A3614" s="5"/>
      <c r="B3614" s="6"/>
      <c r="C3614" s="7"/>
      <c r="D3614" s="10"/>
      <c r="F3614" s="1"/>
      <c r="G3614" s="1"/>
      <c r="H3614" s="1"/>
      <c r="I3614" s="7"/>
      <c r="J3614" s="12"/>
      <c r="K3614" s="13"/>
      <c r="L3614" s="14"/>
      <c r="M3614" s="15"/>
      <c r="N3614" s="15"/>
      <c r="O3614" s="16"/>
      <c r="Q3614" s="16"/>
    </row>
    <row r="3615" spans="1:17" x14ac:dyDescent="0.3">
      <c r="A3615" s="5"/>
      <c r="B3615" s="6"/>
      <c r="C3615" s="7"/>
      <c r="D3615" s="10"/>
      <c r="F3615" s="1"/>
      <c r="G3615" s="1"/>
      <c r="H3615" s="1"/>
      <c r="I3615" s="7"/>
      <c r="J3615" s="12"/>
      <c r="K3615" s="13"/>
      <c r="L3615" s="14"/>
      <c r="M3615" s="15"/>
      <c r="N3615" s="15"/>
      <c r="O3615" s="16"/>
      <c r="Q3615" s="16"/>
    </row>
    <row r="3616" spans="1:17" x14ac:dyDescent="0.3">
      <c r="A3616" s="5"/>
      <c r="B3616" s="6"/>
      <c r="C3616" s="7"/>
      <c r="D3616" s="10"/>
      <c r="F3616" s="1"/>
      <c r="G3616" s="1"/>
      <c r="H3616" s="1"/>
      <c r="I3616" s="7"/>
      <c r="J3616" s="12"/>
      <c r="K3616" s="13"/>
      <c r="L3616" s="14"/>
      <c r="M3616" s="15"/>
      <c r="N3616" s="15"/>
      <c r="O3616" s="16"/>
      <c r="Q3616" s="16"/>
    </row>
    <row r="3617" spans="1:17" x14ac:dyDescent="0.3">
      <c r="A3617" s="5"/>
      <c r="B3617" s="6"/>
      <c r="C3617" s="7"/>
      <c r="D3617" s="10"/>
      <c r="F3617" s="1"/>
      <c r="G3617" s="1"/>
      <c r="H3617" s="1"/>
      <c r="I3617" s="7"/>
      <c r="J3617" s="12"/>
      <c r="K3617" s="13"/>
      <c r="L3617" s="14"/>
      <c r="M3617" s="15"/>
      <c r="N3617" s="15"/>
      <c r="O3617" s="16"/>
      <c r="Q3617" s="16"/>
    </row>
    <row r="3618" spans="1:17" x14ac:dyDescent="0.3">
      <c r="A3618" s="5"/>
      <c r="B3618" s="6"/>
      <c r="C3618" s="7"/>
      <c r="D3618" s="10"/>
      <c r="F3618" s="1"/>
      <c r="G3618" s="1"/>
      <c r="H3618" s="1"/>
      <c r="I3618" s="7"/>
      <c r="J3618" s="12"/>
      <c r="K3618" s="13"/>
      <c r="L3618" s="14"/>
      <c r="M3618" s="15"/>
      <c r="N3618" s="15"/>
      <c r="O3618" s="16"/>
      <c r="Q3618" s="16"/>
    </row>
    <row r="3619" spans="1:17" x14ac:dyDescent="0.3">
      <c r="A3619" s="5"/>
      <c r="B3619" s="6"/>
      <c r="C3619" s="7"/>
      <c r="D3619" s="10"/>
      <c r="F3619" s="1"/>
      <c r="G3619" s="1"/>
      <c r="H3619" s="1"/>
      <c r="I3619" s="7"/>
      <c r="J3619" s="12"/>
      <c r="K3619" s="13"/>
      <c r="L3619" s="14"/>
      <c r="M3619" s="15"/>
      <c r="N3619" s="15"/>
      <c r="O3619" s="16"/>
      <c r="Q3619" s="16"/>
    </row>
    <row r="3620" spans="1:17" x14ac:dyDescent="0.3">
      <c r="A3620" s="5"/>
      <c r="B3620" s="6"/>
      <c r="C3620" s="7"/>
      <c r="D3620" s="10"/>
      <c r="F3620" s="1"/>
      <c r="G3620" s="1"/>
      <c r="H3620" s="1"/>
      <c r="I3620" s="7"/>
      <c r="J3620" s="12"/>
      <c r="K3620" s="13"/>
      <c r="L3620" s="14"/>
      <c r="M3620" s="15"/>
      <c r="N3620" s="15"/>
      <c r="O3620" s="16"/>
      <c r="Q3620" s="16"/>
    </row>
    <row r="3621" spans="1:17" x14ac:dyDescent="0.3">
      <c r="A3621" s="5"/>
      <c r="B3621" s="6"/>
      <c r="C3621" s="7"/>
      <c r="D3621" s="10"/>
      <c r="F3621" s="1"/>
      <c r="G3621" s="1"/>
      <c r="H3621" s="1"/>
      <c r="I3621" s="7"/>
      <c r="J3621" s="12"/>
      <c r="K3621" s="13"/>
      <c r="L3621" s="14"/>
      <c r="M3621" s="15"/>
      <c r="N3621" s="15"/>
      <c r="O3621" s="16"/>
      <c r="Q3621" s="16"/>
    </row>
    <row r="3622" spans="1:17" x14ac:dyDescent="0.3">
      <c r="A3622" s="5"/>
      <c r="B3622" s="6"/>
      <c r="C3622" s="7"/>
      <c r="D3622" s="10"/>
      <c r="F3622" s="1"/>
      <c r="G3622" s="1"/>
      <c r="H3622" s="1"/>
      <c r="I3622" s="7"/>
      <c r="J3622" s="12"/>
      <c r="K3622" s="13"/>
      <c r="L3622" s="14"/>
      <c r="M3622" s="15"/>
      <c r="N3622" s="15"/>
      <c r="O3622" s="16"/>
      <c r="Q3622" s="16"/>
    </row>
    <row r="3623" spans="1:17" x14ac:dyDescent="0.3">
      <c r="A3623" s="5"/>
      <c r="B3623" s="6"/>
      <c r="C3623" s="7"/>
      <c r="D3623" s="10"/>
      <c r="F3623" s="1"/>
      <c r="G3623" s="1"/>
      <c r="H3623" s="1"/>
      <c r="I3623" s="7"/>
      <c r="J3623" s="12"/>
      <c r="K3623" s="13"/>
      <c r="L3623" s="14"/>
      <c r="M3623" s="15"/>
      <c r="N3623" s="15"/>
      <c r="O3623" s="16"/>
      <c r="Q3623" s="16"/>
    </row>
    <row r="3624" spans="1:17" x14ac:dyDescent="0.3">
      <c r="A3624" s="5"/>
      <c r="B3624" s="6"/>
      <c r="C3624" s="7"/>
      <c r="D3624" s="10"/>
      <c r="F3624" s="1"/>
      <c r="G3624" s="1"/>
      <c r="H3624" s="1"/>
      <c r="I3624" s="7"/>
      <c r="J3624" s="12"/>
      <c r="K3624" s="13"/>
      <c r="L3624" s="14"/>
      <c r="M3624" s="15"/>
      <c r="N3624" s="15"/>
      <c r="O3624" s="16"/>
      <c r="Q3624" s="16"/>
    </row>
    <row r="3625" spans="1:17" x14ac:dyDescent="0.3">
      <c r="A3625" s="5"/>
      <c r="B3625" s="6"/>
      <c r="C3625" s="7"/>
      <c r="D3625" s="10"/>
      <c r="F3625" s="1"/>
      <c r="G3625" s="1"/>
      <c r="H3625" s="1"/>
      <c r="I3625" s="7"/>
      <c r="J3625" s="12"/>
      <c r="K3625" s="13"/>
      <c r="L3625" s="14"/>
      <c r="M3625" s="15"/>
      <c r="N3625" s="15"/>
      <c r="O3625" s="16"/>
      <c r="Q3625" s="16"/>
    </row>
    <row r="3626" spans="1:17" x14ac:dyDescent="0.3">
      <c r="A3626" s="5"/>
      <c r="B3626" s="6"/>
      <c r="C3626" s="7"/>
      <c r="D3626" s="10"/>
      <c r="F3626" s="1"/>
      <c r="G3626" s="1"/>
      <c r="H3626" s="1"/>
      <c r="I3626" s="7"/>
      <c r="J3626" s="12"/>
      <c r="K3626" s="13"/>
      <c r="L3626" s="14"/>
      <c r="M3626" s="15"/>
      <c r="N3626" s="15"/>
      <c r="O3626" s="16"/>
      <c r="Q3626" s="16"/>
    </row>
    <row r="3627" spans="1:17" x14ac:dyDescent="0.3">
      <c r="A3627" s="5"/>
      <c r="B3627" s="6"/>
      <c r="C3627" s="7"/>
      <c r="D3627" s="10"/>
      <c r="F3627" s="1"/>
      <c r="G3627" s="1"/>
      <c r="H3627" s="1"/>
      <c r="I3627" s="7"/>
      <c r="J3627" s="12"/>
      <c r="K3627" s="13"/>
      <c r="L3627" s="14"/>
      <c r="M3627" s="15"/>
      <c r="N3627" s="15"/>
      <c r="O3627" s="16"/>
      <c r="Q3627" s="16"/>
    </row>
    <row r="3628" spans="1:17" x14ac:dyDescent="0.3">
      <c r="A3628" s="5"/>
      <c r="B3628" s="6"/>
      <c r="C3628" s="7"/>
      <c r="D3628" s="10"/>
      <c r="F3628" s="1"/>
      <c r="G3628" s="1"/>
      <c r="H3628" s="1"/>
      <c r="I3628" s="7"/>
      <c r="J3628" s="12"/>
      <c r="K3628" s="13"/>
      <c r="L3628" s="14"/>
      <c r="M3628" s="15"/>
      <c r="N3628" s="15"/>
      <c r="O3628" s="16"/>
      <c r="Q3628" s="16"/>
    </row>
    <row r="3629" spans="1:17" x14ac:dyDescent="0.3">
      <c r="A3629" s="5"/>
      <c r="B3629" s="6"/>
      <c r="C3629" s="7"/>
      <c r="D3629" s="10"/>
      <c r="F3629" s="1"/>
      <c r="G3629" s="1"/>
      <c r="H3629" s="1"/>
      <c r="I3629" s="7"/>
      <c r="J3629" s="12"/>
      <c r="K3629" s="13"/>
      <c r="L3629" s="14"/>
      <c r="M3629" s="15"/>
      <c r="N3629" s="15"/>
      <c r="O3629" s="16"/>
      <c r="Q3629" s="16"/>
    </row>
    <row r="3630" spans="1:17" x14ac:dyDescent="0.3">
      <c r="A3630" s="5"/>
      <c r="B3630" s="6"/>
      <c r="C3630" s="7"/>
      <c r="D3630" s="10"/>
      <c r="F3630" s="1"/>
      <c r="G3630" s="1"/>
      <c r="H3630" s="1"/>
      <c r="I3630" s="7"/>
      <c r="J3630" s="12"/>
      <c r="K3630" s="13"/>
      <c r="L3630" s="14"/>
      <c r="M3630" s="15"/>
      <c r="N3630" s="15"/>
      <c r="O3630" s="16"/>
      <c r="Q3630" s="16"/>
    </row>
    <row r="3631" spans="1:17" x14ac:dyDescent="0.3">
      <c r="A3631" s="5"/>
      <c r="B3631" s="6"/>
      <c r="C3631" s="7"/>
      <c r="D3631" s="10"/>
      <c r="F3631" s="1"/>
      <c r="G3631" s="1"/>
      <c r="H3631" s="1"/>
      <c r="I3631" s="7"/>
      <c r="J3631" s="12"/>
      <c r="K3631" s="13"/>
      <c r="L3631" s="14"/>
      <c r="M3631" s="15"/>
      <c r="N3631" s="15"/>
      <c r="O3631" s="16"/>
      <c r="Q3631" s="16"/>
    </row>
    <row r="3632" spans="1:17" x14ac:dyDescent="0.3">
      <c r="A3632" s="5"/>
      <c r="B3632" s="6"/>
      <c r="C3632" s="7"/>
      <c r="D3632" s="10"/>
      <c r="F3632" s="1"/>
      <c r="G3632" s="1"/>
      <c r="H3632" s="1"/>
      <c r="I3632" s="7"/>
      <c r="J3632" s="12"/>
      <c r="K3632" s="13"/>
      <c r="L3632" s="14"/>
      <c r="M3632" s="15"/>
      <c r="N3632" s="15"/>
      <c r="O3632" s="16"/>
      <c r="Q3632" s="16"/>
    </row>
    <row r="3633" spans="1:17" x14ac:dyDescent="0.3">
      <c r="A3633" s="5"/>
      <c r="B3633" s="6"/>
      <c r="C3633" s="7"/>
      <c r="D3633" s="10"/>
      <c r="F3633" s="1"/>
      <c r="G3633" s="1"/>
      <c r="H3633" s="1"/>
      <c r="I3633" s="7"/>
      <c r="J3633" s="12"/>
      <c r="K3633" s="13"/>
      <c r="L3633" s="14"/>
      <c r="M3633" s="15"/>
      <c r="N3633" s="15"/>
      <c r="O3633" s="16"/>
      <c r="Q3633" s="16"/>
    </row>
    <row r="3634" spans="1:17" x14ac:dyDescent="0.3">
      <c r="A3634" s="5"/>
      <c r="B3634" s="6"/>
      <c r="C3634" s="7"/>
      <c r="D3634" s="10"/>
      <c r="F3634" s="1"/>
      <c r="G3634" s="1"/>
      <c r="H3634" s="1"/>
      <c r="I3634" s="7"/>
      <c r="J3634" s="12"/>
      <c r="K3634" s="13"/>
      <c r="L3634" s="14"/>
      <c r="M3634" s="15"/>
      <c r="N3634" s="15"/>
      <c r="O3634" s="16"/>
      <c r="Q3634" s="16"/>
    </row>
    <row r="3635" spans="1:17" x14ac:dyDescent="0.3">
      <c r="A3635" s="5"/>
      <c r="B3635" s="6"/>
      <c r="C3635" s="7"/>
      <c r="D3635" s="10"/>
      <c r="F3635" s="1"/>
      <c r="G3635" s="1"/>
      <c r="H3635" s="1"/>
      <c r="I3635" s="7"/>
      <c r="J3635" s="12"/>
      <c r="K3635" s="13"/>
      <c r="L3635" s="14"/>
      <c r="M3635" s="15"/>
      <c r="N3635" s="15"/>
      <c r="O3635" s="16"/>
      <c r="Q3635" s="16"/>
    </row>
    <row r="3636" spans="1:17" x14ac:dyDescent="0.3">
      <c r="A3636" s="5"/>
      <c r="B3636" s="6"/>
      <c r="C3636" s="7"/>
      <c r="D3636" s="10"/>
      <c r="F3636" s="1"/>
      <c r="G3636" s="1"/>
      <c r="H3636" s="1"/>
      <c r="I3636" s="7"/>
      <c r="J3636" s="12"/>
      <c r="K3636" s="13"/>
      <c r="L3636" s="14"/>
      <c r="M3636" s="15"/>
      <c r="N3636" s="15"/>
      <c r="O3636" s="16"/>
      <c r="Q3636" s="16"/>
    </row>
    <row r="3637" spans="1:17" x14ac:dyDescent="0.3">
      <c r="A3637" s="5"/>
      <c r="B3637" s="6"/>
      <c r="C3637" s="7"/>
      <c r="D3637" s="10"/>
      <c r="F3637" s="1"/>
      <c r="G3637" s="1"/>
      <c r="H3637" s="1"/>
      <c r="I3637" s="7"/>
      <c r="J3637" s="12"/>
      <c r="K3637" s="13"/>
      <c r="L3637" s="14"/>
      <c r="M3637" s="15"/>
      <c r="N3637" s="15"/>
      <c r="O3637" s="16"/>
      <c r="Q3637" s="16"/>
    </row>
    <row r="3638" spans="1:17" x14ac:dyDescent="0.3">
      <c r="A3638" s="5"/>
      <c r="B3638" s="6"/>
      <c r="C3638" s="7"/>
      <c r="D3638" s="10"/>
      <c r="F3638" s="1"/>
      <c r="G3638" s="1"/>
      <c r="H3638" s="1"/>
      <c r="I3638" s="7"/>
      <c r="J3638" s="12"/>
      <c r="K3638" s="13"/>
      <c r="L3638" s="14"/>
      <c r="M3638" s="15"/>
      <c r="N3638" s="15"/>
      <c r="O3638" s="16"/>
      <c r="Q3638" s="16"/>
    </row>
    <row r="3639" spans="1:17" x14ac:dyDescent="0.3">
      <c r="A3639" s="5"/>
      <c r="B3639" s="6"/>
      <c r="C3639" s="7"/>
      <c r="D3639" s="10"/>
      <c r="F3639" s="1"/>
      <c r="G3639" s="1"/>
      <c r="H3639" s="1"/>
      <c r="I3639" s="7"/>
      <c r="J3639" s="12"/>
      <c r="K3639" s="13"/>
      <c r="L3639" s="14"/>
      <c r="M3639" s="15"/>
      <c r="N3639" s="15"/>
      <c r="O3639" s="16"/>
      <c r="Q3639" s="16"/>
    </row>
    <row r="3640" spans="1:17" x14ac:dyDescent="0.3">
      <c r="A3640" s="5"/>
      <c r="B3640" s="6"/>
      <c r="C3640" s="7"/>
      <c r="D3640" s="10"/>
      <c r="F3640" s="1"/>
      <c r="G3640" s="1"/>
      <c r="H3640" s="1"/>
      <c r="I3640" s="7"/>
      <c r="J3640" s="12"/>
      <c r="K3640" s="13"/>
      <c r="L3640" s="14"/>
      <c r="M3640" s="15"/>
      <c r="N3640" s="15"/>
      <c r="O3640" s="16"/>
      <c r="Q3640" s="16"/>
    </row>
    <row r="3641" spans="1:17" x14ac:dyDescent="0.3">
      <c r="A3641" s="5"/>
      <c r="B3641" s="6"/>
      <c r="C3641" s="7"/>
      <c r="D3641" s="10"/>
      <c r="F3641" s="1"/>
      <c r="G3641" s="1"/>
      <c r="H3641" s="1"/>
      <c r="I3641" s="7"/>
      <c r="J3641" s="12"/>
      <c r="K3641" s="13"/>
      <c r="L3641" s="14"/>
      <c r="M3641" s="15"/>
      <c r="N3641" s="15"/>
      <c r="O3641" s="16"/>
      <c r="Q3641" s="16"/>
    </row>
    <row r="3642" spans="1:17" x14ac:dyDescent="0.3">
      <c r="A3642" s="5"/>
      <c r="B3642" s="6"/>
      <c r="C3642" s="7"/>
      <c r="D3642" s="10"/>
      <c r="F3642" s="1"/>
      <c r="G3642" s="1"/>
      <c r="H3642" s="1"/>
      <c r="I3642" s="7"/>
      <c r="J3642" s="12"/>
      <c r="K3642" s="13"/>
      <c r="L3642" s="14"/>
      <c r="M3642" s="15"/>
      <c r="N3642" s="15"/>
      <c r="O3642" s="16"/>
      <c r="Q3642" s="16"/>
    </row>
    <row r="3643" spans="1:17" x14ac:dyDescent="0.3">
      <c r="A3643" s="5"/>
      <c r="B3643" s="6"/>
      <c r="C3643" s="7"/>
      <c r="D3643" s="10"/>
      <c r="F3643" s="1"/>
      <c r="G3643" s="1"/>
      <c r="H3643" s="1"/>
      <c r="I3643" s="7"/>
      <c r="J3643" s="12"/>
      <c r="K3643" s="13"/>
      <c r="L3643" s="14"/>
      <c r="M3643" s="15"/>
      <c r="N3643" s="15"/>
      <c r="O3643" s="16"/>
      <c r="Q3643" s="16"/>
    </row>
    <row r="3644" spans="1:17" x14ac:dyDescent="0.3">
      <c r="A3644" s="5"/>
      <c r="B3644" s="6"/>
      <c r="C3644" s="7"/>
      <c r="D3644" s="10"/>
      <c r="F3644" s="1"/>
      <c r="G3644" s="1"/>
      <c r="H3644" s="1"/>
      <c r="I3644" s="7"/>
      <c r="J3644" s="12"/>
      <c r="K3644" s="13"/>
      <c r="L3644" s="14"/>
      <c r="M3644" s="15"/>
      <c r="N3644" s="15"/>
      <c r="O3644" s="16"/>
      <c r="Q3644" s="16"/>
    </row>
    <row r="3645" spans="1:17" x14ac:dyDescent="0.3">
      <c r="A3645" s="5"/>
      <c r="B3645" s="6"/>
      <c r="C3645" s="7"/>
      <c r="D3645" s="10"/>
      <c r="F3645" s="1"/>
      <c r="G3645" s="1"/>
      <c r="H3645" s="1"/>
      <c r="I3645" s="7"/>
      <c r="J3645" s="12"/>
      <c r="K3645" s="13"/>
      <c r="L3645" s="14"/>
      <c r="M3645" s="15"/>
      <c r="N3645" s="15"/>
      <c r="O3645" s="16"/>
      <c r="Q3645" s="16"/>
    </row>
    <row r="3646" spans="1:17" x14ac:dyDescent="0.3">
      <c r="A3646" s="5"/>
      <c r="B3646" s="6"/>
      <c r="C3646" s="7"/>
      <c r="D3646" s="10"/>
      <c r="F3646" s="1"/>
      <c r="G3646" s="1"/>
      <c r="H3646" s="1"/>
      <c r="I3646" s="7"/>
      <c r="J3646" s="12"/>
      <c r="K3646" s="13"/>
      <c r="L3646" s="14"/>
      <c r="M3646" s="15"/>
      <c r="N3646" s="15"/>
      <c r="O3646" s="16"/>
      <c r="Q3646" s="16"/>
    </row>
    <row r="3647" spans="1:17" x14ac:dyDescent="0.3">
      <c r="A3647" s="5"/>
      <c r="B3647" s="6"/>
      <c r="C3647" s="7"/>
      <c r="D3647" s="10"/>
      <c r="F3647" s="1"/>
      <c r="G3647" s="1"/>
      <c r="H3647" s="1"/>
      <c r="I3647" s="7"/>
      <c r="J3647" s="12"/>
      <c r="K3647" s="13"/>
      <c r="L3647" s="14"/>
      <c r="M3647" s="15"/>
      <c r="N3647" s="15"/>
      <c r="O3647" s="16"/>
      <c r="Q3647" s="16"/>
    </row>
    <row r="3648" spans="1:17" x14ac:dyDescent="0.3">
      <c r="A3648" s="5"/>
      <c r="B3648" s="6"/>
      <c r="C3648" s="7"/>
      <c r="D3648" s="10"/>
      <c r="F3648" s="1"/>
      <c r="G3648" s="1"/>
      <c r="H3648" s="1"/>
      <c r="I3648" s="7"/>
      <c r="J3648" s="12"/>
      <c r="K3648" s="13"/>
      <c r="L3648" s="14"/>
      <c r="M3648" s="15"/>
      <c r="N3648" s="15"/>
      <c r="O3648" s="16"/>
      <c r="Q3648" s="16"/>
    </row>
    <row r="3649" spans="1:17" x14ac:dyDescent="0.3">
      <c r="A3649" s="5"/>
      <c r="B3649" s="6"/>
      <c r="C3649" s="7"/>
      <c r="D3649" s="10"/>
      <c r="F3649" s="1"/>
      <c r="G3649" s="1"/>
      <c r="H3649" s="1"/>
      <c r="I3649" s="7"/>
      <c r="J3649" s="12"/>
      <c r="K3649" s="13"/>
      <c r="L3649" s="14"/>
      <c r="M3649" s="15"/>
      <c r="N3649" s="15"/>
      <c r="O3649" s="16"/>
      <c r="Q3649" s="16"/>
    </row>
    <row r="3650" spans="1:17" x14ac:dyDescent="0.3">
      <c r="A3650" s="5"/>
      <c r="B3650" s="6"/>
      <c r="C3650" s="7"/>
      <c r="D3650" s="10"/>
      <c r="F3650" s="1"/>
      <c r="G3650" s="1"/>
      <c r="H3650" s="1"/>
      <c r="I3650" s="7"/>
      <c r="J3650" s="12"/>
      <c r="K3650" s="13"/>
      <c r="L3650" s="14"/>
      <c r="M3650" s="15"/>
      <c r="N3650" s="15"/>
      <c r="O3650" s="16"/>
      <c r="Q3650" s="16"/>
    </row>
    <row r="3651" spans="1:17" x14ac:dyDescent="0.3">
      <c r="A3651" s="5"/>
      <c r="B3651" s="6"/>
      <c r="C3651" s="7"/>
      <c r="D3651" s="10"/>
      <c r="F3651" s="1"/>
      <c r="G3651" s="1"/>
      <c r="H3651" s="1"/>
      <c r="I3651" s="7"/>
      <c r="J3651" s="12"/>
      <c r="K3651" s="13"/>
      <c r="L3651" s="14"/>
      <c r="M3651" s="15"/>
      <c r="N3651" s="15"/>
      <c r="O3651" s="16"/>
      <c r="Q3651" s="16"/>
    </row>
    <row r="3652" spans="1:17" x14ac:dyDescent="0.3">
      <c r="A3652" s="5"/>
      <c r="B3652" s="6"/>
      <c r="C3652" s="7"/>
      <c r="D3652" s="10"/>
      <c r="F3652" s="1"/>
      <c r="G3652" s="1"/>
      <c r="H3652" s="1"/>
      <c r="I3652" s="7"/>
      <c r="J3652" s="12"/>
      <c r="K3652" s="13"/>
      <c r="L3652" s="14"/>
      <c r="M3652" s="15"/>
      <c r="N3652" s="15"/>
      <c r="O3652" s="16"/>
      <c r="Q3652" s="16"/>
    </row>
    <row r="3653" spans="1:17" x14ac:dyDescent="0.3">
      <c r="A3653" s="5"/>
      <c r="B3653" s="6"/>
      <c r="C3653" s="7"/>
      <c r="D3653" s="10"/>
      <c r="F3653" s="1"/>
      <c r="G3653" s="1"/>
      <c r="H3653" s="1"/>
      <c r="I3653" s="7"/>
      <c r="J3653" s="12"/>
      <c r="K3653" s="13"/>
      <c r="L3653" s="14"/>
      <c r="M3653" s="15"/>
      <c r="N3653" s="15"/>
      <c r="O3653" s="16"/>
      <c r="Q3653" s="16"/>
    </row>
    <row r="3654" spans="1:17" x14ac:dyDescent="0.3">
      <c r="A3654" s="5"/>
      <c r="B3654" s="6"/>
      <c r="C3654" s="7"/>
      <c r="D3654" s="10"/>
      <c r="F3654" s="1"/>
      <c r="G3654" s="1"/>
      <c r="H3654" s="1"/>
      <c r="I3654" s="7"/>
      <c r="J3654" s="12"/>
      <c r="K3654" s="13"/>
      <c r="L3654" s="14"/>
      <c r="M3654" s="15"/>
      <c r="N3654" s="15"/>
      <c r="O3654" s="16"/>
      <c r="Q3654" s="16"/>
    </row>
    <row r="3655" spans="1:17" x14ac:dyDescent="0.3">
      <c r="A3655" s="5"/>
      <c r="B3655" s="6"/>
      <c r="C3655" s="7"/>
      <c r="D3655" s="10"/>
      <c r="F3655" s="1"/>
      <c r="G3655" s="1"/>
      <c r="H3655" s="1"/>
      <c r="I3655" s="7"/>
      <c r="J3655" s="12"/>
      <c r="K3655" s="13"/>
      <c r="L3655" s="14"/>
      <c r="M3655" s="15"/>
      <c r="N3655" s="15"/>
      <c r="O3655" s="16"/>
      <c r="Q3655" s="16"/>
    </row>
    <row r="3656" spans="1:17" x14ac:dyDescent="0.3">
      <c r="A3656" s="5"/>
      <c r="B3656" s="6"/>
      <c r="C3656" s="7"/>
      <c r="D3656" s="10"/>
      <c r="F3656" s="1"/>
      <c r="G3656" s="1"/>
      <c r="H3656" s="1"/>
      <c r="I3656" s="7"/>
      <c r="J3656" s="12"/>
      <c r="K3656" s="13"/>
      <c r="L3656" s="14"/>
      <c r="M3656" s="15"/>
      <c r="N3656" s="15"/>
      <c r="O3656" s="16"/>
      <c r="Q3656" s="16"/>
    </row>
    <row r="3657" spans="1:17" x14ac:dyDescent="0.3">
      <c r="A3657" s="5"/>
      <c r="B3657" s="6"/>
      <c r="C3657" s="7"/>
      <c r="D3657" s="10"/>
      <c r="F3657" s="1"/>
      <c r="G3657" s="1"/>
      <c r="H3657" s="1"/>
      <c r="I3657" s="7"/>
      <c r="J3657" s="12"/>
      <c r="K3657" s="13"/>
      <c r="L3657" s="14"/>
      <c r="M3657" s="15"/>
      <c r="N3657" s="15"/>
      <c r="O3657" s="16"/>
      <c r="Q3657" s="16"/>
    </row>
    <row r="3658" spans="1:17" x14ac:dyDescent="0.3">
      <c r="A3658" s="5"/>
      <c r="B3658" s="6"/>
      <c r="C3658" s="7"/>
      <c r="D3658" s="10"/>
      <c r="F3658" s="1"/>
      <c r="G3658" s="1"/>
      <c r="H3658" s="1"/>
      <c r="I3658" s="7"/>
      <c r="J3658" s="12"/>
      <c r="K3658" s="13"/>
      <c r="L3658" s="14"/>
      <c r="M3658" s="15"/>
      <c r="N3658" s="15"/>
      <c r="O3658" s="16"/>
      <c r="Q3658" s="16"/>
    </row>
    <row r="3659" spans="1:17" x14ac:dyDescent="0.3">
      <c r="A3659" s="5"/>
      <c r="B3659" s="6"/>
      <c r="C3659" s="7"/>
      <c r="D3659" s="10"/>
      <c r="F3659" s="1"/>
      <c r="G3659" s="1"/>
      <c r="H3659" s="1"/>
      <c r="I3659" s="7"/>
      <c r="J3659" s="12"/>
      <c r="K3659" s="13"/>
      <c r="L3659" s="14"/>
      <c r="M3659" s="15"/>
      <c r="N3659" s="15"/>
      <c r="O3659" s="16"/>
      <c r="Q3659" s="16"/>
    </row>
    <row r="3660" spans="1:17" x14ac:dyDescent="0.3">
      <c r="A3660" s="5"/>
      <c r="B3660" s="6"/>
      <c r="C3660" s="7"/>
      <c r="D3660" s="10"/>
      <c r="F3660" s="1"/>
      <c r="G3660" s="1"/>
      <c r="H3660" s="1"/>
      <c r="I3660" s="7"/>
      <c r="J3660" s="12"/>
      <c r="K3660" s="13"/>
      <c r="L3660" s="14"/>
      <c r="M3660" s="15"/>
      <c r="N3660" s="15"/>
      <c r="O3660" s="16"/>
      <c r="Q3660" s="16"/>
    </row>
    <row r="3661" spans="1:17" x14ac:dyDescent="0.3">
      <c r="A3661" s="5"/>
      <c r="B3661" s="6"/>
      <c r="C3661" s="7"/>
      <c r="D3661" s="10"/>
      <c r="F3661" s="1"/>
      <c r="G3661" s="1"/>
      <c r="H3661" s="1"/>
      <c r="I3661" s="7"/>
      <c r="J3661" s="12"/>
      <c r="K3661" s="13"/>
      <c r="L3661" s="14"/>
      <c r="M3661" s="15"/>
      <c r="N3661" s="15"/>
      <c r="O3661" s="16"/>
      <c r="Q3661" s="16"/>
    </row>
    <row r="3662" spans="1:17" x14ac:dyDescent="0.3">
      <c r="A3662" s="5"/>
      <c r="B3662" s="6"/>
      <c r="C3662" s="7"/>
      <c r="D3662" s="10"/>
      <c r="F3662" s="1"/>
      <c r="G3662" s="1"/>
      <c r="H3662" s="1"/>
      <c r="I3662" s="7"/>
      <c r="J3662" s="12"/>
      <c r="K3662" s="13"/>
      <c r="L3662" s="14"/>
      <c r="M3662" s="15"/>
      <c r="N3662" s="15"/>
      <c r="O3662" s="16"/>
      <c r="Q3662" s="16"/>
    </row>
    <row r="3663" spans="1:17" x14ac:dyDescent="0.3">
      <c r="A3663" s="5"/>
      <c r="B3663" s="6"/>
      <c r="C3663" s="7"/>
      <c r="D3663" s="10"/>
      <c r="F3663" s="1"/>
      <c r="G3663" s="1"/>
      <c r="H3663" s="1"/>
      <c r="I3663" s="7"/>
      <c r="J3663" s="12"/>
      <c r="K3663" s="13"/>
      <c r="L3663" s="14"/>
      <c r="M3663" s="15"/>
      <c r="N3663" s="15"/>
      <c r="O3663" s="16"/>
      <c r="Q3663" s="16"/>
    </row>
    <row r="3664" spans="1:17" x14ac:dyDescent="0.3">
      <c r="A3664" s="5"/>
      <c r="B3664" s="6"/>
      <c r="C3664" s="7"/>
      <c r="D3664" s="10"/>
      <c r="F3664" s="1"/>
      <c r="G3664" s="1"/>
      <c r="H3664" s="1"/>
      <c r="I3664" s="7"/>
      <c r="J3664" s="12"/>
      <c r="K3664" s="13"/>
      <c r="L3664" s="14"/>
      <c r="M3664" s="15"/>
      <c r="N3664" s="15"/>
      <c r="O3664" s="16"/>
      <c r="Q3664" s="16"/>
    </row>
    <row r="3665" spans="1:17" x14ac:dyDescent="0.3">
      <c r="A3665" s="5"/>
      <c r="B3665" s="6"/>
      <c r="C3665" s="7"/>
      <c r="D3665" s="10"/>
      <c r="F3665" s="1"/>
      <c r="G3665" s="1"/>
      <c r="H3665" s="1"/>
      <c r="I3665" s="7"/>
      <c r="J3665" s="12"/>
      <c r="K3665" s="13"/>
      <c r="L3665" s="14"/>
      <c r="M3665" s="15"/>
      <c r="N3665" s="15"/>
      <c r="O3665" s="16"/>
      <c r="Q3665" s="16"/>
    </row>
    <row r="3666" spans="1:17" x14ac:dyDescent="0.3">
      <c r="A3666" s="5"/>
      <c r="B3666" s="6"/>
      <c r="C3666" s="7"/>
      <c r="D3666" s="10"/>
      <c r="F3666" s="1"/>
      <c r="G3666" s="1"/>
      <c r="H3666" s="1"/>
      <c r="I3666" s="7"/>
      <c r="J3666" s="12"/>
      <c r="K3666" s="13"/>
      <c r="L3666" s="14"/>
      <c r="M3666" s="15"/>
      <c r="N3666" s="15"/>
      <c r="O3666" s="16"/>
      <c r="Q3666" s="16"/>
    </row>
    <row r="3667" spans="1:17" x14ac:dyDescent="0.3">
      <c r="A3667" s="5"/>
      <c r="B3667" s="6"/>
      <c r="C3667" s="7"/>
      <c r="D3667" s="10"/>
      <c r="F3667" s="1"/>
      <c r="G3667" s="1"/>
      <c r="H3667" s="1"/>
      <c r="I3667" s="7"/>
      <c r="J3667" s="12"/>
      <c r="K3667" s="13"/>
      <c r="L3667" s="14"/>
      <c r="M3667" s="15"/>
      <c r="N3667" s="15"/>
      <c r="O3667" s="16"/>
      <c r="Q3667" s="16"/>
    </row>
    <row r="3668" spans="1:17" x14ac:dyDescent="0.3">
      <c r="A3668" s="5"/>
      <c r="B3668" s="6"/>
      <c r="C3668" s="7"/>
      <c r="D3668" s="10"/>
      <c r="F3668" s="1"/>
      <c r="G3668" s="1"/>
      <c r="H3668" s="1"/>
      <c r="I3668" s="7"/>
      <c r="J3668" s="12"/>
      <c r="K3668" s="13"/>
      <c r="L3668" s="14"/>
      <c r="M3668" s="15"/>
      <c r="N3668" s="15"/>
      <c r="O3668" s="16"/>
      <c r="Q3668" s="16"/>
    </row>
    <row r="3669" spans="1:17" x14ac:dyDescent="0.3">
      <c r="A3669" s="5"/>
      <c r="B3669" s="6"/>
      <c r="C3669" s="7"/>
      <c r="D3669" s="10"/>
      <c r="F3669" s="1"/>
      <c r="G3669" s="1"/>
      <c r="H3669" s="1"/>
      <c r="I3669" s="7"/>
      <c r="J3669" s="12"/>
      <c r="K3669" s="13"/>
      <c r="L3669" s="14"/>
      <c r="M3669" s="15"/>
      <c r="N3669" s="15"/>
      <c r="O3669" s="16"/>
      <c r="Q3669" s="16"/>
    </row>
    <row r="3670" spans="1:17" x14ac:dyDescent="0.3">
      <c r="A3670" s="5"/>
      <c r="B3670" s="6"/>
      <c r="C3670" s="7"/>
      <c r="D3670" s="10"/>
      <c r="F3670" s="1"/>
      <c r="G3670" s="1"/>
      <c r="H3670" s="1"/>
      <c r="I3670" s="7"/>
      <c r="J3670" s="12"/>
      <c r="K3670" s="13"/>
      <c r="L3670" s="14"/>
      <c r="M3670" s="15"/>
      <c r="N3670" s="15"/>
      <c r="O3670" s="16"/>
      <c r="Q3670" s="16"/>
    </row>
    <row r="3671" spans="1:17" x14ac:dyDescent="0.3">
      <c r="A3671" s="5"/>
      <c r="B3671" s="6"/>
      <c r="C3671" s="7"/>
      <c r="D3671" s="10"/>
      <c r="F3671" s="1"/>
      <c r="G3671" s="1"/>
      <c r="H3671" s="1"/>
      <c r="I3671" s="7"/>
      <c r="J3671" s="12"/>
      <c r="K3671" s="13"/>
      <c r="L3671" s="14"/>
      <c r="M3671" s="15"/>
      <c r="N3671" s="15"/>
      <c r="O3671" s="16"/>
      <c r="Q3671" s="16"/>
    </row>
    <row r="3672" spans="1:17" x14ac:dyDescent="0.3">
      <c r="A3672" s="5"/>
      <c r="B3672" s="6"/>
      <c r="C3672" s="7"/>
      <c r="D3672" s="10"/>
      <c r="F3672" s="1"/>
      <c r="G3672" s="1"/>
      <c r="H3672" s="1"/>
      <c r="I3672" s="7"/>
      <c r="J3672" s="12"/>
      <c r="K3672" s="13"/>
      <c r="L3672" s="14"/>
      <c r="M3672" s="15"/>
      <c r="N3672" s="15"/>
      <c r="O3672" s="16"/>
      <c r="Q3672" s="16"/>
    </row>
    <row r="3673" spans="1:17" x14ac:dyDescent="0.3">
      <c r="A3673" s="5"/>
      <c r="B3673" s="6"/>
      <c r="C3673" s="7"/>
      <c r="D3673" s="10"/>
      <c r="F3673" s="1"/>
      <c r="G3673" s="1"/>
      <c r="H3673" s="1"/>
      <c r="I3673" s="7"/>
      <c r="J3673" s="12"/>
      <c r="K3673" s="13"/>
      <c r="L3673" s="14"/>
      <c r="M3673" s="15"/>
      <c r="N3673" s="15"/>
      <c r="O3673" s="16"/>
      <c r="Q3673" s="16"/>
    </row>
    <row r="3674" spans="1:17" x14ac:dyDescent="0.3">
      <c r="A3674" s="5"/>
      <c r="B3674" s="6"/>
      <c r="C3674" s="7"/>
      <c r="D3674" s="10"/>
      <c r="F3674" s="1"/>
      <c r="G3674" s="1"/>
      <c r="H3674" s="1"/>
      <c r="I3674" s="7"/>
      <c r="J3674" s="12"/>
      <c r="K3674" s="13"/>
      <c r="L3674" s="14"/>
      <c r="M3674" s="15"/>
      <c r="N3674" s="15"/>
      <c r="O3674" s="16"/>
      <c r="Q3674" s="16"/>
    </row>
    <row r="3675" spans="1:17" x14ac:dyDescent="0.3">
      <c r="A3675" s="5"/>
      <c r="B3675" s="6"/>
      <c r="C3675" s="7"/>
      <c r="D3675" s="10"/>
      <c r="F3675" s="1"/>
      <c r="G3675" s="1"/>
      <c r="H3675" s="1"/>
      <c r="I3675" s="7"/>
      <c r="J3675" s="12"/>
      <c r="K3675" s="13"/>
      <c r="L3675" s="14"/>
      <c r="M3675" s="15"/>
      <c r="N3675" s="15"/>
      <c r="O3675" s="16"/>
      <c r="Q3675" s="16"/>
    </row>
    <row r="3676" spans="1:17" x14ac:dyDescent="0.3">
      <c r="A3676" s="5"/>
      <c r="B3676" s="6"/>
      <c r="C3676" s="7"/>
      <c r="D3676" s="10"/>
      <c r="F3676" s="1"/>
      <c r="G3676" s="1"/>
      <c r="H3676" s="1"/>
      <c r="I3676" s="7"/>
      <c r="J3676" s="12"/>
      <c r="K3676" s="13"/>
      <c r="L3676" s="14"/>
      <c r="M3676" s="15"/>
      <c r="N3676" s="15"/>
      <c r="O3676" s="16"/>
      <c r="Q3676" s="16"/>
    </row>
    <row r="3677" spans="1:17" x14ac:dyDescent="0.3">
      <c r="A3677" s="5"/>
      <c r="B3677" s="6"/>
      <c r="C3677" s="7"/>
      <c r="D3677" s="10"/>
      <c r="F3677" s="1"/>
      <c r="G3677" s="1"/>
      <c r="H3677" s="1"/>
      <c r="I3677" s="7"/>
      <c r="J3677" s="12"/>
      <c r="K3677" s="13"/>
      <c r="L3677" s="14"/>
      <c r="M3677" s="15"/>
      <c r="N3677" s="15"/>
      <c r="O3677" s="16"/>
      <c r="Q3677" s="16"/>
    </row>
    <row r="3678" spans="1:17" x14ac:dyDescent="0.3">
      <c r="A3678" s="5"/>
      <c r="B3678" s="6"/>
      <c r="C3678" s="7"/>
      <c r="D3678" s="10"/>
      <c r="F3678" s="1"/>
      <c r="G3678" s="1"/>
      <c r="H3678" s="1"/>
      <c r="I3678" s="7"/>
      <c r="J3678" s="12"/>
      <c r="K3678" s="13"/>
      <c r="L3678" s="14"/>
      <c r="M3678" s="15"/>
      <c r="N3678" s="15"/>
      <c r="O3678" s="16"/>
      <c r="Q3678" s="16"/>
    </row>
    <row r="3679" spans="1:17" x14ac:dyDescent="0.3">
      <c r="A3679" s="5"/>
      <c r="B3679" s="6"/>
      <c r="C3679" s="7"/>
      <c r="D3679" s="10"/>
      <c r="F3679" s="1"/>
      <c r="G3679" s="1"/>
      <c r="H3679" s="1"/>
      <c r="I3679" s="7"/>
      <c r="J3679" s="12"/>
      <c r="K3679" s="13"/>
      <c r="L3679" s="14"/>
      <c r="M3679" s="15"/>
      <c r="N3679" s="15"/>
      <c r="O3679" s="16"/>
      <c r="Q3679" s="16"/>
    </row>
    <row r="3680" spans="1:17" x14ac:dyDescent="0.3">
      <c r="A3680" s="5"/>
      <c r="B3680" s="6"/>
      <c r="C3680" s="7"/>
      <c r="D3680" s="10"/>
      <c r="F3680" s="1"/>
      <c r="G3680" s="1"/>
      <c r="H3680" s="1"/>
      <c r="I3680" s="7"/>
      <c r="J3680" s="12"/>
      <c r="K3680" s="13"/>
      <c r="L3680" s="14"/>
      <c r="M3680" s="15"/>
      <c r="N3680" s="15"/>
      <c r="O3680" s="16"/>
      <c r="Q3680" s="16"/>
    </row>
    <row r="3681" spans="1:17" x14ac:dyDescent="0.3">
      <c r="A3681" s="5"/>
      <c r="B3681" s="6"/>
      <c r="C3681" s="7"/>
      <c r="D3681" s="10"/>
      <c r="F3681" s="1"/>
      <c r="G3681" s="1"/>
      <c r="H3681" s="1"/>
      <c r="I3681" s="7"/>
      <c r="J3681" s="12"/>
      <c r="K3681" s="13"/>
      <c r="L3681" s="14"/>
      <c r="M3681" s="15"/>
      <c r="N3681" s="15"/>
      <c r="O3681" s="16"/>
      <c r="Q3681" s="16"/>
    </row>
    <row r="3682" spans="1:17" x14ac:dyDescent="0.3">
      <c r="A3682" s="5"/>
      <c r="B3682" s="6"/>
      <c r="C3682" s="7"/>
      <c r="D3682" s="10"/>
      <c r="F3682" s="1"/>
      <c r="G3682" s="1"/>
      <c r="H3682" s="1"/>
      <c r="I3682" s="7"/>
      <c r="J3682" s="12"/>
      <c r="K3682" s="13"/>
      <c r="L3682" s="14"/>
      <c r="M3682" s="15"/>
      <c r="N3682" s="15"/>
      <c r="O3682" s="16"/>
      <c r="Q3682" s="16"/>
    </row>
    <row r="3683" spans="1:17" x14ac:dyDescent="0.3">
      <c r="A3683" s="5"/>
      <c r="B3683" s="6"/>
      <c r="C3683" s="7"/>
      <c r="D3683" s="10"/>
      <c r="F3683" s="1"/>
      <c r="G3683" s="1"/>
      <c r="H3683" s="1"/>
      <c r="I3683" s="7"/>
      <c r="J3683" s="12"/>
      <c r="K3683" s="13"/>
      <c r="L3683" s="14"/>
      <c r="M3683" s="15"/>
      <c r="N3683" s="15"/>
      <c r="O3683" s="16"/>
      <c r="Q3683" s="16"/>
    </row>
    <row r="3684" spans="1:17" x14ac:dyDescent="0.3">
      <c r="A3684" s="5"/>
      <c r="B3684" s="6"/>
      <c r="C3684" s="7"/>
      <c r="D3684" s="10"/>
      <c r="F3684" s="1"/>
      <c r="G3684" s="1"/>
      <c r="H3684" s="1"/>
      <c r="I3684" s="7"/>
      <c r="J3684" s="12"/>
      <c r="K3684" s="13"/>
      <c r="L3684" s="14"/>
      <c r="M3684" s="15"/>
      <c r="N3684" s="15"/>
      <c r="O3684" s="16"/>
      <c r="Q3684" s="16"/>
    </row>
    <row r="3685" spans="1:17" x14ac:dyDescent="0.3">
      <c r="A3685" s="5"/>
      <c r="B3685" s="6"/>
      <c r="C3685" s="7"/>
      <c r="D3685" s="10"/>
      <c r="F3685" s="1"/>
      <c r="G3685" s="1"/>
      <c r="H3685" s="1"/>
      <c r="I3685" s="7"/>
      <c r="J3685" s="12"/>
      <c r="K3685" s="13"/>
      <c r="L3685" s="14"/>
      <c r="M3685" s="15"/>
      <c r="N3685" s="15"/>
      <c r="O3685" s="16"/>
      <c r="Q3685" s="16"/>
    </row>
    <row r="3686" spans="1:17" x14ac:dyDescent="0.3">
      <c r="A3686" s="5"/>
      <c r="B3686" s="6"/>
      <c r="C3686" s="7"/>
      <c r="D3686" s="10"/>
      <c r="F3686" s="1"/>
      <c r="G3686" s="1"/>
      <c r="H3686" s="1"/>
      <c r="I3686" s="7"/>
      <c r="J3686" s="12"/>
      <c r="K3686" s="13"/>
      <c r="L3686" s="14"/>
      <c r="M3686" s="15"/>
      <c r="N3686" s="15"/>
      <c r="O3686" s="16"/>
      <c r="Q3686" s="16"/>
    </row>
    <row r="3687" spans="1:17" x14ac:dyDescent="0.3">
      <c r="A3687" s="5"/>
      <c r="B3687" s="6"/>
      <c r="C3687" s="7"/>
      <c r="D3687" s="10"/>
      <c r="F3687" s="1"/>
      <c r="G3687" s="1"/>
      <c r="H3687" s="1"/>
      <c r="I3687" s="7"/>
      <c r="J3687" s="12"/>
      <c r="K3687" s="13"/>
      <c r="L3687" s="14"/>
      <c r="M3687" s="15"/>
      <c r="N3687" s="15"/>
      <c r="O3687" s="16"/>
      <c r="Q3687" s="16"/>
    </row>
    <row r="3688" spans="1:17" x14ac:dyDescent="0.3">
      <c r="A3688" s="5"/>
      <c r="B3688" s="6"/>
      <c r="C3688" s="7"/>
      <c r="D3688" s="10"/>
      <c r="F3688" s="1"/>
      <c r="G3688" s="1"/>
      <c r="H3688" s="1"/>
      <c r="I3688" s="7"/>
      <c r="J3688" s="12"/>
      <c r="K3688" s="13"/>
      <c r="L3688" s="14"/>
      <c r="M3688" s="15"/>
      <c r="N3688" s="15"/>
      <c r="O3688" s="16"/>
      <c r="Q3688" s="16"/>
    </row>
    <row r="3689" spans="1:17" x14ac:dyDescent="0.3">
      <c r="A3689" s="5"/>
      <c r="B3689" s="6"/>
      <c r="C3689" s="7"/>
      <c r="D3689" s="10"/>
      <c r="F3689" s="1"/>
      <c r="G3689" s="1"/>
      <c r="H3689" s="1"/>
      <c r="I3689" s="7"/>
      <c r="J3689" s="12"/>
      <c r="K3689" s="13"/>
      <c r="L3689" s="14"/>
      <c r="M3689" s="15"/>
      <c r="N3689" s="15"/>
      <c r="O3689" s="16"/>
      <c r="Q3689" s="16"/>
    </row>
    <row r="3690" spans="1:17" x14ac:dyDescent="0.3">
      <c r="A3690" s="5"/>
      <c r="B3690" s="6"/>
      <c r="C3690" s="7"/>
      <c r="D3690" s="10"/>
      <c r="F3690" s="1"/>
      <c r="G3690" s="1"/>
      <c r="H3690" s="1"/>
      <c r="I3690" s="7"/>
      <c r="J3690" s="12"/>
      <c r="K3690" s="13"/>
      <c r="L3690" s="14"/>
      <c r="M3690" s="15"/>
      <c r="N3690" s="15"/>
      <c r="O3690" s="16"/>
      <c r="Q3690" s="16"/>
    </row>
    <row r="3691" spans="1:17" x14ac:dyDescent="0.3">
      <c r="A3691" s="5"/>
      <c r="B3691" s="6"/>
      <c r="C3691" s="7"/>
      <c r="D3691" s="10"/>
      <c r="F3691" s="1"/>
      <c r="G3691" s="1"/>
      <c r="H3691" s="1"/>
      <c r="I3691" s="7"/>
      <c r="J3691" s="12"/>
      <c r="K3691" s="13"/>
      <c r="L3691" s="14"/>
      <c r="M3691" s="15"/>
      <c r="N3691" s="15"/>
      <c r="O3691" s="16"/>
      <c r="Q3691" s="16"/>
    </row>
    <row r="3692" spans="1:17" x14ac:dyDescent="0.3">
      <c r="A3692" s="5"/>
      <c r="B3692" s="6"/>
      <c r="C3692" s="7"/>
      <c r="D3692" s="10"/>
      <c r="F3692" s="1"/>
      <c r="G3692" s="1"/>
      <c r="H3692" s="1"/>
      <c r="I3692" s="7"/>
      <c r="J3692" s="12"/>
      <c r="K3692" s="13"/>
      <c r="L3692" s="14"/>
      <c r="M3692" s="15"/>
      <c r="N3692" s="15"/>
      <c r="O3692" s="16"/>
      <c r="Q3692" s="16"/>
    </row>
    <row r="3693" spans="1:17" x14ac:dyDescent="0.3">
      <c r="A3693" s="5"/>
      <c r="B3693" s="6"/>
      <c r="C3693" s="7"/>
      <c r="D3693" s="10"/>
      <c r="F3693" s="1"/>
      <c r="G3693" s="1"/>
      <c r="H3693" s="1"/>
      <c r="I3693" s="7"/>
      <c r="J3693" s="12"/>
      <c r="K3693" s="13"/>
      <c r="L3693" s="14"/>
      <c r="M3693" s="15"/>
      <c r="N3693" s="15"/>
      <c r="O3693" s="16"/>
      <c r="Q3693" s="16"/>
    </row>
    <row r="3694" spans="1:17" x14ac:dyDescent="0.3">
      <c r="A3694" s="5"/>
      <c r="B3694" s="6"/>
      <c r="C3694" s="7"/>
      <c r="D3694" s="10"/>
      <c r="F3694" s="1"/>
      <c r="G3694" s="1"/>
      <c r="H3694" s="1"/>
      <c r="I3694" s="7"/>
      <c r="J3694" s="12"/>
      <c r="K3694" s="13"/>
      <c r="L3694" s="14"/>
      <c r="M3694" s="15"/>
      <c r="N3694" s="15"/>
      <c r="O3694" s="16"/>
      <c r="Q3694" s="16"/>
    </row>
    <row r="3695" spans="1:17" x14ac:dyDescent="0.3">
      <c r="A3695" s="5"/>
      <c r="B3695" s="6"/>
      <c r="C3695" s="7"/>
      <c r="D3695" s="10"/>
      <c r="F3695" s="1"/>
      <c r="G3695" s="1"/>
      <c r="H3695" s="1"/>
      <c r="I3695" s="7"/>
      <c r="J3695" s="12"/>
      <c r="K3695" s="13"/>
      <c r="L3695" s="14"/>
      <c r="M3695" s="15"/>
      <c r="N3695" s="15"/>
      <c r="O3695" s="16"/>
      <c r="Q3695" s="16"/>
    </row>
    <row r="3696" spans="1:17" x14ac:dyDescent="0.3">
      <c r="A3696" s="5"/>
      <c r="B3696" s="6"/>
      <c r="C3696" s="7"/>
      <c r="D3696" s="10"/>
      <c r="F3696" s="1"/>
      <c r="G3696" s="1"/>
      <c r="H3696" s="1"/>
      <c r="I3696" s="7"/>
      <c r="J3696" s="12"/>
      <c r="K3696" s="13"/>
      <c r="L3696" s="14"/>
      <c r="M3696" s="15"/>
      <c r="N3696" s="15"/>
      <c r="O3696" s="16"/>
      <c r="Q3696" s="16"/>
    </row>
    <row r="3697" spans="1:17" x14ac:dyDescent="0.3">
      <c r="A3697" s="5"/>
      <c r="B3697" s="6"/>
      <c r="C3697" s="7"/>
      <c r="D3697" s="10"/>
      <c r="F3697" s="1"/>
      <c r="G3697" s="1"/>
      <c r="H3697" s="1"/>
      <c r="I3697" s="7"/>
      <c r="J3697" s="12"/>
      <c r="K3697" s="13"/>
      <c r="L3697" s="14"/>
      <c r="M3697" s="15"/>
      <c r="N3697" s="15"/>
      <c r="O3697" s="16"/>
      <c r="Q3697" s="16"/>
    </row>
    <row r="3698" spans="1:17" x14ac:dyDescent="0.3">
      <c r="A3698" s="5"/>
      <c r="B3698" s="6"/>
      <c r="C3698" s="7"/>
      <c r="D3698" s="10"/>
      <c r="F3698" s="1"/>
      <c r="G3698" s="1"/>
      <c r="H3698" s="1"/>
      <c r="I3698" s="7"/>
      <c r="J3698" s="12"/>
      <c r="K3698" s="13"/>
      <c r="L3698" s="14"/>
      <c r="M3698" s="15"/>
      <c r="N3698" s="15"/>
      <c r="O3698" s="16"/>
      <c r="Q3698" s="16"/>
    </row>
    <row r="3699" spans="1:17" x14ac:dyDescent="0.3">
      <c r="A3699" s="5"/>
      <c r="B3699" s="6"/>
      <c r="C3699" s="7"/>
      <c r="D3699" s="10"/>
      <c r="F3699" s="1"/>
      <c r="G3699" s="1"/>
      <c r="H3699" s="1"/>
      <c r="I3699" s="7"/>
      <c r="J3699" s="12"/>
      <c r="K3699" s="13"/>
      <c r="L3699" s="14"/>
      <c r="M3699" s="15"/>
      <c r="N3699" s="15"/>
      <c r="O3699" s="16"/>
      <c r="Q3699" s="16"/>
    </row>
    <row r="3700" spans="1:17" x14ac:dyDescent="0.3">
      <c r="A3700" s="5"/>
      <c r="B3700" s="6"/>
      <c r="C3700" s="7"/>
      <c r="D3700" s="10"/>
      <c r="F3700" s="1"/>
      <c r="G3700" s="1"/>
      <c r="H3700" s="1"/>
      <c r="I3700" s="7"/>
      <c r="J3700" s="12"/>
      <c r="K3700" s="13"/>
      <c r="L3700" s="14"/>
      <c r="M3700" s="15"/>
      <c r="N3700" s="15"/>
      <c r="O3700" s="16"/>
      <c r="Q3700" s="16"/>
    </row>
    <row r="3701" spans="1:17" x14ac:dyDescent="0.3">
      <c r="A3701" s="5"/>
      <c r="B3701" s="6"/>
      <c r="C3701" s="7"/>
      <c r="D3701" s="10"/>
      <c r="F3701" s="1"/>
      <c r="G3701" s="1"/>
      <c r="H3701" s="1"/>
      <c r="I3701" s="7"/>
      <c r="J3701" s="12"/>
      <c r="K3701" s="13"/>
      <c r="L3701" s="14"/>
      <c r="M3701" s="15"/>
      <c r="N3701" s="15"/>
      <c r="O3701" s="16"/>
      <c r="Q3701" s="16"/>
    </row>
    <row r="3702" spans="1:17" x14ac:dyDescent="0.3">
      <c r="A3702" s="5"/>
      <c r="B3702" s="6"/>
      <c r="C3702" s="7"/>
      <c r="D3702" s="10"/>
      <c r="F3702" s="1"/>
      <c r="G3702" s="1"/>
      <c r="H3702" s="1"/>
      <c r="I3702" s="7"/>
      <c r="J3702" s="12"/>
      <c r="K3702" s="13"/>
      <c r="L3702" s="14"/>
      <c r="M3702" s="15"/>
      <c r="N3702" s="15"/>
      <c r="O3702" s="16"/>
      <c r="Q3702" s="16"/>
    </row>
    <row r="3703" spans="1:17" x14ac:dyDescent="0.3">
      <c r="A3703" s="5"/>
      <c r="B3703" s="6"/>
      <c r="C3703" s="7"/>
      <c r="D3703" s="10"/>
      <c r="F3703" s="1"/>
      <c r="G3703" s="1"/>
      <c r="H3703" s="1"/>
      <c r="I3703" s="7"/>
      <c r="J3703" s="12"/>
      <c r="K3703" s="13"/>
      <c r="L3703" s="14"/>
      <c r="M3703" s="15"/>
      <c r="N3703" s="15"/>
      <c r="O3703" s="16"/>
      <c r="Q3703" s="16"/>
    </row>
    <row r="3704" spans="1:17" x14ac:dyDescent="0.3">
      <c r="A3704" s="5"/>
      <c r="B3704" s="6"/>
      <c r="C3704" s="7"/>
      <c r="D3704" s="10"/>
      <c r="F3704" s="1"/>
      <c r="G3704" s="1"/>
      <c r="H3704" s="1"/>
      <c r="I3704" s="7"/>
      <c r="J3704" s="12"/>
      <c r="K3704" s="13"/>
      <c r="L3704" s="14"/>
      <c r="M3704" s="15"/>
      <c r="N3704" s="15"/>
      <c r="O3704" s="16"/>
      <c r="Q3704" s="16"/>
    </row>
    <row r="3705" spans="1:17" x14ac:dyDescent="0.3">
      <c r="A3705" s="5"/>
      <c r="B3705" s="6"/>
      <c r="C3705" s="7"/>
      <c r="D3705" s="10"/>
      <c r="F3705" s="1"/>
      <c r="G3705" s="1"/>
      <c r="H3705" s="1"/>
      <c r="I3705" s="7"/>
      <c r="J3705" s="12"/>
      <c r="K3705" s="13"/>
      <c r="L3705" s="14"/>
      <c r="M3705" s="15"/>
      <c r="N3705" s="15"/>
      <c r="O3705" s="16"/>
      <c r="Q3705" s="16"/>
    </row>
    <row r="3706" spans="1:17" x14ac:dyDescent="0.3">
      <c r="A3706" s="5"/>
      <c r="B3706" s="6"/>
      <c r="C3706" s="7"/>
      <c r="D3706" s="10"/>
      <c r="F3706" s="1"/>
      <c r="G3706" s="1"/>
      <c r="H3706" s="1"/>
      <c r="I3706" s="7"/>
      <c r="J3706" s="12"/>
      <c r="K3706" s="13"/>
      <c r="L3706" s="14"/>
      <c r="M3706" s="15"/>
      <c r="N3706" s="15"/>
      <c r="O3706" s="16"/>
      <c r="Q3706" s="16"/>
    </row>
    <row r="3707" spans="1:17" x14ac:dyDescent="0.3">
      <c r="A3707" s="5"/>
      <c r="B3707" s="6"/>
      <c r="C3707" s="7"/>
      <c r="D3707" s="10"/>
      <c r="F3707" s="1"/>
      <c r="G3707" s="1"/>
      <c r="H3707" s="1"/>
      <c r="I3707" s="7"/>
      <c r="J3707" s="12"/>
      <c r="K3707" s="13"/>
      <c r="L3707" s="14"/>
      <c r="M3707" s="15"/>
      <c r="N3707" s="15"/>
      <c r="O3707" s="16"/>
      <c r="Q3707" s="16"/>
    </row>
    <row r="3708" spans="1:17" x14ac:dyDescent="0.3">
      <c r="A3708" s="5"/>
      <c r="B3708" s="6"/>
      <c r="C3708" s="7"/>
      <c r="D3708" s="10"/>
      <c r="F3708" s="1"/>
      <c r="G3708" s="1"/>
      <c r="H3708" s="1"/>
      <c r="I3708" s="7"/>
      <c r="J3708" s="12"/>
      <c r="K3708" s="13"/>
      <c r="L3708" s="14"/>
      <c r="M3708" s="15"/>
      <c r="N3708" s="15"/>
      <c r="O3708" s="16"/>
      <c r="Q3708" s="16"/>
    </row>
    <row r="3709" spans="1:17" x14ac:dyDescent="0.3">
      <c r="A3709" s="5"/>
      <c r="B3709" s="6"/>
      <c r="C3709" s="7"/>
      <c r="D3709" s="10"/>
      <c r="F3709" s="1"/>
      <c r="G3709" s="1"/>
      <c r="H3709" s="1"/>
      <c r="I3709" s="7"/>
      <c r="J3709" s="12"/>
      <c r="K3709" s="13"/>
      <c r="L3709" s="14"/>
      <c r="M3709" s="15"/>
      <c r="N3709" s="15"/>
      <c r="O3709" s="16"/>
      <c r="Q3709" s="16"/>
    </row>
    <row r="3710" spans="1:17" x14ac:dyDescent="0.3">
      <c r="A3710" s="5"/>
      <c r="B3710" s="6"/>
      <c r="C3710" s="7"/>
      <c r="D3710" s="10"/>
      <c r="F3710" s="1"/>
      <c r="G3710" s="1"/>
      <c r="H3710" s="1"/>
      <c r="I3710" s="7"/>
      <c r="J3710" s="12"/>
      <c r="K3710" s="13"/>
      <c r="L3710" s="14"/>
      <c r="M3710" s="15"/>
      <c r="N3710" s="15"/>
      <c r="O3710" s="16"/>
      <c r="Q3710" s="16"/>
    </row>
    <row r="3711" spans="1:17" x14ac:dyDescent="0.3">
      <c r="A3711" s="5"/>
      <c r="B3711" s="6"/>
      <c r="C3711" s="7"/>
      <c r="D3711" s="10"/>
      <c r="F3711" s="1"/>
      <c r="G3711" s="1"/>
      <c r="H3711" s="1"/>
      <c r="I3711" s="7"/>
      <c r="J3711" s="12"/>
      <c r="K3711" s="13"/>
      <c r="L3711" s="14"/>
      <c r="M3711" s="15"/>
      <c r="N3711" s="15"/>
      <c r="O3711" s="16"/>
      <c r="Q3711" s="16"/>
    </row>
    <row r="3712" spans="1:17" x14ac:dyDescent="0.3">
      <c r="A3712" s="5"/>
      <c r="B3712" s="6"/>
      <c r="C3712" s="7"/>
      <c r="D3712" s="10"/>
      <c r="F3712" s="1"/>
      <c r="G3712" s="1"/>
      <c r="H3712" s="1"/>
      <c r="I3712" s="7"/>
      <c r="J3712" s="12"/>
      <c r="K3712" s="13"/>
      <c r="L3712" s="14"/>
      <c r="M3712" s="15"/>
      <c r="N3712" s="15"/>
      <c r="O3712" s="16"/>
      <c r="Q3712" s="16"/>
    </row>
    <row r="3713" spans="1:17" x14ac:dyDescent="0.3">
      <c r="A3713" s="5"/>
      <c r="B3713" s="6"/>
      <c r="C3713" s="7"/>
      <c r="D3713" s="10"/>
      <c r="F3713" s="1"/>
      <c r="G3713" s="1"/>
      <c r="H3713" s="1"/>
      <c r="I3713" s="7"/>
      <c r="J3713" s="12"/>
      <c r="K3713" s="13"/>
      <c r="L3713" s="14"/>
      <c r="M3713" s="15"/>
      <c r="N3713" s="15"/>
      <c r="O3713" s="16"/>
      <c r="Q3713" s="16"/>
    </row>
    <row r="3714" spans="1:17" x14ac:dyDescent="0.3">
      <c r="A3714" s="5"/>
      <c r="B3714" s="6"/>
      <c r="C3714" s="7"/>
      <c r="D3714" s="10"/>
      <c r="F3714" s="1"/>
      <c r="G3714" s="1"/>
      <c r="H3714" s="1"/>
      <c r="I3714" s="7"/>
      <c r="J3714" s="12"/>
      <c r="K3714" s="13"/>
      <c r="L3714" s="14"/>
      <c r="M3714" s="15"/>
      <c r="N3714" s="15"/>
      <c r="O3714" s="16"/>
      <c r="Q3714" s="16"/>
    </row>
    <row r="3715" spans="1:17" x14ac:dyDescent="0.3">
      <c r="A3715" s="5"/>
      <c r="B3715" s="6"/>
      <c r="C3715" s="7"/>
      <c r="D3715" s="10"/>
      <c r="F3715" s="1"/>
      <c r="G3715" s="1"/>
      <c r="H3715" s="1"/>
      <c r="I3715" s="7"/>
      <c r="J3715" s="12"/>
      <c r="K3715" s="13"/>
      <c r="L3715" s="14"/>
      <c r="M3715" s="15"/>
      <c r="N3715" s="15"/>
      <c r="O3715" s="16"/>
      <c r="Q3715" s="16"/>
    </row>
    <row r="3716" spans="1:17" x14ac:dyDescent="0.3">
      <c r="A3716" s="5"/>
      <c r="B3716" s="6"/>
      <c r="C3716" s="7"/>
      <c r="D3716" s="10"/>
      <c r="F3716" s="1"/>
      <c r="G3716" s="1"/>
      <c r="H3716" s="1"/>
      <c r="I3716" s="7"/>
      <c r="J3716" s="12"/>
      <c r="K3716" s="13"/>
      <c r="L3716" s="14"/>
      <c r="M3716" s="15"/>
      <c r="N3716" s="15"/>
      <c r="O3716" s="16"/>
      <c r="Q3716" s="16"/>
    </row>
    <row r="3717" spans="1:17" x14ac:dyDescent="0.3">
      <c r="A3717" s="5"/>
      <c r="B3717" s="6"/>
      <c r="C3717" s="7"/>
      <c r="D3717" s="10"/>
      <c r="F3717" s="1"/>
      <c r="G3717" s="1"/>
      <c r="H3717" s="1"/>
      <c r="I3717" s="7"/>
      <c r="J3717" s="12"/>
      <c r="K3717" s="13"/>
      <c r="L3717" s="14"/>
      <c r="M3717" s="15"/>
      <c r="N3717" s="15"/>
      <c r="O3717" s="16"/>
      <c r="Q3717" s="16"/>
    </row>
    <row r="3718" spans="1:17" x14ac:dyDescent="0.3">
      <c r="A3718" s="5"/>
      <c r="B3718" s="6"/>
      <c r="C3718" s="7"/>
      <c r="D3718" s="10"/>
      <c r="F3718" s="1"/>
      <c r="G3718" s="1"/>
      <c r="H3718" s="1"/>
      <c r="I3718" s="7"/>
      <c r="J3718" s="12"/>
      <c r="K3718" s="13"/>
      <c r="L3718" s="14"/>
      <c r="M3718" s="15"/>
      <c r="N3718" s="15"/>
      <c r="O3718" s="16"/>
      <c r="Q3718" s="16"/>
    </row>
    <row r="3719" spans="1:17" x14ac:dyDescent="0.3">
      <c r="A3719" s="5"/>
      <c r="B3719" s="6"/>
      <c r="C3719" s="7"/>
      <c r="D3719" s="10"/>
      <c r="F3719" s="1"/>
      <c r="G3719" s="1"/>
      <c r="H3719" s="1"/>
      <c r="I3719" s="7"/>
      <c r="J3719" s="12"/>
      <c r="K3719" s="13"/>
      <c r="L3719" s="14"/>
      <c r="M3719" s="15"/>
      <c r="N3719" s="15"/>
      <c r="O3719" s="16"/>
      <c r="Q3719" s="16"/>
    </row>
    <row r="3720" spans="1:17" x14ac:dyDescent="0.3">
      <c r="A3720" s="5"/>
      <c r="B3720" s="6"/>
      <c r="C3720" s="7"/>
      <c r="D3720" s="10"/>
      <c r="F3720" s="1"/>
      <c r="G3720" s="1"/>
      <c r="H3720" s="1"/>
      <c r="I3720" s="7"/>
      <c r="J3720" s="12"/>
      <c r="K3720" s="13"/>
      <c r="L3720" s="14"/>
      <c r="M3720" s="15"/>
      <c r="N3720" s="15"/>
      <c r="O3720" s="16"/>
      <c r="Q3720" s="16"/>
    </row>
    <row r="3721" spans="1:17" x14ac:dyDescent="0.3">
      <c r="A3721" s="5"/>
      <c r="B3721" s="6"/>
      <c r="C3721" s="7"/>
      <c r="D3721" s="10"/>
      <c r="F3721" s="1"/>
      <c r="G3721" s="1"/>
      <c r="H3721" s="1"/>
      <c r="I3721" s="7"/>
      <c r="J3721" s="12"/>
      <c r="K3721" s="13"/>
      <c r="L3721" s="14"/>
      <c r="M3721" s="15"/>
      <c r="N3721" s="15"/>
      <c r="O3721" s="16"/>
      <c r="Q3721" s="16"/>
    </row>
    <row r="3722" spans="1:17" x14ac:dyDescent="0.3">
      <c r="A3722" s="5"/>
      <c r="B3722" s="6"/>
      <c r="C3722" s="7"/>
      <c r="D3722" s="10"/>
      <c r="F3722" s="1"/>
      <c r="G3722" s="1"/>
      <c r="H3722" s="1"/>
      <c r="I3722" s="7"/>
      <c r="J3722" s="12"/>
      <c r="K3722" s="13"/>
      <c r="L3722" s="14"/>
      <c r="M3722" s="15"/>
      <c r="N3722" s="15"/>
      <c r="O3722" s="16"/>
      <c r="Q3722" s="16"/>
    </row>
    <row r="3723" spans="1:17" x14ac:dyDescent="0.3">
      <c r="A3723" s="5"/>
      <c r="B3723" s="6"/>
      <c r="C3723" s="7"/>
      <c r="D3723" s="10"/>
      <c r="F3723" s="1"/>
      <c r="G3723" s="1"/>
      <c r="H3723" s="1"/>
      <c r="I3723" s="7"/>
      <c r="J3723" s="12"/>
      <c r="K3723" s="13"/>
      <c r="L3723" s="14"/>
      <c r="M3723" s="15"/>
      <c r="N3723" s="15"/>
      <c r="O3723" s="16"/>
      <c r="Q3723" s="16"/>
    </row>
    <row r="3724" spans="1:17" x14ac:dyDescent="0.3">
      <c r="A3724" s="5"/>
      <c r="B3724" s="6"/>
      <c r="C3724" s="7"/>
      <c r="D3724" s="10"/>
      <c r="F3724" s="1"/>
      <c r="G3724" s="1"/>
      <c r="H3724" s="1"/>
      <c r="I3724" s="7"/>
      <c r="J3724" s="12"/>
      <c r="K3724" s="13"/>
      <c r="L3724" s="14"/>
      <c r="M3724" s="15"/>
      <c r="N3724" s="15"/>
      <c r="O3724" s="16"/>
      <c r="Q3724" s="16"/>
    </row>
    <row r="3725" spans="1:17" x14ac:dyDescent="0.3">
      <c r="A3725" s="5"/>
      <c r="B3725" s="6"/>
      <c r="C3725" s="7"/>
      <c r="D3725" s="10"/>
      <c r="F3725" s="1"/>
      <c r="G3725" s="1"/>
      <c r="H3725" s="1"/>
      <c r="I3725" s="7"/>
      <c r="J3725" s="12"/>
      <c r="K3725" s="13"/>
      <c r="L3725" s="14"/>
      <c r="M3725" s="15"/>
      <c r="N3725" s="15"/>
      <c r="O3725" s="16"/>
      <c r="Q3725" s="16"/>
    </row>
    <row r="3726" spans="1:17" x14ac:dyDescent="0.3">
      <c r="A3726" s="5"/>
      <c r="B3726" s="6"/>
      <c r="C3726" s="7"/>
      <c r="D3726" s="10"/>
      <c r="F3726" s="1"/>
      <c r="G3726" s="1"/>
      <c r="H3726" s="1"/>
      <c r="I3726" s="7"/>
      <c r="J3726" s="12"/>
      <c r="K3726" s="13"/>
      <c r="L3726" s="14"/>
      <c r="M3726" s="15"/>
      <c r="N3726" s="15"/>
      <c r="O3726" s="16"/>
      <c r="Q3726" s="16"/>
    </row>
    <row r="3727" spans="1:17" x14ac:dyDescent="0.3">
      <c r="A3727" s="5"/>
      <c r="B3727" s="6"/>
      <c r="C3727" s="7"/>
      <c r="D3727" s="10"/>
      <c r="F3727" s="1"/>
      <c r="G3727" s="1"/>
      <c r="H3727" s="1"/>
      <c r="I3727" s="7"/>
      <c r="J3727" s="12"/>
      <c r="K3727" s="13"/>
      <c r="L3727" s="14"/>
      <c r="M3727" s="15"/>
      <c r="N3727" s="15"/>
      <c r="O3727" s="16"/>
      <c r="Q3727" s="16"/>
    </row>
    <row r="3728" spans="1:17" x14ac:dyDescent="0.3">
      <c r="A3728" s="5"/>
      <c r="B3728" s="6"/>
      <c r="C3728" s="7"/>
      <c r="D3728" s="10"/>
      <c r="F3728" s="1"/>
      <c r="G3728" s="1"/>
      <c r="H3728" s="1"/>
      <c r="I3728" s="7"/>
      <c r="J3728" s="12"/>
      <c r="K3728" s="13"/>
      <c r="L3728" s="14"/>
      <c r="M3728" s="15"/>
      <c r="N3728" s="15"/>
      <c r="O3728" s="16"/>
      <c r="Q3728" s="16"/>
    </row>
    <row r="3729" spans="1:17" x14ac:dyDescent="0.3">
      <c r="A3729" s="5"/>
      <c r="B3729" s="6"/>
      <c r="C3729" s="7"/>
      <c r="D3729" s="10"/>
      <c r="F3729" s="1"/>
      <c r="G3729" s="1"/>
      <c r="H3729" s="1"/>
      <c r="I3729" s="7"/>
      <c r="J3729" s="12"/>
      <c r="K3729" s="13"/>
      <c r="L3729" s="14"/>
      <c r="M3729" s="15"/>
      <c r="N3729" s="15"/>
      <c r="O3729" s="16"/>
      <c r="Q3729" s="16"/>
    </row>
    <row r="3730" spans="1:17" x14ac:dyDescent="0.3">
      <c r="A3730" s="5"/>
      <c r="B3730" s="6"/>
      <c r="C3730" s="7"/>
      <c r="D3730" s="10"/>
      <c r="F3730" s="1"/>
      <c r="G3730" s="1"/>
      <c r="H3730" s="1"/>
      <c r="I3730" s="7"/>
      <c r="J3730" s="12"/>
      <c r="K3730" s="13"/>
      <c r="L3730" s="14"/>
      <c r="M3730" s="15"/>
      <c r="N3730" s="15"/>
      <c r="O3730" s="16"/>
      <c r="Q3730" s="16"/>
    </row>
    <row r="3731" spans="1:17" x14ac:dyDescent="0.3">
      <c r="A3731" s="5"/>
      <c r="B3731" s="6"/>
      <c r="C3731" s="7"/>
      <c r="D3731" s="10"/>
      <c r="F3731" s="1"/>
      <c r="G3731" s="1"/>
      <c r="H3731" s="1"/>
      <c r="I3731" s="7"/>
      <c r="J3731" s="12"/>
      <c r="K3731" s="13"/>
      <c r="L3731" s="14"/>
      <c r="M3731" s="15"/>
      <c r="N3731" s="15"/>
      <c r="O3731" s="16"/>
      <c r="Q3731" s="16"/>
    </row>
    <row r="3732" spans="1:17" x14ac:dyDescent="0.3">
      <c r="A3732" s="5"/>
      <c r="B3732" s="6"/>
      <c r="C3732" s="7"/>
      <c r="D3732" s="10"/>
      <c r="F3732" s="1"/>
      <c r="G3732" s="1"/>
      <c r="H3732" s="1"/>
      <c r="I3732" s="7"/>
      <c r="J3732" s="12"/>
      <c r="K3732" s="13"/>
      <c r="L3732" s="14"/>
      <c r="M3732" s="15"/>
      <c r="N3732" s="15"/>
      <c r="O3732" s="16"/>
      <c r="Q3732" s="16"/>
    </row>
    <row r="3733" spans="1:17" x14ac:dyDescent="0.3">
      <c r="A3733" s="5"/>
      <c r="B3733" s="6"/>
      <c r="C3733" s="7"/>
      <c r="D3733" s="10"/>
      <c r="F3733" s="1"/>
      <c r="G3733" s="1"/>
      <c r="H3733" s="1"/>
      <c r="I3733" s="7"/>
      <c r="J3733" s="12"/>
      <c r="K3733" s="13"/>
      <c r="L3733" s="14"/>
      <c r="M3733" s="15"/>
      <c r="N3733" s="15"/>
      <c r="O3733" s="16"/>
      <c r="Q3733" s="16"/>
    </row>
    <row r="3734" spans="1:17" x14ac:dyDescent="0.3">
      <c r="A3734" s="5"/>
      <c r="B3734" s="6"/>
      <c r="C3734" s="7"/>
      <c r="D3734" s="10"/>
      <c r="F3734" s="1"/>
      <c r="G3734" s="1"/>
      <c r="H3734" s="1"/>
      <c r="I3734" s="7"/>
      <c r="J3734" s="12"/>
      <c r="K3734" s="13"/>
      <c r="L3734" s="14"/>
      <c r="M3734" s="15"/>
      <c r="N3734" s="15"/>
      <c r="O3734" s="16"/>
      <c r="Q3734" s="16"/>
    </row>
    <row r="3735" spans="1:17" x14ac:dyDescent="0.3">
      <c r="A3735" s="5"/>
      <c r="B3735" s="6"/>
      <c r="C3735" s="7"/>
      <c r="D3735" s="10"/>
      <c r="F3735" s="1"/>
      <c r="G3735" s="1"/>
      <c r="H3735" s="1"/>
      <c r="I3735" s="7"/>
      <c r="J3735" s="12"/>
      <c r="K3735" s="13"/>
      <c r="L3735" s="14"/>
      <c r="M3735" s="15"/>
      <c r="N3735" s="15"/>
      <c r="O3735" s="16"/>
      <c r="Q3735" s="16"/>
    </row>
    <row r="3736" spans="1:17" x14ac:dyDescent="0.3">
      <c r="A3736" s="5"/>
      <c r="B3736" s="6"/>
      <c r="C3736" s="7"/>
      <c r="D3736" s="10"/>
      <c r="F3736" s="1"/>
      <c r="G3736" s="1"/>
      <c r="H3736" s="1"/>
      <c r="I3736" s="7"/>
      <c r="J3736" s="12"/>
      <c r="K3736" s="13"/>
      <c r="L3736" s="14"/>
      <c r="M3736" s="15"/>
      <c r="N3736" s="15"/>
      <c r="O3736" s="16"/>
      <c r="Q3736" s="16"/>
    </row>
    <row r="3737" spans="1:17" x14ac:dyDescent="0.3">
      <c r="A3737" s="5"/>
      <c r="B3737" s="6"/>
      <c r="C3737" s="7"/>
      <c r="D3737" s="10"/>
      <c r="F3737" s="1"/>
      <c r="G3737" s="1"/>
      <c r="H3737" s="1"/>
      <c r="I3737" s="7"/>
      <c r="J3737" s="12"/>
      <c r="K3737" s="13"/>
      <c r="L3737" s="14"/>
      <c r="M3737" s="15"/>
      <c r="N3737" s="15"/>
      <c r="O3737" s="16"/>
      <c r="Q3737" s="16"/>
    </row>
    <row r="3738" spans="1:17" x14ac:dyDescent="0.3">
      <c r="A3738" s="5"/>
      <c r="B3738" s="6"/>
      <c r="C3738" s="7"/>
      <c r="D3738" s="10"/>
      <c r="F3738" s="1"/>
      <c r="G3738" s="1"/>
      <c r="H3738" s="1"/>
      <c r="I3738" s="7"/>
      <c r="J3738" s="12"/>
      <c r="K3738" s="13"/>
      <c r="L3738" s="14"/>
      <c r="M3738" s="15"/>
      <c r="N3738" s="15"/>
      <c r="O3738" s="16"/>
      <c r="Q3738" s="16"/>
    </row>
    <row r="3739" spans="1:17" x14ac:dyDescent="0.3">
      <c r="A3739" s="5"/>
      <c r="B3739" s="6"/>
      <c r="C3739" s="7"/>
      <c r="D3739" s="10"/>
      <c r="F3739" s="1"/>
      <c r="G3739" s="1"/>
      <c r="H3739" s="1"/>
      <c r="I3739" s="7"/>
      <c r="J3739" s="12"/>
      <c r="K3739" s="13"/>
      <c r="L3739" s="14"/>
      <c r="M3739" s="15"/>
      <c r="N3739" s="15"/>
      <c r="O3739" s="16"/>
      <c r="Q3739" s="16"/>
    </row>
    <row r="3740" spans="1:17" x14ac:dyDescent="0.3">
      <c r="A3740" s="5"/>
      <c r="B3740" s="6"/>
      <c r="C3740" s="7"/>
      <c r="D3740" s="10"/>
      <c r="F3740" s="1"/>
      <c r="G3740" s="1"/>
      <c r="H3740" s="1"/>
      <c r="I3740" s="7"/>
      <c r="J3740" s="12"/>
      <c r="K3740" s="13"/>
      <c r="L3740" s="14"/>
      <c r="M3740" s="15"/>
      <c r="N3740" s="15"/>
      <c r="O3740" s="16"/>
      <c r="Q3740" s="16"/>
    </row>
    <row r="3741" spans="1:17" x14ac:dyDescent="0.3">
      <c r="A3741" s="5"/>
      <c r="B3741" s="6"/>
      <c r="C3741" s="7"/>
      <c r="D3741" s="10"/>
      <c r="F3741" s="1"/>
      <c r="G3741" s="1"/>
      <c r="H3741" s="1"/>
      <c r="I3741" s="7"/>
      <c r="J3741" s="12"/>
      <c r="K3741" s="13"/>
      <c r="L3741" s="14"/>
      <c r="M3741" s="15"/>
      <c r="N3741" s="15"/>
      <c r="O3741" s="16"/>
      <c r="Q3741" s="16"/>
    </row>
    <row r="3742" spans="1:17" x14ac:dyDescent="0.3">
      <c r="A3742" s="5"/>
      <c r="B3742" s="6"/>
      <c r="C3742" s="7"/>
      <c r="D3742" s="10"/>
      <c r="F3742" s="1"/>
      <c r="G3742" s="1"/>
      <c r="H3742" s="1"/>
      <c r="I3742" s="7"/>
      <c r="J3742" s="12"/>
      <c r="K3742" s="13"/>
      <c r="L3742" s="14"/>
      <c r="M3742" s="15"/>
      <c r="N3742" s="15"/>
      <c r="O3742" s="16"/>
      <c r="Q3742" s="16"/>
    </row>
    <row r="3743" spans="1:17" x14ac:dyDescent="0.3">
      <c r="A3743" s="5"/>
      <c r="B3743" s="6"/>
      <c r="C3743" s="7"/>
      <c r="D3743" s="10"/>
      <c r="F3743" s="1"/>
      <c r="G3743" s="1"/>
      <c r="H3743" s="1"/>
      <c r="I3743" s="7"/>
      <c r="J3743" s="12"/>
      <c r="K3743" s="13"/>
      <c r="L3743" s="14"/>
      <c r="M3743" s="15"/>
      <c r="N3743" s="15"/>
      <c r="O3743" s="16"/>
      <c r="Q3743" s="16"/>
    </row>
    <row r="3744" spans="1:17" x14ac:dyDescent="0.3">
      <c r="A3744" s="5"/>
      <c r="B3744" s="6"/>
      <c r="C3744" s="7"/>
      <c r="D3744" s="10"/>
      <c r="F3744" s="1"/>
      <c r="G3744" s="1"/>
      <c r="H3744" s="1"/>
      <c r="I3744" s="7"/>
      <c r="J3744" s="12"/>
      <c r="K3744" s="13"/>
      <c r="L3744" s="14"/>
      <c r="M3744" s="15"/>
      <c r="N3744" s="15"/>
      <c r="O3744" s="16"/>
      <c r="Q3744" s="16"/>
    </row>
    <row r="3745" spans="1:17" x14ac:dyDescent="0.3">
      <c r="A3745" s="5"/>
      <c r="B3745" s="6"/>
      <c r="C3745" s="7"/>
      <c r="D3745" s="10"/>
      <c r="F3745" s="1"/>
      <c r="G3745" s="1"/>
      <c r="H3745" s="1"/>
      <c r="I3745" s="7"/>
      <c r="J3745" s="12"/>
      <c r="K3745" s="13"/>
      <c r="L3745" s="14"/>
      <c r="M3745" s="15"/>
      <c r="N3745" s="15"/>
      <c r="O3745" s="16"/>
      <c r="Q3745" s="16"/>
    </row>
    <row r="3746" spans="1:17" x14ac:dyDescent="0.3">
      <c r="A3746" s="5"/>
      <c r="B3746" s="6"/>
      <c r="C3746" s="7"/>
      <c r="D3746" s="10"/>
      <c r="F3746" s="1"/>
      <c r="G3746" s="1"/>
      <c r="H3746" s="1"/>
      <c r="I3746" s="7"/>
      <c r="J3746" s="12"/>
      <c r="K3746" s="13"/>
      <c r="L3746" s="14"/>
      <c r="M3746" s="15"/>
      <c r="N3746" s="15"/>
      <c r="O3746" s="16"/>
      <c r="Q3746" s="16"/>
    </row>
    <row r="3747" spans="1:17" x14ac:dyDescent="0.3">
      <c r="A3747" s="5"/>
      <c r="B3747" s="6"/>
      <c r="C3747" s="7"/>
      <c r="D3747" s="10"/>
      <c r="F3747" s="1"/>
      <c r="G3747" s="1"/>
      <c r="H3747" s="1"/>
      <c r="I3747" s="7"/>
      <c r="J3747" s="12"/>
      <c r="K3747" s="13"/>
      <c r="L3747" s="14"/>
      <c r="M3747" s="15"/>
      <c r="N3747" s="15"/>
      <c r="O3747" s="16"/>
      <c r="Q3747" s="16"/>
    </row>
    <row r="3748" spans="1:17" x14ac:dyDescent="0.3">
      <c r="A3748" s="5"/>
      <c r="B3748" s="6"/>
      <c r="C3748" s="7"/>
      <c r="D3748" s="10"/>
      <c r="F3748" s="1"/>
      <c r="G3748" s="1"/>
      <c r="H3748" s="1"/>
      <c r="I3748" s="7"/>
      <c r="J3748" s="12"/>
      <c r="K3748" s="13"/>
      <c r="L3748" s="14"/>
      <c r="M3748" s="15"/>
      <c r="N3748" s="15"/>
      <c r="O3748" s="16"/>
      <c r="Q3748" s="16"/>
    </row>
    <row r="3749" spans="1:17" x14ac:dyDescent="0.3">
      <c r="A3749" s="5"/>
      <c r="B3749" s="6"/>
      <c r="C3749" s="7"/>
      <c r="D3749" s="10"/>
      <c r="F3749" s="1"/>
      <c r="G3749" s="1"/>
      <c r="H3749" s="1"/>
      <c r="I3749" s="7"/>
      <c r="J3749" s="12"/>
      <c r="K3749" s="13"/>
      <c r="L3749" s="14"/>
      <c r="M3749" s="15"/>
      <c r="N3749" s="15"/>
      <c r="O3749" s="16"/>
      <c r="Q3749" s="16"/>
    </row>
    <row r="3750" spans="1:17" x14ac:dyDescent="0.3">
      <c r="A3750" s="5"/>
      <c r="B3750" s="6"/>
      <c r="C3750" s="7"/>
      <c r="D3750" s="10"/>
      <c r="F3750" s="1"/>
      <c r="G3750" s="1"/>
      <c r="H3750" s="1"/>
      <c r="I3750" s="7"/>
      <c r="J3750" s="12"/>
      <c r="K3750" s="13"/>
      <c r="L3750" s="14"/>
      <c r="M3750" s="15"/>
      <c r="N3750" s="15"/>
      <c r="O3750" s="16"/>
      <c r="Q3750" s="16"/>
    </row>
    <row r="3751" spans="1:17" x14ac:dyDescent="0.3">
      <c r="A3751" s="5"/>
      <c r="B3751" s="6"/>
      <c r="C3751" s="7"/>
      <c r="D3751" s="10"/>
      <c r="F3751" s="1"/>
      <c r="G3751" s="1"/>
      <c r="H3751" s="1"/>
      <c r="I3751" s="7"/>
      <c r="J3751" s="12"/>
      <c r="K3751" s="13"/>
      <c r="L3751" s="14"/>
      <c r="M3751" s="15"/>
      <c r="N3751" s="15"/>
      <c r="O3751" s="16"/>
      <c r="Q3751" s="16"/>
    </row>
    <row r="3752" spans="1:17" x14ac:dyDescent="0.3">
      <c r="A3752" s="5"/>
      <c r="B3752" s="6"/>
      <c r="C3752" s="7"/>
      <c r="D3752" s="10"/>
      <c r="F3752" s="1"/>
      <c r="G3752" s="1"/>
      <c r="H3752" s="1"/>
      <c r="I3752" s="7"/>
      <c r="J3752" s="12"/>
      <c r="K3752" s="13"/>
      <c r="L3752" s="14"/>
      <c r="M3752" s="15"/>
      <c r="N3752" s="15"/>
      <c r="O3752" s="16"/>
      <c r="Q3752" s="16"/>
    </row>
    <row r="3753" spans="1:17" x14ac:dyDescent="0.3">
      <c r="A3753" s="5"/>
      <c r="B3753" s="6"/>
      <c r="C3753" s="7"/>
      <c r="D3753" s="10"/>
      <c r="F3753" s="1"/>
      <c r="G3753" s="1"/>
      <c r="H3753" s="1"/>
      <c r="I3753" s="7"/>
      <c r="J3753" s="12"/>
      <c r="K3753" s="13"/>
      <c r="L3753" s="14"/>
      <c r="M3753" s="15"/>
      <c r="N3753" s="15"/>
      <c r="O3753" s="16"/>
      <c r="Q3753" s="16"/>
    </row>
    <row r="3754" spans="1:17" x14ac:dyDescent="0.3">
      <c r="A3754" s="5"/>
      <c r="B3754" s="6"/>
      <c r="C3754" s="7"/>
      <c r="D3754" s="10"/>
      <c r="F3754" s="1"/>
      <c r="G3754" s="1"/>
      <c r="H3754" s="1"/>
      <c r="I3754" s="7"/>
      <c r="J3754" s="12"/>
      <c r="K3754" s="13"/>
      <c r="L3754" s="14"/>
      <c r="M3754" s="15"/>
      <c r="N3754" s="15"/>
      <c r="O3754" s="16"/>
      <c r="Q3754" s="16"/>
    </row>
    <row r="3755" spans="1:17" x14ac:dyDescent="0.3">
      <c r="A3755" s="5"/>
      <c r="B3755" s="6"/>
      <c r="C3755" s="7"/>
      <c r="D3755" s="10"/>
      <c r="F3755" s="1"/>
      <c r="G3755" s="1"/>
      <c r="H3755" s="1"/>
      <c r="I3755" s="7"/>
      <c r="J3755" s="12"/>
      <c r="K3755" s="13"/>
      <c r="L3755" s="14"/>
      <c r="M3755" s="15"/>
      <c r="N3755" s="15"/>
      <c r="O3755" s="16"/>
      <c r="Q3755" s="16"/>
    </row>
    <row r="3756" spans="1:17" x14ac:dyDescent="0.3">
      <c r="A3756" s="5"/>
      <c r="B3756" s="6"/>
      <c r="C3756" s="7"/>
      <c r="D3756" s="10"/>
      <c r="F3756" s="1"/>
      <c r="G3756" s="1"/>
      <c r="H3756" s="1"/>
      <c r="I3756" s="7"/>
      <c r="J3756" s="12"/>
      <c r="K3756" s="13"/>
      <c r="L3756" s="14"/>
      <c r="M3756" s="15"/>
      <c r="N3756" s="15"/>
      <c r="O3756" s="16"/>
      <c r="Q3756" s="16"/>
    </row>
    <row r="3757" spans="1:17" x14ac:dyDescent="0.3">
      <c r="A3757" s="5"/>
      <c r="B3757" s="6"/>
      <c r="C3757" s="7"/>
      <c r="D3757" s="10"/>
      <c r="F3757" s="1"/>
      <c r="G3757" s="1"/>
      <c r="H3757" s="1"/>
      <c r="I3757" s="7"/>
      <c r="J3757" s="12"/>
      <c r="K3757" s="13"/>
      <c r="L3757" s="14"/>
      <c r="M3757" s="15"/>
      <c r="N3757" s="15"/>
      <c r="O3757" s="16"/>
      <c r="Q3757" s="16"/>
    </row>
    <row r="3758" spans="1:17" x14ac:dyDescent="0.3">
      <c r="A3758" s="5"/>
      <c r="B3758" s="6"/>
      <c r="C3758" s="7"/>
      <c r="D3758" s="10"/>
      <c r="F3758" s="1"/>
      <c r="G3758" s="1"/>
      <c r="H3758" s="1"/>
      <c r="I3758" s="7"/>
      <c r="J3758" s="12"/>
      <c r="K3758" s="13"/>
      <c r="L3758" s="14"/>
      <c r="M3758" s="15"/>
      <c r="N3758" s="15"/>
      <c r="O3758" s="16"/>
      <c r="Q3758" s="16"/>
    </row>
    <row r="3759" spans="1:17" x14ac:dyDescent="0.3">
      <c r="A3759" s="5"/>
      <c r="B3759" s="6"/>
      <c r="C3759" s="7"/>
      <c r="D3759" s="10"/>
      <c r="F3759" s="1"/>
      <c r="G3759" s="1"/>
      <c r="H3759" s="1"/>
      <c r="I3759" s="7"/>
      <c r="J3759" s="12"/>
      <c r="K3759" s="13"/>
      <c r="L3759" s="14"/>
      <c r="M3759" s="15"/>
      <c r="N3759" s="15"/>
      <c r="O3759" s="16"/>
      <c r="Q3759" s="16"/>
    </row>
    <row r="3760" spans="1:17" x14ac:dyDescent="0.3">
      <c r="A3760" s="5"/>
      <c r="B3760" s="6"/>
      <c r="C3760" s="7"/>
      <c r="D3760" s="10"/>
      <c r="F3760" s="1"/>
      <c r="G3760" s="1"/>
      <c r="H3760" s="1"/>
      <c r="I3760" s="7"/>
      <c r="J3760" s="12"/>
      <c r="K3760" s="13"/>
      <c r="L3760" s="14"/>
      <c r="M3760" s="15"/>
      <c r="N3760" s="15"/>
      <c r="O3760" s="16"/>
      <c r="Q3760" s="16"/>
    </row>
    <row r="3761" spans="1:17" x14ac:dyDescent="0.3">
      <c r="A3761" s="5"/>
      <c r="B3761" s="6"/>
      <c r="C3761" s="7"/>
      <c r="D3761" s="10"/>
      <c r="F3761" s="1"/>
      <c r="G3761" s="1"/>
      <c r="H3761" s="1"/>
      <c r="I3761" s="7"/>
      <c r="J3761" s="12"/>
      <c r="K3761" s="13"/>
      <c r="L3761" s="14"/>
      <c r="M3761" s="15"/>
      <c r="N3761" s="15"/>
      <c r="O3761" s="16"/>
      <c r="Q3761" s="16"/>
    </row>
    <row r="3762" spans="1:17" x14ac:dyDescent="0.3">
      <c r="A3762" s="5"/>
      <c r="B3762" s="6"/>
      <c r="C3762" s="7"/>
      <c r="D3762" s="10"/>
      <c r="F3762" s="1"/>
      <c r="G3762" s="1"/>
      <c r="H3762" s="1"/>
      <c r="I3762" s="7"/>
      <c r="J3762" s="12"/>
      <c r="K3762" s="13"/>
      <c r="L3762" s="14"/>
      <c r="M3762" s="15"/>
      <c r="N3762" s="15"/>
      <c r="O3762" s="16"/>
      <c r="Q3762" s="16"/>
    </row>
    <row r="3763" spans="1:17" x14ac:dyDescent="0.3">
      <c r="A3763" s="5"/>
      <c r="B3763" s="6"/>
      <c r="C3763" s="7"/>
      <c r="D3763" s="10"/>
      <c r="F3763" s="1"/>
      <c r="G3763" s="1"/>
      <c r="H3763" s="1"/>
      <c r="I3763" s="7"/>
      <c r="J3763" s="12"/>
      <c r="K3763" s="13"/>
      <c r="L3763" s="14"/>
      <c r="M3763" s="15"/>
      <c r="N3763" s="15"/>
      <c r="O3763" s="16"/>
      <c r="Q3763" s="16"/>
    </row>
    <row r="3764" spans="1:17" x14ac:dyDescent="0.3">
      <c r="A3764" s="5"/>
      <c r="B3764" s="6"/>
      <c r="C3764" s="7"/>
      <c r="D3764" s="10"/>
      <c r="F3764" s="1"/>
      <c r="G3764" s="1"/>
      <c r="H3764" s="1"/>
      <c r="I3764" s="7"/>
      <c r="J3764" s="12"/>
      <c r="K3764" s="13"/>
      <c r="L3764" s="14"/>
      <c r="M3764" s="15"/>
      <c r="N3764" s="15"/>
      <c r="O3764" s="16"/>
      <c r="Q3764" s="16"/>
    </row>
    <row r="3765" spans="1:17" x14ac:dyDescent="0.3">
      <c r="A3765" s="5"/>
      <c r="B3765" s="6"/>
      <c r="C3765" s="7"/>
      <c r="D3765" s="10"/>
      <c r="F3765" s="1"/>
      <c r="G3765" s="1"/>
      <c r="H3765" s="1"/>
      <c r="I3765" s="7"/>
      <c r="J3765" s="12"/>
      <c r="K3765" s="13"/>
      <c r="L3765" s="14"/>
      <c r="M3765" s="15"/>
      <c r="N3765" s="15"/>
      <c r="O3765" s="16"/>
      <c r="Q3765" s="16"/>
    </row>
    <row r="3766" spans="1:17" x14ac:dyDescent="0.3">
      <c r="A3766" s="5"/>
      <c r="B3766" s="6"/>
      <c r="C3766" s="7"/>
      <c r="D3766" s="10"/>
      <c r="F3766" s="1"/>
      <c r="G3766" s="1"/>
      <c r="H3766" s="1"/>
      <c r="I3766" s="7"/>
      <c r="J3766" s="12"/>
      <c r="K3766" s="13"/>
      <c r="L3766" s="14"/>
      <c r="M3766" s="15"/>
      <c r="N3766" s="15"/>
      <c r="O3766" s="16"/>
      <c r="Q3766" s="16"/>
    </row>
    <row r="3767" spans="1:17" x14ac:dyDescent="0.3">
      <c r="A3767" s="5"/>
      <c r="B3767" s="6"/>
      <c r="C3767" s="7"/>
      <c r="D3767" s="10"/>
      <c r="F3767" s="1"/>
      <c r="G3767" s="1"/>
      <c r="H3767" s="1"/>
      <c r="I3767" s="7"/>
      <c r="J3767" s="12"/>
      <c r="K3767" s="13"/>
      <c r="L3767" s="14"/>
      <c r="M3767" s="15"/>
      <c r="N3767" s="15"/>
      <c r="O3767" s="16"/>
      <c r="Q3767" s="16"/>
    </row>
    <row r="3768" spans="1:17" x14ac:dyDescent="0.3">
      <c r="A3768" s="5"/>
      <c r="B3768" s="6"/>
      <c r="C3768" s="7"/>
      <c r="D3768" s="10"/>
      <c r="F3768" s="1"/>
      <c r="G3768" s="1"/>
      <c r="H3768" s="1"/>
      <c r="I3768" s="7"/>
      <c r="J3768" s="12"/>
      <c r="K3768" s="13"/>
      <c r="L3768" s="14"/>
      <c r="M3768" s="15"/>
      <c r="N3768" s="15"/>
      <c r="O3768" s="16"/>
      <c r="Q3768" s="16"/>
    </row>
    <row r="3769" spans="1:17" x14ac:dyDescent="0.3">
      <c r="A3769" s="5"/>
      <c r="B3769" s="6"/>
      <c r="C3769" s="7"/>
      <c r="D3769" s="10"/>
      <c r="F3769" s="1"/>
      <c r="G3769" s="1"/>
      <c r="H3769" s="1"/>
      <c r="I3769" s="7"/>
      <c r="J3769" s="12"/>
      <c r="K3769" s="13"/>
      <c r="L3769" s="14"/>
      <c r="M3769" s="15"/>
      <c r="N3769" s="15"/>
      <c r="O3769" s="16"/>
      <c r="Q3769" s="16"/>
    </row>
    <row r="3770" spans="1:17" x14ac:dyDescent="0.3">
      <c r="A3770" s="5"/>
      <c r="B3770" s="6"/>
      <c r="C3770" s="7"/>
      <c r="D3770" s="10"/>
      <c r="F3770" s="1"/>
      <c r="G3770" s="1"/>
      <c r="H3770" s="1"/>
      <c r="I3770" s="7"/>
      <c r="J3770" s="12"/>
      <c r="K3770" s="13"/>
      <c r="L3770" s="14"/>
      <c r="M3770" s="15"/>
      <c r="N3770" s="15"/>
      <c r="O3770" s="16"/>
      <c r="Q3770" s="16"/>
    </row>
    <row r="3771" spans="1:17" x14ac:dyDescent="0.3">
      <c r="A3771" s="5"/>
      <c r="B3771" s="6"/>
      <c r="C3771" s="7"/>
      <c r="D3771" s="10"/>
      <c r="F3771" s="1"/>
      <c r="G3771" s="1"/>
      <c r="H3771" s="1"/>
      <c r="I3771" s="7"/>
      <c r="J3771" s="12"/>
      <c r="K3771" s="13"/>
      <c r="L3771" s="14"/>
      <c r="M3771" s="15"/>
      <c r="N3771" s="15"/>
      <c r="O3771" s="16"/>
      <c r="Q3771" s="16"/>
    </row>
    <row r="3772" spans="1:17" x14ac:dyDescent="0.3">
      <c r="A3772" s="5"/>
      <c r="B3772" s="6"/>
      <c r="C3772" s="7"/>
      <c r="D3772" s="10"/>
      <c r="F3772" s="1"/>
      <c r="G3772" s="1"/>
      <c r="H3772" s="1"/>
      <c r="I3772" s="7"/>
      <c r="J3772" s="12"/>
      <c r="K3772" s="13"/>
      <c r="L3772" s="14"/>
      <c r="M3772" s="15"/>
      <c r="N3772" s="15"/>
      <c r="O3772" s="16"/>
      <c r="Q3772" s="16"/>
    </row>
    <row r="3773" spans="1:17" x14ac:dyDescent="0.3">
      <c r="A3773" s="5"/>
      <c r="B3773" s="6"/>
      <c r="C3773" s="7"/>
      <c r="D3773" s="10"/>
      <c r="F3773" s="1"/>
      <c r="G3773" s="1"/>
      <c r="H3773" s="1"/>
      <c r="I3773" s="7"/>
      <c r="J3773" s="12"/>
      <c r="K3773" s="13"/>
      <c r="L3773" s="14"/>
      <c r="M3773" s="15"/>
      <c r="N3773" s="15"/>
      <c r="O3773" s="16"/>
      <c r="Q3773" s="16"/>
    </row>
    <row r="3774" spans="1:17" x14ac:dyDescent="0.3">
      <c r="A3774" s="5"/>
      <c r="B3774" s="6"/>
      <c r="C3774" s="7"/>
      <c r="D3774" s="10"/>
      <c r="F3774" s="1"/>
      <c r="G3774" s="1"/>
      <c r="H3774" s="1"/>
      <c r="I3774" s="7"/>
      <c r="J3774" s="12"/>
      <c r="K3774" s="13"/>
      <c r="L3774" s="14"/>
      <c r="M3774" s="15"/>
      <c r="N3774" s="15"/>
      <c r="O3774" s="16"/>
      <c r="Q3774" s="16"/>
    </row>
    <row r="3775" spans="1:17" x14ac:dyDescent="0.3">
      <c r="A3775" s="5"/>
      <c r="B3775" s="6"/>
      <c r="C3775" s="7"/>
      <c r="D3775" s="10"/>
      <c r="F3775" s="1"/>
      <c r="G3775" s="1"/>
      <c r="H3775" s="1"/>
      <c r="I3775" s="7"/>
      <c r="J3775" s="12"/>
      <c r="K3775" s="13"/>
      <c r="L3775" s="14"/>
      <c r="M3775" s="15"/>
      <c r="N3775" s="15"/>
      <c r="O3775" s="16"/>
      <c r="Q3775" s="16"/>
    </row>
    <row r="3776" spans="1:17" x14ac:dyDescent="0.3">
      <c r="A3776" s="5"/>
      <c r="B3776" s="6"/>
      <c r="C3776" s="7"/>
      <c r="D3776" s="10"/>
      <c r="F3776" s="1"/>
      <c r="G3776" s="1"/>
      <c r="H3776" s="1"/>
      <c r="I3776" s="7"/>
      <c r="J3776" s="12"/>
      <c r="K3776" s="13"/>
      <c r="L3776" s="14"/>
      <c r="M3776" s="15"/>
      <c r="N3776" s="15"/>
      <c r="O3776" s="16"/>
      <c r="Q3776" s="16"/>
    </row>
    <row r="3777" spans="1:17" x14ac:dyDescent="0.3">
      <c r="A3777" s="5"/>
      <c r="B3777" s="6"/>
      <c r="C3777" s="7"/>
      <c r="D3777" s="10"/>
      <c r="F3777" s="1"/>
      <c r="G3777" s="1"/>
      <c r="H3777" s="1"/>
      <c r="I3777" s="7"/>
      <c r="J3777" s="12"/>
      <c r="K3777" s="13"/>
      <c r="L3777" s="14"/>
      <c r="M3777" s="15"/>
      <c r="N3777" s="15"/>
      <c r="O3777" s="16"/>
      <c r="Q3777" s="16"/>
    </row>
    <row r="3778" spans="1:17" x14ac:dyDescent="0.3">
      <c r="A3778" s="5"/>
      <c r="B3778" s="6"/>
      <c r="C3778" s="7"/>
      <c r="D3778" s="10"/>
      <c r="F3778" s="1"/>
      <c r="G3778" s="1"/>
      <c r="H3778" s="1"/>
      <c r="I3778" s="7"/>
      <c r="J3778" s="12"/>
      <c r="K3778" s="13"/>
      <c r="L3778" s="14"/>
      <c r="M3778" s="15"/>
      <c r="N3778" s="15"/>
      <c r="O3778" s="16"/>
      <c r="Q3778" s="16"/>
    </row>
    <row r="3779" spans="1:17" x14ac:dyDescent="0.3">
      <c r="A3779" s="5"/>
      <c r="B3779" s="6"/>
      <c r="C3779" s="7"/>
      <c r="D3779" s="10"/>
      <c r="F3779" s="1"/>
      <c r="G3779" s="1"/>
      <c r="H3779" s="1"/>
      <c r="I3779" s="7"/>
      <c r="J3779" s="12"/>
      <c r="K3779" s="13"/>
      <c r="L3779" s="14"/>
      <c r="M3779" s="15"/>
      <c r="N3779" s="15"/>
      <c r="O3779" s="16"/>
      <c r="Q3779" s="16"/>
    </row>
    <row r="3780" spans="1:17" x14ac:dyDescent="0.3">
      <c r="A3780" s="5"/>
      <c r="B3780" s="6"/>
      <c r="C3780" s="7"/>
      <c r="D3780" s="10"/>
      <c r="F3780" s="1"/>
      <c r="G3780" s="1"/>
      <c r="H3780" s="1"/>
      <c r="I3780" s="7"/>
      <c r="J3780" s="12"/>
      <c r="K3780" s="13"/>
      <c r="L3780" s="14"/>
      <c r="M3780" s="15"/>
      <c r="N3780" s="15"/>
      <c r="O3780" s="16"/>
      <c r="Q3780" s="16"/>
    </row>
    <row r="3781" spans="1:17" x14ac:dyDescent="0.3">
      <c r="A3781" s="5"/>
      <c r="B3781" s="6"/>
      <c r="C3781" s="7"/>
      <c r="D3781" s="10"/>
      <c r="F3781" s="1"/>
      <c r="G3781" s="1"/>
      <c r="H3781" s="1"/>
      <c r="I3781" s="7"/>
      <c r="J3781" s="12"/>
      <c r="K3781" s="13"/>
      <c r="L3781" s="14"/>
      <c r="M3781" s="15"/>
      <c r="N3781" s="15"/>
      <c r="O3781" s="16"/>
      <c r="Q3781" s="16"/>
    </row>
    <row r="3782" spans="1:17" x14ac:dyDescent="0.3">
      <c r="A3782" s="5"/>
      <c r="B3782" s="6"/>
      <c r="C3782" s="7"/>
      <c r="D3782" s="10"/>
      <c r="F3782" s="1"/>
      <c r="G3782" s="1"/>
      <c r="H3782" s="1"/>
      <c r="I3782" s="7"/>
      <c r="J3782" s="12"/>
      <c r="K3782" s="13"/>
      <c r="L3782" s="14"/>
      <c r="M3782" s="15"/>
      <c r="N3782" s="15"/>
      <c r="O3782" s="16"/>
      <c r="Q3782" s="16"/>
    </row>
    <row r="3783" spans="1:17" x14ac:dyDescent="0.3">
      <c r="A3783" s="5"/>
      <c r="B3783" s="6"/>
      <c r="C3783" s="7"/>
      <c r="D3783" s="10"/>
      <c r="F3783" s="1"/>
      <c r="G3783" s="1"/>
      <c r="H3783" s="1"/>
      <c r="I3783" s="7"/>
      <c r="J3783" s="12"/>
      <c r="K3783" s="13"/>
      <c r="L3783" s="14"/>
      <c r="M3783" s="15"/>
      <c r="N3783" s="15"/>
      <c r="O3783" s="16"/>
      <c r="Q3783" s="16"/>
    </row>
    <row r="3784" spans="1:17" x14ac:dyDescent="0.3">
      <c r="A3784" s="5"/>
      <c r="B3784" s="6"/>
      <c r="C3784" s="7"/>
      <c r="D3784" s="10"/>
      <c r="F3784" s="1"/>
      <c r="G3784" s="1"/>
      <c r="H3784" s="1"/>
      <c r="I3784" s="7"/>
      <c r="J3784" s="12"/>
      <c r="K3784" s="13"/>
      <c r="L3784" s="14"/>
      <c r="M3784" s="15"/>
      <c r="N3784" s="15"/>
      <c r="O3784" s="16"/>
      <c r="Q3784" s="16"/>
    </row>
    <row r="3785" spans="1:17" x14ac:dyDescent="0.3">
      <c r="A3785" s="5"/>
      <c r="B3785" s="6"/>
      <c r="C3785" s="7"/>
      <c r="D3785" s="10"/>
      <c r="F3785" s="1"/>
      <c r="G3785" s="1"/>
      <c r="H3785" s="1"/>
      <c r="I3785" s="7"/>
      <c r="J3785" s="12"/>
      <c r="K3785" s="13"/>
      <c r="L3785" s="14"/>
      <c r="M3785" s="15"/>
      <c r="N3785" s="15"/>
      <c r="O3785" s="16"/>
      <c r="Q3785" s="16"/>
    </row>
    <row r="3786" spans="1:17" x14ac:dyDescent="0.3">
      <c r="A3786" s="5"/>
      <c r="B3786" s="6"/>
      <c r="C3786" s="7"/>
      <c r="D3786" s="10"/>
      <c r="F3786" s="1"/>
      <c r="G3786" s="1"/>
      <c r="H3786" s="1"/>
      <c r="I3786" s="7"/>
      <c r="J3786" s="12"/>
      <c r="K3786" s="13"/>
      <c r="L3786" s="14"/>
      <c r="M3786" s="15"/>
      <c r="N3786" s="15"/>
      <c r="O3786" s="16"/>
      <c r="Q3786" s="16"/>
    </row>
    <row r="3787" spans="1:17" x14ac:dyDescent="0.3">
      <c r="A3787" s="5"/>
      <c r="B3787" s="6"/>
      <c r="C3787" s="7"/>
      <c r="D3787" s="10"/>
      <c r="F3787" s="1"/>
      <c r="G3787" s="1"/>
      <c r="H3787" s="1"/>
      <c r="I3787" s="7"/>
      <c r="J3787" s="12"/>
      <c r="K3787" s="13"/>
      <c r="L3787" s="14"/>
      <c r="M3787" s="15"/>
      <c r="N3787" s="15"/>
      <c r="O3787" s="16"/>
      <c r="Q3787" s="16"/>
    </row>
    <row r="3788" spans="1:17" x14ac:dyDescent="0.3">
      <c r="A3788" s="5"/>
      <c r="B3788" s="6"/>
      <c r="C3788" s="7"/>
      <c r="D3788" s="10"/>
      <c r="F3788" s="1"/>
      <c r="G3788" s="1"/>
      <c r="H3788" s="1"/>
      <c r="I3788" s="7"/>
      <c r="J3788" s="12"/>
      <c r="K3788" s="13"/>
      <c r="L3788" s="14"/>
      <c r="M3788" s="15"/>
      <c r="N3788" s="15"/>
      <c r="O3788" s="16"/>
      <c r="Q3788" s="16"/>
    </row>
    <row r="3789" spans="1:17" x14ac:dyDescent="0.3">
      <c r="A3789" s="5"/>
      <c r="B3789" s="6"/>
      <c r="C3789" s="7"/>
      <c r="D3789" s="10"/>
      <c r="F3789" s="1"/>
      <c r="G3789" s="1"/>
      <c r="H3789" s="1"/>
      <c r="I3789" s="7"/>
      <c r="J3789" s="12"/>
      <c r="K3789" s="13"/>
      <c r="L3789" s="14"/>
      <c r="M3789" s="15"/>
      <c r="N3789" s="15"/>
      <c r="O3789" s="16"/>
      <c r="Q3789" s="16"/>
    </row>
    <row r="3790" spans="1:17" x14ac:dyDescent="0.3">
      <c r="A3790" s="5"/>
      <c r="B3790" s="6"/>
      <c r="C3790" s="7"/>
      <c r="D3790" s="10"/>
      <c r="F3790" s="1"/>
      <c r="G3790" s="1"/>
      <c r="H3790" s="1"/>
      <c r="I3790" s="7"/>
      <c r="J3790" s="12"/>
      <c r="K3790" s="13"/>
      <c r="L3790" s="14"/>
      <c r="M3790" s="15"/>
      <c r="N3790" s="15"/>
      <c r="O3790" s="16"/>
      <c r="Q3790" s="16"/>
    </row>
    <row r="3791" spans="1:17" x14ac:dyDescent="0.3">
      <c r="A3791" s="5"/>
      <c r="B3791" s="6"/>
      <c r="C3791" s="7"/>
      <c r="D3791" s="10"/>
      <c r="F3791" s="1"/>
      <c r="G3791" s="1"/>
      <c r="H3791" s="1"/>
      <c r="I3791" s="7"/>
      <c r="J3791" s="12"/>
      <c r="K3791" s="13"/>
      <c r="L3791" s="14"/>
      <c r="M3791" s="15"/>
      <c r="N3791" s="15"/>
      <c r="O3791" s="16"/>
      <c r="Q3791" s="16"/>
    </row>
    <row r="3792" spans="1:17" x14ac:dyDescent="0.3">
      <c r="A3792" s="5"/>
      <c r="B3792" s="6"/>
      <c r="C3792" s="7"/>
      <c r="D3792" s="10"/>
      <c r="F3792" s="1"/>
      <c r="G3792" s="1"/>
      <c r="H3792" s="1"/>
      <c r="I3792" s="7"/>
      <c r="J3792" s="12"/>
      <c r="K3792" s="13"/>
      <c r="L3792" s="14"/>
      <c r="M3792" s="15"/>
      <c r="N3792" s="15"/>
      <c r="O3792" s="16"/>
      <c r="Q3792" s="16"/>
    </row>
    <row r="3793" spans="1:17" x14ac:dyDescent="0.3">
      <c r="A3793" s="5"/>
      <c r="B3793" s="6"/>
      <c r="C3793" s="7"/>
      <c r="D3793" s="10"/>
      <c r="F3793" s="1"/>
      <c r="G3793" s="1"/>
      <c r="H3793" s="1"/>
      <c r="I3793" s="7"/>
      <c r="J3793" s="12"/>
      <c r="K3793" s="13"/>
      <c r="L3793" s="14"/>
      <c r="M3793" s="15"/>
      <c r="N3793" s="15"/>
      <c r="O3793" s="16"/>
      <c r="Q3793" s="16"/>
    </row>
    <row r="3794" spans="1:17" x14ac:dyDescent="0.3">
      <c r="A3794" s="5"/>
      <c r="B3794" s="6"/>
      <c r="C3794" s="7"/>
      <c r="D3794" s="10"/>
      <c r="F3794" s="1"/>
      <c r="G3794" s="1"/>
      <c r="H3794" s="1"/>
      <c r="I3794" s="7"/>
      <c r="J3794" s="12"/>
      <c r="K3794" s="13"/>
      <c r="L3794" s="14"/>
      <c r="M3794" s="15"/>
      <c r="N3794" s="15"/>
      <c r="O3794" s="16"/>
      <c r="Q3794" s="16"/>
    </row>
    <row r="3795" spans="1:17" x14ac:dyDescent="0.3">
      <c r="A3795" s="5"/>
      <c r="B3795" s="6"/>
      <c r="C3795" s="7"/>
      <c r="D3795" s="10"/>
      <c r="F3795" s="1"/>
      <c r="G3795" s="1"/>
      <c r="H3795" s="1"/>
      <c r="I3795" s="7"/>
      <c r="J3795" s="12"/>
      <c r="K3795" s="13"/>
      <c r="L3795" s="14"/>
      <c r="M3795" s="15"/>
      <c r="N3795" s="15"/>
      <c r="O3795" s="16"/>
      <c r="Q3795" s="16"/>
    </row>
    <row r="3796" spans="1:17" x14ac:dyDescent="0.3">
      <c r="A3796" s="5"/>
      <c r="B3796" s="6"/>
      <c r="C3796" s="7"/>
      <c r="D3796" s="10"/>
      <c r="F3796" s="1"/>
      <c r="G3796" s="1"/>
      <c r="H3796" s="1"/>
      <c r="I3796" s="7"/>
      <c r="J3796" s="12"/>
      <c r="K3796" s="13"/>
      <c r="L3796" s="14"/>
      <c r="M3796" s="15"/>
      <c r="N3796" s="15"/>
      <c r="O3796" s="16"/>
      <c r="Q3796" s="16"/>
    </row>
    <row r="3797" spans="1:17" x14ac:dyDescent="0.3">
      <c r="A3797" s="5"/>
      <c r="B3797" s="6"/>
      <c r="C3797" s="7"/>
      <c r="D3797" s="10"/>
      <c r="F3797" s="1"/>
      <c r="G3797" s="1"/>
      <c r="H3797" s="1"/>
      <c r="I3797" s="7"/>
      <c r="J3797" s="12"/>
      <c r="K3797" s="13"/>
      <c r="L3797" s="14"/>
      <c r="M3797" s="15"/>
      <c r="N3797" s="15"/>
      <c r="O3797" s="16"/>
      <c r="Q3797" s="16"/>
    </row>
    <row r="3798" spans="1:17" x14ac:dyDescent="0.3">
      <c r="A3798" s="5"/>
      <c r="B3798" s="6"/>
      <c r="C3798" s="7"/>
      <c r="D3798" s="10"/>
      <c r="F3798" s="1"/>
      <c r="G3798" s="1"/>
      <c r="H3798" s="1"/>
      <c r="I3798" s="7"/>
      <c r="J3798" s="12"/>
      <c r="K3798" s="13"/>
      <c r="L3798" s="14"/>
      <c r="M3798" s="15"/>
      <c r="N3798" s="15"/>
      <c r="O3798" s="16"/>
      <c r="Q3798" s="16"/>
    </row>
    <row r="3799" spans="1:17" x14ac:dyDescent="0.3">
      <c r="A3799" s="5"/>
      <c r="B3799" s="6"/>
      <c r="C3799" s="7"/>
      <c r="D3799" s="10"/>
      <c r="F3799" s="1"/>
      <c r="G3799" s="1"/>
      <c r="H3799" s="1"/>
      <c r="I3799" s="7"/>
      <c r="J3799" s="12"/>
      <c r="K3799" s="13"/>
      <c r="L3799" s="14"/>
      <c r="M3799" s="15"/>
      <c r="N3799" s="15"/>
      <c r="O3799" s="16"/>
      <c r="Q3799" s="16"/>
    </row>
    <row r="3800" spans="1:17" x14ac:dyDescent="0.3">
      <c r="A3800" s="5"/>
      <c r="B3800" s="6"/>
      <c r="C3800" s="7"/>
      <c r="D3800" s="10"/>
      <c r="F3800" s="1"/>
      <c r="G3800" s="1"/>
      <c r="H3800" s="1"/>
      <c r="I3800" s="7"/>
      <c r="J3800" s="12"/>
      <c r="K3800" s="13"/>
      <c r="L3800" s="14"/>
      <c r="M3800" s="15"/>
      <c r="N3800" s="15"/>
      <c r="O3800" s="16"/>
      <c r="Q3800" s="16"/>
    </row>
    <row r="3801" spans="1:17" x14ac:dyDescent="0.3">
      <c r="A3801" s="5"/>
      <c r="B3801" s="6"/>
      <c r="C3801" s="7"/>
      <c r="D3801" s="10"/>
      <c r="F3801" s="1"/>
      <c r="G3801" s="1"/>
      <c r="H3801" s="1"/>
      <c r="I3801" s="7"/>
      <c r="J3801" s="12"/>
      <c r="K3801" s="13"/>
      <c r="L3801" s="14"/>
      <c r="M3801" s="15"/>
      <c r="N3801" s="15"/>
      <c r="O3801" s="16"/>
      <c r="Q3801" s="16"/>
    </row>
    <row r="3802" spans="1:17" x14ac:dyDescent="0.3">
      <c r="A3802" s="5"/>
      <c r="B3802" s="6"/>
      <c r="C3802" s="7"/>
      <c r="D3802" s="10"/>
      <c r="F3802" s="1"/>
      <c r="G3802" s="1"/>
      <c r="H3802" s="1"/>
      <c r="I3802" s="7"/>
      <c r="J3802" s="12"/>
      <c r="K3802" s="13"/>
      <c r="L3802" s="14"/>
      <c r="M3802" s="15"/>
      <c r="N3802" s="15"/>
      <c r="O3802" s="16"/>
      <c r="Q3802" s="16"/>
    </row>
    <row r="3803" spans="1:17" x14ac:dyDescent="0.3">
      <c r="A3803" s="5"/>
      <c r="B3803" s="6"/>
      <c r="C3803" s="7"/>
      <c r="D3803" s="10"/>
      <c r="F3803" s="1"/>
      <c r="G3803" s="1"/>
      <c r="H3803" s="1"/>
      <c r="I3803" s="7"/>
      <c r="J3803" s="12"/>
      <c r="K3803" s="13"/>
      <c r="L3803" s="14"/>
      <c r="M3803" s="15"/>
      <c r="N3803" s="15"/>
      <c r="O3803" s="16"/>
      <c r="Q3803" s="16"/>
    </row>
    <row r="3804" spans="1:17" x14ac:dyDescent="0.3">
      <c r="A3804" s="5"/>
      <c r="B3804" s="6"/>
      <c r="C3804" s="7"/>
      <c r="D3804" s="10"/>
      <c r="F3804" s="1"/>
      <c r="G3804" s="1"/>
      <c r="H3804" s="1"/>
      <c r="I3804" s="7"/>
      <c r="J3804" s="12"/>
      <c r="K3804" s="13"/>
      <c r="L3804" s="14"/>
      <c r="M3804" s="15"/>
      <c r="N3804" s="15"/>
      <c r="O3804" s="16"/>
      <c r="Q3804" s="16"/>
    </row>
    <row r="3805" spans="1:17" x14ac:dyDescent="0.3">
      <c r="A3805" s="5"/>
      <c r="B3805" s="6"/>
      <c r="C3805" s="7"/>
      <c r="D3805" s="10"/>
      <c r="F3805" s="1"/>
      <c r="G3805" s="1"/>
      <c r="H3805" s="1"/>
      <c r="I3805" s="7"/>
      <c r="J3805" s="12"/>
      <c r="K3805" s="13"/>
      <c r="L3805" s="14"/>
      <c r="M3805" s="15"/>
      <c r="N3805" s="15"/>
      <c r="O3805" s="16"/>
      <c r="Q3805" s="16"/>
    </row>
    <row r="3806" spans="1:17" x14ac:dyDescent="0.3">
      <c r="A3806" s="5"/>
      <c r="B3806" s="6"/>
      <c r="C3806" s="7"/>
      <c r="D3806" s="10"/>
      <c r="F3806" s="1"/>
      <c r="G3806" s="1"/>
      <c r="H3806" s="1"/>
      <c r="I3806" s="7"/>
      <c r="J3806" s="12"/>
      <c r="K3806" s="13"/>
      <c r="L3806" s="14"/>
      <c r="M3806" s="15"/>
      <c r="N3806" s="15"/>
      <c r="O3806" s="16"/>
      <c r="Q3806" s="16"/>
    </row>
    <row r="3807" spans="1:17" x14ac:dyDescent="0.3">
      <c r="A3807" s="5"/>
      <c r="B3807" s="6"/>
      <c r="C3807" s="7"/>
      <c r="D3807" s="10"/>
      <c r="F3807" s="1"/>
      <c r="G3807" s="1"/>
      <c r="H3807" s="1"/>
      <c r="I3807" s="7"/>
      <c r="J3807" s="12"/>
      <c r="K3807" s="13"/>
      <c r="L3807" s="14"/>
      <c r="M3807" s="15"/>
      <c r="N3807" s="15"/>
      <c r="O3807" s="16"/>
      <c r="Q3807" s="16"/>
    </row>
    <row r="3808" spans="1:17" x14ac:dyDescent="0.3">
      <c r="A3808" s="5"/>
      <c r="B3808" s="6"/>
      <c r="C3808" s="7"/>
      <c r="D3808" s="10"/>
      <c r="F3808" s="1"/>
      <c r="G3808" s="1"/>
      <c r="H3808" s="1"/>
      <c r="I3808" s="7"/>
      <c r="J3808" s="12"/>
      <c r="K3808" s="13"/>
      <c r="L3808" s="14"/>
      <c r="M3808" s="15"/>
      <c r="N3808" s="15"/>
      <c r="O3808" s="16"/>
      <c r="Q3808" s="16"/>
    </row>
    <row r="3809" spans="1:17" x14ac:dyDescent="0.3">
      <c r="A3809" s="5"/>
      <c r="B3809" s="6"/>
      <c r="C3809" s="7"/>
      <c r="D3809" s="10"/>
      <c r="F3809" s="1"/>
      <c r="G3809" s="1"/>
      <c r="H3809" s="1"/>
      <c r="I3809" s="7"/>
      <c r="J3809" s="12"/>
      <c r="K3809" s="13"/>
      <c r="L3809" s="14"/>
      <c r="M3809" s="15"/>
      <c r="N3809" s="15"/>
      <c r="O3809" s="16"/>
      <c r="Q3809" s="16"/>
    </row>
    <row r="3810" spans="1:17" x14ac:dyDescent="0.3">
      <c r="A3810" s="5"/>
      <c r="B3810" s="6"/>
      <c r="C3810" s="7"/>
      <c r="D3810" s="10"/>
      <c r="F3810" s="1"/>
      <c r="G3810" s="1"/>
      <c r="H3810" s="1"/>
      <c r="I3810" s="7"/>
      <c r="J3810" s="12"/>
      <c r="K3810" s="13"/>
      <c r="L3810" s="14"/>
      <c r="M3810" s="15"/>
      <c r="N3810" s="15"/>
      <c r="O3810" s="16"/>
      <c r="Q3810" s="16"/>
    </row>
    <row r="3811" spans="1:17" x14ac:dyDescent="0.3">
      <c r="A3811" s="5"/>
      <c r="B3811" s="6"/>
      <c r="C3811" s="7"/>
      <c r="D3811" s="10"/>
      <c r="F3811" s="1"/>
      <c r="G3811" s="1"/>
      <c r="H3811" s="1"/>
      <c r="I3811" s="7"/>
      <c r="J3811" s="12"/>
      <c r="K3811" s="13"/>
      <c r="L3811" s="14"/>
      <c r="M3811" s="15"/>
      <c r="N3811" s="15"/>
      <c r="O3811" s="16"/>
      <c r="Q3811" s="16"/>
    </row>
    <row r="3812" spans="1:17" x14ac:dyDescent="0.3">
      <c r="A3812" s="5"/>
      <c r="B3812" s="6"/>
      <c r="C3812" s="7"/>
      <c r="D3812" s="10"/>
      <c r="F3812" s="1"/>
      <c r="G3812" s="1"/>
      <c r="H3812" s="1"/>
      <c r="I3812" s="7"/>
      <c r="J3812" s="12"/>
      <c r="K3812" s="13"/>
      <c r="L3812" s="14"/>
      <c r="M3812" s="15"/>
      <c r="N3812" s="15"/>
      <c r="O3812" s="16"/>
      <c r="Q3812" s="16"/>
    </row>
    <row r="3813" spans="1:17" x14ac:dyDescent="0.3">
      <c r="A3813" s="5"/>
      <c r="B3813" s="6"/>
      <c r="C3813" s="7"/>
      <c r="D3813" s="10"/>
      <c r="F3813" s="1"/>
      <c r="G3813" s="1"/>
      <c r="H3813" s="1"/>
      <c r="I3813" s="7"/>
      <c r="J3813" s="12"/>
      <c r="K3813" s="13"/>
      <c r="L3813" s="14"/>
      <c r="M3813" s="15"/>
      <c r="N3813" s="15"/>
      <c r="O3813" s="16"/>
      <c r="Q3813" s="16"/>
    </row>
    <row r="3814" spans="1:17" x14ac:dyDescent="0.3">
      <c r="A3814" s="5"/>
      <c r="B3814" s="6"/>
      <c r="C3814" s="7"/>
      <c r="D3814" s="10"/>
      <c r="F3814" s="1"/>
      <c r="G3814" s="1"/>
      <c r="H3814" s="1"/>
      <c r="I3814" s="7"/>
      <c r="J3814" s="12"/>
      <c r="K3814" s="13"/>
      <c r="L3814" s="14"/>
      <c r="M3814" s="15"/>
      <c r="N3814" s="15"/>
      <c r="O3814" s="16"/>
      <c r="Q3814" s="16"/>
    </row>
    <row r="3815" spans="1:17" x14ac:dyDescent="0.3">
      <c r="A3815" s="5"/>
      <c r="B3815" s="6"/>
      <c r="C3815" s="7"/>
      <c r="D3815" s="10"/>
      <c r="F3815" s="1"/>
      <c r="G3815" s="1"/>
      <c r="H3815" s="1"/>
      <c r="I3815" s="7"/>
      <c r="J3815" s="12"/>
      <c r="K3815" s="13"/>
      <c r="L3815" s="14"/>
      <c r="M3815" s="15"/>
      <c r="N3815" s="15"/>
      <c r="O3815" s="16"/>
      <c r="Q3815" s="16"/>
    </row>
    <row r="3816" spans="1:17" x14ac:dyDescent="0.3">
      <c r="A3816" s="5"/>
      <c r="B3816" s="6"/>
      <c r="C3816" s="7"/>
      <c r="D3816" s="10"/>
      <c r="F3816" s="1"/>
      <c r="G3816" s="1"/>
      <c r="H3816" s="1"/>
      <c r="I3816" s="7"/>
      <c r="J3816" s="12"/>
      <c r="K3816" s="13"/>
      <c r="L3816" s="14"/>
      <c r="M3816" s="15"/>
      <c r="N3816" s="15"/>
      <c r="O3816" s="16"/>
      <c r="Q3816" s="16"/>
    </row>
    <row r="3817" spans="1:17" x14ac:dyDescent="0.3">
      <c r="A3817" s="5"/>
      <c r="B3817" s="6"/>
      <c r="C3817" s="7"/>
      <c r="D3817" s="10"/>
      <c r="F3817" s="1"/>
      <c r="G3817" s="1"/>
      <c r="H3817" s="1"/>
      <c r="I3817" s="7"/>
      <c r="J3817" s="12"/>
      <c r="K3817" s="13"/>
      <c r="L3817" s="14"/>
      <c r="M3817" s="15"/>
      <c r="N3817" s="15"/>
      <c r="O3817" s="16"/>
      <c r="Q3817" s="16"/>
    </row>
    <row r="3818" spans="1:17" x14ac:dyDescent="0.3">
      <c r="A3818" s="5"/>
      <c r="B3818" s="6"/>
      <c r="C3818" s="7"/>
      <c r="D3818" s="10"/>
      <c r="F3818" s="1"/>
      <c r="G3818" s="1"/>
      <c r="H3818" s="1"/>
      <c r="I3818" s="7"/>
      <c r="J3818" s="12"/>
      <c r="K3818" s="13"/>
      <c r="L3818" s="14"/>
      <c r="M3818" s="15"/>
      <c r="N3818" s="15"/>
      <c r="O3818" s="16"/>
      <c r="Q3818" s="16"/>
    </row>
    <row r="3819" spans="1:17" x14ac:dyDescent="0.3">
      <c r="A3819" s="5"/>
      <c r="B3819" s="6"/>
      <c r="C3819" s="7"/>
      <c r="D3819" s="10"/>
      <c r="F3819" s="1"/>
      <c r="G3819" s="1"/>
      <c r="H3819" s="1"/>
      <c r="I3819" s="7"/>
      <c r="J3819" s="12"/>
      <c r="K3819" s="13"/>
      <c r="L3819" s="14"/>
      <c r="M3819" s="15"/>
      <c r="N3819" s="15"/>
      <c r="O3819" s="16"/>
      <c r="Q3819" s="16"/>
    </row>
    <row r="3820" spans="1:17" x14ac:dyDescent="0.3">
      <c r="A3820" s="5"/>
      <c r="B3820" s="6"/>
      <c r="C3820" s="7"/>
      <c r="D3820" s="10"/>
      <c r="F3820" s="1"/>
      <c r="G3820" s="1"/>
      <c r="H3820" s="1"/>
      <c r="I3820" s="7"/>
      <c r="J3820" s="12"/>
      <c r="K3820" s="13"/>
      <c r="L3820" s="14"/>
      <c r="M3820" s="15"/>
      <c r="N3820" s="15"/>
      <c r="O3820" s="16"/>
      <c r="Q3820" s="16"/>
    </row>
    <row r="3821" spans="1:17" x14ac:dyDescent="0.3">
      <c r="A3821" s="5"/>
      <c r="B3821" s="6"/>
      <c r="C3821" s="7"/>
      <c r="D3821" s="10"/>
      <c r="F3821" s="1"/>
      <c r="G3821" s="1"/>
      <c r="H3821" s="1"/>
      <c r="I3821" s="7"/>
      <c r="J3821" s="12"/>
      <c r="K3821" s="13"/>
      <c r="L3821" s="14"/>
      <c r="M3821" s="15"/>
      <c r="N3821" s="15"/>
      <c r="O3821" s="16"/>
      <c r="Q3821" s="16"/>
    </row>
    <row r="3822" spans="1:17" x14ac:dyDescent="0.3">
      <c r="A3822" s="5"/>
      <c r="B3822" s="6"/>
      <c r="C3822" s="7"/>
      <c r="D3822" s="10"/>
      <c r="F3822" s="1"/>
      <c r="G3822" s="1"/>
      <c r="H3822" s="1"/>
      <c r="I3822" s="7"/>
      <c r="J3822" s="12"/>
      <c r="K3822" s="13"/>
      <c r="L3822" s="14"/>
      <c r="M3822" s="15"/>
      <c r="N3822" s="15"/>
      <c r="O3822" s="16"/>
      <c r="Q3822" s="16"/>
    </row>
    <row r="3823" spans="1:17" x14ac:dyDescent="0.3">
      <c r="A3823" s="5"/>
      <c r="B3823" s="6"/>
      <c r="C3823" s="7"/>
      <c r="D3823" s="10"/>
      <c r="F3823" s="1"/>
      <c r="G3823" s="1"/>
      <c r="H3823" s="1"/>
      <c r="I3823" s="7"/>
      <c r="J3823" s="12"/>
      <c r="K3823" s="13"/>
      <c r="L3823" s="14"/>
      <c r="M3823" s="15"/>
      <c r="N3823" s="15"/>
      <c r="O3823" s="16"/>
      <c r="Q3823" s="16"/>
    </row>
    <row r="3824" spans="1:17" x14ac:dyDescent="0.3">
      <c r="A3824" s="5"/>
      <c r="B3824" s="6"/>
      <c r="C3824" s="7"/>
      <c r="D3824" s="10"/>
      <c r="F3824" s="1"/>
      <c r="G3824" s="1"/>
      <c r="H3824" s="1"/>
      <c r="I3824" s="7"/>
      <c r="J3824" s="12"/>
      <c r="K3824" s="13"/>
      <c r="L3824" s="14"/>
      <c r="M3824" s="15"/>
      <c r="N3824" s="15"/>
      <c r="O3824" s="16"/>
      <c r="Q3824" s="16"/>
    </row>
    <row r="3825" spans="1:17" x14ac:dyDescent="0.3">
      <c r="A3825" s="5"/>
      <c r="B3825" s="6"/>
      <c r="C3825" s="7"/>
      <c r="D3825" s="10"/>
      <c r="F3825" s="1"/>
      <c r="G3825" s="1"/>
      <c r="H3825" s="1"/>
      <c r="I3825" s="7"/>
      <c r="J3825" s="12"/>
      <c r="K3825" s="13"/>
      <c r="L3825" s="14"/>
      <c r="M3825" s="15"/>
      <c r="N3825" s="15"/>
      <c r="O3825" s="16"/>
      <c r="Q3825" s="16"/>
    </row>
    <row r="3826" spans="1:17" x14ac:dyDescent="0.3">
      <c r="A3826" s="5"/>
      <c r="B3826" s="6"/>
      <c r="C3826" s="7"/>
      <c r="D3826" s="10"/>
      <c r="F3826" s="1"/>
      <c r="G3826" s="1"/>
      <c r="H3826" s="1"/>
      <c r="I3826" s="7"/>
      <c r="J3826" s="12"/>
      <c r="K3826" s="13"/>
      <c r="L3826" s="14"/>
      <c r="M3826" s="15"/>
      <c r="N3826" s="15"/>
      <c r="O3826" s="16"/>
      <c r="Q3826" s="16"/>
    </row>
    <row r="3827" spans="1:17" x14ac:dyDescent="0.3">
      <c r="A3827" s="5"/>
      <c r="B3827" s="6"/>
      <c r="C3827" s="7"/>
      <c r="D3827" s="10"/>
      <c r="F3827" s="1"/>
      <c r="G3827" s="1"/>
      <c r="H3827" s="1"/>
      <c r="I3827" s="7"/>
      <c r="J3827" s="12"/>
      <c r="K3827" s="13"/>
      <c r="L3827" s="14"/>
      <c r="M3827" s="15"/>
      <c r="N3827" s="15"/>
      <c r="O3827" s="16"/>
      <c r="Q3827" s="16"/>
    </row>
    <row r="3828" spans="1:17" x14ac:dyDescent="0.3">
      <c r="A3828" s="5"/>
      <c r="B3828" s="6"/>
      <c r="C3828" s="7"/>
      <c r="D3828" s="10"/>
      <c r="F3828" s="1"/>
      <c r="G3828" s="1"/>
      <c r="H3828" s="1"/>
      <c r="I3828" s="7"/>
      <c r="J3828" s="12"/>
      <c r="K3828" s="13"/>
      <c r="L3828" s="14"/>
      <c r="M3828" s="15"/>
      <c r="N3828" s="15"/>
      <c r="O3828" s="16"/>
      <c r="Q3828" s="16"/>
    </row>
    <row r="3829" spans="1:17" x14ac:dyDescent="0.3">
      <c r="A3829" s="5"/>
      <c r="B3829" s="6"/>
      <c r="C3829" s="7"/>
      <c r="D3829" s="10"/>
      <c r="F3829" s="1"/>
      <c r="G3829" s="1"/>
      <c r="H3829" s="1"/>
      <c r="I3829" s="7"/>
      <c r="J3829" s="12"/>
      <c r="K3829" s="13"/>
      <c r="L3829" s="14"/>
      <c r="M3829" s="15"/>
      <c r="N3829" s="15"/>
      <c r="O3829" s="16"/>
      <c r="Q3829" s="16"/>
    </row>
    <row r="3830" spans="1:17" x14ac:dyDescent="0.3">
      <c r="A3830" s="5"/>
      <c r="B3830" s="6"/>
      <c r="C3830" s="7"/>
      <c r="D3830" s="10"/>
      <c r="F3830" s="1"/>
      <c r="G3830" s="1"/>
      <c r="H3830" s="1"/>
      <c r="I3830" s="7"/>
      <c r="J3830" s="12"/>
      <c r="K3830" s="13"/>
      <c r="L3830" s="14"/>
      <c r="M3830" s="15"/>
      <c r="N3830" s="15"/>
      <c r="O3830" s="16"/>
      <c r="Q3830" s="16"/>
    </row>
    <row r="3831" spans="1:17" x14ac:dyDescent="0.3">
      <c r="A3831" s="5"/>
      <c r="B3831" s="6"/>
      <c r="C3831" s="7"/>
      <c r="D3831" s="10"/>
      <c r="F3831" s="1"/>
      <c r="G3831" s="1"/>
      <c r="H3831" s="1"/>
      <c r="I3831" s="7"/>
      <c r="J3831" s="12"/>
      <c r="K3831" s="13"/>
      <c r="L3831" s="14"/>
      <c r="M3831" s="15"/>
      <c r="N3831" s="15"/>
      <c r="O3831" s="16"/>
      <c r="Q3831" s="16"/>
    </row>
    <row r="3832" spans="1:17" x14ac:dyDescent="0.3">
      <c r="A3832" s="5"/>
      <c r="B3832" s="6"/>
      <c r="C3832" s="7"/>
      <c r="D3832" s="10"/>
      <c r="F3832" s="1"/>
      <c r="G3832" s="1"/>
      <c r="H3832" s="1"/>
      <c r="I3832" s="7"/>
      <c r="J3832" s="12"/>
      <c r="K3832" s="13"/>
      <c r="L3832" s="14"/>
      <c r="M3832" s="15"/>
      <c r="N3832" s="15"/>
      <c r="O3832" s="16"/>
      <c r="Q3832" s="16"/>
    </row>
    <row r="3833" spans="1:17" x14ac:dyDescent="0.3">
      <c r="A3833" s="5"/>
      <c r="B3833" s="6"/>
      <c r="C3833" s="7"/>
      <c r="D3833" s="10"/>
      <c r="F3833" s="1"/>
      <c r="G3833" s="1"/>
      <c r="H3833" s="1"/>
      <c r="I3833" s="7"/>
      <c r="J3833" s="12"/>
      <c r="K3833" s="13"/>
      <c r="L3833" s="14"/>
      <c r="M3833" s="15"/>
      <c r="N3833" s="15"/>
      <c r="O3833" s="16"/>
      <c r="Q3833" s="16"/>
    </row>
    <row r="3834" spans="1:17" x14ac:dyDescent="0.3">
      <c r="A3834" s="5"/>
      <c r="B3834" s="6"/>
      <c r="C3834" s="7"/>
      <c r="D3834" s="10"/>
      <c r="F3834" s="1"/>
      <c r="G3834" s="1"/>
      <c r="H3834" s="1"/>
      <c r="I3834" s="7"/>
      <c r="J3834" s="12"/>
      <c r="K3834" s="13"/>
      <c r="L3834" s="14"/>
      <c r="M3834" s="15"/>
      <c r="N3834" s="15"/>
      <c r="O3834" s="16"/>
      <c r="Q3834" s="16"/>
    </row>
    <row r="3835" spans="1:17" x14ac:dyDescent="0.3">
      <c r="A3835" s="5"/>
      <c r="B3835" s="6"/>
      <c r="C3835" s="7"/>
      <c r="D3835" s="10"/>
      <c r="F3835" s="1"/>
      <c r="G3835" s="1"/>
      <c r="H3835" s="1"/>
      <c r="I3835" s="7"/>
      <c r="J3835" s="12"/>
      <c r="K3835" s="13"/>
      <c r="L3835" s="14"/>
      <c r="M3835" s="15"/>
      <c r="N3835" s="15"/>
      <c r="O3835" s="16"/>
      <c r="Q3835" s="16"/>
    </row>
    <row r="3836" spans="1:17" x14ac:dyDescent="0.3">
      <c r="A3836" s="5"/>
      <c r="B3836" s="6"/>
      <c r="C3836" s="7"/>
      <c r="D3836" s="10"/>
      <c r="F3836" s="1"/>
      <c r="G3836" s="1"/>
      <c r="H3836" s="1"/>
      <c r="I3836" s="7"/>
      <c r="J3836" s="12"/>
      <c r="K3836" s="13"/>
      <c r="L3836" s="14"/>
      <c r="M3836" s="15"/>
      <c r="N3836" s="15"/>
      <c r="O3836" s="16"/>
      <c r="Q3836" s="16"/>
    </row>
    <row r="3837" spans="1:17" x14ac:dyDescent="0.3">
      <c r="A3837" s="5"/>
      <c r="B3837" s="6"/>
      <c r="C3837" s="7"/>
      <c r="D3837" s="10"/>
      <c r="F3837" s="1"/>
      <c r="G3837" s="1"/>
      <c r="H3837" s="1"/>
      <c r="I3837" s="7"/>
      <c r="J3837" s="12"/>
      <c r="K3837" s="13"/>
      <c r="L3837" s="14"/>
      <c r="M3837" s="15"/>
      <c r="N3837" s="15"/>
      <c r="O3837" s="16"/>
      <c r="Q3837" s="16"/>
    </row>
    <row r="3838" spans="1:17" x14ac:dyDescent="0.3">
      <c r="A3838" s="5"/>
      <c r="B3838" s="6"/>
      <c r="C3838" s="7"/>
      <c r="D3838" s="10"/>
      <c r="F3838" s="1"/>
      <c r="G3838" s="1"/>
      <c r="H3838" s="1"/>
      <c r="I3838" s="7"/>
      <c r="J3838" s="12"/>
      <c r="K3838" s="13"/>
      <c r="L3838" s="14"/>
      <c r="M3838" s="15"/>
      <c r="N3838" s="15"/>
      <c r="O3838" s="16"/>
      <c r="Q3838" s="16"/>
    </row>
    <row r="3839" spans="1:17" x14ac:dyDescent="0.3">
      <c r="A3839" s="5"/>
      <c r="B3839" s="6"/>
      <c r="C3839" s="7"/>
      <c r="D3839" s="10"/>
      <c r="F3839" s="1"/>
      <c r="G3839" s="1"/>
      <c r="H3839" s="1"/>
      <c r="I3839" s="7"/>
      <c r="J3839" s="12"/>
      <c r="K3839" s="13"/>
      <c r="L3839" s="14"/>
      <c r="M3839" s="15"/>
      <c r="N3839" s="15"/>
      <c r="O3839" s="16"/>
      <c r="Q3839" s="16"/>
    </row>
    <row r="3840" spans="1:17" x14ac:dyDescent="0.3">
      <c r="A3840" s="5"/>
      <c r="B3840" s="6"/>
      <c r="C3840" s="7"/>
      <c r="D3840" s="10"/>
      <c r="F3840" s="1"/>
      <c r="G3840" s="1"/>
      <c r="H3840" s="1"/>
      <c r="I3840" s="7"/>
      <c r="J3840" s="12"/>
      <c r="K3840" s="13"/>
      <c r="L3840" s="14"/>
      <c r="M3840" s="15"/>
      <c r="N3840" s="15"/>
      <c r="O3840" s="16"/>
      <c r="Q3840" s="16"/>
    </row>
    <row r="3841" spans="1:17" x14ac:dyDescent="0.3">
      <c r="A3841" s="5"/>
      <c r="B3841" s="6"/>
      <c r="C3841" s="7"/>
      <c r="D3841" s="10"/>
      <c r="F3841" s="1"/>
      <c r="G3841" s="1"/>
      <c r="H3841" s="1"/>
      <c r="I3841" s="7"/>
      <c r="J3841" s="12"/>
      <c r="K3841" s="13"/>
      <c r="L3841" s="14"/>
      <c r="M3841" s="15"/>
      <c r="N3841" s="15"/>
      <c r="O3841" s="16"/>
      <c r="Q3841" s="16"/>
    </row>
    <row r="3842" spans="1:17" x14ac:dyDescent="0.3">
      <c r="A3842" s="5"/>
      <c r="B3842" s="6"/>
      <c r="C3842" s="7"/>
      <c r="D3842" s="10"/>
      <c r="F3842" s="1"/>
      <c r="G3842" s="1"/>
      <c r="H3842" s="1"/>
      <c r="I3842" s="7"/>
      <c r="J3842" s="12"/>
      <c r="K3842" s="13"/>
      <c r="L3842" s="14"/>
      <c r="M3842" s="15"/>
      <c r="N3842" s="15"/>
      <c r="O3842" s="16"/>
      <c r="Q3842" s="16"/>
    </row>
    <row r="3843" spans="1:17" x14ac:dyDescent="0.3">
      <c r="A3843" s="5"/>
      <c r="B3843" s="6"/>
      <c r="C3843" s="7"/>
      <c r="D3843" s="10"/>
      <c r="F3843" s="1"/>
      <c r="G3843" s="1"/>
      <c r="H3843" s="1"/>
      <c r="I3843" s="7"/>
      <c r="J3843" s="12"/>
      <c r="K3843" s="13"/>
      <c r="L3843" s="14"/>
      <c r="M3843" s="15"/>
      <c r="N3843" s="15"/>
      <c r="O3843" s="16"/>
      <c r="Q3843" s="16"/>
    </row>
    <row r="3844" spans="1:17" x14ac:dyDescent="0.3">
      <c r="A3844" s="5"/>
      <c r="B3844" s="6"/>
      <c r="C3844" s="7"/>
      <c r="D3844" s="10"/>
      <c r="F3844" s="1"/>
      <c r="G3844" s="1"/>
      <c r="H3844" s="1"/>
      <c r="I3844" s="7"/>
      <c r="J3844" s="12"/>
      <c r="K3844" s="13"/>
      <c r="L3844" s="14"/>
      <c r="M3844" s="15"/>
      <c r="N3844" s="15"/>
      <c r="O3844" s="16"/>
      <c r="Q3844" s="16"/>
    </row>
    <row r="3845" spans="1:17" x14ac:dyDescent="0.3">
      <c r="A3845" s="5"/>
      <c r="B3845" s="6"/>
      <c r="C3845" s="7"/>
      <c r="D3845" s="10"/>
      <c r="F3845" s="1"/>
      <c r="G3845" s="1"/>
      <c r="H3845" s="1"/>
      <c r="I3845" s="7"/>
      <c r="J3845" s="12"/>
      <c r="K3845" s="13"/>
      <c r="L3845" s="14"/>
      <c r="M3845" s="15"/>
      <c r="N3845" s="15"/>
      <c r="O3845" s="16"/>
      <c r="Q3845" s="16"/>
    </row>
    <row r="3846" spans="1:17" x14ac:dyDescent="0.3">
      <c r="A3846" s="5"/>
      <c r="B3846" s="6"/>
      <c r="C3846" s="7"/>
      <c r="D3846" s="10"/>
      <c r="F3846" s="1"/>
      <c r="G3846" s="1"/>
      <c r="H3846" s="1"/>
      <c r="I3846" s="7"/>
      <c r="J3846" s="12"/>
      <c r="K3846" s="13"/>
      <c r="L3846" s="14"/>
      <c r="M3846" s="15"/>
      <c r="N3846" s="15"/>
      <c r="O3846" s="16"/>
      <c r="Q3846" s="16"/>
    </row>
    <row r="3847" spans="1:17" x14ac:dyDescent="0.3">
      <c r="A3847" s="5"/>
      <c r="B3847" s="6"/>
      <c r="C3847" s="7"/>
      <c r="D3847" s="10"/>
      <c r="F3847" s="1"/>
      <c r="G3847" s="1"/>
      <c r="H3847" s="1"/>
      <c r="I3847" s="7"/>
      <c r="J3847" s="12"/>
      <c r="K3847" s="13"/>
      <c r="L3847" s="14"/>
      <c r="M3847" s="15"/>
      <c r="N3847" s="15"/>
      <c r="O3847" s="16"/>
      <c r="Q3847" s="16"/>
    </row>
    <row r="3848" spans="1:17" x14ac:dyDescent="0.3">
      <c r="A3848" s="5"/>
      <c r="B3848" s="6"/>
      <c r="C3848" s="7"/>
      <c r="D3848" s="10"/>
      <c r="F3848" s="1"/>
      <c r="G3848" s="1"/>
      <c r="H3848" s="1"/>
      <c r="I3848" s="7"/>
      <c r="J3848" s="12"/>
      <c r="K3848" s="13"/>
      <c r="L3848" s="14"/>
      <c r="M3848" s="15"/>
      <c r="N3848" s="15"/>
      <c r="O3848" s="16"/>
      <c r="Q3848" s="16"/>
    </row>
    <row r="3849" spans="1:17" x14ac:dyDescent="0.3">
      <c r="A3849" s="5"/>
      <c r="B3849" s="6"/>
      <c r="C3849" s="7"/>
      <c r="D3849" s="10"/>
      <c r="F3849" s="1"/>
      <c r="G3849" s="1"/>
      <c r="H3849" s="1"/>
      <c r="I3849" s="7"/>
      <c r="J3849" s="12"/>
      <c r="K3849" s="13"/>
      <c r="L3849" s="14"/>
      <c r="M3849" s="15"/>
      <c r="N3849" s="15"/>
      <c r="O3849" s="16"/>
      <c r="Q3849" s="16"/>
    </row>
    <row r="3850" spans="1:17" x14ac:dyDescent="0.3">
      <c r="A3850" s="5"/>
      <c r="B3850" s="6"/>
      <c r="C3850" s="7"/>
      <c r="D3850" s="10"/>
      <c r="F3850" s="1"/>
      <c r="G3850" s="1"/>
      <c r="H3850" s="1"/>
      <c r="I3850" s="7"/>
      <c r="J3850" s="12"/>
      <c r="K3850" s="13"/>
      <c r="L3850" s="14"/>
      <c r="M3850" s="15"/>
      <c r="N3850" s="15"/>
      <c r="O3850" s="16"/>
      <c r="Q3850" s="16"/>
    </row>
    <row r="3851" spans="1:17" x14ac:dyDescent="0.3">
      <c r="A3851" s="5"/>
      <c r="B3851" s="6"/>
      <c r="C3851" s="7"/>
      <c r="D3851" s="10"/>
      <c r="F3851" s="1"/>
      <c r="G3851" s="1"/>
      <c r="H3851" s="1"/>
      <c r="I3851" s="7"/>
      <c r="J3851" s="12"/>
      <c r="K3851" s="13"/>
      <c r="L3851" s="14"/>
      <c r="M3851" s="15"/>
      <c r="N3851" s="15"/>
      <c r="O3851" s="16"/>
      <c r="Q3851" s="16"/>
    </row>
    <row r="3852" spans="1:17" x14ac:dyDescent="0.3">
      <c r="A3852" s="5"/>
      <c r="B3852" s="6"/>
      <c r="C3852" s="7"/>
      <c r="D3852" s="10"/>
      <c r="F3852" s="1"/>
      <c r="G3852" s="1"/>
      <c r="H3852" s="1"/>
      <c r="I3852" s="7"/>
      <c r="J3852" s="12"/>
      <c r="K3852" s="13"/>
      <c r="L3852" s="14"/>
      <c r="M3852" s="15"/>
      <c r="N3852" s="15"/>
      <c r="O3852" s="16"/>
      <c r="Q3852" s="16"/>
    </row>
    <row r="3853" spans="1:17" x14ac:dyDescent="0.3">
      <c r="A3853" s="5"/>
      <c r="B3853" s="6"/>
      <c r="C3853" s="7"/>
      <c r="D3853" s="10"/>
      <c r="F3853" s="1"/>
      <c r="G3853" s="1"/>
      <c r="H3853" s="1"/>
      <c r="I3853" s="7"/>
      <c r="J3853" s="12"/>
      <c r="K3853" s="13"/>
      <c r="L3853" s="14"/>
      <c r="M3853" s="15"/>
      <c r="N3853" s="15"/>
      <c r="O3853" s="16"/>
      <c r="Q3853" s="16"/>
    </row>
    <row r="3854" spans="1:17" x14ac:dyDescent="0.3">
      <c r="A3854" s="5"/>
      <c r="B3854" s="6"/>
      <c r="C3854" s="7"/>
      <c r="D3854" s="10"/>
      <c r="F3854" s="1"/>
      <c r="G3854" s="1"/>
      <c r="H3854" s="1"/>
      <c r="I3854" s="7"/>
      <c r="J3854" s="12"/>
      <c r="K3854" s="13"/>
      <c r="L3854" s="14"/>
      <c r="M3854" s="15"/>
      <c r="N3854" s="15"/>
      <c r="O3854" s="16"/>
      <c r="Q3854" s="16"/>
    </row>
    <row r="3855" spans="1:17" x14ac:dyDescent="0.3">
      <c r="A3855" s="5"/>
      <c r="B3855" s="6"/>
      <c r="C3855" s="7"/>
      <c r="D3855" s="10"/>
      <c r="F3855" s="1"/>
      <c r="G3855" s="1"/>
      <c r="H3855" s="1"/>
      <c r="I3855" s="7"/>
      <c r="J3855" s="12"/>
      <c r="K3855" s="13"/>
      <c r="L3855" s="14"/>
      <c r="M3855" s="15"/>
      <c r="N3855" s="15"/>
      <c r="O3855" s="16"/>
      <c r="Q3855" s="16"/>
    </row>
    <row r="3856" spans="1:17" x14ac:dyDescent="0.3">
      <c r="A3856" s="5"/>
      <c r="B3856" s="6"/>
      <c r="C3856" s="7"/>
      <c r="D3856" s="10"/>
      <c r="F3856" s="1"/>
      <c r="G3856" s="1"/>
      <c r="H3856" s="1"/>
      <c r="I3856" s="7"/>
      <c r="J3856" s="12"/>
      <c r="K3856" s="13"/>
      <c r="L3856" s="14"/>
      <c r="M3856" s="15"/>
      <c r="N3856" s="15"/>
      <c r="O3856" s="16"/>
      <c r="Q3856" s="16"/>
    </row>
    <row r="3857" spans="1:17" x14ac:dyDescent="0.3">
      <c r="A3857" s="5"/>
      <c r="B3857" s="6"/>
      <c r="C3857" s="7"/>
      <c r="D3857" s="10"/>
      <c r="F3857" s="1"/>
      <c r="G3857" s="1"/>
      <c r="H3857" s="1"/>
      <c r="I3857" s="7"/>
      <c r="J3857" s="12"/>
      <c r="K3857" s="13"/>
      <c r="L3857" s="14"/>
      <c r="M3857" s="15"/>
      <c r="N3857" s="15"/>
      <c r="O3857" s="16"/>
      <c r="Q3857" s="16"/>
    </row>
    <row r="3858" spans="1:17" x14ac:dyDescent="0.3">
      <c r="A3858" s="5"/>
      <c r="B3858" s="6"/>
      <c r="C3858" s="7"/>
      <c r="D3858" s="10"/>
      <c r="F3858" s="1"/>
      <c r="G3858" s="1"/>
      <c r="H3858" s="1"/>
      <c r="I3858" s="7"/>
      <c r="J3858" s="12"/>
      <c r="K3858" s="13"/>
      <c r="L3858" s="14"/>
      <c r="M3858" s="15"/>
      <c r="N3858" s="15"/>
      <c r="O3858" s="16"/>
      <c r="Q3858" s="16"/>
    </row>
    <row r="3859" spans="1:17" x14ac:dyDescent="0.3">
      <c r="A3859" s="5"/>
      <c r="B3859" s="6"/>
      <c r="C3859" s="7"/>
      <c r="D3859" s="10"/>
      <c r="F3859" s="1"/>
      <c r="G3859" s="1"/>
      <c r="H3859" s="1"/>
      <c r="I3859" s="7"/>
      <c r="J3859" s="12"/>
      <c r="K3859" s="13"/>
      <c r="L3859" s="14"/>
      <c r="M3859" s="15"/>
      <c r="N3859" s="15"/>
      <c r="O3859" s="16"/>
      <c r="Q3859" s="16"/>
    </row>
    <row r="3860" spans="1:17" x14ac:dyDescent="0.3">
      <c r="A3860" s="5"/>
      <c r="B3860" s="6"/>
      <c r="C3860" s="7"/>
      <c r="D3860" s="10"/>
      <c r="F3860" s="1"/>
      <c r="G3860" s="1"/>
      <c r="H3860" s="1"/>
      <c r="I3860" s="7"/>
      <c r="J3860" s="12"/>
      <c r="K3860" s="13"/>
      <c r="L3860" s="14"/>
      <c r="M3860" s="15"/>
      <c r="N3860" s="15"/>
      <c r="O3860" s="16"/>
      <c r="Q3860" s="16"/>
    </row>
    <row r="3861" spans="1:17" x14ac:dyDescent="0.3">
      <c r="A3861" s="5"/>
      <c r="B3861" s="6"/>
      <c r="C3861" s="7"/>
      <c r="D3861" s="10"/>
      <c r="F3861" s="1"/>
      <c r="G3861" s="1"/>
      <c r="H3861" s="1"/>
      <c r="I3861" s="7"/>
      <c r="J3861" s="12"/>
      <c r="K3861" s="13"/>
      <c r="L3861" s="14"/>
      <c r="M3861" s="15"/>
      <c r="N3861" s="15"/>
      <c r="O3861" s="16"/>
      <c r="Q3861" s="16"/>
    </row>
    <row r="3862" spans="1:17" x14ac:dyDescent="0.3">
      <c r="A3862" s="5"/>
      <c r="B3862" s="6"/>
      <c r="C3862" s="7"/>
      <c r="D3862" s="10"/>
      <c r="F3862" s="1"/>
      <c r="G3862" s="1"/>
      <c r="H3862" s="1"/>
      <c r="I3862" s="7"/>
      <c r="J3862" s="12"/>
      <c r="K3862" s="13"/>
      <c r="L3862" s="14"/>
      <c r="M3862" s="15"/>
      <c r="N3862" s="15"/>
      <c r="O3862" s="16"/>
      <c r="Q3862" s="16"/>
    </row>
    <row r="3863" spans="1:17" x14ac:dyDescent="0.3">
      <c r="A3863" s="5"/>
      <c r="B3863" s="6"/>
      <c r="C3863" s="7"/>
      <c r="D3863" s="10"/>
      <c r="F3863" s="1"/>
      <c r="G3863" s="1"/>
      <c r="H3863" s="1"/>
      <c r="I3863" s="7"/>
      <c r="J3863" s="12"/>
      <c r="K3863" s="13"/>
      <c r="L3863" s="14"/>
      <c r="M3863" s="15"/>
      <c r="N3863" s="15"/>
      <c r="O3863" s="16"/>
      <c r="Q3863" s="16"/>
    </row>
    <row r="3864" spans="1:17" x14ac:dyDescent="0.3">
      <c r="A3864" s="5"/>
      <c r="B3864" s="6"/>
      <c r="C3864" s="7"/>
      <c r="D3864" s="10"/>
      <c r="F3864" s="1"/>
      <c r="G3864" s="1"/>
      <c r="H3864" s="1"/>
      <c r="I3864" s="7"/>
      <c r="J3864" s="12"/>
      <c r="K3864" s="13"/>
      <c r="L3864" s="14"/>
      <c r="M3864" s="15"/>
      <c r="N3864" s="15"/>
      <c r="O3864" s="16"/>
      <c r="Q3864" s="16"/>
    </row>
    <row r="3865" spans="1:17" x14ac:dyDescent="0.3">
      <c r="A3865" s="5"/>
      <c r="B3865" s="6"/>
      <c r="C3865" s="7"/>
      <c r="D3865" s="10"/>
      <c r="F3865" s="1"/>
      <c r="G3865" s="1"/>
      <c r="H3865" s="1"/>
      <c r="I3865" s="7"/>
      <c r="J3865" s="12"/>
      <c r="K3865" s="13"/>
      <c r="L3865" s="14"/>
      <c r="M3865" s="15"/>
      <c r="N3865" s="15"/>
      <c r="O3865" s="16"/>
      <c r="Q3865" s="16"/>
    </row>
    <row r="3866" spans="1:17" x14ac:dyDescent="0.3">
      <c r="A3866" s="5"/>
      <c r="B3866" s="6"/>
      <c r="C3866" s="7"/>
      <c r="D3866" s="10"/>
      <c r="F3866" s="1"/>
      <c r="G3866" s="1"/>
      <c r="H3866" s="1"/>
      <c r="I3866" s="7"/>
      <c r="J3866" s="12"/>
      <c r="K3866" s="13"/>
      <c r="L3866" s="14"/>
      <c r="M3866" s="15"/>
      <c r="N3866" s="15"/>
      <c r="O3866" s="16"/>
      <c r="Q3866" s="16"/>
    </row>
    <row r="3867" spans="1:17" x14ac:dyDescent="0.3">
      <c r="A3867" s="5"/>
      <c r="B3867" s="6"/>
      <c r="C3867" s="7"/>
      <c r="D3867" s="10"/>
      <c r="F3867" s="1"/>
      <c r="G3867" s="1"/>
      <c r="H3867" s="1"/>
      <c r="I3867" s="7"/>
      <c r="J3867" s="12"/>
      <c r="K3867" s="13"/>
      <c r="L3867" s="14"/>
      <c r="M3867" s="15"/>
      <c r="N3867" s="15"/>
      <c r="O3867" s="16"/>
      <c r="Q3867" s="16"/>
    </row>
    <row r="3868" spans="1:17" x14ac:dyDescent="0.3">
      <c r="A3868" s="5"/>
      <c r="B3868" s="6"/>
      <c r="C3868" s="7"/>
      <c r="D3868" s="10"/>
      <c r="F3868" s="1"/>
      <c r="G3868" s="1"/>
      <c r="H3868" s="1"/>
      <c r="I3868" s="7"/>
      <c r="J3868" s="12"/>
      <c r="K3868" s="13"/>
      <c r="L3868" s="14"/>
      <c r="M3868" s="15"/>
      <c r="N3868" s="15"/>
      <c r="O3868" s="16"/>
      <c r="Q3868" s="16"/>
    </row>
    <row r="3869" spans="1:17" x14ac:dyDescent="0.3">
      <c r="A3869" s="5"/>
      <c r="B3869" s="6"/>
      <c r="C3869" s="7"/>
      <c r="D3869" s="10"/>
      <c r="F3869" s="1"/>
      <c r="G3869" s="1"/>
      <c r="H3869" s="1"/>
      <c r="I3869" s="7"/>
      <c r="J3869" s="12"/>
      <c r="K3869" s="13"/>
      <c r="L3869" s="14"/>
      <c r="M3869" s="15"/>
      <c r="N3869" s="15"/>
      <c r="O3869" s="16"/>
      <c r="Q3869" s="16"/>
    </row>
    <row r="3870" spans="1:17" x14ac:dyDescent="0.3">
      <c r="A3870" s="5"/>
      <c r="B3870" s="6"/>
      <c r="C3870" s="7"/>
      <c r="D3870" s="10"/>
      <c r="F3870" s="1"/>
      <c r="G3870" s="1"/>
      <c r="H3870" s="1"/>
      <c r="I3870" s="7"/>
      <c r="J3870" s="12"/>
      <c r="K3870" s="13"/>
      <c r="L3870" s="14"/>
      <c r="M3870" s="15"/>
      <c r="N3870" s="15"/>
      <c r="O3870" s="16"/>
      <c r="Q3870" s="16"/>
    </row>
    <row r="3871" spans="1:17" x14ac:dyDescent="0.3">
      <c r="A3871" s="5"/>
      <c r="B3871" s="6"/>
      <c r="C3871" s="7"/>
      <c r="D3871" s="10"/>
      <c r="F3871" s="1"/>
      <c r="G3871" s="1"/>
      <c r="H3871" s="1"/>
      <c r="I3871" s="7"/>
      <c r="J3871" s="12"/>
      <c r="K3871" s="13"/>
      <c r="L3871" s="14"/>
      <c r="M3871" s="15"/>
      <c r="N3871" s="15"/>
      <c r="O3871" s="16"/>
      <c r="Q3871" s="16"/>
    </row>
    <row r="3872" spans="1:17" x14ac:dyDescent="0.3">
      <c r="A3872" s="5"/>
      <c r="B3872" s="6"/>
      <c r="C3872" s="7"/>
      <c r="D3872" s="10"/>
      <c r="F3872" s="1"/>
      <c r="G3872" s="1"/>
      <c r="H3872" s="1"/>
      <c r="I3872" s="7"/>
      <c r="J3872" s="12"/>
      <c r="K3872" s="13"/>
      <c r="L3872" s="14"/>
      <c r="M3872" s="15"/>
      <c r="N3872" s="15"/>
      <c r="O3872" s="16"/>
      <c r="Q3872" s="16"/>
    </row>
    <row r="3873" spans="1:17" x14ac:dyDescent="0.3">
      <c r="A3873" s="5"/>
      <c r="B3873" s="6"/>
      <c r="C3873" s="7"/>
      <c r="D3873" s="10"/>
      <c r="F3873" s="1"/>
      <c r="G3873" s="1"/>
      <c r="H3873" s="1"/>
      <c r="I3873" s="7"/>
      <c r="J3873" s="12"/>
      <c r="K3873" s="13"/>
      <c r="L3873" s="14"/>
      <c r="M3873" s="15"/>
      <c r="N3873" s="15"/>
      <c r="O3873" s="16"/>
      <c r="Q3873" s="16"/>
    </row>
    <row r="3874" spans="1:17" x14ac:dyDescent="0.3">
      <c r="A3874" s="5"/>
      <c r="B3874" s="6"/>
      <c r="C3874" s="7"/>
      <c r="D3874" s="10"/>
      <c r="F3874" s="1"/>
      <c r="G3874" s="1"/>
      <c r="H3874" s="1"/>
      <c r="I3874" s="7"/>
      <c r="J3874" s="12"/>
      <c r="K3874" s="13"/>
      <c r="L3874" s="14"/>
      <c r="M3874" s="15"/>
      <c r="N3874" s="15"/>
      <c r="O3874" s="16"/>
      <c r="Q3874" s="16"/>
    </row>
    <row r="3875" spans="1:17" x14ac:dyDescent="0.3">
      <c r="A3875" s="5"/>
      <c r="B3875" s="6"/>
      <c r="C3875" s="7"/>
      <c r="D3875" s="10"/>
      <c r="F3875" s="1"/>
      <c r="G3875" s="1"/>
      <c r="H3875" s="1"/>
      <c r="I3875" s="7"/>
      <c r="J3875" s="12"/>
      <c r="K3875" s="13"/>
      <c r="L3875" s="14"/>
      <c r="M3875" s="15"/>
      <c r="N3875" s="15"/>
      <c r="O3875" s="16"/>
      <c r="Q3875" s="16"/>
    </row>
    <row r="3876" spans="1:17" x14ac:dyDescent="0.3">
      <c r="A3876" s="5"/>
      <c r="B3876" s="6"/>
      <c r="C3876" s="7"/>
      <c r="D3876" s="10"/>
      <c r="F3876" s="1"/>
      <c r="G3876" s="1"/>
      <c r="H3876" s="1"/>
      <c r="I3876" s="7"/>
      <c r="J3876" s="12"/>
      <c r="K3876" s="13"/>
      <c r="L3876" s="14"/>
      <c r="M3876" s="15"/>
      <c r="N3876" s="15"/>
      <c r="O3876" s="16"/>
      <c r="Q3876" s="16"/>
    </row>
    <row r="3877" spans="1:17" x14ac:dyDescent="0.3">
      <c r="A3877" s="5"/>
      <c r="B3877" s="6"/>
      <c r="C3877" s="7"/>
      <c r="D3877" s="10"/>
      <c r="F3877" s="1"/>
      <c r="G3877" s="1"/>
      <c r="H3877" s="1"/>
      <c r="I3877" s="7"/>
      <c r="J3877" s="12"/>
      <c r="K3877" s="13"/>
      <c r="L3877" s="14"/>
      <c r="M3877" s="15"/>
      <c r="N3877" s="15"/>
      <c r="O3877" s="16"/>
      <c r="Q3877" s="16"/>
    </row>
    <row r="3878" spans="1:17" x14ac:dyDescent="0.3">
      <c r="A3878" s="5"/>
      <c r="B3878" s="6"/>
      <c r="C3878" s="7"/>
      <c r="D3878" s="10"/>
      <c r="F3878" s="1"/>
      <c r="G3878" s="1"/>
      <c r="H3878" s="1"/>
      <c r="I3878" s="7"/>
      <c r="J3878" s="12"/>
      <c r="K3878" s="13"/>
      <c r="L3878" s="14"/>
      <c r="M3878" s="15"/>
      <c r="N3878" s="15"/>
      <c r="O3878" s="16"/>
      <c r="Q3878" s="16"/>
    </row>
    <row r="3879" spans="1:17" x14ac:dyDescent="0.3">
      <c r="A3879" s="5"/>
      <c r="B3879" s="6"/>
      <c r="C3879" s="7"/>
      <c r="D3879" s="10"/>
      <c r="F3879" s="1"/>
      <c r="G3879" s="1"/>
      <c r="H3879" s="1"/>
      <c r="I3879" s="7"/>
      <c r="J3879" s="12"/>
      <c r="K3879" s="13"/>
      <c r="L3879" s="14"/>
      <c r="M3879" s="15"/>
      <c r="N3879" s="15"/>
      <c r="O3879" s="16"/>
      <c r="Q3879" s="16"/>
    </row>
    <row r="3880" spans="1:17" x14ac:dyDescent="0.3">
      <c r="A3880" s="5"/>
      <c r="B3880" s="6"/>
      <c r="C3880" s="7"/>
      <c r="D3880" s="10"/>
      <c r="F3880" s="1"/>
      <c r="G3880" s="1"/>
      <c r="H3880" s="1"/>
      <c r="I3880" s="7"/>
      <c r="J3880" s="12"/>
      <c r="K3880" s="13"/>
      <c r="L3880" s="14"/>
      <c r="M3880" s="15"/>
      <c r="N3880" s="15"/>
      <c r="O3880" s="16"/>
      <c r="Q3880" s="16"/>
    </row>
    <row r="3881" spans="1:17" x14ac:dyDescent="0.3">
      <c r="A3881" s="5"/>
      <c r="B3881" s="6"/>
      <c r="C3881" s="7"/>
      <c r="D3881" s="10"/>
      <c r="F3881" s="1"/>
      <c r="G3881" s="1"/>
      <c r="H3881" s="1"/>
      <c r="I3881" s="7"/>
      <c r="J3881" s="12"/>
      <c r="K3881" s="13"/>
      <c r="L3881" s="14"/>
      <c r="M3881" s="15"/>
      <c r="N3881" s="15"/>
      <c r="O3881" s="16"/>
      <c r="Q3881" s="16"/>
    </row>
    <row r="3882" spans="1:17" x14ac:dyDescent="0.3">
      <c r="A3882" s="5"/>
      <c r="B3882" s="6"/>
      <c r="C3882" s="7"/>
      <c r="D3882" s="10"/>
      <c r="F3882" s="1"/>
      <c r="G3882" s="1"/>
      <c r="H3882" s="1"/>
      <c r="I3882" s="7"/>
      <c r="J3882" s="12"/>
      <c r="K3882" s="13"/>
      <c r="L3882" s="14"/>
      <c r="M3882" s="15"/>
      <c r="N3882" s="15"/>
      <c r="O3882" s="16"/>
      <c r="Q3882" s="16"/>
    </row>
    <row r="3883" spans="1:17" x14ac:dyDescent="0.3">
      <c r="A3883" s="5"/>
      <c r="B3883" s="6"/>
      <c r="C3883" s="7"/>
      <c r="D3883" s="10"/>
      <c r="F3883" s="1"/>
      <c r="G3883" s="1"/>
      <c r="H3883" s="1"/>
      <c r="I3883" s="7"/>
      <c r="J3883" s="12"/>
      <c r="K3883" s="13"/>
      <c r="L3883" s="14"/>
      <c r="M3883" s="15"/>
      <c r="N3883" s="15"/>
      <c r="O3883" s="16"/>
      <c r="Q3883" s="16"/>
    </row>
    <row r="3884" spans="1:17" x14ac:dyDescent="0.3">
      <c r="A3884" s="5"/>
      <c r="B3884" s="6"/>
      <c r="C3884" s="7"/>
      <c r="D3884" s="10"/>
      <c r="F3884" s="1"/>
      <c r="G3884" s="1"/>
      <c r="H3884" s="1"/>
      <c r="I3884" s="7"/>
      <c r="J3884" s="12"/>
      <c r="K3884" s="13"/>
      <c r="L3884" s="14"/>
      <c r="M3884" s="15"/>
      <c r="N3884" s="15"/>
      <c r="O3884" s="16"/>
      <c r="Q3884" s="16"/>
    </row>
    <row r="3885" spans="1:17" x14ac:dyDescent="0.3">
      <c r="A3885" s="5"/>
      <c r="B3885" s="6"/>
      <c r="C3885" s="7"/>
      <c r="D3885" s="10"/>
      <c r="F3885" s="1"/>
      <c r="G3885" s="1"/>
      <c r="H3885" s="1"/>
      <c r="I3885" s="7"/>
      <c r="J3885" s="12"/>
      <c r="K3885" s="13"/>
      <c r="L3885" s="14"/>
      <c r="M3885" s="15"/>
      <c r="N3885" s="15"/>
      <c r="O3885" s="16"/>
      <c r="Q3885" s="16"/>
    </row>
    <row r="3886" spans="1:17" x14ac:dyDescent="0.3">
      <c r="A3886" s="5"/>
      <c r="B3886" s="6"/>
      <c r="C3886" s="7"/>
      <c r="D3886" s="10"/>
      <c r="F3886" s="1"/>
      <c r="G3886" s="1"/>
      <c r="H3886" s="1"/>
      <c r="I3886" s="7"/>
      <c r="J3886" s="12"/>
      <c r="K3886" s="13"/>
      <c r="L3886" s="14"/>
      <c r="M3886" s="15"/>
      <c r="N3886" s="15"/>
      <c r="O3886" s="16"/>
      <c r="Q3886" s="16"/>
    </row>
    <row r="3887" spans="1:17" x14ac:dyDescent="0.3">
      <c r="A3887" s="5"/>
      <c r="B3887" s="6"/>
      <c r="C3887" s="7"/>
      <c r="D3887" s="10"/>
      <c r="F3887" s="1"/>
      <c r="G3887" s="1"/>
      <c r="H3887" s="1"/>
      <c r="I3887" s="7"/>
      <c r="J3887" s="12"/>
      <c r="K3887" s="13"/>
      <c r="L3887" s="14"/>
      <c r="M3887" s="15"/>
      <c r="N3887" s="15"/>
      <c r="O3887" s="16"/>
      <c r="Q3887" s="16"/>
    </row>
    <row r="3888" spans="1:17" x14ac:dyDescent="0.3">
      <c r="A3888" s="5"/>
      <c r="B3888" s="6"/>
      <c r="C3888" s="7"/>
      <c r="D3888" s="10"/>
      <c r="F3888" s="1"/>
      <c r="G3888" s="1"/>
      <c r="H3888" s="1"/>
      <c r="I3888" s="7"/>
      <c r="J3888" s="12"/>
      <c r="K3888" s="13"/>
      <c r="L3888" s="14"/>
      <c r="M3888" s="15"/>
      <c r="N3888" s="15"/>
      <c r="O3888" s="16"/>
      <c r="Q3888" s="16"/>
    </row>
    <row r="3889" spans="1:17" x14ac:dyDescent="0.3">
      <c r="A3889" s="5"/>
      <c r="B3889" s="6"/>
      <c r="C3889" s="7"/>
      <c r="D3889" s="10"/>
      <c r="F3889" s="1"/>
      <c r="G3889" s="1"/>
      <c r="H3889" s="1"/>
      <c r="I3889" s="7"/>
      <c r="J3889" s="12"/>
      <c r="K3889" s="13"/>
      <c r="L3889" s="14"/>
      <c r="M3889" s="15"/>
      <c r="N3889" s="15"/>
      <c r="O3889" s="16"/>
      <c r="Q3889" s="16"/>
    </row>
    <row r="3890" spans="1:17" x14ac:dyDescent="0.3">
      <c r="A3890" s="5"/>
      <c r="B3890" s="6"/>
      <c r="C3890" s="7"/>
      <c r="D3890" s="10"/>
      <c r="F3890" s="1"/>
      <c r="G3890" s="1"/>
      <c r="H3890" s="1"/>
      <c r="I3890" s="7"/>
      <c r="J3890" s="12"/>
      <c r="K3890" s="13"/>
      <c r="L3890" s="14"/>
      <c r="M3890" s="15"/>
      <c r="N3890" s="15"/>
      <c r="O3890" s="16"/>
      <c r="Q3890" s="16"/>
    </row>
    <row r="3891" spans="1:17" x14ac:dyDescent="0.3">
      <c r="A3891" s="5"/>
      <c r="B3891" s="6"/>
      <c r="C3891" s="7"/>
      <c r="D3891" s="10"/>
      <c r="F3891" s="1"/>
      <c r="G3891" s="1"/>
      <c r="H3891" s="1"/>
      <c r="I3891" s="7"/>
      <c r="J3891" s="12"/>
      <c r="K3891" s="13"/>
      <c r="L3891" s="14"/>
      <c r="M3891" s="15"/>
      <c r="N3891" s="15"/>
      <c r="O3891" s="16"/>
      <c r="Q3891" s="16"/>
    </row>
    <row r="3892" spans="1:17" x14ac:dyDescent="0.3">
      <c r="A3892" s="5"/>
      <c r="B3892" s="6"/>
      <c r="C3892" s="7"/>
      <c r="D3892" s="10"/>
      <c r="F3892" s="1"/>
      <c r="G3892" s="1"/>
      <c r="H3892" s="1"/>
      <c r="I3892" s="7"/>
      <c r="J3892" s="12"/>
      <c r="K3892" s="13"/>
      <c r="L3892" s="14"/>
      <c r="M3892" s="15"/>
      <c r="N3892" s="15"/>
      <c r="O3892" s="16"/>
      <c r="Q3892" s="16"/>
    </row>
    <row r="3893" spans="1:17" x14ac:dyDescent="0.3">
      <c r="A3893" s="5"/>
      <c r="B3893" s="6"/>
      <c r="C3893" s="7"/>
      <c r="D3893" s="10"/>
      <c r="F3893" s="1"/>
      <c r="G3893" s="1"/>
      <c r="H3893" s="1"/>
      <c r="I3893" s="7"/>
      <c r="J3893" s="12"/>
      <c r="K3893" s="13"/>
      <c r="L3893" s="14"/>
      <c r="M3893" s="15"/>
      <c r="N3893" s="15"/>
      <c r="O3893" s="16"/>
      <c r="Q3893" s="16"/>
    </row>
    <row r="3894" spans="1:17" x14ac:dyDescent="0.3">
      <c r="A3894" s="5"/>
      <c r="B3894" s="6"/>
      <c r="C3894" s="7"/>
      <c r="D3894" s="10"/>
      <c r="F3894" s="1"/>
      <c r="G3894" s="1"/>
      <c r="H3894" s="1"/>
      <c r="I3894" s="7"/>
      <c r="J3894" s="12"/>
      <c r="K3894" s="13"/>
      <c r="L3894" s="14"/>
      <c r="M3894" s="15"/>
      <c r="N3894" s="15"/>
      <c r="O3894" s="16"/>
      <c r="Q3894" s="16"/>
    </row>
    <row r="3895" spans="1:17" x14ac:dyDescent="0.3">
      <c r="A3895" s="5"/>
      <c r="B3895" s="6"/>
      <c r="C3895" s="7"/>
      <c r="D3895" s="10"/>
      <c r="F3895" s="1"/>
      <c r="G3895" s="1"/>
      <c r="H3895" s="1"/>
      <c r="I3895" s="7"/>
      <c r="J3895" s="12"/>
      <c r="K3895" s="13"/>
      <c r="L3895" s="14"/>
      <c r="M3895" s="15"/>
      <c r="N3895" s="15"/>
      <c r="O3895" s="16"/>
      <c r="Q3895" s="16"/>
    </row>
    <row r="3896" spans="1:17" x14ac:dyDescent="0.3">
      <c r="A3896" s="5"/>
      <c r="B3896" s="6"/>
      <c r="C3896" s="7"/>
      <c r="D3896" s="10"/>
      <c r="F3896" s="1"/>
      <c r="G3896" s="1"/>
      <c r="H3896" s="1"/>
      <c r="I3896" s="7"/>
      <c r="J3896" s="12"/>
      <c r="K3896" s="13"/>
      <c r="L3896" s="14"/>
      <c r="M3896" s="15"/>
      <c r="N3896" s="15"/>
      <c r="O3896" s="16"/>
      <c r="Q3896" s="16"/>
    </row>
    <row r="3897" spans="1:17" x14ac:dyDescent="0.3">
      <c r="A3897" s="5"/>
      <c r="B3897" s="6"/>
      <c r="C3897" s="7"/>
      <c r="D3897" s="10"/>
      <c r="F3897" s="1"/>
      <c r="G3897" s="1"/>
      <c r="H3897" s="1"/>
      <c r="I3897" s="7"/>
      <c r="J3897" s="12"/>
      <c r="K3897" s="13"/>
      <c r="L3897" s="14"/>
      <c r="M3897" s="15"/>
      <c r="N3897" s="15"/>
      <c r="O3897" s="16"/>
      <c r="Q3897" s="16"/>
    </row>
    <row r="3898" spans="1:17" x14ac:dyDescent="0.3">
      <c r="A3898" s="5"/>
      <c r="B3898" s="6"/>
      <c r="C3898" s="7"/>
      <c r="D3898" s="10"/>
      <c r="F3898" s="1"/>
      <c r="G3898" s="1"/>
      <c r="H3898" s="1"/>
      <c r="I3898" s="7"/>
      <c r="J3898" s="12"/>
      <c r="K3898" s="13"/>
      <c r="L3898" s="14"/>
      <c r="M3898" s="15"/>
      <c r="N3898" s="15"/>
      <c r="O3898" s="16"/>
      <c r="Q3898" s="16"/>
    </row>
    <row r="3899" spans="1:17" x14ac:dyDescent="0.3">
      <c r="A3899" s="5"/>
      <c r="B3899" s="6"/>
      <c r="C3899" s="7"/>
      <c r="D3899" s="10"/>
      <c r="F3899" s="1"/>
      <c r="G3899" s="1"/>
      <c r="H3899" s="1"/>
      <c r="I3899" s="7"/>
      <c r="J3899" s="12"/>
      <c r="K3899" s="13"/>
      <c r="L3899" s="14"/>
      <c r="M3899" s="15"/>
      <c r="N3899" s="15"/>
      <c r="O3899" s="16"/>
      <c r="Q3899" s="16"/>
    </row>
    <row r="3900" spans="1:17" x14ac:dyDescent="0.3">
      <c r="A3900" s="5"/>
      <c r="B3900" s="6"/>
      <c r="C3900" s="7"/>
      <c r="D3900" s="10"/>
      <c r="F3900" s="1"/>
      <c r="G3900" s="1"/>
      <c r="H3900" s="1"/>
      <c r="I3900" s="7"/>
      <c r="J3900" s="12"/>
      <c r="K3900" s="13"/>
      <c r="L3900" s="14"/>
      <c r="M3900" s="15"/>
      <c r="N3900" s="15"/>
      <c r="O3900" s="16"/>
      <c r="Q3900" s="16"/>
    </row>
    <row r="3901" spans="1:17" x14ac:dyDescent="0.3">
      <c r="A3901" s="5"/>
      <c r="B3901" s="6"/>
      <c r="C3901" s="7"/>
      <c r="D3901" s="10"/>
      <c r="F3901" s="1"/>
      <c r="G3901" s="1"/>
      <c r="H3901" s="1"/>
      <c r="I3901" s="7"/>
      <c r="J3901" s="12"/>
      <c r="K3901" s="13"/>
      <c r="L3901" s="14"/>
      <c r="M3901" s="15"/>
      <c r="N3901" s="15"/>
      <c r="O3901" s="16"/>
      <c r="Q3901" s="16"/>
    </row>
    <row r="3902" spans="1:17" x14ac:dyDescent="0.3">
      <c r="A3902" s="5"/>
      <c r="B3902" s="6"/>
      <c r="C3902" s="7"/>
      <c r="D3902" s="10"/>
      <c r="F3902" s="1"/>
      <c r="G3902" s="1"/>
      <c r="H3902" s="1"/>
      <c r="I3902" s="7"/>
      <c r="J3902" s="12"/>
      <c r="K3902" s="13"/>
      <c r="L3902" s="14"/>
      <c r="M3902" s="15"/>
      <c r="N3902" s="15"/>
      <c r="O3902" s="16"/>
      <c r="Q3902" s="16"/>
    </row>
    <row r="3903" spans="1:17" x14ac:dyDescent="0.3">
      <c r="A3903" s="5"/>
      <c r="B3903" s="6"/>
      <c r="C3903" s="7"/>
      <c r="D3903" s="10"/>
      <c r="F3903" s="1"/>
      <c r="G3903" s="1"/>
      <c r="H3903" s="1"/>
      <c r="I3903" s="7"/>
      <c r="J3903" s="12"/>
      <c r="K3903" s="13"/>
      <c r="L3903" s="14"/>
      <c r="M3903" s="15"/>
      <c r="N3903" s="15"/>
      <c r="O3903" s="16"/>
      <c r="Q3903" s="16"/>
    </row>
    <row r="3904" spans="1:17" x14ac:dyDescent="0.3">
      <c r="A3904" s="5"/>
      <c r="B3904" s="6"/>
      <c r="C3904" s="7"/>
      <c r="D3904" s="10"/>
      <c r="F3904" s="1"/>
      <c r="G3904" s="1"/>
      <c r="H3904" s="1"/>
      <c r="I3904" s="7"/>
      <c r="J3904" s="12"/>
      <c r="K3904" s="13"/>
      <c r="L3904" s="14"/>
      <c r="M3904" s="15"/>
      <c r="N3904" s="15"/>
      <c r="O3904" s="16"/>
      <c r="Q3904" s="16"/>
    </row>
    <row r="3905" spans="1:17" x14ac:dyDescent="0.3">
      <c r="A3905" s="5"/>
      <c r="B3905" s="6"/>
      <c r="C3905" s="7"/>
      <c r="D3905" s="10"/>
      <c r="F3905" s="1"/>
      <c r="G3905" s="1"/>
      <c r="H3905" s="1"/>
      <c r="I3905" s="7"/>
      <c r="J3905" s="12"/>
      <c r="K3905" s="13"/>
      <c r="L3905" s="14"/>
      <c r="M3905" s="15"/>
      <c r="N3905" s="15"/>
      <c r="O3905" s="16"/>
      <c r="Q3905" s="16"/>
    </row>
    <row r="3906" spans="1:17" x14ac:dyDescent="0.3">
      <c r="A3906" s="5"/>
      <c r="B3906" s="6"/>
      <c r="C3906" s="7"/>
      <c r="D3906" s="10"/>
      <c r="F3906" s="1"/>
      <c r="G3906" s="1"/>
      <c r="H3906" s="1"/>
      <c r="I3906" s="7"/>
      <c r="J3906" s="12"/>
      <c r="K3906" s="13"/>
      <c r="L3906" s="14"/>
      <c r="M3906" s="15"/>
      <c r="N3906" s="15"/>
      <c r="O3906" s="16"/>
      <c r="Q3906" s="16"/>
    </row>
    <row r="3907" spans="1:17" x14ac:dyDescent="0.3">
      <c r="A3907" s="5"/>
      <c r="B3907" s="6"/>
      <c r="C3907" s="7"/>
      <c r="D3907" s="10"/>
      <c r="F3907" s="1"/>
      <c r="G3907" s="1"/>
      <c r="H3907" s="1"/>
      <c r="I3907" s="7"/>
      <c r="J3907" s="12"/>
      <c r="K3907" s="13"/>
      <c r="L3907" s="14"/>
      <c r="M3907" s="15"/>
      <c r="N3907" s="15"/>
      <c r="O3907" s="16"/>
      <c r="Q3907" s="16"/>
    </row>
    <row r="3908" spans="1:17" x14ac:dyDescent="0.3">
      <c r="A3908" s="5"/>
      <c r="B3908" s="6"/>
      <c r="C3908" s="7"/>
      <c r="D3908" s="10"/>
      <c r="F3908" s="1"/>
      <c r="G3908" s="1"/>
      <c r="H3908" s="1"/>
      <c r="I3908" s="7"/>
      <c r="J3908" s="12"/>
      <c r="K3908" s="13"/>
      <c r="L3908" s="14"/>
      <c r="M3908" s="15"/>
      <c r="N3908" s="15"/>
      <c r="O3908" s="16"/>
      <c r="Q3908" s="16"/>
    </row>
    <row r="3909" spans="1:17" x14ac:dyDescent="0.3">
      <c r="A3909" s="5"/>
      <c r="B3909" s="6"/>
      <c r="C3909" s="7"/>
      <c r="D3909" s="10"/>
      <c r="F3909" s="1"/>
      <c r="G3909" s="1"/>
      <c r="H3909" s="1"/>
      <c r="I3909" s="7"/>
      <c r="J3909" s="12"/>
      <c r="K3909" s="13"/>
      <c r="L3909" s="14"/>
      <c r="M3909" s="15"/>
      <c r="N3909" s="15"/>
      <c r="O3909" s="16"/>
      <c r="Q3909" s="16"/>
    </row>
    <row r="3910" spans="1:17" x14ac:dyDescent="0.3">
      <c r="A3910" s="5"/>
      <c r="B3910" s="6"/>
      <c r="C3910" s="7"/>
      <c r="D3910" s="10"/>
      <c r="F3910" s="1"/>
      <c r="G3910" s="1"/>
      <c r="H3910" s="1"/>
      <c r="I3910" s="7"/>
      <c r="J3910" s="12"/>
      <c r="K3910" s="13"/>
      <c r="L3910" s="14"/>
      <c r="M3910" s="15"/>
      <c r="N3910" s="15"/>
      <c r="O3910" s="16"/>
      <c r="Q3910" s="16"/>
    </row>
    <row r="3911" spans="1:17" x14ac:dyDescent="0.3">
      <c r="A3911" s="5"/>
      <c r="B3911" s="6"/>
      <c r="C3911" s="7"/>
      <c r="D3911" s="10"/>
      <c r="F3911" s="1"/>
      <c r="G3911" s="1"/>
      <c r="H3911" s="1"/>
      <c r="I3911" s="7"/>
      <c r="J3911" s="12"/>
      <c r="K3911" s="13"/>
      <c r="L3911" s="14"/>
      <c r="M3911" s="15"/>
      <c r="N3911" s="15"/>
      <c r="O3911" s="16"/>
      <c r="Q3911" s="16"/>
    </row>
    <row r="3912" spans="1:17" x14ac:dyDescent="0.3">
      <c r="A3912" s="5"/>
      <c r="B3912" s="6"/>
      <c r="C3912" s="7"/>
      <c r="D3912" s="10"/>
      <c r="F3912" s="1"/>
      <c r="G3912" s="1"/>
      <c r="H3912" s="1"/>
      <c r="I3912" s="7"/>
      <c r="J3912" s="12"/>
      <c r="K3912" s="13"/>
      <c r="L3912" s="14"/>
      <c r="M3912" s="15"/>
      <c r="N3912" s="15"/>
      <c r="O3912" s="16"/>
      <c r="Q3912" s="16"/>
    </row>
    <row r="3913" spans="1:17" x14ac:dyDescent="0.3">
      <c r="A3913" s="5"/>
      <c r="B3913" s="6"/>
      <c r="C3913" s="7"/>
      <c r="D3913" s="10"/>
      <c r="F3913" s="1"/>
      <c r="G3913" s="1"/>
      <c r="H3913" s="1"/>
      <c r="I3913" s="7"/>
      <c r="J3913" s="12"/>
      <c r="K3913" s="13"/>
      <c r="L3913" s="14"/>
      <c r="M3913" s="15"/>
      <c r="N3913" s="15"/>
      <c r="O3913" s="16"/>
      <c r="Q3913" s="16"/>
    </row>
    <row r="3914" spans="1:17" x14ac:dyDescent="0.3">
      <c r="A3914" s="5"/>
      <c r="B3914" s="6"/>
      <c r="C3914" s="7"/>
      <c r="D3914" s="10"/>
      <c r="F3914" s="1"/>
      <c r="G3914" s="1"/>
      <c r="H3914" s="1"/>
      <c r="I3914" s="7"/>
      <c r="J3914" s="12"/>
      <c r="K3914" s="13"/>
      <c r="L3914" s="14"/>
      <c r="M3914" s="15"/>
      <c r="N3914" s="15"/>
      <c r="O3914" s="16"/>
      <c r="Q3914" s="16"/>
    </row>
    <row r="3915" spans="1:17" x14ac:dyDescent="0.3">
      <c r="A3915" s="5"/>
      <c r="B3915" s="6"/>
      <c r="C3915" s="7"/>
      <c r="D3915" s="10"/>
      <c r="F3915" s="1"/>
      <c r="G3915" s="1"/>
      <c r="H3915" s="1"/>
      <c r="I3915" s="7"/>
      <c r="J3915" s="12"/>
      <c r="K3915" s="13"/>
      <c r="L3915" s="14"/>
      <c r="M3915" s="15"/>
      <c r="N3915" s="15"/>
      <c r="O3915" s="16"/>
      <c r="Q3915" s="16"/>
    </row>
    <row r="3916" spans="1:17" x14ac:dyDescent="0.3">
      <c r="A3916" s="5"/>
      <c r="B3916" s="6"/>
      <c r="C3916" s="7"/>
      <c r="D3916" s="10"/>
      <c r="F3916" s="1"/>
      <c r="G3916" s="1"/>
      <c r="H3916" s="1"/>
      <c r="I3916" s="7"/>
      <c r="J3916" s="12"/>
      <c r="K3916" s="13"/>
      <c r="L3916" s="14"/>
      <c r="M3916" s="15"/>
      <c r="N3916" s="15"/>
      <c r="O3916" s="16"/>
      <c r="Q3916" s="16"/>
    </row>
    <row r="3917" spans="1:17" x14ac:dyDescent="0.3">
      <c r="A3917" s="5"/>
      <c r="B3917" s="6"/>
      <c r="C3917" s="7"/>
      <c r="D3917" s="10"/>
      <c r="F3917" s="1"/>
      <c r="G3917" s="1"/>
      <c r="H3917" s="1"/>
      <c r="I3917" s="7"/>
      <c r="J3917" s="12"/>
      <c r="K3917" s="13"/>
      <c r="L3917" s="14"/>
      <c r="M3917" s="15"/>
      <c r="N3917" s="15"/>
      <c r="O3917" s="16"/>
      <c r="Q3917" s="16"/>
    </row>
    <row r="3918" spans="1:17" x14ac:dyDescent="0.3">
      <c r="A3918" s="5"/>
      <c r="B3918" s="6"/>
      <c r="C3918" s="7"/>
      <c r="D3918" s="10"/>
      <c r="F3918" s="1"/>
      <c r="G3918" s="1"/>
      <c r="H3918" s="1"/>
      <c r="I3918" s="7"/>
      <c r="J3918" s="12"/>
      <c r="K3918" s="13"/>
      <c r="L3918" s="14"/>
      <c r="M3918" s="15"/>
      <c r="N3918" s="15"/>
      <c r="O3918" s="16"/>
      <c r="Q3918" s="16"/>
    </row>
    <row r="3919" spans="1:17" x14ac:dyDescent="0.3">
      <c r="A3919" s="5"/>
      <c r="B3919" s="6"/>
      <c r="C3919" s="7"/>
      <c r="D3919" s="10"/>
      <c r="F3919" s="1"/>
      <c r="G3919" s="1"/>
      <c r="H3919" s="1"/>
      <c r="I3919" s="7"/>
      <c r="J3919" s="12"/>
      <c r="K3919" s="13"/>
      <c r="L3919" s="14"/>
      <c r="M3919" s="15"/>
      <c r="N3919" s="15"/>
      <c r="O3919" s="16"/>
      <c r="Q3919" s="16"/>
    </row>
    <row r="3920" spans="1:17" x14ac:dyDescent="0.3">
      <c r="A3920" s="5"/>
      <c r="B3920" s="6"/>
      <c r="C3920" s="7"/>
      <c r="D3920" s="10"/>
      <c r="F3920" s="1"/>
      <c r="G3920" s="1"/>
      <c r="H3920" s="1"/>
      <c r="I3920" s="7"/>
      <c r="J3920" s="12"/>
      <c r="K3920" s="13"/>
      <c r="L3920" s="14"/>
      <c r="M3920" s="15"/>
      <c r="N3920" s="15"/>
      <c r="O3920" s="16"/>
      <c r="Q3920" s="16"/>
    </row>
    <row r="3921" spans="1:17" x14ac:dyDescent="0.3">
      <c r="A3921" s="5"/>
      <c r="B3921" s="6"/>
      <c r="C3921" s="7"/>
      <c r="D3921" s="10"/>
      <c r="F3921" s="1"/>
      <c r="G3921" s="1"/>
      <c r="H3921" s="1"/>
      <c r="I3921" s="7"/>
      <c r="J3921" s="12"/>
      <c r="K3921" s="13"/>
      <c r="L3921" s="14"/>
      <c r="M3921" s="15"/>
      <c r="N3921" s="15"/>
      <c r="O3921" s="16"/>
      <c r="Q3921" s="16"/>
    </row>
    <row r="3922" spans="1:17" x14ac:dyDescent="0.3">
      <c r="A3922" s="5"/>
      <c r="B3922" s="6"/>
      <c r="C3922" s="7"/>
      <c r="D3922" s="10"/>
      <c r="F3922" s="1"/>
      <c r="G3922" s="1"/>
      <c r="H3922" s="1"/>
      <c r="I3922" s="7"/>
      <c r="J3922" s="12"/>
      <c r="K3922" s="13"/>
      <c r="L3922" s="14"/>
      <c r="M3922" s="15"/>
      <c r="N3922" s="15"/>
      <c r="O3922" s="16"/>
      <c r="Q3922" s="16"/>
    </row>
    <row r="3923" spans="1:17" x14ac:dyDescent="0.3">
      <c r="A3923" s="5"/>
      <c r="B3923" s="6"/>
      <c r="C3923" s="7"/>
      <c r="D3923" s="10"/>
      <c r="F3923" s="1"/>
      <c r="G3923" s="1"/>
      <c r="H3923" s="1"/>
      <c r="I3923" s="7"/>
      <c r="J3923" s="12"/>
      <c r="K3923" s="13"/>
      <c r="L3923" s="14"/>
      <c r="M3923" s="15"/>
      <c r="N3923" s="15"/>
      <c r="O3923" s="16"/>
      <c r="Q3923" s="16"/>
    </row>
    <row r="3924" spans="1:17" x14ac:dyDescent="0.3">
      <c r="A3924" s="5"/>
      <c r="B3924" s="6"/>
      <c r="C3924" s="7"/>
      <c r="D3924" s="10"/>
      <c r="F3924" s="1"/>
      <c r="G3924" s="1"/>
      <c r="H3924" s="1"/>
      <c r="I3924" s="7"/>
      <c r="J3924" s="12"/>
      <c r="K3924" s="13"/>
      <c r="L3924" s="14"/>
      <c r="M3924" s="15"/>
      <c r="N3924" s="15"/>
      <c r="O3924" s="16"/>
      <c r="Q3924" s="16"/>
    </row>
    <row r="3925" spans="1:17" x14ac:dyDescent="0.3">
      <c r="A3925" s="5"/>
      <c r="B3925" s="6"/>
      <c r="C3925" s="7"/>
      <c r="D3925" s="10"/>
      <c r="F3925" s="1"/>
      <c r="G3925" s="1"/>
      <c r="H3925" s="1"/>
      <c r="I3925" s="7"/>
      <c r="J3925" s="12"/>
      <c r="K3925" s="13"/>
      <c r="L3925" s="14"/>
      <c r="M3925" s="15"/>
      <c r="N3925" s="15"/>
      <c r="O3925" s="16"/>
      <c r="Q3925" s="16"/>
    </row>
    <row r="3926" spans="1:17" x14ac:dyDescent="0.3">
      <c r="A3926" s="5"/>
      <c r="B3926" s="6"/>
      <c r="C3926" s="7"/>
      <c r="D3926" s="10"/>
      <c r="F3926" s="1"/>
      <c r="G3926" s="1"/>
      <c r="H3926" s="1"/>
      <c r="I3926" s="7"/>
      <c r="J3926" s="12"/>
      <c r="K3926" s="13"/>
      <c r="L3926" s="14"/>
      <c r="M3926" s="15"/>
      <c r="N3926" s="15"/>
      <c r="O3926" s="16"/>
      <c r="Q3926" s="16"/>
    </row>
    <row r="3927" spans="1:17" x14ac:dyDescent="0.3">
      <c r="A3927" s="5"/>
      <c r="B3927" s="6"/>
      <c r="C3927" s="7"/>
      <c r="D3927" s="10"/>
      <c r="F3927" s="1"/>
      <c r="G3927" s="1"/>
      <c r="H3927" s="1"/>
      <c r="I3927" s="7"/>
      <c r="J3927" s="12"/>
      <c r="K3927" s="13"/>
      <c r="L3927" s="14"/>
      <c r="M3927" s="15"/>
      <c r="N3927" s="15"/>
      <c r="O3927" s="16"/>
      <c r="Q3927" s="16"/>
    </row>
    <row r="3928" spans="1:17" x14ac:dyDescent="0.3">
      <c r="A3928" s="5"/>
      <c r="B3928" s="6"/>
      <c r="C3928" s="7"/>
      <c r="D3928" s="10"/>
      <c r="F3928" s="1"/>
      <c r="G3928" s="1"/>
      <c r="H3928" s="1"/>
      <c r="I3928" s="7"/>
      <c r="J3928" s="12"/>
      <c r="K3928" s="13"/>
      <c r="L3928" s="14"/>
      <c r="M3928" s="15"/>
      <c r="N3928" s="15"/>
      <c r="O3928" s="16"/>
      <c r="Q3928" s="16"/>
    </row>
    <row r="3929" spans="1:17" x14ac:dyDescent="0.3">
      <c r="A3929" s="5"/>
      <c r="B3929" s="6"/>
      <c r="C3929" s="7"/>
      <c r="D3929" s="10"/>
      <c r="F3929" s="1"/>
      <c r="G3929" s="1"/>
      <c r="H3929" s="1"/>
      <c r="I3929" s="7"/>
      <c r="J3929" s="12"/>
      <c r="K3929" s="13"/>
      <c r="L3929" s="14"/>
      <c r="M3929" s="15"/>
      <c r="N3929" s="15"/>
      <c r="O3929" s="16"/>
      <c r="Q3929" s="16"/>
    </row>
    <row r="3930" spans="1:17" x14ac:dyDescent="0.3">
      <c r="A3930" s="5"/>
      <c r="B3930" s="6"/>
      <c r="C3930" s="7"/>
      <c r="D3930" s="10"/>
      <c r="F3930" s="1"/>
      <c r="G3930" s="1"/>
      <c r="H3930" s="1"/>
      <c r="I3930" s="7"/>
      <c r="J3930" s="12"/>
      <c r="K3930" s="13"/>
      <c r="L3930" s="14"/>
      <c r="M3930" s="15"/>
      <c r="N3930" s="15"/>
      <c r="O3930" s="16"/>
      <c r="Q3930" s="16"/>
    </row>
    <row r="3931" spans="1:17" x14ac:dyDescent="0.3">
      <c r="A3931" s="5"/>
      <c r="B3931" s="6"/>
      <c r="C3931" s="7"/>
      <c r="D3931" s="10"/>
      <c r="F3931" s="1"/>
      <c r="G3931" s="1"/>
      <c r="H3931" s="1"/>
      <c r="I3931" s="7"/>
      <c r="J3931" s="12"/>
      <c r="K3931" s="13"/>
      <c r="L3931" s="14"/>
      <c r="M3931" s="15"/>
      <c r="N3931" s="15"/>
      <c r="O3931" s="16"/>
      <c r="Q3931" s="16"/>
    </row>
    <row r="3932" spans="1:17" x14ac:dyDescent="0.3">
      <c r="A3932" s="5"/>
      <c r="B3932" s="6"/>
      <c r="C3932" s="7"/>
      <c r="D3932" s="10"/>
      <c r="F3932" s="1"/>
      <c r="G3932" s="1"/>
      <c r="H3932" s="1"/>
      <c r="I3932" s="7"/>
      <c r="J3932" s="12"/>
      <c r="K3932" s="13"/>
      <c r="L3932" s="14"/>
      <c r="M3932" s="15"/>
      <c r="N3932" s="15"/>
      <c r="O3932" s="16"/>
      <c r="Q3932" s="16"/>
    </row>
    <row r="3933" spans="1:17" x14ac:dyDescent="0.3">
      <c r="A3933" s="5"/>
      <c r="B3933" s="6"/>
      <c r="C3933" s="7"/>
      <c r="D3933" s="10"/>
      <c r="F3933" s="1"/>
      <c r="G3933" s="1"/>
      <c r="H3933" s="1"/>
      <c r="I3933" s="7"/>
      <c r="J3933" s="12"/>
      <c r="K3933" s="13"/>
      <c r="L3933" s="14"/>
      <c r="M3933" s="15"/>
      <c r="N3933" s="15"/>
      <c r="O3933" s="16"/>
      <c r="Q3933" s="16"/>
    </row>
    <row r="3934" spans="1:17" x14ac:dyDescent="0.3">
      <c r="A3934" s="5"/>
      <c r="B3934" s="6"/>
      <c r="C3934" s="7"/>
      <c r="D3934" s="10"/>
      <c r="F3934" s="1"/>
      <c r="G3934" s="1"/>
      <c r="H3934" s="1"/>
      <c r="I3934" s="7"/>
      <c r="J3934" s="12"/>
      <c r="K3934" s="13"/>
      <c r="L3934" s="14"/>
      <c r="M3934" s="15"/>
      <c r="N3934" s="15"/>
      <c r="O3934" s="16"/>
      <c r="Q3934" s="16"/>
    </row>
    <row r="3935" spans="1:17" x14ac:dyDescent="0.3">
      <c r="A3935" s="5"/>
      <c r="B3935" s="6"/>
      <c r="C3935" s="7"/>
      <c r="D3935" s="10"/>
      <c r="F3935" s="1"/>
      <c r="G3935" s="1"/>
      <c r="H3935" s="1"/>
      <c r="I3935" s="7"/>
      <c r="J3935" s="12"/>
      <c r="K3935" s="13"/>
      <c r="L3935" s="14"/>
      <c r="M3935" s="15"/>
      <c r="N3935" s="15"/>
      <c r="O3935" s="16"/>
      <c r="Q3935" s="16"/>
    </row>
    <row r="3936" spans="1:17" x14ac:dyDescent="0.3">
      <c r="A3936" s="5"/>
      <c r="B3936" s="6"/>
      <c r="C3936" s="7"/>
      <c r="D3936" s="10"/>
      <c r="F3936" s="1"/>
      <c r="G3936" s="1"/>
      <c r="H3936" s="1"/>
      <c r="I3936" s="7"/>
      <c r="J3936" s="12"/>
      <c r="K3936" s="13"/>
      <c r="L3936" s="14"/>
      <c r="M3936" s="15"/>
      <c r="N3936" s="15"/>
      <c r="O3936" s="16"/>
      <c r="Q3936" s="16"/>
    </row>
    <row r="3937" spans="1:17" x14ac:dyDescent="0.3">
      <c r="A3937" s="5"/>
      <c r="B3937" s="6"/>
      <c r="C3937" s="7"/>
      <c r="D3937" s="10"/>
      <c r="F3937" s="1"/>
      <c r="G3937" s="1"/>
      <c r="H3937" s="1"/>
      <c r="I3937" s="7"/>
      <c r="J3937" s="12"/>
      <c r="K3937" s="13"/>
      <c r="L3937" s="14"/>
      <c r="M3937" s="15"/>
      <c r="N3937" s="15"/>
      <c r="O3937" s="16"/>
      <c r="Q3937" s="16"/>
    </row>
    <row r="3938" spans="1:17" x14ac:dyDescent="0.3">
      <c r="A3938" s="5"/>
      <c r="B3938" s="6"/>
      <c r="C3938" s="7"/>
      <c r="D3938" s="10"/>
      <c r="F3938" s="1"/>
      <c r="G3938" s="1"/>
      <c r="H3938" s="1"/>
      <c r="I3938" s="7"/>
      <c r="J3938" s="12"/>
      <c r="K3938" s="13"/>
      <c r="L3938" s="14"/>
      <c r="M3938" s="15"/>
      <c r="N3938" s="15"/>
      <c r="O3938" s="16"/>
      <c r="Q3938" s="16"/>
    </row>
    <row r="3939" spans="1:17" x14ac:dyDescent="0.3">
      <c r="A3939" s="5"/>
      <c r="B3939" s="6"/>
      <c r="C3939" s="7"/>
      <c r="D3939" s="10"/>
      <c r="F3939" s="1"/>
      <c r="G3939" s="1"/>
      <c r="H3939" s="1"/>
      <c r="I3939" s="7"/>
      <c r="J3939" s="12"/>
      <c r="K3939" s="13"/>
      <c r="L3939" s="14"/>
      <c r="M3939" s="15"/>
      <c r="N3939" s="15"/>
      <c r="O3939" s="16"/>
      <c r="Q3939" s="16"/>
    </row>
    <row r="3940" spans="1:17" x14ac:dyDescent="0.3">
      <c r="A3940" s="5"/>
      <c r="B3940" s="6"/>
      <c r="C3940" s="7"/>
      <c r="D3940" s="10"/>
      <c r="F3940" s="1"/>
      <c r="G3940" s="1"/>
      <c r="H3940" s="1"/>
      <c r="I3940" s="7"/>
      <c r="J3940" s="12"/>
      <c r="K3940" s="13"/>
      <c r="L3940" s="14"/>
      <c r="M3940" s="15"/>
      <c r="N3940" s="15"/>
      <c r="O3940" s="16"/>
      <c r="Q3940" s="16"/>
    </row>
    <row r="3941" spans="1:17" x14ac:dyDescent="0.3">
      <c r="A3941" s="5"/>
      <c r="B3941" s="6"/>
      <c r="C3941" s="7"/>
      <c r="D3941" s="10"/>
      <c r="F3941" s="1"/>
      <c r="G3941" s="1"/>
      <c r="H3941" s="1"/>
      <c r="I3941" s="7"/>
      <c r="J3941" s="12"/>
      <c r="K3941" s="13"/>
      <c r="L3941" s="14"/>
      <c r="M3941" s="15"/>
      <c r="N3941" s="15"/>
      <c r="O3941" s="16"/>
      <c r="Q3941" s="16"/>
    </row>
    <row r="3942" spans="1:17" x14ac:dyDescent="0.3">
      <c r="A3942" s="5"/>
      <c r="B3942" s="6"/>
      <c r="C3942" s="7"/>
      <c r="D3942" s="10"/>
      <c r="F3942" s="1"/>
      <c r="G3942" s="1"/>
      <c r="H3942" s="1"/>
      <c r="I3942" s="7"/>
      <c r="J3942" s="12"/>
      <c r="K3942" s="13"/>
      <c r="L3942" s="14"/>
      <c r="M3942" s="15"/>
      <c r="N3942" s="15"/>
      <c r="O3942" s="16"/>
      <c r="Q3942" s="16"/>
    </row>
    <row r="3943" spans="1:17" x14ac:dyDescent="0.3">
      <c r="A3943" s="5"/>
      <c r="B3943" s="6"/>
      <c r="C3943" s="7"/>
      <c r="D3943" s="10"/>
      <c r="F3943" s="1"/>
      <c r="G3943" s="1"/>
      <c r="H3943" s="1"/>
      <c r="I3943" s="7"/>
      <c r="J3943" s="12"/>
      <c r="K3943" s="13"/>
      <c r="L3943" s="14"/>
      <c r="M3943" s="15"/>
      <c r="N3943" s="15"/>
      <c r="O3943" s="16"/>
      <c r="Q3943" s="16"/>
    </row>
    <row r="3944" spans="1:17" x14ac:dyDescent="0.3">
      <c r="A3944" s="5"/>
      <c r="B3944" s="6"/>
      <c r="C3944" s="7"/>
      <c r="D3944" s="10"/>
      <c r="F3944" s="1"/>
      <c r="G3944" s="1"/>
      <c r="H3944" s="1"/>
      <c r="I3944" s="7"/>
      <c r="J3944" s="12"/>
      <c r="K3944" s="13"/>
      <c r="L3944" s="14"/>
      <c r="M3944" s="15"/>
      <c r="N3944" s="15"/>
      <c r="O3944" s="16"/>
      <c r="Q3944" s="16"/>
    </row>
    <row r="3945" spans="1:17" x14ac:dyDescent="0.3">
      <c r="A3945" s="5"/>
      <c r="B3945" s="6"/>
      <c r="C3945" s="7"/>
      <c r="D3945" s="10"/>
      <c r="F3945" s="1"/>
      <c r="G3945" s="1"/>
      <c r="H3945" s="1"/>
      <c r="I3945" s="7"/>
      <c r="J3945" s="12"/>
      <c r="K3945" s="13"/>
      <c r="L3945" s="14"/>
      <c r="M3945" s="15"/>
      <c r="N3945" s="15"/>
      <c r="O3945" s="16"/>
      <c r="Q3945" s="16"/>
    </row>
    <row r="3946" spans="1:17" x14ac:dyDescent="0.3">
      <c r="A3946" s="5"/>
      <c r="B3946" s="6"/>
      <c r="C3946" s="7"/>
      <c r="D3946" s="10"/>
      <c r="F3946" s="1"/>
      <c r="G3946" s="1"/>
      <c r="H3946" s="1"/>
      <c r="I3946" s="7"/>
      <c r="J3946" s="12"/>
      <c r="K3946" s="13"/>
      <c r="L3946" s="14"/>
      <c r="M3946" s="15"/>
      <c r="N3946" s="15"/>
      <c r="O3946" s="16"/>
      <c r="Q3946" s="16"/>
    </row>
    <row r="3947" spans="1:17" x14ac:dyDescent="0.3">
      <c r="A3947" s="5"/>
      <c r="B3947" s="6"/>
      <c r="C3947" s="7"/>
      <c r="D3947" s="10"/>
      <c r="F3947" s="1"/>
      <c r="G3947" s="1"/>
      <c r="H3947" s="1"/>
      <c r="I3947" s="7"/>
      <c r="J3947" s="12"/>
      <c r="K3947" s="13"/>
      <c r="L3947" s="14"/>
      <c r="M3947" s="15"/>
      <c r="N3947" s="15"/>
      <c r="O3947" s="16"/>
      <c r="Q3947" s="16"/>
    </row>
    <row r="3948" spans="1:17" x14ac:dyDescent="0.3">
      <c r="A3948" s="5"/>
      <c r="B3948" s="6"/>
      <c r="C3948" s="7"/>
      <c r="D3948" s="10"/>
      <c r="F3948" s="1"/>
      <c r="G3948" s="1"/>
      <c r="H3948" s="1"/>
      <c r="I3948" s="7"/>
      <c r="J3948" s="12"/>
      <c r="K3948" s="13"/>
      <c r="L3948" s="14"/>
      <c r="M3948" s="15"/>
      <c r="N3948" s="15"/>
      <c r="O3948" s="16"/>
      <c r="Q3948" s="16"/>
    </row>
    <row r="3949" spans="1:17" x14ac:dyDescent="0.3">
      <c r="A3949" s="5"/>
      <c r="B3949" s="6"/>
      <c r="C3949" s="7"/>
      <c r="D3949" s="10"/>
      <c r="F3949" s="1"/>
      <c r="G3949" s="1"/>
      <c r="H3949" s="1"/>
      <c r="I3949" s="7"/>
      <c r="J3949" s="12"/>
      <c r="K3949" s="13"/>
      <c r="L3949" s="14"/>
      <c r="M3949" s="15"/>
      <c r="N3949" s="15"/>
      <c r="O3949" s="16"/>
      <c r="Q3949" s="16"/>
    </row>
    <row r="3950" spans="1:17" x14ac:dyDescent="0.3">
      <c r="A3950" s="5"/>
      <c r="B3950" s="6"/>
      <c r="C3950" s="7"/>
      <c r="D3950" s="10"/>
      <c r="F3950" s="1"/>
      <c r="G3950" s="1"/>
      <c r="H3950" s="1"/>
      <c r="I3950" s="7"/>
      <c r="J3950" s="12"/>
      <c r="K3950" s="13"/>
      <c r="L3950" s="14"/>
      <c r="M3950" s="15"/>
      <c r="N3950" s="15"/>
      <c r="O3950" s="16"/>
      <c r="Q3950" s="16"/>
    </row>
    <row r="3951" spans="1:17" x14ac:dyDescent="0.3">
      <c r="A3951" s="5"/>
      <c r="B3951" s="6"/>
      <c r="C3951" s="7"/>
      <c r="D3951" s="10"/>
      <c r="F3951" s="1"/>
      <c r="G3951" s="1"/>
      <c r="H3951" s="1"/>
      <c r="I3951" s="7"/>
      <c r="J3951" s="12"/>
      <c r="K3951" s="13"/>
      <c r="L3951" s="14"/>
      <c r="M3951" s="15"/>
      <c r="N3951" s="15"/>
      <c r="O3951" s="16"/>
      <c r="Q3951" s="16"/>
    </row>
    <row r="3952" spans="1:17" x14ac:dyDescent="0.3">
      <c r="A3952" s="5"/>
      <c r="B3952" s="6"/>
      <c r="C3952" s="7"/>
      <c r="D3952" s="10"/>
      <c r="F3952" s="1"/>
      <c r="G3952" s="1"/>
      <c r="H3952" s="1"/>
      <c r="I3952" s="7"/>
      <c r="J3952" s="12"/>
      <c r="K3952" s="13"/>
      <c r="L3952" s="14"/>
      <c r="M3952" s="15"/>
      <c r="N3952" s="15"/>
      <c r="O3952" s="16"/>
      <c r="Q3952" s="16"/>
    </row>
    <row r="3953" spans="1:17" x14ac:dyDescent="0.3">
      <c r="A3953" s="5"/>
      <c r="B3953" s="6"/>
      <c r="C3953" s="7"/>
      <c r="D3953" s="10"/>
      <c r="F3953" s="1"/>
      <c r="G3953" s="1"/>
      <c r="H3953" s="1"/>
      <c r="I3953" s="7"/>
      <c r="J3953" s="12"/>
      <c r="K3953" s="13"/>
      <c r="L3953" s="14"/>
      <c r="M3953" s="15"/>
      <c r="N3953" s="15"/>
      <c r="O3953" s="16"/>
      <c r="Q3953" s="16"/>
    </row>
    <row r="3954" spans="1:17" x14ac:dyDescent="0.3">
      <c r="A3954" s="5"/>
      <c r="B3954" s="6"/>
      <c r="C3954" s="7"/>
      <c r="D3954" s="10"/>
      <c r="F3954" s="1"/>
      <c r="G3954" s="1"/>
      <c r="H3954" s="1"/>
      <c r="I3954" s="7"/>
      <c r="J3954" s="12"/>
      <c r="K3954" s="13"/>
      <c r="L3954" s="14"/>
      <c r="M3954" s="15"/>
      <c r="N3954" s="15"/>
      <c r="O3954" s="16"/>
      <c r="Q3954" s="16"/>
    </row>
    <row r="3955" spans="1:17" x14ac:dyDescent="0.3">
      <c r="A3955" s="5"/>
      <c r="B3955" s="6"/>
      <c r="C3955" s="7"/>
      <c r="D3955" s="10"/>
      <c r="F3955" s="1"/>
      <c r="G3955" s="1"/>
      <c r="H3955" s="1"/>
      <c r="I3955" s="7"/>
      <c r="J3955" s="12"/>
      <c r="K3955" s="13"/>
      <c r="L3955" s="14"/>
      <c r="M3955" s="15"/>
      <c r="N3955" s="15"/>
      <c r="O3955" s="16"/>
      <c r="Q3955" s="16"/>
    </row>
    <row r="3956" spans="1:17" x14ac:dyDescent="0.3">
      <c r="A3956" s="5"/>
      <c r="B3956" s="6"/>
      <c r="C3956" s="7"/>
      <c r="D3956" s="10"/>
      <c r="F3956" s="1"/>
      <c r="G3956" s="1"/>
      <c r="H3956" s="1"/>
      <c r="I3956" s="7"/>
      <c r="J3956" s="12"/>
      <c r="K3956" s="13"/>
      <c r="L3956" s="14"/>
      <c r="M3956" s="15"/>
      <c r="N3956" s="15"/>
      <c r="O3956" s="16"/>
      <c r="Q3956" s="16"/>
    </row>
    <row r="3957" spans="1:17" x14ac:dyDescent="0.3">
      <c r="A3957" s="5"/>
      <c r="B3957" s="6"/>
      <c r="C3957" s="7"/>
      <c r="D3957" s="10"/>
      <c r="F3957" s="1"/>
      <c r="G3957" s="1"/>
      <c r="H3957" s="1"/>
      <c r="I3957" s="7"/>
      <c r="J3957" s="12"/>
      <c r="K3957" s="13"/>
      <c r="L3957" s="14"/>
      <c r="M3957" s="15"/>
      <c r="N3957" s="15"/>
      <c r="O3957" s="16"/>
      <c r="Q3957" s="16"/>
    </row>
    <row r="3958" spans="1:17" x14ac:dyDescent="0.3">
      <c r="A3958" s="5"/>
      <c r="B3958" s="6"/>
      <c r="C3958" s="7"/>
      <c r="D3958" s="10"/>
      <c r="F3958" s="1"/>
      <c r="G3958" s="1"/>
      <c r="H3958" s="1"/>
      <c r="I3958" s="7"/>
      <c r="J3958" s="12"/>
      <c r="K3958" s="13"/>
      <c r="L3958" s="14"/>
      <c r="M3958" s="15"/>
      <c r="N3958" s="15"/>
      <c r="O3958" s="16"/>
      <c r="Q3958" s="16"/>
    </row>
    <row r="3959" spans="1:17" x14ac:dyDescent="0.3">
      <c r="A3959" s="5"/>
      <c r="B3959" s="6"/>
      <c r="C3959" s="7"/>
      <c r="D3959" s="10"/>
      <c r="F3959" s="1"/>
      <c r="G3959" s="1"/>
      <c r="H3959" s="1"/>
      <c r="I3959" s="7"/>
      <c r="J3959" s="12"/>
      <c r="K3959" s="13"/>
      <c r="L3959" s="14"/>
      <c r="M3959" s="15"/>
      <c r="N3959" s="15"/>
      <c r="O3959" s="16"/>
      <c r="Q3959" s="16"/>
    </row>
    <row r="3960" spans="1:17" x14ac:dyDescent="0.3">
      <c r="A3960" s="5"/>
      <c r="B3960" s="6"/>
      <c r="C3960" s="7"/>
      <c r="D3960" s="10"/>
      <c r="F3960" s="1"/>
      <c r="G3960" s="1"/>
      <c r="H3960" s="1"/>
      <c r="I3960" s="7"/>
      <c r="J3960" s="12"/>
      <c r="K3960" s="13"/>
      <c r="L3960" s="14"/>
      <c r="M3960" s="15"/>
      <c r="N3960" s="15"/>
      <c r="O3960" s="16"/>
      <c r="Q3960" s="16"/>
    </row>
    <row r="3961" spans="1:17" x14ac:dyDescent="0.3">
      <c r="A3961" s="5"/>
      <c r="B3961" s="6"/>
      <c r="C3961" s="7"/>
      <c r="D3961" s="10"/>
      <c r="F3961" s="1"/>
      <c r="G3961" s="1"/>
      <c r="H3961" s="1"/>
      <c r="I3961" s="7"/>
      <c r="J3961" s="12"/>
      <c r="K3961" s="13"/>
      <c r="L3961" s="14"/>
      <c r="M3961" s="15"/>
      <c r="N3961" s="15"/>
      <c r="O3961" s="16"/>
      <c r="Q3961" s="16"/>
    </row>
    <row r="3962" spans="1:17" x14ac:dyDescent="0.3">
      <c r="A3962" s="5"/>
      <c r="B3962" s="6"/>
      <c r="C3962" s="7"/>
      <c r="D3962" s="10"/>
      <c r="F3962" s="1"/>
      <c r="G3962" s="1"/>
      <c r="H3962" s="1"/>
      <c r="I3962" s="7"/>
      <c r="J3962" s="12"/>
      <c r="K3962" s="13"/>
      <c r="L3962" s="14"/>
      <c r="M3962" s="15"/>
      <c r="N3962" s="15"/>
      <c r="O3962" s="16"/>
      <c r="Q3962" s="16"/>
    </row>
    <row r="3963" spans="1:17" x14ac:dyDescent="0.3">
      <c r="A3963" s="5"/>
      <c r="B3963" s="6"/>
      <c r="C3963" s="7"/>
      <c r="D3963" s="10"/>
      <c r="F3963" s="1"/>
      <c r="G3963" s="1"/>
      <c r="H3963" s="1"/>
      <c r="I3963" s="7"/>
      <c r="J3963" s="12"/>
      <c r="K3963" s="13"/>
      <c r="L3963" s="14"/>
      <c r="M3963" s="15"/>
      <c r="N3963" s="15"/>
      <c r="O3963" s="16"/>
      <c r="Q3963" s="16"/>
    </row>
    <row r="3964" spans="1:17" x14ac:dyDescent="0.3">
      <c r="A3964" s="5"/>
      <c r="B3964" s="6"/>
      <c r="C3964" s="7"/>
      <c r="D3964" s="10"/>
      <c r="F3964" s="1"/>
      <c r="G3964" s="1"/>
      <c r="H3964" s="1"/>
      <c r="I3964" s="7"/>
      <c r="J3964" s="12"/>
      <c r="K3964" s="13"/>
      <c r="L3964" s="14"/>
      <c r="M3964" s="15"/>
      <c r="N3964" s="15"/>
      <c r="O3964" s="16"/>
      <c r="Q3964" s="16"/>
    </row>
    <row r="3965" spans="1:17" x14ac:dyDescent="0.3">
      <c r="A3965" s="5"/>
      <c r="B3965" s="6"/>
      <c r="C3965" s="7"/>
      <c r="D3965" s="10"/>
      <c r="F3965" s="1"/>
      <c r="G3965" s="1"/>
      <c r="H3965" s="1"/>
      <c r="I3965" s="7"/>
      <c r="J3965" s="12"/>
      <c r="K3965" s="13"/>
      <c r="L3965" s="14"/>
      <c r="M3965" s="15"/>
      <c r="N3965" s="15"/>
      <c r="O3965" s="16"/>
      <c r="Q3965" s="16"/>
    </row>
    <row r="3966" spans="1:17" x14ac:dyDescent="0.3">
      <c r="A3966" s="5"/>
      <c r="B3966" s="6"/>
      <c r="C3966" s="7"/>
      <c r="D3966" s="10"/>
      <c r="F3966" s="1"/>
      <c r="G3966" s="1"/>
      <c r="H3966" s="1"/>
      <c r="I3966" s="7"/>
      <c r="J3966" s="12"/>
      <c r="K3966" s="13"/>
      <c r="L3966" s="14"/>
      <c r="M3966" s="15"/>
      <c r="N3966" s="15"/>
      <c r="O3966" s="16"/>
      <c r="Q3966" s="16"/>
    </row>
    <row r="3967" spans="1:17" x14ac:dyDescent="0.3">
      <c r="A3967" s="5"/>
      <c r="B3967" s="6"/>
      <c r="C3967" s="7"/>
      <c r="D3967" s="10"/>
      <c r="F3967" s="1"/>
      <c r="G3967" s="1"/>
      <c r="H3967" s="1"/>
      <c r="I3967" s="7"/>
      <c r="J3967" s="12"/>
      <c r="K3967" s="13"/>
      <c r="L3967" s="14"/>
      <c r="M3967" s="15"/>
      <c r="N3967" s="15"/>
      <c r="O3967" s="16"/>
      <c r="Q3967" s="16"/>
    </row>
    <row r="3968" spans="1:17" x14ac:dyDescent="0.3">
      <c r="A3968" s="5"/>
      <c r="B3968" s="6"/>
      <c r="C3968" s="7"/>
      <c r="D3968" s="10"/>
      <c r="F3968" s="1"/>
      <c r="G3968" s="1"/>
      <c r="H3968" s="1"/>
      <c r="I3968" s="7"/>
      <c r="J3968" s="12"/>
      <c r="K3968" s="13"/>
      <c r="L3968" s="14"/>
      <c r="M3968" s="15"/>
      <c r="N3968" s="15"/>
      <c r="O3968" s="16"/>
      <c r="Q3968" s="16"/>
    </row>
    <row r="3969" spans="1:17" x14ac:dyDescent="0.3">
      <c r="A3969" s="5"/>
      <c r="B3969" s="6"/>
      <c r="C3969" s="7"/>
      <c r="D3969" s="10"/>
      <c r="F3969" s="1"/>
      <c r="G3969" s="1"/>
      <c r="H3969" s="1"/>
      <c r="I3969" s="7"/>
      <c r="J3969" s="12"/>
      <c r="K3969" s="13"/>
      <c r="L3969" s="14"/>
      <c r="M3969" s="15"/>
      <c r="N3969" s="15"/>
      <c r="O3969" s="16"/>
      <c r="Q3969" s="16"/>
    </row>
    <row r="3970" spans="1:17" x14ac:dyDescent="0.3">
      <c r="A3970" s="5"/>
      <c r="B3970" s="6"/>
      <c r="C3970" s="7"/>
      <c r="D3970" s="10"/>
      <c r="F3970" s="1"/>
      <c r="G3970" s="1"/>
      <c r="H3970" s="1"/>
      <c r="I3970" s="7"/>
      <c r="J3970" s="12"/>
      <c r="K3970" s="13"/>
      <c r="L3970" s="14"/>
      <c r="M3970" s="15"/>
      <c r="N3970" s="15"/>
      <c r="O3970" s="16"/>
      <c r="Q3970" s="16"/>
    </row>
    <row r="3971" spans="1:17" x14ac:dyDescent="0.3">
      <c r="A3971" s="5"/>
      <c r="B3971" s="6"/>
      <c r="C3971" s="7"/>
      <c r="D3971" s="10"/>
      <c r="F3971" s="1"/>
      <c r="G3971" s="1"/>
      <c r="H3971" s="1"/>
      <c r="I3971" s="7"/>
      <c r="J3971" s="12"/>
      <c r="K3971" s="13"/>
      <c r="L3971" s="14"/>
      <c r="M3971" s="15"/>
      <c r="N3971" s="15"/>
      <c r="O3971" s="16"/>
      <c r="Q3971" s="16"/>
    </row>
    <row r="3972" spans="1:17" x14ac:dyDescent="0.3">
      <c r="A3972" s="5"/>
      <c r="B3972" s="6"/>
      <c r="C3972" s="7"/>
      <c r="D3972" s="10"/>
      <c r="F3972" s="1"/>
      <c r="G3972" s="1"/>
      <c r="H3972" s="1"/>
      <c r="I3972" s="7"/>
      <c r="J3972" s="12"/>
      <c r="K3972" s="13"/>
      <c r="L3972" s="14"/>
      <c r="M3972" s="15"/>
      <c r="N3972" s="15"/>
      <c r="O3972" s="16"/>
      <c r="Q3972" s="16"/>
    </row>
    <row r="3973" spans="1:17" x14ac:dyDescent="0.3">
      <c r="A3973" s="5"/>
      <c r="B3973" s="6"/>
      <c r="C3973" s="7"/>
      <c r="D3973" s="10"/>
      <c r="F3973" s="1"/>
      <c r="G3973" s="1"/>
      <c r="H3973" s="1"/>
      <c r="I3973" s="7"/>
      <c r="J3973" s="12"/>
      <c r="K3973" s="13"/>
      <c r="L3973" s="14"/>
      <c r="M3973" s="15"/>
      <c r="N3973" s="15"/>
      <c r="O3973" s="16"/>
      <c r="Q3973" s="16"/>
    </row>
    <row r="3974" spans="1:17" x14ac:dyDescent="0.3">
      <c r="A3974" s="5"/>
      <c r="B3974" s="6"/>
      <c r="C3974" s="7"/>
      <c r="D3974" s="10"/>
      <c r="F3974" s="1"/>
      <c r="G3974" s="1"/>
      <c r="H3974" s="1"/>
      <c r="I3974" s="7"/>
      <c r="J3974" s="12"/>
      <c r="K3974" s="13"/>
      <c r="L3974" s="14"/>
      <c r="M3974" s="15"/>
      <c r="N3974" s="15"/>
      <c r="O3974" s="16"/>
      <c r="Q3974" s="16"/>
    </row>
    <row r="3975" spans="1:17" x14ac:dyDescent="0.3">
      <c r="A3975" s="5"/>
      <c r="B3975" s="6"/>
      <c r="C3975" s="7"/>
      <c r="D3975" s="10"/>
      <c r="F3975" s="1"/>
      <c r="G3975" s="1"/>
      <c r="H3975" s="1"/>
      <c r="I3975" s="7"/>
      <c r="J3975" s="12"/>
      <c r="K3975" s="13"/>
      <c r="L3975" s="14"/>
      <c r="M3975" s="15"/>
      <c r="N3975" s="15"/>
      <c r="O3975" s="16"/>
      <c r="Q3975" s="16"/>
    </row>
    <row r="3976" spans="1:17" x14ac:dyDescent="0.3">
      <c r="A3976" s="5"/>
      <c r="B3976" s="6"/>
      <c r="C3976" s="7"/>
      <c r="D3976" s="10"/>
      <c r="F3976" s="1"/>
      <c r="G3976" s="1"/>
      <c r="H3976" s="1"/>
      <c r="I3976" s="7"/>
      <c r="J3976" s="12"/>
      <c r="K3976" s="13"/>
      <c r="L3976" s="14"/>
      <c r="M3976" s="15"/>
      <c r="N3976" s="15"/>
      <c r="O3976" s="16"/>
      <c r="Q3976" s="16"/>
    </row>
    <row r="3977" spans="1:17" x14ac:dyDescent="0.3">
      <c r="A3977" s="5"/>
      <c r="B3977" s="6"/>
      <c r="C3977" s="7"/>
      <c r="D3977" s="10"/>
      <c r="F3977" s="1"/>
      <c r="G3977" s="1"/>
      <c r="H3977" s="1"/>
      <c r="I3977" s="7"/>
      <c r="J3977" s="12"/>
      <c r="K3977" s="13"/>
      <c r="L3977" s="14"/>
      <c r="M3977" s="15"/>
      <c r="N3977" s="15"/>
      <c r="O3977" s="16"/>
      <c r="Q3977" s="16"/>
    </row>
    <row r="3978" spans="1:17" x14ac:dyDescent="0.3">
      <c r="A3978" s="5"/>
      <c r="B3978" s="6"/>
      <c r="C3978" s="7"/>
      <c r="D3978" s="10"/>
      <c r="F3978" s="1"/>
      <c r="G3978" s="1"/>
      <c r="H3978" s="1"/>
      <c r="I3978" s="7"/>
      <c r="J3978" s="12"/>
      <c r="K3978" s="13"/>
      <c r="L3978" s="14"/>
      <c r="M3978" s="15"/>
      <c r="N3978" s="15"/>
      <c r="O3978" s="16"/>
      <c r="Q3978" s="16"/>
    </row>
    <row r="3979" spans="1:17" x14ac:dyDescent="0.3">
      <c r="A3979" s="5"/>
      <c r="B3979" s="6"/>
      <c r="C3979" s="7"/>
      <c r="D3979" s="10"/>
      <c r="F3979" s="1"/>
      <c r="G3979" s="1"/>
      <c r="H3979" s="1"/>
      <c r="I3979" s="7"/>
      <c r="J3979" s="12"/>
      <c r="K3979" s="13"/>
      <c r="L3979" s="14"/>
      <c r="M3979" s="15"/>
      <c r="N3979" s="15"/>
      <c r="O3979" s="16"/>
      <c r="Q3979" s="16"/>
    </row>
    <row r="3980" spans="1:17" x14ac:dyDescent="0.3">
      <c r="A3980" s="5"/>
      <c r="B3980" s="6"/>
      <c r="C3980" s="7"/>
      <c r="D3980" s="10"/>
      <c r="F3980" s="1"/>
      <c r="G3980" s="1"/>
      <c r="H3980" s="1"/>
      <c r="I3980" s="7"/>
      <c r="J3980" s="12"/>
      <c r="K3980" s="13"/>
      <c r="L3980" s="14"/>
      <c r="M3980" s="15"/>
      <c r="N3980" s="15"/>
      <c r="O3980" s="16"/>
      <c r="Q3980" s="16"/>
    </row>
    <row r="3981" spans="1:17" x14ac:dyDescent="0.3">
      <c r="A3981" s="5"/>
      <c r="B3981" s="6"/>
      <c r="C3981" s="7"/>
      <c r="D3981" s="10"/>
      <c r="F3981" s="1"/>
      <c r="G3981" s="1"/>
      <c r="H3981" s="1"/>
      <c r="I3981" s="7"/>
      <c r="J3981" s="12"/>
      <c r="K3981" s="13"/>
      <c r="L3981" s="14"/>
      <c r="M3981" s="15"/>
      <c r="N3981" s="15"/>
      <c r="O3981" s="16"/>
      <c r="Q3981" s="16"/>
    </row>
    <row r="3982" spans="1:17" x14ac:dyDescent="0.3">
      <c r="A3982" s="5"/>
      <c r="B3982" s="6"/>
      <c r="C3982" s="7"/>
      <c r="D3982" s="10"/>
      <c r="F3982" s="1"/>
      <c r="G3982" s="1"/>
      <c r="H3982" s="1"/>
      <c r="I3982" s="7"/>
      <c r="J3982" s="12"/>
      <c r="K3982" s="13"/>
      <c r="L3982" s="14"/>
      <c r="M3982" s="15"/>
      <c r="N3982" s="15"/>
      <c r="O3982" s="16"/>
      <c r="Q3982" s="16"/>
    </row>
    <row r="3983" spans="1:17" x14ac:dyDescent="0.3">
      <c r="A3983" s="5"/>
      <c r="B3983" s="6"/>
      <c r="C3983" s="7"/>
      <c r="D3983" s="10"/>
      <c r="F3983" s="1"/>
      <c r="G3983" s="1"/>
      <c r="H3983" s="1"/>
      <c r="I3983" s="7"/>
      <c r="J3983" s="12"/>
      <c r="K3983" s="13"/>
      <c r="L3983" s="14"/>
      <c r="M3983" s="15"/>
      <c r="N3983" s="15"/>
      <c r="O3983" s="16"/>
      <c r="Q3983" s="16"/>
    </row>
    <row r="3984" spans="1:17" x14ac:dyDescent="0.3">
      <c r="A3984" s="5"/>
      <c r="B3984" s="6"/>
      <c r="C3984" s="7"/>
      <c r="D3984" s="10"/>
      <c r="F3984" s="1"/>
      <c r="G3984" s="1"/>
      <c r="H3984" s="1"/>
      <c r="I3984" s="7"/>
      <c r="J3984" s="12"/>
      <c r="K3984" s="13"/>
      <c r="L3984" s="14"/>
      <c r="M3984" s="15"/>
      <c r="N3984" s="15"/>
      <c r="O3984" s="16"/>
      <c r="Q3984" s="16"/>
    </row>
    <row r="3985" spans="1:17" x14ac:dyDescent="0.3">
      <c r="A3985" s="5"/>
      <c r="B3985" s="6"/>
      <c r="C3985" s="7"/>
      <c r="D3985" s="10"/>
      <c r="F3985" s="1"/>
      <c r="G3985" s="1"/>
      <c r="H3985" s="1"/>
      <c r="I3985" s="7"/>
      <c r="J3985" s="12"/>
      <c r="K3985" s="13"/>
      <c r="L3985" s="14"/>
      <c r="M3985" s="15"/>
      <c r="N3985" s="15"/>
      <c r="O3985" s="16"/>
      <c r="Q3985" s="16"/>
    </row>
    <row r="3986" spans="1:17" x14ac:dyDescent="0.3">
      <c r="A3986" s="5"/>
      <c r="B3986" s="6"/>
      <c r="C3986" s="7"/>
      <c r="D3986" s="10"/>
      <c r="F3986" s="1"/>
      <c r="G3986" s="1"/>
      <c r="H3986" s="1"/>
      <c r="I3986" s="7"/>
      <c r="J3986" s="12"/>
      <c r="K3986" s="13"/>
      <c r="L3986" s="14"/>
      <c r="M3986" s="15"/>
      <c r="N3986" s="15"/>
      <c r="O3986" s="16"/>
      <c r="Q3986" s="16"/>
    </row>
    <row r="3987" spans="1:17" x14ac:dyDescent="0.3">
      <c r="A3987" s="5"/>
      <c r="B3987" s="6"/>
      <c r="C3987" s="7"/>
      <c r="D3987" s="10"/>
      <c r="F3987" s="1"/>
      <c r="G3987" s="1"/>
      <c r="H3987" s="1"/>
      <c r="I3987" s="7"/>
      <c r="J3987" s="12"/>
      <c r="K3987" s="13"/>
      <c r="L3987" s="14"/>
      <c r="M3987" s="15"/>
      <c r="N3987" s="15"/>
      <c r="O3987" s="16"/>
      <c r="Q3987" s="16"/>
    </row>
    <row r="3988" spans="1:17" x14ac:dyDescent="0.3">
      <c r="A3988" s="5"/>
      <c r="B3988" s="6"/>
      <c r="C3988" s="7"/>
      <c r="D3988" s="10"/>
      <c r="F3988" s="1"/>
      <c r="G3988" s="1"/>
      <c r="H3988" s="1"/>
      <c r="I3988" s="7"/>
      <c r="J3988" s="12"/>
      <c r="K3988" s="13"/>
      <c r="L3988" s="14"/>
      <c r="M3988" s="15"/>
      <c r="N3988" s="15"/>
      <c r="O3988" s="16"/>
      <c r="Q3988" s="16"/>
    </row>
    <row r="3989" spans="1:17" x14ac:dyDescent="0.3">
      <c r="A3989" s="5"/>
      <c r="B3989" s="6"/>
      <c r="C3989" s="7"/>
      <c r="D3989" s="10"/>
      <c r="F3989" s="1"/>
      <c r="G3989" s="1"/>
      <c r="H3989" s="1"/>
      <c r="I3989" s="7"/>
      <c r="J3989" s="12"/>
      <c r="K3989" s="13"/>
      <c r="L3989" s="14"/>
      <c r="M3989" s="15"/>
      <c r="N3989" s="15"/>
      <c r="O3989" s="16"/>
      <c r="Q3989" s="16"/>
    </row>
    <row r="3990" spans="1:17" x14ac:dyDescent="0.3">
      <c r="A3990" s="5"/>
      <c r="B3990" s="6"/>
      <c r="C3990" s="7"/>
      <c r="D3990" s="10"/>
      <c r="F3990" s="1"/>
      <c r="G3990" s="1"/>
      <c r="H3990" s="1"/>
      <c r="I3990" s="7"/>
      <c r="J3990" s="12"/>
      <c r="K3990" s="13"/>
      <c r="L3990" s="14"/>
      <c r="M3990" s="15"/>
      <c r="N3990" s="15"/>
      <c r="O3990" s="16"/>
      <c r="Q3990" s="16"/>
    </row>
    <row r="3991" spans="1:17" x14ac:dyDescent="0.3">
      <c r="A3991" s="5"/>
      <c r="B3991" s="6"/>
      <c r="C3991" s="7"/>
      <c r="D3991" s="10"/>
      <c r="F3991" s="1"/>
      <c r="G3991" s="1"/>
      <c r="H3991" s="1"/>
      <c r="I3991" s="7"/>
      <c r="J3991" s="12"/>
      <c r="K3991" s="13"/>
      <c r="L3991" s="14"/>
      <c r="M3991" s="15"/>
      <c r="N3991" s="15"/>
      <c r="O3991" s="16"/>
      <c r="Q3991" s="16"/>
    </row>
    <row r="3992" spans="1:17" x14ac:dyDescent="0.3">
      <c r="A3992" s="5"/>
      <c r="B3992" s="6"/>
      <c r="C3992" s="7"/>
      <c r="D3992" s="10"/>
      <c r="F3992" s="1"/>
      <c r="G3992" s="1"/>
      <c r="H3992" s="1"/>
      <c r="I3992" s="7"/>
      <c r="J3992" s="12"/>
      <c r="K3992" s="13"/>
      <c r="L3992" s="14"/>
      <c r="M3992" s="15"/>
      <c r="N3992" s="15"/>
      <c r="O3992" s="16"/>
      <c r="Q3992" s="16"/>
    </row>
    <row r="3993" spans="1:17" x14ac:dyDescent="0.3">
      <c r="A3993" s="5"/>
      <c r="B3993" s="6"/>
      <c r="C3993" s="7"/>
      <c r="D3993" s="10"/>
      <c r="F3993" s="1"/>
      <c r="G3993" s="1"/>
      <c r="H3993" s="1"/>
      <c r="I3993" s="7"/>
      <c r="J3993" s="12"/>
      <c r="K3993" s="13"/>
      <c r="L3993" s="14"/>
      <c r="M3993" s="15"/>
      <c r="N3993" s="15"/>
      <c r="O3993" s="16"/>
      <c r="Q3993" s="16"/>
    </row>
    <row r="3994" spans="1:17" x14ac:dyDescent="0.3">
      <c r="A3994" s="5"/>
      <c r="B3994" s="6"/>
      <c r="C3994" s="7"/>
      <c r="D3994" s="10"/>
      <c r="F3994" s="1"/>
      <c r="G3994" s="1"/>
      <c r="H3994" s="1"/>
      <c r="I3994" s="7"/>
      <c r="J3994" s="12"/>
      <c r="K3994" s="13"/>
      <c r="L3994" s="14"/>
      <c r="M3994" s="15"/>
      <c r="N3994" s="15"/>
      <c r="O3994" s="16"/>
      <c r="Q3994" s="16"/>
    </row>
    <row r="3995" spans="1:17" x14ac:dyDescent="0.3">
      <c r="A3995" s="5"/>
      <c r="B3995" s="6"/>
      <c r="C3995" s="7"/>
      <c r="D3995" s="10"/>
      <c r="F3995" s="1"/>
      <c r="G3995" s="1"/>
      <c r="H3995" s="1"/>
      <c r="I3995" s="7"/>
      <c r="J3995" s="12"/>
      <c r="K3995" s="13"/>
      <c r="L3995" s="14"/>
      <c r="M3995" s="15"/>
      <c r="N3995" s="15"/>
      <c r="O3995" s="16"/>
      <c r="Q3995" s="16"/>
    </row>
    <row r="3996" spans="1:17" x14ac:dyDescent="0.3">
      <c r="A3996" s="5"/>
      <c r="B3996" s="6"/>
      <c r="C3996" s="7"/>
      <c r="D3996" s="10"/>
      <c r="F3996" s="1"/>
      <c r="G3996" s="1"/>
      <c r="H3996" s="1"/>
      <c r="I3996" s="7"/>
      <c r="J3996" s="12"/>
      <c r="K3996" s="13"/>
      <c r="L3996" s="14"/>
      <c r="M3996" s="15"/>
      <c r="N3996" s="15"/>
      <c r="O3996" s="16"/>
      <c r="Q3996" s="16"/>
    </row>
    <row r="3997" spans="1:17" x14ac:dyDescent="0.3">
      <c r="A3997" s="5"/>
      <c r="B3997" s="6"/>
      <c r="C3997" s="7"/>
      <c r="D3997" s="10"/>
      <c r="F3997" s="1"/>
      <c r="G3997" s="1"/>
      <c r="H3997" s="1"/>
      <c r="I3997" s="7"/>
      <c r="J3997" s="12"/>
      <c r="K3997" s="13"/>
      <c r="L3997" s="14"/>
      <c r="M3997" s="15"/>
      <c r="N3997" s="15"/>
      <c r="O3997" s="16"/>
      <c r="Q3997" s="16"/>
    </row>
    <row r="3998" spans="1:17" x14ac:dyDescent="0.3">
      <c r="A3998" s="5"/>
      <c r="B3998" s="6"/>
      <c r="C3998" s="7"/>
      <c r="D3998" s="10"/>
      <c r="F3998" s="1"/>
      <c r="G3998" s="1"/>
      <c r="H3998" s="1"/>
      <c r="I3998" s="7"/>
      <c r="J3998" s="12"/>
      <c r="K3998" s="13"/>
      <c r="L3998" s="14"/>
      <c r="M3998" s="15"/>
      <c r="N3998" s="15"/>
      <c r="O3998" s="16"/>
      <c r="Q3998" s="16"/>
    </row>
    <row r="3999" spans="1:17" x14ac:dyDescent="0.3">
      <c r="A3999" s="5"/>
      <c r="B3999" s="6"/>
      <c r="C3999" s="7"/>
      <c r="D3999" s="10"/>
      <c r="F3999" s="1"/>
      <c r="G3999" s="1"/>
      <c r="H3999" s="1"/>
      <c r="I3999" s="7"/>
      <c r="J3999" s="12"/>
      <c r="K3999" s="13"/>
      <c r="L3999" s="14"/>
      <c r="M3999" s="15"/>
      <c r="N3999" s="15"/>
      <c r="O3999" s="16"/>
      <c r="Q3999" s="16"/>
    </row>
    <row r="4000" spans="1:17" x14ac:dyDescent="0.3">
      <c r="A4000" s="5"/>
      <c r="B4000" s="6"/>
      <c r="C4000" s="7"/>
      <c r="D4000" s="10"/>
      <c r="F4000" s="1"/>
      <c r="G4000" s="1"/>
      <c r="H4000" s="1"/>
      <c r="I4000" s="7"/>
      <c r="J4000" s="12"/>
      <c r="K4000" s="13"/>
      <c r="L4000" s="14"/>
      <c r="M4000" s="15"/>
      <c r="N4000" s="15"/>
      <c r="O4000" s="16"/>
      <c r="Q4000" s="16"/>
    </row>
    <row r="4001" spans="1:17" x14ac:dyDescent="0.3">
      <c r="A4001" s="5"/>
      <c r="B4001" s="6"/>
      <c r="C4001" s="7"/>
      <c r="D4001" s="10"/>
      <c r="F4001" s="1"/>
      <c r="G4001" s="1"/>
      <c r="H4001" s="1"/>
      <c r="I4001" s="7"/>
      <c r="J4001" s="12"/>
      <c r="K4001" s="13"/>
      <c r="L4001" s="14"/>
      <c r="M4001" s="15"/>
      <c r="N4001" s="15"/>
      <c r="O4001" s="16"/>
      <c r="Q4001" s="16"/>
    </row>
    <row r="4002" spans="1:17" x14ac:dyDescent="0.3">
      <c r="A4002" s="5"/>
      <c r="B4002" s="6"/>
      <c r="C4002" s="7"/>
      <c r="D4002" s="10"/>
      <c r="F4002" s="1"/>
      <c r="G4002" s="1"/>
      <c r="H4002" s="1"/>
      <c r="I4002" s="7"/>
      <c r="J4002" s="12"/>
      <c r="K4002" s="13"/>
      <c r="L4002" s="14"/>
      <c r="M4002" s="15"/>
      <c r="N4002" s="15"/>
      <c r="O4002" s="16"/>
      <c r="Q4002" s="16"/>
    </row>
    <row r="4003" spans="1:17" x14ac:dyDescent="0.3">
      <c r="A4003" s="5"/>
      <c r="B4003" s="6"/>
      <c r="C4003" s="7"/>
      <c r="D4003" s="10"/>
      <c r="F4003" s="1"/>
      <c r="G4003" s="1"/>
      <c r="H4003" s="1"/>
      <c r="I4003" s="7"/>
      <c r="J4003" s="12"/>
      <c r="K4003" s="13"/>
      <c r="L4003" s="14"/>
      <c r="M4003" s="15"/>
      <c r="N4003" s="15"/>
      <c r="O4003" s="16"/>
      <c r="Q4003" s="16"/>
    </row>
    <row r="4004" spans="1:17" x14ac:dyDescent="0.3">
      <c r="A4004" s="5"/>
      <c r="B4004" s="6"/>
      <c r="C4004" s="7"/>
      <c r="D4004" s="10"/>
      <c r="F4004" s="1"/>
      <c r="G4004" s="1"/>
      <c r="H4004" s="1"/>
      <c r="I4004" s="7"/>
      <c r="J4004" s="12"/>
      <c r="K4004" s="13"/>
      <c r="L4004" s="14"/>
      <c r="M4004" s="15"/>
      <c r="N4004" s="15"/>
      <c r="O4004" s="16"/>
      <c r="Q4004" s="16"/>
    </row>
    <row r="4005" spans="1:17" x14ac:dyDescent="0.3">
      <c r="A4005" s="5"/>
      <c r="B4005" s="6"/>
      <c r="C4005" s="7"/>
      <c r="D4005" s="10"/>
      <c r="F4005" s="1"/>
      <c r="G4005" s="1"/>
      <c r="H4005" s="1"/>
      <c r="I4005" s="7"/>
      <c r="J4005" s="12"/>
      <c r="K4005" s="13"/>
      <c r="L4005" s="14"/>
      <c r="M4005" s="15"/>
      <c r="N4005" s="15"/>
      <c r="O4005" s="16"/>
      <c r="Q4005" s="16"/>
    </row>
    <row r="4006" spans="1:17" x14ac:dyDescent="0.3">
      <c r="A4006" s="5"/>
      <c r="B4006" s="6"/>
      <c r="C4006" s="7"/>
      <c r="D4006" s="10"/>
      <c r="F4006" s="1"/>
      <c r="G4006" s="1"/>
      <c r="H4006" s="1"/>
      <c r="I4006" s="7"/>
      <c r="J4006" s="12"/>
      <c r="K4006" s="13"/>
      <c r="L4006" s="14"/>
      <c r="M4006" s="15"/>
      <c r="N4006" s="15"/>
      <c r="O4006" s="16"/>
      <c r="Q4006" s="16"/>
    </row>
    <row r="4007" spans="1:17" x14ac:dyDescent="0.3">
      <c r="A4007" s="5"/>
      <c r="B4007" s="6"/>
      <c r="C4007" s="7"/>
      <c r="D4007" s="10"/>
      <c r="F4007" s="1"/>
      <c r="G4007" s="1"/>
      <c r="H4007" s="1"/>
      <c r="I4007" s="7"/>
      <c r="J4007" s="12"/>
      <c r="K4007" s="13"/>
      <c r="L4007" s="14"/>
      <c r="M4007" s="15"/>
      <c r="N4007" s="15"/>
      <c r="O4007" s="16"/>
      <c r="Q4007" s="16"/>
    </row>
    <row r="4008" spans="1:17" x14ac:dyDescent="0.3">
      <c r="A4008" s="5"/>
      <c r="B4008" s="6"/>
      <c r="C4008" s="7"/>
      <c r="D4008" s="10"/>
      <c r="F4008" s="1"/>
      <c r="G4008" s="1"/>
      <c r="H4008" s="1"/>
      <c r="I4008" s="7"/>
      <c r="J4008" s="12"/>
      <c r="K4008" s="13"/>
      <c r="L4008" s="14"/>
      <c r="M4008" s="15"/>
      <c r="N4008" s="15"/>
      <c r="O4008" s="16"/>
      <c r="Q4008" s="16"/>
    </row>
    <row r="4009" spans="1:17" x14ac:dyDescent="0.3">
      <c r="A4009" s="5"/>
      <c r="B4009" s="6"/>
      <c r="C4009" s="7"/>
      <c r="D4009" s="10"/>
      <c r="F4009" s="1"/>
      <c r="G4009" s="1"/>
      <c r="H4009" s="1"/>
      <c r="I4009" s="7"/>
      <c r="J4009" s="12"/>
      <c r="K4009" s="13"/>
      <c r="L4009" s="14"/>
      <c r="M4009" s="15"/>
      <c r="N4009" s="15"/>
      <c r="O4009" s="16"/>
      <c r="Q4009" s="16"/>
    </row>
    <row r="4010" spans="1:17" x14ac:dyDescent="0.3">
      <c r="A4010" s="5"/>
      <c r="B4010" s="6"/>
      <c r="C4010" s="7"/>
      <c r="D4010" s="10"/>
      <c r="F4010" s="1"/>
      <c r="G4010" s="1"/>
      <c r="H4010" s="1"/>
      <c r="I4010" s="7"/>
      <c r="J4010" s="12"/>
      <c r="K4010" s="13"/>
      <c r="L4010" s="14"/>
      <c r="M4010" s="15"/>
      <c r="N4010" s="15"/>
      <c r="O4010" s="16"/>
      <c r="Q4010" s="16"/>
    </row>
    <row r="4011" spans="1:17" x14ac:dyDescent="0.3">
      <c r="A4011" s="5"/>
      <c r="B4011" s="6"/>
      <c r="C4011" s="7"/>
      <c r="D4011" s="10"/>
      <c r="F4011" s="1"/>
      <c r="G4011" s="1"/>
      <c r="H4011" s="1"/>
      <c r="I4011" s="7"/>
      <c r="J4011" s="12"/>
      <c r="K4011" s="13"/>
      <c r="L4011" s="14"/>
      <c r="M4011" s="15"/>
      <c r="N4011" s="15"/>
      <c r="O4011" s="16"/>
      <c r="Q4011" s="16"/>
    </row>
    <row r="4012" spans="1:17" x14ac:dyDescent="0.3">
      <c r="A4012" s="5"/>
      <c r="B4012" s="6"/>
      <c r="C4012" s="7"/>
      <c r="D4012" s="10"/>
      <c r="F4012" s="1"/>
      <c r="G4012" s="1"/>
      <c r="H4012" s="1"/>
      <c r="I4012" s="7"/>
      <c r="J4012" s="12"/>
      <c r="K4012" s="13"/>
      <c r="L4012" s="14"/>
      <c r="M4012" s="15"/>
      <c r="N4012" s="15"/>
      <c r="O4012" s="16"/>
      <c r="Q4012" s="16"/>
    </row>
    <row r="4013" spans="1:17" x14ac:dyDescent="0.3">
      <c r="A4013" s="5"/>
      <c r="B4013" s="6"/>
      <c r="C4013" s="7"/>
      <c r="D4013" s="10"/>
      <c r="F4013" s="1"/>
      <c r="G4013" s="1"/>
      <c r="H4013" s="1"/>
      <c r="I4013" s="7"/>
      <c r="J4013" s="12"/>
      <c r="K4013" s="13"/>
      <c r="L4013" s="14"/>
      <c r="M4013" s="15"/>
      <c r="N4013" s="15"/>
      <c r="O4013" s="16"/>
      <c r="Q4013" s="16"/>
    </row>
    <row r="4014" spans="1:17" x14ac:dyDescent="0.3">
      <c r="A4014" s="5"/>
      <c r="B4014" s="6"/>
      <c r="C4014" s="7"/>
      <c r="D4014" s="10"/>
      <c r="F4014" s="1"/>
      <c r="G4014" s="1"/>
      <c r="H4014" s="1"/>
      <c r="I4014" s="7"/>
      <c r="J4014" s="12"/>
      <c r="K4014" s="13"/>
      <c r="L4014" s="14"/>
      <c r="M4014" s="15"/>
      <c r="N4014" s="15"/>
      <c r="O4014" s="16"/>
      <c r="Q4014" s="16"/>
    </row>
    <row r="4015" spans="1:17" x14ac:dyDescent="0.3">
      <c r="A4015" s="5"/>
      <c r="B4015" s="6"/>
      <c r="C4015" s="7"/>
      <c r="D4015" s="10"/>
      <c r="F4015" s="1"/>
      <c r="G4015" s="1"/>
      <c r="H4015" s="1"/>
      <c r="I4015" s="7"/>
      <c r="J4015" s="12"/>
      <c r="K4015" s="13"/>
      <c r="L4015" s="14"/>
      <c r="M4015" s="15"/>
      <c r="N4015" s="15"/>
      <c r="O4015" s="16"/>
      <c r="Q4015" s="16"/>
    </row>
    <row r="4016" spans="1:17" x14ac:dyDescent="0.3">
      <c r="A4016" s="5"/>
      <c r="B4016" s="6"/>
      <c r="C4016" s="7"/>
      <c r="D4016" s="10"/>
      <c r="F4016" s="1"/>
      <c r="G4016" s="1"/>
      <c r="H4016" s="1"/>
      <c r="I4016" s="7"/>
      <c r="J4016" s="12"/>
      <c r="K4016" s="13"/>
      <c r="L4016" s="14"/>
      <c r="M4016" s="15"/>
      <c r="N4016" s="15"/>
      <c r="O4016" s="16"/>
      <c r="Q4016" s="16"/>
    </row>
    <row r="4017" spans="1:17" x14ac:dyDescent="0.3">
      <c r="A4017" s="5"/>
      <c r="B4017" s="6"/>
      <c r="C4017" s="7"/>
      <c r="D4017" s="10"/>
      <c r="F4017" s="1"/>
      <c r="G4017" s="1"/>
      <c r="H4017" s="1"/>
      <c r="I4017" s="7"/>
      <c r="J4017" s="12"/>
      <c r="K4017" s="13"/>
      <c r="L4017" s="14"/>
      <c r="M4017" s="15"/>
      <c r="N4017" s="15"/>
      <c r="O4017" s="16"/>
      <c r="Q4017" s="16"/>
    </row>
    <row r="4018" spans="1:17" x14ac:dyDescent="0.3">
      <c r="A4018" s="5"/>
      <c r="B4018" s="6"/>
      <c r="C4018" s="7"/>
      <c r="D4018" s="10"/>
      <c r="F4018" s="1"/>
      <c r="G4018" s="1"/>
      <c r="H4018" s="1"/>
      <c r="I4018" s="7"/>
      <c r="J4018" s="12"/>
      <c r="K4018" s="13"/>
      <c r="L4018" s="14"/>
      <c r="M4018" s="15"/>
      <c r="N4018" s="15"/>
      <c r="O4018" s="16"/>
      <c r="Q4018" s="16"/>
    </row>
    <row r="4019" spans="1:17" x14ac:dyDescent="0.3">
      <c r="A4019" s="5"/>
      <c r="B4019" s="6"/>
      <c r="C4019" s="7"/>
      <c r="D4019" s="10"/>
      <c r="F4019" s="1"/>
      <c r="G4019" s="1"/>
      <c r="H4019" s="1"/>
      <c r="I4019" s="7"/>
      <c r="J4019" s="12"/>
      <c r="K4019" s="13"/>
      <c r="L4019" s="14"/>
      <c r="M4019" s="15"/>
      <c r="N4019" s="15"/>
      <c r="O4019" s="16"/>
      <c r="Q4019" s="16"/>
    </row>
    <row r="4020" spans="1:17" x14ac:dyDescent="0.3">
      <c r="A4020" s="5"/>
      <c r="B4020" s="6"/>
      <c r="C4020" s="7"/>
      <c r="D4020" s="10"/>
      <c r="F4020" s="1"/>
      <c r="G4020" s="1"/>
      <c r="H4020" s="1"/>
      <c r="I4020" s="7"/>
      <c r="J4020" s="12"/>
      <c r="K4020" s="13"/>
      <c r="L4020" s="14"/>
      <c r="M4020" s="15"/>
      <c r="N4020" s="15"/>
      <c r="O4020" s="16"/>
      <c r="Q4020" s="16"/>
    </row>
    <row r="4021" spans="1:17" x14ac:dyDescent="0.3">
      <c r="A4021" s="5"/>
      <c r="B4021" s="6"/>
      <c r="C4021" s="7"/>
      <c r="D4021" s="10"/>
      <c r="F4021" s="1"/>
      <c r="G4021" s="1"/>
      <c r="H4021" s="1"/>
      <c r="I4021" s="7"/>
      <c r="J4021" s="12"/>
      <c r="K4021" s="13"/>
      <c r="L4021" s="14"/>
      <c r="M4021" s="15"/>
      <c r="N4021" s="15"/>
      <c r="O4021" s="16"/>
      <c r="Q4021" s="16"/>
    </row>
    <row r="4022" spans="1:17" x14ac:dyDescent="0.3">
      <c r="A4022" s="5"/>
      <c r="B4022" s="6"/>
      <c r="C4022" s="7"/>
      <c r="D4022" s="10"/>
      <c r="F4022" s="1"/>
      <c r="G4022" s="1"/>
      <c r="H4022" s="1"/>
      <c r="I4022" s="7"/>
      <c r="J4022" s="12"/>
      <c r="K4022" s="13"/>
      <c r="L4022" s="14"/>
      <c r="M4022" s="15"/>
      <c r="N4022" s="15"/>
      <c r="O4022" s="16"/>
      <c r="Q4022" s="16"/>
    </row>
    <row r="4023" spans="1:17" x14ac:dyDescent="0.3">
      <c r="A4023" s="5"/>
      <c r="B4023" s="6"/>
      <c r="C4023" s="7"/>
      <c r="D4023" s="10"/>
      <c r="F4023" s="1"/>
      <c r="G4023" s="1"/>
      <c r="H4023" s="1"/>
      <c r="I4023" s="7"/>
      <c r="J4023" s="12"/>
      <c r="K4023" s="13"/>
      <c r="L4023" s="14"/>
      <c r="M4023" s="15"/>
      <c r="N4023" s="15"/>
      <c r="O4023" s="16"/>
      <c r="Q4023" s="16"/>
    </row>
    <row r="4024" spans="1:17" x14ac:dyDescent="0.3">
      <c r="A4024" s="5"/>
      <c r="B4024" s="6"/>
      <c r="C4024" s="7"/>
      <c r="D4024" s="10"/>
      <c r="F4024" s="1"/>
      <c r="G4024" s="1"/>
      <c r="H4024" s="1"/>
      <c r="I4024" s="7"/>
      <c r="J4024" s="12"/>
      <c r="K4024" s="13"/>
      <c r="L4024" s="14"/>
      <c r="M4024" s="15"/>
      <c r="N4024" s="15"/>
      <c r="O4024" s="16"/>
      <c r="Q4024" s="16"/>
    </row>
    <row r="4025" spans="1:17" x14ac:dyDescent="0.3">
      <c r="A4025" s="5"/>
      <c r="B4025" s="6"/>
      <c r="C4025" s="7"/>
      <c r="D4025" s="10"/>
      <c r="F4025" s="1"/>
      <c r="G4025" s="1"/>
      <c r="H4025" s="1"/>
      <c r="I4025" s="7"/>
      <c r="J4025" s="12"/>
      <c r="K4025" s="13"/>
      <c r="L4025" s="14"/>
      <c r="M4025" s="15"/>
      <c r="N4025" s="15"/>
      <c r="O4025" s="16"/>
      <c r="Q4025" s="16"/>
    </row>
    <row r="4026" spans="1:17" x14ac:dyDescent="0.3">
      <c r="A4026" s="5"/>
      <c r="B4026" s="6"/>
      <c r="C4026" s="7"/>
      <c r="D4026" s="10"/>
      <c r="F4026" s="1"/>
      <c r="G4026" s="1"/>
      <c r="H4026" s="1"/>
      <c r="I4026" s="7"/>
      <c r="J4026" s="12"/>
      <c r="K4026" s="13"/>
      <c r="L4026" s="14"/>
      <c r="M4026" s="15"/>
      <c r="N4026" s="15"/>
      <c r="O4026" s="16"/>
      <c r="Q4026" s="16"/>
    </row>
    <row r="4027" spans="1:17" x14ac:dyDescent="0.3">
      <c r="A4027" s="5"/>
      <c r="B4027" s="6"/>
      <c r="C4027" s="7"/>
      <c r="D4027" s="10"/>
      <c r="F4027" s="1"/>
      <c r="G4027" s="1"/>
      <c r="H4027" s="1"/>
      <c r="I4027" s="7"/>
      <c r="J4027" s="12"/>
      <c r="K4027" s="13"/>
      <c r="L4027" s="14"/>
      <c r="M4027" s="15"/>
      <c r="N4027" s="15"/>
      <c r="O4027" s="16"/>
      <c r="Q4027" s="16"/>
    </row>
    <row r="4028" spans="1:17" x14ac:dyDescent="0.3">
      <c r="A4028" s="5"/>
      <c r="B4028" s="6"/>
      <c r="C4028" s="7"/>
      <c r="D4028" s="10"/>
      <c r="F4028" s="1"/>
      <c r="G4028" s="1"/>
      <c r="H4028" s="1"/>
      <c r="I4028" s="7"/>
      <c r="J4028" s="12"/>
      <c r="K4028" s="13"/>
      <c r="L4028" s="14"/>
      <c r="M4028" s="15"/>
      <c r="N4028" s="15"/>
      <c r="O4028" s="16"/>
      <c r="Q4028" s="16"/>
    </row>
    <row r="4029" spans="1:17" x14ac:dyDescent="0.3">
      <c r="A4029" s="5"/>
      <c r="B4029" s="6"/>
      <c r="C4029" s="7"/>
      <c r="D4029" s="10"/>
      <c r="F4029" s="1"/>
      <c r="G4029" s="1"/>
      <c r="H4029" s="1"/>
      <c r="I4029" s="7"/>
      <c r="J4029" s="12"/>
      <c r="K4029" s="13"/>
      <c r="L4029" s="14"/>
      <c r="M4029" s="15"/>
      <c r="N4029" s="15"/>
      <c r="O4029" s="16"/>
      <c r="Q4029" s="16"/>
    </row>
    <row r="4030" spans="1:17" x14ac:dyDescent="0.3">
      <c r="A4030" s="5"/>
      <c r="B4030" s="6"/>
      <c r="C4030" s="7"/>
      <c r="D4030" s="10"/>
      <c r="F4030" s="1"/>
      <c r="G4030" s="1"/>
      <c r="H4030" s="1"/>
      <c r="I4030" s="7"/>
      <c r="J4030" s="12"/>
      <c r="K4030" s="13"/>
      <c r="L4030" s="14"/>
      <c r="M4030" s="15"/>
      <c r="N4030" s="15"/>
      <c r="O4030" s="16"/>
      <c r="Q4030" s="16"/>
    </row>
    <row r="4031" spans="1:17" x14ac:dyDescent="0.3">
      <c r="A4031" s="5"/>
      <c r="B4031" s="6"/>
      <c r="C4031" s="7"/>
      <c r="D4031" s="10"/>
      <c r="F4031" s="1"/>
      <c r="G4031" s="1"/>
      <c r="H4031" s="1"/>
      <c r="I4031" s="7"/>
      <c r="J4031" s="12"/>
      <c r="K4031" s="13"/>
      <c r="L4031" s="14"/>
      <c r="M4031" s="15"/>
      <c r="N4031" s="15"/>
      <c r="O4031" s="16"/>
      <c r="Q4031" s="16"/>
    </row>
    <row r="4032" spans="1:17" x14ac:dyDescent="0.3">
      <c r="A4032" s="5"/>
      <c r="B4032" s="6"/>
      <c r="C4032" s="7"/>
      <c r="D4032" s="10"/>
      <c r="F4032" s="1"/>
      <c r="G4032" s="1"/>
      <c r="H4032" s="1"/>
      <c r="I4032" s="7"/>
      <c r="J4032" s="12"/>
      <c r="K4032" s="13"/>
      <c r="L4032" s="14"/>
      <c r="M4032" s="15"/>
      <c r="N4032" s="15"/>
      <c r="O4032" s="16"/>
      <c r="Q4032" s="16"/>
    </row>
    <row r="4033" spans="1:17" x14ac:dyDescent="0.3">
      <c r="A4033" s="5"/>
      <c r="B4033" s="6"/>
      <c r="C4033" s="7"/>
      <c r="D4033" s="10"/>
      <c r="F4033" s="1"/>
      <c r="G4033" s="1"/>
      <c r="H4033" s="1"/>
      <c r="I4033" s="7"/>
      <c r="J4033" s="12"/>
      <c r="K4033" s="13"/>
      <c r="L4033" s="14"/>
      <c r="M4033" s="15"/>
      <c r="N4033" s="15"/>
      <c r="O4033" s="16"/>
      <c r="Q4033" s="16"/>
    </row>
    <row r="4034" spans="1:17" x14ac:dyDescent="0.3">
      <c r="A4034" s="5"/>
      <c r="B4034" s="6"/>
      <c r="C4034" s="7"/>
      <c r="D4034" s="10"/>
      <c r="F4034" s="1"/>
      <c r="G4034" s="1"/>
      <c r="H4034" s="1"/>
      <c r="I4034" s="7"/>
      <c r="J4034" s="12"/>
      <c r="K4034" s="13"/>
      <c r="L4034" s="14"/>
      <c r="M4034" s="15"/>
      <c r="N4034" s="15"/>
      <c r="O4034" s="16"/>
      <c r="Q4034" s="16"/>
    </row>
    <row r="4035" spans="1:17" x14ac:dyDescent="0.3">
      <c r="A4035" s="5"/>
      <c r="B4035" s="6"/>
      <c r="C4035" s="7"/>
      <c r="D4035" s="10"/>
      <c r="F4035" s="1"/>
      <c r="G4035" s="1"/>
      <c r="H4035" s="1"/>
      <c r="I4035" s="7"/>
      <c r="J4035" s="12"/>
      <c r="K4035" s="13"/>
      <c r="L4035" s="14"/>
      <c r="M4035" s="15"/>
      <c r="N4035" s="15"/>
      <c r="O4035" s="16"/>
      <c r="Q4035" s="16"/>
    </row>
    <row r="4036" spans="1:17" x14ac:dyDescent="0.3">
      <c r="A4036" s="5"/>
      <c r="B4036" s="6"/>
      <c r="C4036" s="7"/>
      <c r="D4036" s="10"/>
      <c r="F4036" s="1"/>
      <c r="G4036" s="1"/>
      <c r="H4036" s="1"/>
      <c r="I4036" s="7"/>
      <c r="J4036" s="12"/>
      <c r="K4036" s="13"/>
      <c r="L4036" s="14"/>
      <c r="M4036" s="15"/>
      <c r="N4036" s="15"/>
      <c r="O4036" s="16"/>
      <c r="Q4036" s="16"/>
    </row>
    <row r="4037" spans="1:17" x14ac:dyDescent="0.3">
      <c r="A4037" s="5"/>
      <c r="B4037" s="6"/>
      <c r="C4037" s="7"/>
      <c r="D4037" s="10"/>
      <c r="F4037" s="1"/>
      <c r="G4037" s="1"/>
      <c r="H4037" s="1"/>
      <c r="I4037" s="7"/>
      <c r="J4037" s="12"/>
      <c r="K4037" s="13"/>
      <c r="L4037" s="14"/>
      <c r="M4037" s="15"/>
      <c r="N4037" s="15"/>
      <c r="O4037" s="16"/>
      <c r="Q4037" s="16"/>
    </row>
    <row r="4038" spans="1:17" x14ac:dyDescent="0.3">
      <c r="A4038" s="5"/>
      <c r="B4038" s="6"/>
      <c r="C4038" s="7"/>
      <c r="D4038" s="10"/>
      <c r="F4038" s="1"/>
      <c r="G4038" s="1"/>
      <c r="H4038" s="1"/>
      <c r="I4038" s="7"/>
      <c r="J4038" s="12"/>
      <c r="K4038" s="13"/>
      <c r="L4038" s="14"/>
      <c r="M4038" s="15"/>
      <c r="N4038" s="15"/>
      <c r="O4038" s="16"/>
      <c r="Q4038" s="16"/>
    </row>
    <row r="4039" spans="1:17" x14ac:dyDescent="0.3">
      <c r="A4039" s="5"/>
      <c r="B4039" s="6"/>
      <c r="C4039" s="7"/>
      <c r="D4039" s="10"/>
      <c r="F4039" s="1"/>
      <c r="G4039" s="1"/>
      <c r="H4039" s="1"/>
      <c r="I4039" s="7"/>
      <c r="J4039" s="12"/>
      <c r="K4039" s="13"/>
      <c r="L4039" s="14"/>
      <c r="M4039" s="15"/>
      <c r="N4039" s="15"/>
      <c r="O4039" s="16"/>
      <c r="Q4039" s="16"/>
    </row>
    <row r="4040" spans="1:17" x14ac:dyDescent="0.3">
      <c r="A4040" s="5"/>
      <c r="B4040" s="6"/>
      <c r="C4040" s="7"/>
      <c r="D4040" s="10"/>
      <c r="F4040" s="1"/>
      <c r="G4040" s="1"/>
      <c r="H4040" s="1"/>
      <c r="I4040" s="7"/>
      <c r="J4040" s="12"/>
      <c r="K4040" s="13"/>
      <c r="L4040" s="14"/>
      <c r="M4040" s="15"/>
      <c r="N4040" s="15"/>
      <c r="O4040" s="16"/>
      <c r="Q4040" s="16"/>
    </row>
    <row r="4041" spans="1:17" x14ac:dyDescent="0.3">
      <c r="A4041" s="5"/>
      <c r="B4041" s="6"/>
      <c r="C4041" s="7"/>
      <c r="D4041" s="10"/>
      <c r="F4041" s="1"/>
      <c r="G4041" s="1"/>
      <c r="H4041" s="1"/>
      <c r="I4041" s="7"/>
      <c r="J4041" s="12"/>
      <c r="K4041" s="13"/>
      <c r="L4041" s="14"/>
      <c r="M4041" s="15"/>
      <c r="N4041" s="15"/>
      <c r="O4041" s="16"/>
      <c r="Q4041" s="16"/>
    </row>
    <row r="4042" spans="1:17" x14ac:dyDescent="0.3">
      <c r="A4042" s="5"/>
      <c r="B4042" s="6"/>
      <c r="C4042" s="7"/>
      <c r="D4042" s="10"/>
      <c r="F4042" s="1"/>
      <c r="G4042" s="1"/>
      <c r="H4042" s="1"/>
      <c r="I4042" s="7"/>
      <c r="J4042" s="12"/>
      <c r="K4042" s="13"/>
      <c r="L4042" s="14"/>
      <c r="M4042" s="15"/>
      <c r="N4042" s="15"/>
      <c r="O4042" s="16"/>
      <c r="Q4042" s="16"/>
    </row>
    <row r="4043" spans="1:17" x14ac:dyDescent="0.3">
      <c r="A4043" s="5"/>
      <c r="B4043" s="6"/>
      <c r="C4043" s="7"/>
      <c r="D4043" s="10"/>
      <c r="F4043" s="1"/>
      <c r="G4043" s="1"/>
      <c r="H4043" s="1"/>
      <c r="I4043" s="7"/>
      <c r="J4043" s="12"/>
      <c r="K4043" s="13"/>
      <c r="L4043" s="14"/>
      <c r="M4043" s="15"/>
      <c r="N4043" s="15"/>
      <c r="O4043" s="16"/>
      <c r="Q4043" s="16"/>
    </row>
    <row r="4044" spans="1:17" x14ac:dyDescent="0.3">
      <c r="A4044" s="5"/>
      <c r="B4044" s="6"/>
      <c r="C4044" s="7"/>
      <c r="D4044" s="10"/>
      <c r="F4044" s="1"/>
      <c r="G4044" s="1"/>
      <c r="H4044" s="1"/>
      <c r="I4044" s="7"/>
      <c r="J4044" s="12"/>
      <c r="K4044" s="13"/>
      <c r="L4044" s="14"/>
      <c r="M4044" s="15"/>
      <c r="N4044" s="15"/>
      <c r="O4044" s="16"/>
      <c r="Q4044" s="16"/>
    </row>
    <row r="4045" spans="1:17" x14ac:dyDescent="0.3">
      <c r="A4045" s="5"/>
      <c r="B4045" s="6"/>
      <c r="C4045" s="7"/>
      <c r="D4045" s="10"/>
      <c r="F4045" s="1"/>
      <c r="G4045" s="1"/>
      <c r="H4045" s="1"/>
      <c r="I4045" s="7"/>
      <c r="J4045" s="12"/>
      <c r="K4045" s="13"/>
      <c r="L4045" s="14"/>
      <c r="M4045" s="15"/>
      <c r="N4045" s="15"/>
      <c r="O4045" s="16"/>
      <c r="Q4045" s="16"/>
    </row>
    <row r="4046" spans="1:17" x14ac:dyDescent="0.3">
      <c r="A4046" s="5"/>
      <c r="B4046" s="6"/>
      <c r="C4046" s="7"/>
      <c r="D4046" s="10"/>
      <c r="F4046" s="1"/>
      <c r="G4046" s="1"/>
      <c r="H4046" s="1"/>
      <c r="I4046" s="7"/>
      <c r="J4046" s="12"/>
      <c r="K4046" s="13"/>
      <c r="L4046" s="14"/>
      <c r="M4046" s="15"/>
      <c r="N4046" s="15"/>
      <c r="O4046" s="16"/>
      <c r="Q4046" s="16"/>
    </row>
    <row r="4047" spans="1:17" x14ac:dyDescent="0.3">
      <c r="A4047" s="5"/>
      <c r="B4047" s="6"/>
      <c r="C4047" s="7"/>
      <c r="D4047" s="10"/>
      <c r="F4047" s="1"/>
      <c r="G4047" s="1"/>
      <c r="H4047" s="1"/>
      <c r="I4047" s="7"/>
      <c r="J4047" s="12"/>
      <c r="K4047" s="13"/>
      <c r="L4047" s="14"/>
      <c r="M4047" s="15"/>
      <c r="N4047" s="15"/>
      <c r="O4047" s="16"/>
      <c r="Q4047" s="16"/>
    </row>
    <row r="4048" spans="1:17" x14ac:dyDescent="0.3">
      <c r="A4048" s="5"/>
      <c r="B4048" s="6"/>
      <c r="C4048" s="7"/>
      <c r="D4048" s="10"/>
      <c r="F4048" s="1"/>
      <c r="G4048" s="1"/>
      <c r="H4048" s="1"/>
      <c r="I4048" s="7"/>
      <c r="J4048" s="12"/>
      <c r="K4048" s="13"/>
      <c r="L4048" s="14"/>
      <c r="M4048" s="15"/>
      <c r="N4048" s="15"/>
      <c r="O4048" s="16"/>
      <c r="Q4048" s="16"/>
    </row>
    <row r="4049" spans="1:17" x14ac:dyDescent="0.3">
      <c r="A4049" s="5"/>
      <c r="B4049" s="6"/>
      <c r="C4049" s="7"/>
      <c r="D4049" s="10"/>
      <c r="F4049" s="1"/>
      <c r="G4049" s="1"/>
      <c r="H4049" s="1"/>
      <c r="I4049" s="7"/>
      <c r="J4049" s="12"/>
      <c r="K4049" s="13"/>
      <c r="L4049" s="14"/>
      <c r="M4049" s="15"/>
      <c r="N4049" s="15"/>
      <c r="O4049" s="16"/>
      <c r="Q4049" s="16"/>
    </row>
    <row r="4050" spans="1:17" x14ac:dyDescent="0.3">
      <c r="A4050" s="5"/>
      <c r="B4050" s="6"/>
      <c r="C4050" s="7"/>
      <c r="D4050" s="10"/>
      <c r="F4050" s="1"/>
      <c r="G4050" s="1"/>
      <c r="H4050" s="1"/>
      <c r="I4050" s="7"/>
      <c r="J4050" s="12"/>
      <c r="K4050" s="13"/>
      <c r="L4050" s="14"/>
      <c r="M4050" s="15"/>
      <c r="N4050" s="15"/>
      <c r="O4050" s="16"/>
      <c r="Q4050" s="16"/>
    </row>
    <row r="4051" spans="1:17" x14ac:dyDescent="0.3">
      <c r="A4051" s="5"/>
      <c r="B4051" s="6"/>
      <c r="C4051" s="7"/>
      <c r="D4051" s="10"/>
      <c r="F4051" s="1"/>
      <c r="G4051" s="1"/>
      <c r="H4051" s="1"/>
      <c r="I4051" s="7"/>
      <c r="J4051" s="12"/>
      <c r="K4051" s="13"/>
      <c r="L4051" s="14"/>
      <c r="M4051" s="15"/>
      <c r="N4051" s="15"/>
      <c r="O4051" s="16"/>
      <c r="Q4051" s="16"/>
    </row>
    <row r="4052" spans="1:17" x14ac:dyDescent="0.3">
      <c r="A4052" s="5"/>
      <c r="B4052" s="6"/>
      <c r="C4052" s="7"/>
      <c r="D4052" s="10"/>
      <c r="F4052" s="1"/>
      <c r="G4052" s="1"/>
      <c r="H4052" s="1"/>
      <c r="I4052" s="7"/>
      <c r="J4052" s="12"/>
      <c r="K4052" s="13"/>
      <c r="L4052" s="14"/>
      <c r="M4052" s="15"/>
      <c r="N4052" s="15"/>
      <c r="O4052" s="16"/>
      <c r="Q4052" s="16"/>
    </row>
    <row r="4053" spans="1:17" x14ac:dyDescent="0.3">
      <c r="A4053" s="5"/>
      <c r="B4053" s="6"/>
      <c r="C4053" s="7"/>
      <c r="D4053" s="10"/>
      <c r="F4053" s="1"/>
      <c r="G4053" s="1"/>
      <c r="H4053" s="1"/>
      <c r="I4053" s="7"/>
      <c r="J4053" s="12"/>
      <c r="K4053" s="13"/>
      <c r="L4053" s="14"/>
      <c r="M4053" s="15"/>
      <c r="N4053" s="15"/>
      <c r="O4053" s="16"/>
      <c r="Q4053" s="16"/>
    </row>
    <row r="4054" spans="1:17" x14ac:dyDescent="0.3">
      <c r="A4054" s="5"/>
      <c r="B4054" s="6"/>
      <c r="C4054" s="7"/>
      <c r="D4054" s="10"/>
      <c r="F4054" s="1"/>
      <c r="G4054" s="1"/>
      <c r="H4054" s="1"/>
      <c r="I4054" s="7"/>
      <c r="J4054" s="12"/>
      <c r="K4054" s="13"/>
      <c r="L4054" s="14"/>
      <c r="M4054" s="15"/>
      <c r="N4054" s="15"/>
      <c r="O4054" s="16"/>
      <c r="Q4054" s="16"/>
    </row>
    <row r="4055" spans="1:17" x14ac:dyDescent="0.3">
      <c r="A4055" s="5"/>
      <c r="B4055" s="6"/>
      <c r="C4055" s="7"/>
      <c r="D4055" s="10"/>
      <c r="F4055" s="1"/>
      <c r="G4055" s="1"/>
      <c r="H4055" s="1"/>
      <c r="I4055" s="7"/>
      <c r="J4055" s="12"/>
      <c r="K4055" s="13"/>
      <c r="L4055" s="14"/>
      <c r="M4055" s="15"/>
      <c r="N4055" s="15"/>
      <c r="O4055" s="16"/>
      <c r="Q4055" s="16"/>
    </row>
    <row r="4056" spans="1:17" x14ac:dyDescent="0.3">
      <c r="A4056" s="5"/>
      <c r="B4056" s="6"/>
      <c r="C4056" s="7"/>
      <c r="D4056" s="10"/>
      <c r="F4056" s="1"/>
      <c r="G4056" s="1"/>
      <c r="H4056" s="1"/>
      <c r="I4056" s="7"/>
      <c r="J4056" s="12"/>
      <c r="K4056" s="13"/>
      <c r="L4056" s="14"/>
      <c r="M4056" s="15"/>
      <c r="N4056" s="15"/>
      <c r="O4056" s="16"/>
      <c r="Q4056" s="16"/>
    </row>
    <row r="4057" spans="1:17" x14ac:dyDescent="0.3">
      <c r="A4057" s="5"/>
      <c r="B4057" s="6"/>
      <c r="C4057" s="7"/>
      <c r="D4057" s="10"/>
      <c r="F4057" s="1"/>
      <c r="G4057" s="1"/>
      <c r="H4057" s="1"/>
      <c r="I4057" s="7"/>
      <c r="J4057" s="12"/>
      <c r="K4057" s="13"/>
      <c r="L4057" s="14"/>
      <c r="M4057" s="15"/>
      <c r="N4057" s="15"/>
      <c r="O4057" s="16"/>
      <c r="Q4057" s="16"/>
    </row>
    <row r="4058" spans="1:17" x14ac:dyDescent="0.3">
      <c r="A4058" s="5"/>
      <c r="B4058" s="6"/>
      <c r="C4058" s="7"/>
      <c r="D4058" s="10"/>
      <c r="F4058" s="1"/>
      <c r="G4058" s="1"/>
      <c r="H4058" s="1"/>
      <c r="I4058" s="7"/>
      <c r="J4058" s="12"/>
      <c r="K4058" s="13"/>
      <c r="L4058" s="14"/>
      <c r="M4058" s="15"/>
      <c r="N4058" s="15"/>
      <c r="O4058" s="16"/>
      <c r="Q4058" s="16"/>
    </row>
    <row r="4059" spans="1:17" x14ac:dyDescent="0.3">
      <c r="A4059" s="5"/>
      <c r="B4059" s="6"/>
      <c r="C4059" s="7"/>
      <c r="D4059" s="10"/>
      <c r="F4059" s="1"/>
      <c r="G4059" s="1"/>
      <c r="H4059" s="1"/>
      <c r="I4059" s="7"/>
      <c r="J4059" s="12"/>
      <c r="K4059" s="13"/>
      <c r="L4059" s="14"/>
      <c r="M4059" s="15"/>
      <c r="N4059" s="15"/>
      <c r="O4059" s="16"/>
      <c r="Q4059" s="16"/>
    </row>
    <row r="4060" spans="1:17" x14ac:dyDescent="0.3">
      <c r="A4060" s="5"/>
      <c r="B4060" s="6"/>
      <c r="C4060" s="7"/>
      <c r="D4060" s="10"/>
      <c r="F4060" s="1"/>
      <c r="G4060" s="1"/>
      <c r="H4060" s="1"/>
      <c r="I4060" s="7"/>
      <c r="J4060" s="12"/>
      <c r="K4060" s="13"/>
      <c r="L4060" s="14"/>
      <c r="M4060" s="15"/>
      <c r="N4060" s="15"/>
      <c r="O4060" s="16"/>
      <c r="Q4060" s="16"/>
    </row>
    <row r="4061" spans="1:17" x14ac:dyDescent="0.3">
      <c r="A4061" s="5"/>
      <c r="B4061" s="6"/>
      <c r="C4061" s="7"/>
      <c r="D4061" s="10"/>
      <c r="F4061" s="1"/>
      <c r="G4061" s="1"/>
      <c r="H4061" s="1"/>
      <c r="I4061" s="7"/>
      <c r="J4061" s="12"/>
      <c r="K4061" s="13"/>
      <c r="L4061" s="14"/>
      <c r="M4061" s="15"/>
      <c r="N4061" s="15"/>
      <c r="O4061" s="16"/>
      <c r="Q4061" s="16"/>
    </row>
    <row r="4062" spans="1:17" x14ac:dyDescent="0.3">
      <c r="A4062" s="5"/>
      <c r="B4062" s="6"/>
      <c r="C4062" s="7"/>
      <c r="D4062" s="10"/>
      <c r="F4062" s="1"/>
      <c r="G4062" s="1"/>
      <c r="H4062" s="1"/>
      <c r="I4062" s="7"/>
      <c r="J4062" s="12"/>
      <c r="K4062" s="13"/>
      <c r="L4062" s="14"/>
      <c r="M4062" s="15"/>
      <c r="N4062" s="15"/>
      <c r="O4062" s="16"/>
      <c r="Q4062" s="16"/>
    </row>
    <row r="4063" spans="1:17" x14ac:dyDescent="0.3">
      <c r="A4063" s="5"/>
      <c r="B4063" s="6"/>
      <c r="C4063" s="7"/>
      <c r="D4063" s="10"/>
      <c r="F4063" s="1"/>
      <c r="G4063" s="1"/>
      <c r="H4063" s="1"/>
      <c r="I4063" s="7"/>
      <c r="J4063" s="12"/>
      <c r="K4063" s="13"/>
      <c r="L4063" s="14"/>
      <c r="M4063" s="15"/>
      <c r="N4063" s="15"/>
      <c r="O4063" s="16"/>
      <c r="Q4063" s="16"/>
    </row>
    <row r="4064" spans="1:17" x14ac:dyDescent="0.3">
      <c r="A4064" s="5"/>
      <c r="B4064" s="6"/>
      <c r="C4064" s="7"/>
      <c r="D4064" s="10"/>
      <c r="F4064" s="1"/>
      <c r="G4064" s="1"/>
      <c r="H4064" s="1"/>
      <c r="I4064" s="7"/>
      <c r="J4064" s="12"/>
      <c r="K4064" s="13"/>
      <c r="L4064" s="14"/>
      <c r="M4064" s="15"/>
      <c r="N4064" s="15"/>
      <c r="O4064" s="16"/>
      <c r="Q4064" s="16"/>
    </row>
    <row r="4065" spans="1:17" x14ac:dyDescent="0.3">
      <c r="A4065" s="5"/>
      <c r="B4065" s="6"/>
      <c r="C4065" s="7"/>
      <c r="D4065" s="10"/>
      <c r="F4065" s="1"/>
      <c r="G4065" s="1"/>
      <c r="H4065" s="1"/>
      <c r="I4065" s="7"/>
      <c r="J4065" s="12"/>
      <c r="K4065" s="13"/>
      <c r="L4065" s="14"/>
      <c r="M4065" s="15"/>
      <c r="N4065" s="15"/>
      <c r="O4065" s="16"/>
      <c r="Q4065" s="16"/>
    </row>
    <row r="4066" spans="1:17" x14ac:dyDescent="0.3">
      <c r="A4066" s="5"/>
      <c r="B4066" s="6"/>
      <c r="C4066" s="7"/>
      <c r="D4066" s="10"/>
      <c r="F4066" s="1"/>
      <c r="G4066" s="1"/>
      <c r="H4066" s="1"/>
      <c r="I4066" s="7"/>
      <c r="J4066" s="12"/>
      <c r="K4066" s="13"/>
      <c r="L4066" s="14"/>
      <c r="M4066" s="15"/>
      <c r="N4066" s="15"/>
      <c r="O4066" s="16"/>
      <c r="Q4066" s="16"/>
    </row>
    <row r="4067" spans="1:17" x14ac:dyDescent="0.3">
      <c r="A4067" s="5"/>
      <c r="B4067" s="6"/>
      <c r="C4067" s="7"/>
      <c r="D4067" s="10"/>
      <c r="F4067" s="1"/>
      <c r="G4067" s="1"/>
      <c r="H4067" s="1"/>
      <c r="I4067" s="7"/>
      <c r="J4067" s="12"/>
      <c r="K4067" s="13"/>
      <c r="L4067" s="14"/>
      <c r="M4067" s="15"/>
      <c r="N4067" s="15"/>
      <c r="O4067" s="16"/>
      <c r="Q4067" s="16"/>
    </row>
    <row r="4068" spans="1:17" x14ac:dyDescent="0.3">
      <c r="A4068" s="5"/>
      <c r="B4068" s="6"/>
      <c r="C4068" s="7"/>
      <c r="D4068" s="10"/>
      <c r="F4068" s="1"/>
      <c r="G4068" s="1"/>
      <c r="H4068" s="1"/>
      <c r="I4068" s="7"/>
      <c r="J4068" s="12"/>
      <c r="K4068" s="13"/>
      <c r="L4068" s="14"/>
      <c r="M4068" s="15"/>
      <c r="N4068" s="15"/>
      <c r="O4068" s="16"/>
      <c r="Q4068" s="16"/>
    </row>
    <row r="4069" spans="1:17" x14ac:dyDescent="0.3">
      <c r="A4069" s="5"/>
      <c r="B4069" s="6"/>
      <c r="C4069" s="7"/>
      <c r="D4069" s="10"/>
      <c r="F4069" s="1"/>
      <c r="G4069" s="1"/>
      <c r="H4069" s="1"/>
      <c r="I4069" s="7"/>
      <c r="J4069" s="12"/>
      <c r="K4069" s="13"/>
      <c r="L4069" s="14"/>
      <c r="M4069" s="15"/>
      <c r="N4069" s="15"/>
      <c r="O4069" s="16"/>
      <c r="Q4069" s="16"/>
    </row>
    <row r="4070" spans="1:17" x14ac:dyDescent="0.3">
      <c r="A4070" s="5"/>
      <c r="B4070" s="6"/>
      <c r="C4070" s="7"/>
      <c r="D4070" s="10"/>
      <c r="F4070" s="1"/>
      <c r="G4070" s="1"/>
      <c r="H4070" s="1"/>
      <c r="I4070" s="7"/>
      <c r="J4070" s="12"/>
      <c r="K4070" s="13"/>
      <c r="L4070" s="14"/>
      <c r="M4070" s="15"/>
      <c r="N4070" s="15"/>
      <c r="O4070" s="16"/>
      <c r="Q4070" s="16"/>
    </row>
    <row r="4071" spans="1:17" x14ac:dyDescent="0.3">
      <c r="A4071" s="5"/>
      <c r="B4071" s="6"/>
      <c r="C4071" s="7"/>
      <c r="D4071" s="10"/>
      <c r="F4071" s="1"/>
      <c r="G4071" s="1"/>
      <c r="H4071" s="1"/>
      <c r="I4071" s="7"/>
      <c r="J4071" s="12"/>
      <c r="K4071" s="13"/>
      <c r="L4071" s="14"/>
      <c r="M4071" s="15"/>
      <c r="N4071" s="15"/>
      <c r="O4071" s="16"/>
      <c r="Q4071" s="16"/>
    </row>
    <row r="4072" spans="1:17" x14ac:dyDescent="0.3">
      <c r="A4072" s="5"/>
      <c r="B4072" s="6"/>
      <c r="C4072" s="7"/>
      <c r="D4072" s="10"/>
      <c r="F4072" s="1"/>
      <c r="G4072" s="1"/>
      <c r="H4072" s="1"/>
      <c r="I4072" s="7"/>
      <c r="J4072" s="12"/>
      <c r="K4072" s="13"/>
      <c r="L4072" s="14"/>
      <c r="M4072" s="15"/>
      <c r="N4072" s="15"/>
      <c r="O4072" s="16"/>
      <c r="Q4072" s="16"/>
    </row>
    <row r="4073" spans="1:17" x14ac:dyDescent="0.3">
      <c r="A4073" s="5"/>
      <c r="B4073" s="6"/>
      <c r="C4073" s="7"/>
      <c r="D4073" s="10"/>
      <c r="F4073" s="1"/>
      <c r="G4073" s="1"/>
      <c r="H4073" s="1"/>
      <c r="I4073" s="7"/>
      <c r="J4073" s="12"/>
      <c r="K4073" s="13"/>
      <c r="L4073" s="14"/>
      <c r="M4073" s="15"/>
      <c r="N4073" s="15"/>
      <c r="O4073" s="16"/>
      <c r="Q4073" s="16"/>
    </row>
    <row r="4074" spans="1:17" x14ac:dyDescent="0.3">
      <c r="A4074" s="5"/>
      <c r="B4074" s="6"/>
      <c r="C4074" s="7"/>
      <c r="D4074" s="10"/>
      <c r="F4074" s="1"/>
      <c r="G4074" s="1"/>
      <c r="H4074" s="1"/>
      <c r="I4074" s="7"/>
      <c r="J4074" s="12"/>
      <c r="K4074" s="13"/>
      <c r="L4074" s="14"/>
      <c r="M4074" s="15"/>
      <c r="N4074" s="15"/>
      <c r="O4074" s="16"/>
      <c r="Q4074" s="16"/>
    </row>
    <row r="4075" spans="1:17" x14ac:dyDescent="0.3">
      <c r="A4075" s="5"/>
      <c r="B4075" s="6"/>
      <c r="C4075" s="7"/>
      <c r="D4075" s="10"/>
      <c r="F4075" s="1"/>
      <c r="G4075" s="1"/>
      <c r="H4075" s="1"/>
      <c r="I4075" s="7"/>
      <c r="J4075" s="12"/>
      <c r="K4075" s="13"/>
      <c r="L4075" s="14"/>
      <c r="M4075" s="15"/>
      <c r="N4075" s="15"/>
      <c r="O4075" s="16"/>
      <c r="Q4075" s="16"/>
    </row>
    <row r="4076" spans="1:17" x14ac:dyDescent="0.3">
      <c r="A4076" s="5"/>
      <c r="B4076" s="6"/>
      <c r="C4076" s="7"/>
      <c r="D4076" s="10"/>
      <c r="F4076" s="1"/>
      <c r="G4076" s="1"/>
      <c r="H4076" s="1"/>
      <c r="I4076" s="7"/>
      <c r="J4076" s="12"/>
      <c r="K4076" s="13"/>
      <c r="L4076" s="14"/>
      <c r="M4076" s="15"/>
      <c r="N4076" s="15"/>
      <c r="O4076" s="16"/>
      <c r="Q4076" s="16"/>
    </row>
    <row r="4077" spans="1:17" x14ac:dyDescent="0.3">
      <c r="A4077" s="5"/>
      <c r="B4077" s="6"/>
      <c r="C4077" s="7"/>
      <c r="D4077" s="10"/>
      <c r="F4077" s="1"/>
      <c r="G4077" s="1"/>
      <c r="H4077" s="1"/>
      <c r="I4077" s="7"/>
      <c r="J4077" s="12"/>
      <c r="K4077" s="13"/>
      <c r="L4077" s="14"/>
      <c r="M4077" s="15"/>
      <c r="N4077" s="15"/>
      <c r="O4077" s="16"/>
      <c r="Q4077" s="16"/>
    </row>
    <row r="4078" spans="1:17" x14ac:dyDescent="0.3">
      <c r="A4078" s="5"/>
      <c r="B4078" s="6"/>
      <c r="C4078" s="7"/>
      <c r="D4078" s="10"/>
      <c r="F4078" s="1"/>
      <c r="G4078" s="1"/>
      <c r="H4078" s="1"/>
      <c r="I4078" s="7"/>
      <c r="J4078" s="12"/>
      <c r="K4078" s="13"/>
      <c r="L4078" s="14"/>
      <c r="M4078" s="15"/>
      <c r="N4078" s="15"/>
      <c r="O4078" s="16"/>
      <c r="Q4078" s="16"/>
    </row>
    <row r="4079" spans="1:17" x14ac:dyDescent="0.3">
      <c r="A4079" s="5"/>
      <c r="B4079" s="6"/>
      <c r="C4079" s="7"/>
      <c r="D4079" s="10"/>
      <c r="F4079" s="1"/>
      <c r="G4079" s="1"/>
      <c r="H4079" s="1"/>
      <c r="I4079" s="7"/>
      <c r="J4079" s="12"/>
      <c r="K4079" s="13"/>
      <c r="L4079" s="14"/>
      <c r="M4079" s="15"/>
      <c r="N4079" s="15"/>
      <c r="O4079" s="16"/>
      <c r="Q4079" s="16"/>
    </row>
    <row r="4080" spans="1:17" x14ac:dyDescent="0.3">
      <c r="A4080" s="5"/>
      <c r="B4080" s="6"/>
      <c r="C4080" s="7"/>
      <c r="D4080" s="10"/>
      <c r="F4080" s="1"/>
      <c r="G4080" s="1"/>
      <c r="H4080" s="1"/>
      <c r="I4080" s="7"/>
      <c r="J4080" s="12"/>
      <c r="K4080" s="13"/>
      <c r="L4080" s="14"/>
      <c r="M4080" s="15"/>
      <c r="N4080" s="15"/>
      <c r="O4080" s="16"/>
      <c r="Q4080" s="16"/>
    </row>
    <row r="4081" spans="1:17" x14ac:dyDescent="0.3">
      <c r="A4081" s="5"/>
      <c r="B4081" s="6"/>
      <c r="C4081" s="7"/>
      <c r="D4081" s="10"/>
      <c r="F4081" s="1"/>
      <c r="G4081" s="1"/>
      <c r="H4081" s="1"/>
      <c r="I4081" s="7"/>
      <c r="J4081" s="12"/>
      <c r="K4081" s="13"/>
      <c r="L4081" s="14"/>
      <c r="M4081" s="15"/>
      <c r="N4081" s="15"/>
      <c r="O4081" s="16"/>
      <c r="Q4081" s="16"/>
    </row>
    <row r="4082" spans="1:17" x14ac:dyDescent="0.3">
      <c r="A4082" s="5"/>
      <c r="B4082" s="6"/>
      <c r="C4082" s="7"/>
      <c r="D4082" s="10"/>
      <c r="F4082" s="1"/>
      <c r="G4082" s="1"/>
      <c r="H4082" s="1"/>
      <c r="I4082" s="7"/>
      <c r="J4082" s="12"/>
      <c r="K4082" s="13"/>
      <c r="L4082" s="14"/>
      <c r="M4082" s="15"/>
      <c r="N4082" s="15"/>
      <c r="O4082" s="16"/>
      <c r="Q4082" s="16"/>
    </row>
    <row r="4083" spans="1:17" x14ac:dyDescent="0.3">
      <c r="A4083" s="5"/>
      <c r="B4083" s="6"/>
      <c r="C4083" s="7"/>
      <c r="D4083" s="10"/>
      <c r="F4083" s="1"/>
      <c r="G4083" s="1"/>
      <c r="H4083" s="1"/>
      <c r="I4083" s="7"/>
      <c r="J4083" s="12"/>
      <c r="K4083" s="13"/>
      <c r="L4083" s="14"/>
      <c r="M4083" s="15"/>
      <c r="N4083" s="15"/>
      <c r="O4083" s="16"/>
      <c r="Q4083" s="16"/>
    </row>
    <row r="4084" spans="1:17" x14ac:dyDescent="0.3">
      <c r="A4084" s="5"/>
      <c r="B4084" s="6"/>
      <c r="C4084" s="7"/>
      <c r="D4084" s="10"/>
      <c r="F4084" s="1"/>
      <c r="G4084" s="1"/>
      <c r="H4084" s="1"/>
      <c r="I4084" s="7"/>
      <c r="J4084" s="12"/>
      <c r="K4084" s="13"/>
      <c r="L4084" s="14"/>
      <c r="M4084" s="15"/>
      <c r="N4084" s="15"/>
      <c r="O4084" s="16"/>
      <c r="Q4084" s="16"/>
    </row>
    <row r="4085" spans="1:17" x14ac:dyDescent="0.3">
      <c r="A4085" s="5"/>
      <c r="B4085" s="6"/>
      <c r="C4085" s="7"/>
      <c r="D4085" s="10"/>
      <c r="F4085" s="1"/>
      <c r="G4085" s="1"/>
      <c r="H4085" s="1"/>
      <c r="I4085" s="7"/>
      <c r="J4085" s="12"/>
      <c r="K4085" s="13"/>
      <c r="L4085" s="14"/>
      <c r="M4085" s="15"/>
      <c r="N4085" s="15"/>
      <c r="O4085" s="16"/>
      <c r="Q4085" s="16"/>
    </row>
    <row r="4086" spans="1:17" x14ac:dyDescent="0.3">
      <c r="A4086" s="5"/>
      <c r="B4086" s="6"/>
      <c r="C4086" s="7"/>
      <c r="D4086" s="10"/>
      <c r="F4086" s="1"/>
      <c r="G4086" s="1"/>
      <c r="H4086" s="1"/>
      <c r="I4086" s="7"/>
      <c r="J4086" s="12"/>
      <c r="K4086" s="13"/>
      <c r="L4086" s="14"/>
      <c r="M4086" s="15"/>
      <c r="N4086" s="15"/>
      <c r="O4086" s="16"/>
      <c r="Q4086" s="16"/>
    </row>
    <row r="4087" spans="1:17" x14ac:dyDescent="0.3">
      <c r="A4087" s="5"/>
      <c r="B4087" s="6"/>
      <c r="C4087" s="7"/>
      <c r="D4087" s="10"/>
      <c r="F4087" s="1"/>
      <c r="G4087" s="1"/>
      <c r="H4087" s="1"/>
      <c r="I4087" s="7"/>
      <c r="J4087" s="12"/>
      <c r="K4087" s="13"/>
      <c r="L4087" s="14"/>
      <c r="M4087" s="15"/>
      <c r="N4087" s="15"/>
      <c r="O4087" s="16"/>
      <c r="Q4087" s="16"/>
    </row>
    <row r="4088" spans="1:17" x14ac:dyDescent="0.3">
      <c r="A4088" s="5"/>
      <c r="B4088" s="6"/>
      <c r="C4088" s="7"/>
      <c r="D4088" s="10"/>
      <c r="F4088" s="1"/>
      <c r="G4088" s="1"/>
      <c r="H4088" s="1"/>
      <c r="I4088" s="7"/>
      <c r="J4088" s="12"/>
      <c r="K4088" s="13"/>
      <c r="L4088" s="14"/>
      <c r="M4088" s="15"/>
      <c r="N4088" s="15"/>
      <c r="O4088" s="16"/>
      <c r="Q4088" s="16"/>
    </row>
    <row r="4089" spans="1:17" x14ac:dyDescent="0.3">
      <c r="A4089" s="5"/>
      <c r="B4089" s="6"/>
      <c r="C4089" s="7"/>
      <c r="D4089" s="10"/>
      <c r="F4089" s="1"/>
      <c r="G4089" s="1"/>
      <c r="H4089" s="1"/>
      <c r="I4089" s="7"/>
      <c r="J4089" s="12"/>
      <c r="K4089" s="13"/>
      <c r="L4089" s="14"/>
      <c r="M4089" s="15"/>
      <c r="N4089" s="15"/>
      <c r="O4089" s="16"/>
      <c r="Q4089" s="16"/>
    </row>
    <row r="4090" spans="1:17" x14ac:dyDescent="0.3">
      <c r="A4090" s="5"/>
      <c r="B4090" s="6"/>
      <c r="C4090" s="7"/>
      <c r="D4090" s="10"/>
      <c r="F4090" s="1"/>
      <c r="G4090" s="1"/>
      <c r="H4090" s="1"/>
      <c r="I4090" s="7"/>
      <c r="J4090" s="12"/>
      <c r="K4090" s="13"/>
      <c r="L4090" s="14"/>
      <c r="M4090" s="15"/>
      <c r="N4090" s="15"/>
      <c r="O4090" s="16"/>
      <c r="Q4090" s="16"/>
    </row>
    <row r="4091" spans="1:17" x14ac:dyDescent="0.3">
      <c r="A4091" s="5"/>
      <c r="B4091" s="6"/>
      <c r="C4091" s="7"/>
      <c r="D4091" s="10"/>
      <c r="F4091" s="1"/>
      <c r="G4091" s="1"/>
      <c r="H4091" s="1"/>
      <c r="I4091" s="7"/>
      <c r="J4091" s="12"/>
      <c r="K4091" s="13"/>
      <c r="L4091" s="14"/>
      <c r="M4091" s="15"/>
      <c r="N4091" s="15"/>
      <c r="O4091" s="16"/>
      <c r="Q4091" s="16"/>
    </row>
    <row r="4092" spans="1:17" x14ac:dyDescent="0.3">
      <c r="A4092" s="5"/>
      <c r="B4092" s="6"/>
      <c r="C4092" s="7"/>
      <c r="D4092" s="10"/>
      <c r="F4092" s="1"/>
      <c r="G4092" s="1"/>
      <c r="H4092" s="1"/>
      <c r="I4092" s="7"/>
      <c r="J4092" s="12"/>
      <c r="K4092" s="13"/>
      <c r="L4092" s="14"/>
      <c r="M4092" s="15"/>
      <c r="N4092" s="15"/>
      <c r="O4092" s="16"/>
      <c r="Q4092" s="16"/>
    </row>
    <row r="4093" spans="1:17" x14ac:dyDescent="0.3">
      <c r="A4093" s="5"/>
      <c r="B4093" s="6"/>
      <c r="C4093" s="7"/>
      <c r="D4093" s="10"/>
      <c r="F4093" s="1"/>
      <c r="G4093" s="1"/>
      <c r="H4093" s="1"/>
      <c r="I4093" s="7"/>
      <c r="J4093" s="12"/>
      <c r="K4093" s="13"/>
      <c r="L4093" s="14"/>
      <c r="M4093" s="15"/>
      <c r="N4093" s="15"/>
      <c r="O4093" s="16"/>
      <c r="Q4093" s="16"/>
    </row>
    <row r="4094" spans="1:17" x14ac:dyDescent="0.3">
      <c r="A4094" s="5"/>
      <c r="B4094" s="6"/>
      <c r="C4094" s="7"/>
      <c r="D4094" s="10"/>
      <c r="F4094" s="1"/>
      <c r="G4094" s="1"/>
      <c r="H4094" s="1"/>
      <c r="I4094" s="7"/>
      <c r="J4094" s="12"/>
      <c r="K4094" s="13"/>
      <c r="L4094" s="14"/>
      <c r="M4094" s="15"/>
      <c r="N4094" s="15"/>
      <c r="O4094" s="16"/>
      <c r="Q4094" s="16"/>
    </row>
    <row r="4095" spans="1:17" x14ac:dyDescent="0.3">
      <c r="A4095" s="5"/>
      <c r="B4095" s="6"/>
      <c r="C4095" s="7"/>
      <c r="D4095" s="10"/>
      <c r="F4095" s="1"/>
      <c r="G4095" s="1"/>
      <c r="H4095" s="1"/>
      <c r="I4095" s="7"/>
      <c r="J4095" s="12"/>
      <c r="K4095" s="13"/>
      <c r="L4095" s="14"/>
      <c r="M4095" s="15"/>
      <c r="N4095" s="15"/>
      <c r="O4095" s="16"/>
      <c r="Q4095" s="16"/>
    </row>
    <row r="4096" spans="1:17" x14ac:dyDescent="0.3">
      <c r="A4096" s="5"/>
      <c r="B4096" s="6"/>
      <c r="C4096" s="7"/>
      <c r="D4096" s="10"/>
      <c r="F4096" s="1"/>
      <c r="G4096" s="1"/>
      <c r="H4096" s="1"/>
      <c r="I4096" s="7"/>
      <c r="J4096" s="12"/>
      <c r="K4096" s="13"/>
      <c r="L4096" s="14"/>
      <c r="M4096" s="15"/>
      <c r="N4096" s="15"/>
      <c r="O4096" s="16"/>
      <c r="Q4096" s="16"/>
    </row>
    <row r="4097" spans="1:17" x14ac:dyDescent="0.3">
      <c r="A4097" s="5"/>
      <c r="B4097" s="6"/>
      <c r="C4097" s="7"/>
      <c r="D4097" s="10"/>
      <c r="F4097" s="1"/>
      <c r="G4097" s="1"/>
      <c r="H4097" s="1"/>
      <c r="I4097" s="7"/>
      <c r="J4097" s="12"/>
      <c r="K4097" s="13"/>
      <c r="L4097" s="14"/>
      <c r="M4097" s="15"/>
      <c r="N4097" s="15"/>
      <c r="O4097" s="16"/>
      <c r="Q4097" s="16"/>
    </row>
    <row r="4098" spans="1:17" x14ac:dyDescent="0.3">
      <c r="A4098" s="5"/>
      <c r="B4098" s="6"/>
      <c r="C4098" s="7"/>
      <c r="D4098" s="10"/>
      <c r="F4098" s="1"/>
      <c r="G4098" s="1"/>
      <c r="H4098" s="1"/>
      <c r="I4098" s="7"/>
      <c r="J4098" s="12"/>
      <c r="K4098" s="13"/>
      <c r="L4098" s="14"/>
      <c r="M4098" s="15"/>
      <c r="N4098" s="15"/>
      <c r="O4098" s="16"/>
      <c r="Q4098" s="16"/>
    </row>
    <row r="4099" spans="1:17" x14ac:dyDescent="0.3">
      <c r="A4099" s="5"/>
      <c r="B4099" s="6"/>
      <c r="C4099" s="7"/>
      <c r="D4099" s="10"/>
      <c r="F4099" s="1"/>
      <c r="G4099" s="1"/>
      <c r="H4099" s="1"/>
      <c r="I4099" s="7"/>
      <c r="J4099" s="12"/>
      <c r="K4099" s="13"/>
      <c r="L4099" s="14"/>
      <c r="M4099" s="15"/>
      <c r="N4099" s="15"/>
      <c r="O4099" s="16"/>
      <c r="Q4099" s="16"/>
    </row>
    <row r="4100" spans="1:17" x14ac:dyDescent="0.3">
      <c r="A4100" s="5"/>
      <c r="B4100" s="6"/>
      <c r="C4100" s="7"/>
      <c r="D4100" s="10"/>
      <c r="F4100" s="1"/>
      <c r="G4100" s="1"/>
      <c r="H4100" s="1"/>
      <c r="I4100" s="7"/>
      <c r="J4100" s="12"/>
      <c r="K4100" s="13"/>
      <c r="L4100" s="14"/>
      <c r="M4100" s="15"/>
      <c r="N4100" s="15"/>
      <c r="O4100" s="16"/>
      <c r="Q4100" s="16"/>
    </row>
    <row r="4101" spans="1:17" x14ac:dyDescent="0.3">
      <c r="A4101" s="5"/>
      <c r="B4101" s="6"/>
      <c r="C4101" s="7"/>
      <c r="D4101" s="10"/>
      <c r="F4101" s="1"/>
      <c r="G4101" s="1"/>
      <c r="H4101" s="1"/>
      <c r="I4101" s="7"/>
      <c r="J4101" s="12"/>
      <c r="K4101" s="13"/>
      <c r="L4101" s="14"/>
      <c r="M4101" s="15"/>
      <c r="N4101" s="15"/>
      <c r="O4101" s="16"/>
      <c r="Q4101" s="16"/>
    </row>
    <row r="4102" spans="1:17" x14ac:dyDescent="0.3">
      <c r="A4102" s="5"/>
      <c r="B4102" s="6"/>
      <c r="C4102" s="7"/>
      <c r="D4102" s="10"/>
      <c r="F4102" s="1"/>
      <c r="G4102" s="1"/>
      <c r="H4102" s="1"/>
      <c r="I4102" s="7"/>
      <c r="J4102" s="12"/>
      <c r="K4102" s="13"/>
      <c r="L4102" s="14"/>
      <c r="M4102" s="15"/>
      <c r="N4102" s="15"/>
      <c r="O4102" s="16"/>
      <c r="Q4102" s="16"/>
    </row>
    <row r="4103" spans="1:17" x14ac:dyDescent="0.3">
      <c r="A4103" s="5"/>
      <c r="B4103" s="6"/>
      <c r="C4103" s="7"/>
      <c r="D4103" s="10"/>
      <c r="F4103" s="1"/>
      <c r="G4103" s="1"/>
      <c r="H4103" s="1"/>
      <c r="I4103" s="7"/>
      <c r="J4103" s="12"/>
      <c r="K4103" s="13"/>
      <c r="L4103" s="14"/>
      <c r="M4103" s="15"/>
      <c r="N4103" s="15"/>
      <c r="O4103" s="16"/>
      <c r="Q4103" s="16"/>
    </row>
    <row r="4104" spans="1:17" x14ac:dyDescent="0.3">
      <c r="A4104" s="5"/>
      <c r="B4104" s="6"/>
      <c r="C4104" s="7"/>
      <c r="D4104" s="10"/>
      <c r="F4104" s="1"/>
      <c r="G4104" s="1"/>
      <c r="H4104" s="1"/>
      <c r="I4104" s="7"/>
      <c r="J4104" s="12"/>
      <c r="K4104" s="13"/>
      <c r="L4104" s="14"/>
      <c r="M4104" s="15"/>
      <c r="N4104" s="15"/>
      <c r="O4104" s="16"/>
      <c r="Q4104" s="16"/>
    </row>
    <row r="4105" spans="1:17" x14ac:dyDescent="0.3">
      <c r="A4105" s="5"/>
      <c r="B4105" s="6"/>
      <c r="C4105" s="7"/>
      <c r="D4105" s="10"/>
      <c r="F4105" s="1"/>
      <c r="G4105" s="1"/>
      <c r="H4105" s="1"/>
      <c r="I4105" s="7"/>
      <c r="J4105" s="12"/>
      <c r="K4105" s="13"/>
      <c r="L4105" s="14"/>
      <c r="M4105" s="15"/>
      <c r="N4105" s="15"/>
      <c r="O4105" s="16"/>
      <c r="Q4105" s="16"/>
    </row>
    <row r="4106" spans="1:17" x14ac:dyDescent="0.3">
      <c r="A4106" s="5"/>
      <c r="B4106" s="6"/>
      <c r="C4106" s="7"/>
      <c r="D4106" s="10"/>
      <c r="F4106" s="1"/>
      <c r="G4106" s="1"/>
      <c r="H4106" s="1"/>
      <c r="I4106" s="7"/>
      <c r="J4106" s="12"/>
      <c r="K4106" s="13"/>
      <c r="L4106" s="14"/>
      <c r="M4106" s="15"/>
      <c r="N4106" s="15"/>
      <c r="O4106" s="16"/>
      <c r="Q4106" s="16"/>
    </row>
    <row r="4107" spans="1:17" x14ac:dyDescent="0.3">
      <c r="A4107" s="5"/>
      <c r="B4107" s="6"/>
      <c r="C4107" s="7"/>
      <c r="D4107" s="10"/>
      <c r="F4107" s="1"/>
      <c r="G4107" s="1"/>
      <c r="H4107" s="1"/>
      <c r="I4107" s="7"/>
      <c r="J4107" s="12"/>
      <c r="K4107" s="13"/>
      <c r="L4107" s="14"/>
      <c r="M4107" s="15"/>
      <c r="N4107" s="15"/>
      <c r="O4107" s="16"/>
      <c r="Q4107" s="16"/>
    </row>
    <row r="4108" spans="1:17" x14ac:dyDescent="0.3">
      <c r="A4108" s="5"/>
      <c r="B4108" s="6"/>
      <c r="C4108" s="7"/>
      <c r="D4108" s="10"/>
      <c r="F4108" s="1"/>
      <c r="G4108" s="1"/>
      <c r="H4108" s="1"/>
      <c r="I4108" s="7"/>
      <c r="J4108" s="12"/>
      <c r="K4108" s="13"/>
      <c r="L4108" s="14"/>
      <c r="M4108" s="15"/>
      <c r="N4108" s="15"/>
      <c r="O4108" s="16"/>
      <c r="Q4108" s="16"/>
    </row>
    <row r="4109" spans="1:17" x14ac:dyDescent="0.3">
      <c r="A4109" s="5"/>
      <c r="B4109" s="6"/>
      <c r="C4109" s="7"/>
      <c r="D4109" s="10"/>
      <c r="F4109" s="1"/>
      <c r="G4109" s="1"/>
      <c r="H4109" s="1"/>
      <c r="I4109" s="7"/>
      <c r="J4109" s="12"/>
      <c r="K4109" s="13"/>
      <c r="L4109" s="14"/>
      <c r="M4109" s="15"/>
      <c r="N4109" s="15"/>
      <c r="O4109" s="16"/>
      <c r="Q4109" s="16"/>
    </row>
    <row r="4110" spans="1:17" x14ac:dyDescent="0.3">
      <c r="A4110" s="5"/>
      <c r="B4110" s="6"/>
      <c r="C4110" s="7"/>
      <c r="D4110" s="10"/>
      <c r="F4110" s="1"/>
      <c r="G4110" s="1"/>
      <c r="H4110" s="1"/>
      <c r="I4110" s="7"/>
      <c r="J4110" s="12"/>
      <c r="K4110" s="13"/>
      <c r="L4110" s="14"/>
      <c r="M4110" s="15"/>
      <c r="N4110" s="15"/>
      <c r="O4110" s="16"/>
      <c r="Q4110" s="16"/>
    </row>
    <row r="4111" spans="1:17" x14ac:dyDescent="0.3">
      <c r="A4111" s="5"/>
      <c r="B4111" s="6"/>
      <c r="C4111" s="7"/>
      <c r="D4111" s="10"/>
      <c r="F4111" s="1"/>
      <c r="G4111" s="1"/>
      <c r="H4111" s="1"/>
      <c r="I4111" s="7"/>
      <c r="J4111" s="12"/>
      <c r="K4111" s="13"/>
      <c r="L4111" s="14"/>
      <c r="M4111" s="15"/>
      <c r="N4111" s="15"/>
      <c r="O4111" s="16"/>
      <c r="Q4111" s="16"/>
    </row>
    <row r="4112" spans="1:17" x14ac:dyDescent="0.3">
      <c r="A4112" s="5"/>
      <c r="B4112" s="6"/>
      <c r="C4112" s="7"/>
      <c r="D4112" s="10"/>
      <c r="F4112" s="1"/>
      <c r="G4112" s="1"/>
      <c r="H4112" s="1"/>
      <c r="I4112" s="7"/>
      <c r="J4112" s="12"/>
      <c r="K4112" s="13"/>
      <c r="L4112" s="14"/>
      <c r="M4112" s="15"/>
      <c r="N4112" s="15"/>
      <c r="O4112" s="16"/>
      <c r="Q4112" s="16"/>
    </row>
    <row r="4113" spans="1:17" x14ac:dyDescent="0.3">
      <c r="A4113" s="5"/>
      <c r="B4113" s="6"/>
      <c r="C4113" s="7"/>
      <c r="D4113" s="10"/>
      <c r="F4113" s="1"/>
      <c r="G4113" s="1"/>
      <c r="H4113" s="1"/>
      <c r="I4113" s="7"/>
      <c r="J4113" s="12"/>
      <c r="K4113" s="13"/>
      <c r="L4113" s="14"/>
      <c r="M4113" s="15"/>
      <c r="N4113" s="15"/>
      <c r="O4113" s="16"/>
      <c r="Q4113" s="16"/>
    </row>
    <row r="4114" spans="1:17" x14ac:dyDescent="0.3">
      <c r="A4114" s="5"/>
      <c r="B4114" s="6"/>
      <c r="C4114" s="7"/>
      <c r="D4114" s="10"/>
      <c r="F4114" s="1"/>
      <c r="G4114" s="1"/>
      <c r="H4114" s="1"/>
      <c r="I4114" s="7"/>
      <c r="J4114" s="12"/>
      <c r="K4114" s="13"/>
      <c r="L4114" s="14"/>
      <c r="M4114" s="15"/>
      <c r="N4114" s="15"/>
      <c r="O4114" s="16"/>
      <c r="Q4114" s="16"/>
    </row>
    <row r="4115" spans="1:17" x14ac:dyDescent="0.3">
      <c r="A4115" s="5"/>
      <c r="B4115" s="6"/>
      <c r="C4115" s="7"/>
      <c r="D4115" s="10"/>
      <c r="F4115" s="1"/>
      <c r="G4115" s="1"/>
      <c r="H4115" s="1"/>
      <c r="I4115" s="7"/>
      <c r="J4115" s="12"/>
      <c r="K4115" s="13"/>
      <c r="L4115" s="14"/>
      <c r="M4115" s="15"/>
      <c r="N4115" s="15"/>
      <c r="O4115" s="16"/>
      <c r="Q4115" s="16"/>
    </row>
    <row r="4116" spans="1:17" x14ac:dyDescent="0.3">
      <c r="A4116" s="5"/>
      <c r="B4116" s="6"/>
      <c r="C4116" s="7"/>
      <c r="D4116" s="10"/>
      <c r="F4116" s="1"/>
      <c r="G4116" s="1"/>
      <c r="H4116" s="1"/>
      <c r="I4116" s="7"/>
      <c r="J4116" s="12"/>
      <c r="K4116" s="13"/>
      <c r="L4116" s="14"/>
      <c r="M4116" s="15"/>
      <c r="N4116" s="15"/>
      <c r="O4116" s="16"/>
      <c r="Q4116" s="16"/>
    </row>
    <row r="4117" spans="1:17" x14ac:dyDescent="0.3">
      <c r="A4117" s="5"/>
      <c r="B4117" s="6"/>
      <c r="C4117" s="7"/>
      <c r="D4117" s="10"/>
      <c r="F4117" s="1"/>
      <c r="G4117" s="1"/>
      <c r="H4117" s="1"/>
      <c r="I4117" s="7"/>
      <c r="J4117" s="12"/>
      <c r="K4117" s="13"/>
      <c r="L4117" s="14"/>
      <c r="M4117" s="15"/>
      <c r="N4117" s="15"/>
      <c r="O4117" s="16"/>
      <c r="Q4117" s="16"/>
    </row>
    <row r="4118" spans="1:17" x14ac:dyDescent="0.3">
      <c r="A4118" s="5"/>
      <c r="B4118" s="6"/>
      <c r="C4118" s="7"/>
      <c r="D4118" s="10"/>
      <c r="F4118" s="1"/>
      <c r="G4118" s="1"/>
      <c r="H4118" s="1"/>
      <c r="I4118" s="7"/>
      <c r="J4118" s="12"/>
      <c r="K4118" s="13"/>
      <c r="L4118" s="14"/>
      <c r="M4118" s="15"/>
      <c r="N4118" s="15"/>
      <c r="O4118" s="16"/>
      <c r="Q4118" s="16"/>
    </row>
    <row r="4119" spans="1:17" x14ac:dyDescent="0.3">
      <c r="A4119" s="5"/>
      <c r="B4119" s="6"/>
      <c r="C4119" s="7"/>
      <c r="D4119" s="10"/>
      <c r="F4119" s="1"/>
      <c r="G4119" s="1"/>
      <c r="H4119" s="1"/>
      <c r="I4119" s="7"/>
      <c r="J4119" s="12"/>
      <c r="K4119" s="13"/>
      <c r="L4119" s="14"/>
      <c r="M4119" s="15"/>
      <c r="N4119" s="15"/>
      <c r="O4119" s="16"/>
      <c r="Q4119" s="16"/>
    </row>
    <row r="4120" spans="1:17" x14ac:dyDescent="0.3">
      <c r="A4120" s="5"/>
      <c r="B4120" s="6"/>
      <c r="C4120" s="7"/>
      <c r="D4120" s="10"/>
      <c r="F4120" s="1"/>
      <c r="G4120" s="1"/>
      <c r="H4120" s="1"/>
      <c r="I4120" s="7"/>
      <c r="J4120" s="12"/>
      <c r="K4120" s="13"/>
      <c r="L4120" s="14"/>
      <c r="M4120" s="15"/>
      <c r="N4120" s="15"/>
      <c r="O4120" s="16"/>
      <c r="Q4120" s="16"/>
    </row>
    <row r="4121" spans="1:17" x14ac:dyDescent="0.3">
      <c r="A4121" s="5"/>
      <c r="B4121" s="6"/>
      <c r="C4121" s="7"/>
      <c r="D4121" s="10"/>
      <c r="F4121" s="1"/>
      <c r="G4121" s="1"/>
      <c r="H4121" s="1"/>
      <c r="I4121" s="7"/>
      <c r="J4121" s="12"/>
      <c r="K4121" s="13"/>
      <c r="L4121" s="14"/>
      <c r="M4121" s="15"/>
      <c r="N4121" s="15"/>
      <c r="O4121" s="16"/>
      <c r="Q4121" s="16"/>
    </row>
    <row r="4122" spans="1:17" x14ac:dyDescent="0.3">
      <c r="A4122" s="5"/>
      <c r="B4122" s="6"/>
      <c r="C4122" s="7"/>
      <c r="D4122" s="10"/>
      <c r="F4122" s="1"/>
      <c r="G4122" s="1"/>
      <c r="H4122" s="1"/>
      <c r="I4122" s="7"/>
      <c r="J4122" s="12"/>
      <c r="K4122" s="13"/>
      <c r="L4122" s="14"/>
      <c r="M4122" s="15"/>
      <c r="N4122" s="15"/>
      <c r="O4122" s="16"/>
      <c r="Q4122" s="16"/>
    </row>
    <row r="4123" spans="1:17" x14ac:dyDescent="0.3">
      <c r="A4123" s="5"/>
      <c r="B4123" s="6"/>
      <c r="C4123" s="7"/>
      <c r="D4123" s="10"/>
      <c r="F4123" s="1"/>
      <c r="G4123" s="1"/>
      <c r="H4123" s="1"/>
      <c r="I4123" s="7"/>
      <c r="J4123" s="12"/>
      <c r="K4123" s="13"/>
      <c r="L4123" s="14"/>
      <c r="M4123" s="15"/>
      <c r="N4123" s="15"/>
      <c r="O4123" s="16"/>
      <c r="Q4123" s="16"/>
    </row>
    <row r="4124" spans="1:17" x14ac:dyDescent="0.3">
      <c r="A4124" s="5"/>
      <c r="B4124" s="6"/>
      <c r="C4124" s="7"/>
      <c r="D4124" s="10"/>
      <c r="F4124" s="1"/>
      <c r="G4124" s="1"/>
      <c r="H4124" s="1"/>
      <c r="I4124" s="7"/>
      <c r="J4124" s="12"/>
      <c r="K4124" s="13"/>
      <c r="L4124" s="14"/>
      <c r="M4124" s="15"/>
      <c r="N4124" s="15"/>
      <c r="O4124" s="16"/>
      <c r="Q4124" s="16"/>
    </row>
    <row r="4125" spans="1:17" x14ac:dyDescent="0.3">
      <c r="A4125" s="5"/>
      <c r="B4125" s="6"/>
      <c r="C4125" s="7"/>
      <c r="D4125" s="10"/>
      <c r="F4125" s="1"/>
      <c r="G4125" s="1"/>
      <c r="H4125" s="1"/>
      <c r="I4125" s="7"/>
      <c r="J4125" s="12"/>
      <c r="K4125" s="13"/>
      <c r="L4125" s="14"/>
      <c r="M4125" s="15"/>
      <c r="N4125" s="15"/>
      <c r="O4125" s="16"/>
      <c r="Q4125" s="16"/>
    </row>
    <row r="4126" spans="1:17" x14ac:dyDescent="0.3">
      <c r="A4126" s="5"/>
      <c r="B4126" s="6"/>
      <c r="C4126" s="7"/>
      <c r="D4126" s="10"/>
      <c r="F4126" s="1"/>
      <c r="G4126" s="1"/>
      <c r="H4126" s="1"/>
      <c r="I4126" s="7"/>
      <c r="J4126" s="12"/>
      <c r="K4126" s="13"/>
      <c r="L4126" s="14"/>
      <c r="M4126" s="15"/>
      <c r="N4126" s="15"/>
      <c r="O4126" s="16"/>
      <c r="Q4126" s="16"/>
    </row>
    <row r="4127" spans="1:17" x14ac:dyDescent="0.3">
      <c r="A4127" s="5"/>
      <c r="B4127" s="6"/>
      <c r="C4127" s="7"/>
      <c r="D4127" s="10"/>
      <c r="F4127" s="1"/>
      <c r="G4127" s="1"/>
      <c r="H4127" s="1"/>
      <c r="I4127" s="7"/>
      <c r="J4127" s="12"/>
      <c r="K4127" s="13"/>
      <c r="L4127" s="14"/>
      <c r="M4127" s="15"/>
      <c r="N4127" s="15"/>
      <c r="O4127" s="16"/>
      <c r="Q4127" s="16"/>
    </row>
    <row r="4128" spans="1:17" x14ac:dyDescent="0.3">
      <c r="A4128" s="5"/>
      <c r="B4128" s="6"/>
      <c r="C4128" s="7"/>
      <c r="D4128" s="10"/>
      <c r="F4128" s="1"/>
      <c r="G4128" s="1"/>
      <c r="H4128" s="1"/>
      <c r="I4128" s="7"/>
      <c r="J4128" s="12"/>
      <c r="K4128" s="13"/>
      <c r="L4128" s="14"/>
      <c r="M4128" s="15"/>
      <c r="N4128" s="15"/>
      <c r="O4128" s="16"/>
      <c r="Q4128" s="16"/>
    </row>
    <row r="4129" spans="1:17" x14ac:dyDescent="0.3">
      <c r="A4129" s="5"/>
      <c r="B4129" s="6"/>
      <c r="C4129" s="7"/>
      <c r="D4129" s="10"/>
      <c r="F4129" s="1"/>
      <c r="G4129" s="1"/>
      <c r="H4129" s="1"/>
      <c r="I4129" s="7"/>
      <c r="J4129" s="12"/>
      <c r="K4129" s="13"/>
      <c r="L4129" s="14"/>
      <c r="M4129" s="15"/>
      <c r="N4129" s="15"/>
      <c r="O4129" s="16"/>
      <c r="Q4129" s="16"/>
    </row>
    <row r="4130" spans="1:17" x14ac:dyDescent="0.3">
      <c r="A4130" s="5"/>
      <c r="B4130" s="6"/>
      <c r="C4130" s="7"/>
      <c r="D4130" s="10"/>
      <c r="F4130" s="1"/>
      <c r="G4130" s="1"/>
      <c r="H4130" s="1"/>
      <c r="I4130" s="7"/>
      <c r="J4130" s="12"/>
      <c r="K4130" s="13"/>
      <c r="L4130" s="14"/>
      <c r="M4130" s="15"/>
      <c r="N4130" s="15"/>
      <c r="O4130" s="16"/>
      <c r="Q4130" s="16"/>
    </row>
    <row r="4131" spans="1:17" x14ac:dyDescent="0.3">
      <c r="A4131" s="5"/>
      <c r="B4131" s="6"/>
      <c r="C4131" s="7"/>
      <c r="D4131" s="10"/>
      <c r="F4131" s="1"/>
      <c r="G4131" s="1"/>
      <c r="H4131" s="1"/>
      <c r="I4131" s="7"/>
      <c r="J4131" s="12"/>
      <c r="K4131" s="13"/>
      <c r="L4131" s="14"/>
      <c r="M4131" s="15"/>
      <c r="N4131" s="15"/>
      <c r="O4131" s="16"/>
      <c r="Q4131" s="16"/>
    </row>
    <row r="4132" spans="1:17" x14ac:dyDescent="0.3">
      <c r="A4132" s="5"/>
      <c r="B4132" s="6"/>
      <c r="C4132" s="7"/>
      <c r="D4132" s="10"/>
      <c r="F4132" s="1"/>
      <c r="G4132" s="1"/>
      <c r="H4132" s="1"/>
      <c r="I4132" s="7"/>
      <c r="J4132" s="12"/>
      <c r="K4132" s="13"/>
      <c r="L4132" s="14"/>
      <c r="M4132" s="15"/>
      <c r="N4132" s="15"/>
      <c r="O4132" s="16"/>
      <c r="Q4132" s="16"/>
    </row>
    <row r="4133" spans="1:17" x14ac:dyDescent="0.3">
      <c r="A4133" s="5"/>
      <c r="B4133" s="6"/>
      <c r="C4133" s="7"/>
      <c r="D4133" s="10"/>
      <c r="F4133" s="1"/>
      <c r="G4133" s="1"/>
      <c r="H4133" s="1"/>
      <c r="I4133" s="7"/>
      <c r="J4133" s="12"/>
      <c r="K4133" s="13"/>
      <c r="L4133" s="14"/>
      <c r="M4133" s="15"/>
      <c r="N4133" s="15"/>
      <c r="O4133" s="16"/>
      <c r="Q4133" s="16"/>
    </row>
    <row r="4134" spans="1:17" x14ac:dyDescent="0.3">
      <c r="A4134" s="5"/>
      <c r="B4134" s="6"/>
      <c r="C4134" s="7"/>
      <c r="D4134" s="10"/>
      <c r="F4134" s="1"/>
      <c r="G4134" s="1"/>
      <c r="H4134" s="1"/>
      <c r="I4134" s="7"/>
      <c r="J4134" s="12"/>
      <c r="K4134" s="13"/>
      <c r="L4134" s="14"/>
      <c r="M4134" s="15"/>
      <c r="N4134" s="15"/>
      <c r="O4134" s="16"/>
      <c r="Q4134" s="16"/>
    </row>
    <row r="4135" spans="1:17" x14ac:dyDescent="0.3">
      <c r="A4135" s="5"/>
      <c r="B4135" s="6"/>
      <c r="C4135" s="7"/>
      <c r="D4135" s="10"/>
      <c r="F4135" s="1"/>
      <c r="G4135" s="1"/>
      <c r="H4135" s="1"/>
      <c r="I4135" s="7"/>
      <c r="J4135" s="12"/>
      <c r="K4135" s="13"/>
      <c r="L4135" s="14"/>
      <c r="M4135" s="15"/>
      <c r="N4135" s="15"/>
      <c r="O4135" s="16"/>
      <c r="Q4135" s="16"/>
    </row>
    <row r="4136" spans="1:17" x14ac:dyDescent="0.3">
      <c r="A4136" s="5"/>
      <c r="B4136" s="6"/>
      <c r="C4136" s="7"/>
      <c r="D4136" s="10"/>
      <c r="F4136" s="1"/>
      <c r="G4136" s="1"/>
      <c r="H4136" s="1"/>
      <c r="I4136" s="7"/>
      <c r="J4136" s="12"/>
      <c r="K4136" s="13"/>
      <c r="L4136" s="14"/>
      <c r="M4136" s="15"/>
      <c r="N4136" s="15"/>
      <c r="O4136" s="16"/>
      <c r="Q4136" s="16"/>
    </row>
    <row r="4137" spans="1:17" x14ac:dyDescent="0.3">
      <c r="A4137" s="5"/>
      <c r="B4137" s="6"/>
      <c r="C4137" s="7"/>
      <c r="D4137" s="10"/>
      <c r="F4137" s="1"/>
      <c r="G4137" s="1"/>
      <c r="H4137" s="1"/>
      <c r="I4137" s="7"/>
      <c r="J4137" s="12"/>
      <c r="K4137" s="13"/>
      <c r="L4137" s="14"/>
      <c r="M4137" s="15"/>
      <c r="N4137" s="15"/>
      <c r="O4137" s="16"/>
      <c r="Q4137" s="16"/>
    </row>
    <row r="4138" spans="1:17" x14ac:dyDescent="0.3">
      <c r="A4138" s="5"/>
      <c r="B4138" s="6"/>
      <c r="C4138" s="7"/>
      <c r="D4138" s="10"/>
      <c r="F4138" s="1"/>
      <c r="G4138" s="1"/>
      <c r="H4138" s="1"/>
      <c r="I4138" s="7"/>
      <c r="J4138" s="12"/>
      <c r="K4138" s="13"/>
      <c r="L4138" s="14"/>
      <c r="M4138" s="15"/>
      <c r="N4138" s="15"/>
      <c r="O4138" s="16"/>
      <c r="Q4138" s="16"/>
    </row>
    <row r="4139" spans="1:17" x14ac:dyDescent="0.3">
      <c r="A4139" s="5"/>
      <c r="B4139" s="6"/>
      <c r="C4139" s="7"/>
      <c r="D4139" s="10"/>
      <c r="F4139" s="1"/>
      <c r="G4139" s="1"/>
      <c r="H4139" s="1"/>
      <c r="I4139" s="7"/>
      <c r="J4139" s="12"/>
      <c r="K4139" s="13"/>
      <c r="L4139" s="14"/>
      <c r="M4139" s="15"/>
      <c r="N4139" s="15"/>
      <c r="O4139" s="16"/>
      <c r="Q4139" s="16"/>
    </row>
    <row r="4140" spans="1:17" x14ac:dyDescent="0.3">
      <c r="A4140" s="5"/>
      <c r="B4140" s="6"/>
      <c r="C4140" s="7"/>
      <c r="D4140" s="10"/>
      <c r="F4140" s="1"/>
      <c r="G4140" s="1"/>
      <c r="H4140" s="1"/>
      <c r="I4140" s="7"/>
      <c r="J4140" s="12"/>
      <c r="K4140" s="13"/>
      <c r="L4140" s="14"/>
      <c r="M4140" s="15"/>
      <c r="N4140" s="15"/>
      <c r="O4140" s="16"/>
      <c r="Q4140" s="16"/>
    </row>
    <row r="4141" spans="1:17" x14ac:dyDescent="0.3">
      <c r="A4141" s="5"/>
      <c r="B4141" s="6"/>
      <c r="C4141" s="7"/>
      <c r="D4141" s="10"/>
      <c r="F4141" s="1"/>
      <c r="G4141" s="1"/>
      <c r="H4141" s="1"/>
      <c r="I4141" s="7"/>
      <c r="J4141" s="12"/>
      <c r="K4141" s="13"/>
      <c r="L4141" s="14"/>
      <c r="M4141" s="15"/>
      <c r="N4141" s="15"/>
      <c r="O4141" s="16"/>
      <c r="Q4141" s="16"/>
    </row>
    <row r="4142" spans="1:17" x14ac:dyDescent="0.3">
      <c r="A4142" s="5"/>
      <c r="B4142" s="6"/>
      <c r="C4142" s="7"/>
      <c r="D4142" s="10"/>
      <c r="F4142" s="1"/>
      <c r="G4142" s="1"/>
      <c r="H4142" s="1"/>
      <c r="I4142" s="7"/>
      <c r="J4142" s="12"/>
      <c r="K4142" s="13"/>
      <c r="L4142" s="14"/>
      <c r="M4142" s="15"/>
      <c r="N4142" s="15"/>
      <c r="O4142" s="16"/>
      <c r="Q4142" s="16"/>
    </row>
    <row r="4143" spans="1:17" x14ac:dyDescent="0.3">
      <c r="A4143" s="5"/>
      <c r="B4143" s="6"/>
      <c r="C4143" s="7"/>
      <c r="D4143" s="10"/>
      <c r="F4143" s="1"/>
      <c r="G4143" s="1"/>
      <c r="H4143" s="1"/>
      <c r="I4143" s="7"/>
      <c r="J4143" s="12"/>
      <c r="K4143" s="13"/>
      <c r="L4143" s="14"/>
      <c r="M4143" s="15"/>
      <c r="N4143" s="15"/>
      <c r="O4143" s="16"/>
      <c r="Q4143" s="16"/>
    </row>
    <row r="4144" spans="1:17" x14ac:dyDescent="0.3">
      <c r="A4144" s="5"/>
      <c r="B4144" s="6"/>
      <c r="C4144" s="7"/>
      <c r="D4144" s="10"/>
      <c r="F4144" s="1"/>
      <c r="G4144" s="1"/>
      <c r="H4144" s="1"/>
      <c r="I4144" s="7"/>
      <c r="J4144" s="12"/>
      <c r="K4144" s="13"/>
      <c r="L4144" s="14"/>
      <c r="M4144" s="15"/>
      <c r="N4144" s="15"/>
      <c r="O4144" s="16"/>
      <c r="Q4144" s="16"/>
    </row>
    <row r="4145" spans="1:17" x14ac:dyDescent="0.3">
      <c r="A4145" s="5"/>
      <c r="B4145" s="6"/>
      <c r="C4145" s="7"/>
      <c r="D4145" s="10"/>
      <c r="F4145" s="1"/>
      <c r="G4145" s="1"/>
      <c r="H4145" s="1"/>
      <c r="I4145" s="7"/>
      <c r="J4145" s="12"/>
      <c r="K4145" s="13"/>
      <c r="L4145" s="14"/>
      <c r="M4145" s="15"/>
      <c r="N4145" s="15"/>
      <c r="O4145" s="16"/>
      <c r="Q4145" s="16"/>
    </row>
    <row r="4146" spans="1:17" x14ac:dyDescent="0.3">
      <c r="A4146" s="5"/>
      <c r="B4146" s="6"/>
      <c r="C4146" s="7"/>
      <c r="D4146" s="10"/>
      <c r="F4146" s="1"/>
      <c r="G4146" s="1"/>
      <c r="H4146" s="1"/>
      <c r="I4146" s="7"/>
      <c r="J4146" s="12"/>
      <c r="K4146" s="13"/>
      <c r="L4146" s="14"/>
      <c r="M4146" s="15"/>
      <c r="N4146" s="15"/>
      <c r="O4146" s="16"/>
      <c r="Q4146" s="16"/>
    </row>
    <row r="4147" spans="1:17" x14ac:dyDescent="0.3">
      <c r="A4147" s="5"/>
      <c r="B4147" s="6"/>
      <c r="C4147" s="7"/>
      <c r="D4147" s="10"/>
      <c r="F4147" s="1"/>
      <c r="G4147" s="1"/>
      <c r="H4147" s="1"/>
      <c r="I4147" s="7"/>
      <c r="J4147" s="12"/>
      <c r="K4147" s="13"/>
      <c r="L4147" s="14"/>
      <c r="M4147" s="15"/>
      <c r="N4147" s="15"/>
      <c r="O4147" s="16"/>
      <c r="Q4147" s="16"/>
    </row>
    <row r="4148" spans="1:17" x14ac:dyDescent="0.3">
      <c r="A4148" s="5"/>
      <c r="B4148" s="6"/>
      <c r="C4148" s="7"/>
      <c r="D4148" s="10"/>
      <c r="F4148" s="1"/>
      <c r="G4148" s="1"/>
      <c r="H4148" s="1"/>
      <c r="I4148" s="7"/>
      <c r="J4148" s="12"/>
      <c r="K4148" s="13"/>
      <c r="L4148" s="14"/>
      <c r="M4148" s="15"/>
      <c r="N4148" s="15"/>
      <c r="O4148" s="16"/>
      <c r="Q4148" s="16"/>
    </row>
    <row r="4149" spans="1:17" x14ac:dyDescent="0.3">
      <c r="A4149" s="5"/>
      <c r="B4149" s="6"/>
      <c r="C4149" s="7"/>
      <c r="D4149" s="10"/>
      <c r="F4149" s="1"/>
      <c r="G4149" s="1"/>
      <c r="H4149" s="1"/>
      <c r="I4149" s="7"/>
      <c r="J4149" s="12"/>
      <c r="K4149" s="13"/>
      <c r="L4149" s="14"/>
      <c r="M4149" s="15"/>
      <c r="N4149" s="15"/>
      <c r="O4149" s="16"/>
      <c r="Q4149" s="16"/>
    </row>
    <row r="4150" spans="1:17" x14ac:dyDescent="0.3">
      <c r="A4150" s="5"/>
      <c r="B4150" s="6"/>
      <c r="C4150" s="7"/>
      <c r="D4150" s="10"/>
      <c r="F4150" s="1"/>
      <c r="G4150" s="1"/>
      <c r="H4150" s="1"/>
      <c r="I4150" s="7"/>
      <c r="J4150" s="12"/>
      <c r="K4150" s="13"/>
      <c r="L4150" s="14"/>
      <c r="M4150" s="15"/>
      <c r="N4150" s="15"/>
      <c r="O4150" s="16"/>
      <c r="Q4150" s="16"/>
    </row>
    <row r="4151" spans="1:17" x14ac:dyDescent="0.3">
      <c r="A4151" s="5"/>
      <c r="B4151" s="6"/>
      <c r="C4151" s="7"/>
      <c r="D4151" s="10"/>
      <c r="F4151" s="1"/>
      <c r="G4151" s="1"/>
      <c r="H4151" s="1"/>
      <c r="I4151" s="7"/>
      <c r="J4151" s="12"/>
      <c r="K4151" s="13"/>
      <c r="L4151" s="14"/>
      <c r="M4151" s="15"/>
      <c r="N4151" s="15"/>
      <c r="O4151" s="16"/>
      <c r="Q4151" s="16"/>
    </row>
    <row r="4152" spans="1:17" x14ac:dyDescent="0.3">
      <c r="A4152" s="5"/>
      <c r="B4152" s="6"/>
      <c r="C4152" s="7"/>
      <c r="D4152" s="10"/>
      <c r="F4152" s="1"/>
      <c r="G4152" s="1"/>
      <c r="H4152" s="1"/>
      <c r="I4152" s="7"/>
      <c r="J4152" s="12"/>
      <c r="K4152" s="13"/>
      <c r="L4152" s="14"/>
      <c r="M4152" s="15"/>
      <c r="N4152" s="15"/>
      <c r="O4152" s="16"/>
      <c r="Q4152" s="16"/>
    </row>
    <row r="4153" spans="1:17" x14ac:dyDescent="0.3">
      <c r="A4153" s="5"/>
      <c r="B4153" s="6"/>
      <c r="C4153" s="7"/>
      <c r="D4153" s="10"/>
      <c r="F4153" s="1"/>
      <c r="G4153" s="1"/>
      <c r="H4153" s="1"/>
      <c r="I4153" s="7"/>
      <c r="J4153" s="12"/>
      <c r="K4153" s="13"/>
      <c r="L4153" s="14"/>
      <c r="M4153" s="15"/>
      <c r="N4153" s="15"/>
      <c r="O4153" s="16"/>
      <c r="Q4153" s="16"/>
    </row>
    <row r="4154" spans="1:17" x14ac:dyDescent="0.3">
      <c r="A4154" s="5"/>
      <c r="B4154" s="6"/>
      <c r="C4154" s="7"/>
      <c r="D4154" s="10"/>
      <c r="F4154" s="1"/>
      <c r="G4154" s="1"/>
      <c r="H4154" s="1"/>
      <c r="I4154" s="7"/>
      <c r="J4154" s="12"/>
      <c r="K4154" s="13"/>
      <c r="L4154" s="14"/>
      <c r="M4154" s="15"/>
      <c r="N4154" s="15"/>
      <c r="O4154" s="16"/>
      <c r="Q4154" s="16"/>
    </row>
    <row r="4155" spans="1:17" x14ac:dyDescent="0.3">
      <c r="A4155" s="5"/>
      <c r="B4155" s="6"/>
      <c r="C4155" s="7"/>
      <c r="D4155" s="10"/>
      <c r="F4155" s="1"/>
      <c r="G4155" s="1"/>
      <c r="H4155" s="1"/>
      <c r="I4155" s="7"/>
      <c r="J4155" s="12"/>
      <c r="K4155" s="13"/>
      <c r="L4155" s="14"/>
      <c r="M4155" s="15"/>
      <c r="N4155" s="15"/>
      <c r="O4155" s="16"/>
      <c r="Q4155" s="16"/>
    </row>
    <row r="4156" spans="1:17" x14ac:dyDescent="0.3">
      <c r="A4156" s="5"/>
      <c r="B4156" s="6"/>
      <c r="C4156" s="7"/>
      <c r="D4156" s="10"/>
      <c r="F4156" s="1"/>
      <c r="G4156" s="1"/>
      <c r="H4156" s="1"/>
      <c r="I4156" s="7"/>
      <c r="J4156" s="12"/>
      <c r="K4156" s="13"/>
      <c r="L4156" s="14"/>
      <c r="M4156" s="15"/>
      <c r="N4156" s="15"/>
      <c r="O4156" s="16"/>
      <c r="Q4156" s="16"/>
    </row>
    <row r="4157" spans="1:17" x14ac:dyDescent="0.3">
      <c r="A4157" s="5"/>
      <c r="B4157" s="6"/>
      <c r="C4157" s="7"/>
      <c r="D4157" s="10"/>
      <c r="F4157" s="1"/>
      <c r="G4157" s="1"/>
      <c r="H4157" s="1"/>
      <c r="I4157" s="7"/>
      <c r="J4157" s="12"/>
      <c r="K4157" s="13"/>
      <c r="L4157" s="14"/>
      <c r="M4157" s="15"/>
      <c r="N4157" s="15"/>
      <c r="O4157" s="16"/>
      <c r="Q4157" s="16"/>
    </row>
    <row r="4158" spans="1:17" x14ac:dyDescent="0.3">
      <c r="A4158" s="5"/>
      <c r="B4158" s="6"/>
      <c r="C4158" s="7"/>
      <c r="D4158" s="10"/>
      <c r="F4158" s="1"/>
      <c r="G4158" s="1"/>
      <c r="H4158" s="1"/>
      <c r="I4158" s="7"/>
      <c r="J4158" s="12"/>
      <c r="K4158" s="13"/>
      <c r="L4158" s="14"/>
      <c r="M4158" s="15"/>
      <c r="N4158" s="15"/>
      <c r="O4158" s="16"/>
      <c r="Q4158" s="16"/>
    </row>
    <row r="4159" spans="1:17" x14ac:dyDescent="0.3">
      <c r="A4159" s="5"/>
      <c r="B4159" s="6"/>
      <c r="C4159" s="7"/>
      <c r="D4159" s="10"/>
      <c r="F4159" s="1"/>
      <c r="G4159" s="1"/>
      <c r="H4159" s="1"/>
      <c r="I4159" s="7"/>
      <c r="J4159" s="12"/>
      <c r="K4159" s="13"/>
      <c r="L4159" s="14"/>
      <c r="M4159" s="15"/>
      <c r="N4159" s="15"/>
      <c r="O4159" s="16"/>
      <c r="Q4159" s="16"/>
    </row>
    <row r="4160" spans="1:17" x14ac:dyDescent="0.3">
      <c r="A4160" s="5"/>
      <c r="B4160" s="6"/>
      <c r="C4160" s="7"/>
      <c r="D4160" s="10"/>
      <c r="F4160" s="1"/>
      <c r="G4160" s="1"/>
      <c r="H4160" s="1"/>
      <c r="I4160" s="7"/>
      <c r="J4160" s="12"/>
      <c r="K4160" s="13"/>
      <c r="L4160" s="14"/>
      <c r="M4160" s="15"/>
      <c r="N4160" s="15"/>
      <c r="O4160" s="16"/>
      <c r="Q4160" s="16"/>
    </row>
    <row r="4161" spans="1:17" x14ac:dyDescent="0.3">
      <c r="A4161" s="5"/>
      <c r="B4161" s="6"/>
      <c r="C4161" s="7"/>
      <c r="D4161" s="10"/>
      <c r="F4161" s="1"/>
      <c r="G4161" s="1"/>
      <c r="H4161" s="1"/>
      <c r="I4161" s="7"/>
      <c r="J4161" s="12"/>
      <c r="K4161" s="13"/>
      <c r="L4161" s="14"/>
      <c r="M4161" s="15"/>
      <c r="N4161" s="15"/>
      <c r="O4161" s="16"/>
      <c r="Q4161" s="16"/>
    </row>
    <row r="4162" spans="1:17" x14ac:dyDescent="0.3">
      <c r="A4162" s="5"/>
      <c r="B4162" s="6"/>
      <c r="C4162" s="7"/>
      <c r="D4162" s="10"/>
      <c r="F4162" s="1"/>
      <c r="G4162" s="1"/>
      <c r="H4162" s="1"/>
      <c r="I4162" s="7"/>
      <c r="J4162" s="12"/>
      <c r="K4162" s="13"/>
      <c r="L4162" s="14"/>
      <c r="M4162" s="15"/>
      <c r="N4162" s="15"/>
      <c r="O4162" s="16"/>
      <c r="Q4162" s="16"/>
    </row>
    <row r="4163" spans="1:17" x14ac:dyDescent="0.3">
      <c r="A4163" s="5"/>
      <c r="B4163" s="6"/>
      <c r="C4163" s="7"/>
      <c r="D4163" s="10"/>
      <c r="F4163" s="1"/>
      <c r="G4163" s="1"/>
      <c r="H4163" s="1"/>
      <c r="I4163" s="7"/>
      <c r="J4163" s="12"/>
      <c r="K4163" s="13"/>
      <c r="L4163" s="14"/>
      <c r="M4163" s="15"/>
      <c r="N4163" s="15"/>
      <c r="O4163" s="16"/>
      <c r="Q4163" s="16"/>
    </row>
    <row r="4164" spans="1:17" x14ac:dyDescent="0.3">
      <c r="A4164" s="5"/>
      <c r="B4164" s="6"/>
      <c r="C4164" s="7"/>
      <c r="D4164" s="10"/>
      <c r="F4164" s="1"/>
      <c r="G4164" s="1"/>
      <c r="H4164" s="1"/>
      <c r="I4164" s="7"/>
      <c r="J4164" s="12"/>
      <c r="K4164" s="13"/>
      <c r="L4164" s="14"/>
      <c r="M4164" s="15"/>
      <c r="N4164" s="15"/>
      <c r="O4164" s="16"/>
      <c r="Q4164" s="16"/>
    </row>
    <row r="4165" spans="1:17" x14ac:dyDescent="0.3">
      <c r="A4165" s="5"/>
      <c r="B4165" s="6"/>
      <c r="C4165" s="7"/>
      <c r="D4165" s="10"/>
      <c r="F4165" s="1"/>
      <c r="G4165" s="1"/>
      <c r="H4165" s="1"/>
      <c r="I4165" s="7"/>
      <c r="J4165" s="12"/>
      <c r="K4165" s="13"/>
      <c r="L4165" s="14"/>
      <c r="M4165" s="15"/>
      <c r="N4165" s="15"/>
      <c r="O4165" s="16"/>
      <c r="Q4165" s="16"/>
    </row>
    <row r="4166" spans="1:17" x14ac:dyDescent="0.3">
      <c r="A4166" s="5"/>
      <c r="B4166" s="6"/>
      <c r="C4166" s="7"/>
      <c r="D4166" s="10"/>
      <c r="F4166" s="1"/>
      <c r="G4166" s="1"/>
      <c r="H4166" s="1"/>
      <c r="I4166" s="7"/>
      <c r="J4166" s="12"/>
      <c r="K4166" s="13"/>
      <c r="L4166" s="14"/>
      <c r="M4166" s="15"/>
      <c r="N4166" s="15"/>
      <c r="O4166" s="16"/>
      <c r="Q4166" s="16"/>
    </row>
    <row r="4167" spans="1:17" x14ac:dyDescent="0.3">
      <c r="A4167" s="5"/>
      <c r="B4167" s="6"/>
      <c r="C4167" s="7"/>
      <c r="D4167" s="10"/>
      <c r="F4167" s="1"/>
      <c r="G4167" s="1"/>
      <c r="H4167" s="1"/>
      <c r="I4167" s="7"/>
      <c r="J4167" s="12"/>
      <c r="K4167" s="13"/>
      <c r="L4167" s="14"/>
      <c r="M4167" s="15"/>
      <c r="N4167" s="15"/>
      <c r="O4167" s="16"/>
      <c r="Q4167" s="16"/>
    </row>
    <row r="4168" spans="1:17" x14ac:dyDescent="0.3">
      <c r="A4168" s="5"/>
      <c r="B4168" s="6"/>
      <c r="C4168" s="7"/>
      <c r="D4168" s="10"/>
      <c r="F4168" s="1"/>
      <c r="G4168" s="1"/>
      <c r="H4168" s="1"/>
      <c r="I4168" s="7"/>
      <c r="J4168" s="12"/>
      <c r="K4168" s="13"/>
      <c r="L4168" s="14"/>
      <c r="M4168" s="15"/>
      <c r="N4168" s="15"/>
      <c r="O4168" s="16"/>
      <c r="Q4168" s="16"/>
    </row>
    <row r="4169" spans="1:17" x14ac:dyDescent="0.3">
      <c r="A4169" s="5"/>
      <c r="B4169" s="6"/>
      <c r="C4169" s="7"/>
      <c r="D4169" s="10"/>
      <c r="F4169" s="1"/>
      <c r="G4169" s="1"/>
      <c r="H4169" s="1"/>
      <c r="I4169" s="7"/>
      <c r="J4169" s="12"/>
      <c r="K4169" s="13"/>
      <c r="L4169" s="14"/>
      <c r="M4169" s="15"/>
      <c r="N4169" s="15"/>
      <c r="O4169" s="16"/>
      <c r="Q4169" s="16"/>
    </row>
    <row r="4170" spans="1:17" x14ac:dyDescent="0.3">
      <c r="A4170" s="5"/>
      <c r="B4170" s="6"/>
      <c r="C4170" s="7"/>
      <c r="D4170" s="10"/>
      <c r="F4170" s="1"/>
      <c r="G4170" s="1"/>
      <c r="H4170" s="1"/>
      <c r="I4170" s="7"/>
      <c r="J4170" s="12"/>
      <c r="K4170" s="13"/>
      <c r="L4170" s="14"/>
      <c r="M4170" s="15"/>
      <c r="N4170" s="15"/>
      <c r="O4170" s="16"/>
      <c r="Q4170" s="16"/>
    </row>
    <row r="4171" spans="1:17" x14ac:dyDescent="0.3">
      <c r="A4171" s="5"/>
      <c r="B4171" s="6"/>
      <c r="C4171" s="7"/>
      <c r="D4171" s="10"/>
      <c r="F4171" s="1"/>
      <c r="G4171" s="1"/>
      <c r="H4171" s="1"/>
      <c r="I4171" s="7"/>
      <c r="J4171" s="12"/>
      <c r="K4171" s="13"/>
      <c r="L4171" s="14"/>
      <c r="M4171" s="15"/>
      <c r="N4171" s="15"/>
      <c r="O4171" s="16"/>
      <c r="Q4171" s="16"/>
    </row>
    <row r="4172" spans="1:17" x14ac:dyDescent="0.3">
      <c r="A4172" s="5"/>
      <c r="B4172" s="6"/>
      <c r="C4172" s="7"/>
      <c r="D4172" s="10"/>
      <c r="F4172" s="1"/>
      <c r="G4172" s="1"/>
      <c r="H4172" s="1"/>
      <c r="I4172" s="7"/>
      <c r="J4172" s="12"/>
      <c r="K4172" s="13"/>
      <c r="L4172" s="14"/>
      <c r="M4172" s="15"/>
      <c r="N4172" s="15"/>
      <c r="O4172" s="16"/>
      <c r="Q4172" s="16"/>
    </row>
    <row r="4173" spans="1:17" x14ac:dyDescent="0.3">
      <c r="A4173" s="5"/>
      <c r="B4173" s="6"/>
      <c r="C4173" s="7"/>
      <c r="D4173" s="10"/>
      <c r="F4173" s="1"/>
      <c r="G4173" s="1"/>
      <c r="H4173" s="1"/>
      <c r="I4173" s="7"/>
      <c r="J4173" s="12"/>
      <c r="K4173" s="13"/>
      <c r="L4173" s="14"/>
      <c r="M4173" s="15"/>
      <c r="N4173" s="15"/>
      <c r="O4173" s="16"/>
      <c r="Q4173" s="16"/>
    </row>
    <row r="4174" spans="1:17" x14ac:dyDescent="0.3">
      <c r="A4174" s="5"/>
      <c r="B4174" s="6"/>
      <c r="C4174" s="7"/>
      <c r="D4174" s="10"/>
      <c r="F4174" s="1"/>
      <c r="G4174" s="1"/>
      <c r="H4174" s="1"/>
      <c r="I4174" s="7"/>
      <c r="J4174" s="12"/>
      <c r="K4174" s="13"/>
      <c r="L4174" s="14"/>
      <c r="M4174" s="15"/>
      <c r="N4174" s="15"/>
      <c r="O4174" s="16"/>
      <c r="Q4174" s="16"/>
    </row>
    <row r="4175" spans="1:17" x14ac:dyDescent="0.3">
      <c r="A4175" s="5"/>
      <c r="B4175" s="6"/>
      <c r="C4175" s="7"/>
      <c r="D4175" s="10"/>
      <c r="F4175" s="1"/>
      <c r="G4175" s="1"/>
      <c r="H4175" s="1"/>
      <c r="I4175" s="7"/>
      <c r="J4175" s="12"/>
      <c r="K4175" s="13"/>
      <c r="L4175" s="14"/>
      <c r="M4175" s="15"/>
      <c r="N4175" s="15"/>
      <c r="O4175" s="16"/>
      <c r="Q4175" s="16"/>
    </row>
    <row r="4176" spans="1:17" x14ac:dyDescent="0.3">
      <c r="A4176" s="5"/>
      <c r="B4176" s="6"/>
      <c r="C4176" s="7"/>
      <c r="D4176" s="10"/>
      <c r="F4176" s="1"/>
      <c r="G4176" s="1"/>
      <c r="H4176" s="1"/>
      <c r="I4176" s="7"/>
      <c r="J4176" s="12"/>
      <c r="K4176" s="13"/>
      <c r="L4176" s="14"/>
      <c r="M4176" s="15"/>
      <c r="N4176" s="15"/>
      <c r="O4176" s="16"/>
      <c r="Q4176" s="16"/>
    </row>
    <row r="4177" spans="1:17" x14ac:dyDescent="0.3">
      <c r="A4177" s="5"/>
      <c r="B4177" s="6"/>
      <c r="C4177" s="7"/>
      <c r="D4177" s="10"/>
      <c r="F4177" s="1"/>
      <c r="G4177" s="1"/>
      <c r="H4177" s="1"/>
      <c r="I4177" s="7"/>
      <c r="J4177" s="12"/>
      <c r="K4177" s="13"/>
      <c r="L4177" s="14"/>
      <c r="M4177" s="15"/>
      <c r="N4177" s="15"/>
      <c r="O4177" s="16"/>
      <c r="Q4177" s="16"/>
    </row>
    <row r="4178" spans="1:17" x14ac:dyDescent="0.3">
      <c r="A4178" s="5"/>
      <c r="B4178" s="6"/>
      <c r="C4178" s="7"/>
      <c r="D4178" s="10"/>
      <c r="F4178" s="1"/>
      <c r="G4178" s="1"/>
      <c r="H4178" s="1"/>
      <c r="I4178" s="7"/>
      <c r="J4178" s="12"/>
      <c r="K4178" s="13"/>
      <c r="L4178" s="14"/>
      <c r="M4178" s="15"/>
      <c r="N4178" s="15"/>
      <c r="O4178" s="16"/>
      <c r="Q4178" s="16"/>
    </row>
    <row r="4179" spans="1:17" x14ac:dyDescent="0.3">
      <c r="A4179" s="5"/>
      <c r="B4179" s="6"/>
      <c r="C4179" s="7"/>
      <c r="D4179" s="10"/>
      <c r="F4179" s="1"/>
      <c r="G4179" s="1"/>
      <c r="H4179" s="1"/>
      <c r="I4179" s="7"/>
      <c r="J4179" s="12"/>
      <c r="K4179" s="13"/>
      <c r="L4179" s="14"/>
      <c r="M4179" s="15"/>
      <c r="N4179" s="15"/>
      <c r="O4179" s="16"/>
      <c r="Q4179" s="16"/>
    </row>
    <row r="4180" spans="1:17" x14ac:dyDescent="0.3">
      <c r="A4180" s="5"/>
      <c r="B4180" s="6"/>
      <c r="C4180" s="7"/>
      <c r="D4180" s="10"/>
      <c r="F4180" s="1"/>
      <c r="G4180" s="1"/>
      <c r="H4180" s="1"/>
      <c r="I4180" s="7"/>
      <c r="J4180" s="12"/>
      <c r="K4180" s="13"/>
      <c r="L4180" s="14"/>
      <c r="M4180" s="15"/>
      <c r="N4180" s="15"/>
      <c r="O4180" s="16"/>
      <c r="Q4180" s="16"/>
    </row>
    <row r="4181" spans="1:17" x14ac:dyDescent="0.3">
      <c r="A4181" s="5"/>
      <c r="B4181" s="6"/>
      <c r="C4181" s="7"/>
      <c r="D4181" s="10"/>
      <c r="F4181" s="1"/>
      <c r="G4181" s="1"/>
      <c r="H4181" s="1"/>
      <c r="I4181" s="7"/>
      <c r="J4181" s="12"/>
      <c r="K4181" s="13"/>
      <c r="L4181" s="14"/>
      <c r="M4181" s="15"/>
      <c r="N4181" s="15"/>
      <c r="O4181" s="16"/>
      <c r="Q4181" s="16"/>
    </row>
    <row r="4182" spans="1:17" x14ac:dyDescent="0.3">
      <c r="A4182" s="5"/>
      <c r="B4182" s="6"/>
      <c r="C4182" s="7"/>
      <c r="D4182" s="10"/>
      <c r="F4182" s="1"/>
      <c r="G4182" s="1"/>
      <c r="H4182" s="1"/>
      <c r="I4182" s="7"/>
      <c r="J4182" s="12"/>
      <c r="K4182" s="13"/>
      <c r="L4182" s="14"/>
      <c r="M4182" s="15"/>
      <c r="N4182" s="15"/>
      <c r="O4182" s="16"/>
      <c r="Q4182" s="16"/>
    </row>
    <row r="4183" spans="1:17" x14ac:dyDescent="0.3">
      <c r="A4183" s="5"/>
      <c r="B4183" s="6"/>
      <c r="C4183" s="7"/>
      <c r="D4183" s="10"/>
      <c r="F4183" s="1"/>
      <c r="G4183" s="1"/>
      <c r="H4183" s="1"/>
      <c r="I4183" s="7"/>
      <c r="J4183" s="12"/>
      <c r="K4183" s="13"/>
      <c r="L4183" s="14"/>
      <c r="M4183" s="15"/>
      <c r="N4183" s="15"/>
      <c r="O4183" s="16"/>
      <c r="Q4183" s="16"/>
    </row>
    <row r="4184" spans="1:17" x14ac:dyDescent="0.3">
      <c r="A4184" s="5"/>
      <c r="B4184" s="6"/>
      <c r="C4184" s="7"/>
      <c r="D4184" s="10"/>
      <c r="F4184" s="1"/>
      <c r="G4184" s="1"/>
      <c r="H4184" s="1"/>
      <c r="I4184" s="7"/>
      <c r="J4184" s="12"/>
      <c r="K4184" s="13"/>
      <c r="L4184" s="14"/>
      <c r="M4184" s="15"/>
      <c r="N4184" s="15"/>
      <c r="O4184" s="16"/>
      <c r="Q4184" s="16"/>
    </row>
    <row r="4185" spans="1:17" x14ac:dyDescent="0.3">
      <c r="A4185" s="5"/>
      <c r="B4185" s="6"/>
      <c r="C4185" s="7"/>
      <c r="D4185" s="10"/>
      <c r="F4185" s="1"/>
      <c r="G4185" s="1"/>
      <c r="H4185" s="1"/>
      <c r="I4185" s="7"/>
      <c r="J4185" s="12"/>
      <c r="K4185" s="13"/>
      <c r="L4185" s="14"/>
      <c r="M4185" s="15"/>
      <c r="N4185" s="15"/>
      <c r="O4185" s="16"/>
      <c r="Q4185" s="16"/>
    </row>
    <row r="4186" spans="1:17" x14ac:dyDescent="0.3">
      <c r="A4186" s="5"/>
      <c r="B4186" s="6"/>
      <c r="C4186" s="7"/>
      <c r="D4186" s="10"/>
      <c r="F4186" s="1"/>
      <c r="G4186" s="1"/>
      <c r="H4186" s="1"/>
      <c r="I4186" s="7"/>
      <c r="J4186" s="12"/>
      <c r="K4186" s="13"/>
      <c r="L4186" s="14"/>
      <c r="M4186" s="15"/>
      <c r="N4186" s="15"/>
      <c r="O4186" s="16"/>
      <c r="Q4186" s="16"/>
    </row>
    <row r="4187" spans="1:17" x14ac:dyDescent="0.3">
      <c r="A4187" s="5"/>
      <c r="B4187" s="6"/>
      <c r="C4187" s="7"/>
      <c r="D4187" s="10"/>
      <c r="F4187" s="1"/>
      <c r="G4187" s="1"/>
      <c r="H4187" s="1"/>
      <c r="I4187" s="7"/>
      <c r="J4187" s="12"/>
      <c r="K4187" s="13"/>
      <c r="L4187" s="14"/>
      <c r="M4187" s="15"/>
      <c r="N4187" s="15"/>
      <c r="O4187" s="16"/>
      <c r="Q4187" s="16"/>
    </row>
    <row r="4188" spans="1:17" x14ac:dyDescent="0.3">
      <c r="A4188" s="5"/>
      <c r="B4188" s="6"/>
      <c r="C4188" s="7"/>
      <c r="D4188" s="10"/>
      <c r="F4188" s="1"/>
      <c r="G4188" s="1"/>
      <c r="H4188" s="1"/>
      <c r="I4188" s="7"/>
      <c r="J4188" s="12"/>
      <c r="K4188" s="13"/>
      <c r="L4188" s="14"/>
      <c r="M4188" s="15"/>
      <c r="N4188" s="15"/>
      <c r="O4188" s="16"/>
      <c r="Q4188" s="16"/>
    </row>
    <row r="4189" spans="1:17" x14ac:dyDescent="0.3">
      <c r="A4189" s="5"/>
      <c r="B4189" s="6"/>
      <c r="C4189" s="7"/>
      <c r="D4189" s="10"/>
      <c r="F4189" s="1"/>
      <c r="G4189" s="1"/>
      <c r="H4189" s="1"/>
      <c r="I4189" s="7"/>
      <c r="J4189" s="12"/>
      <c r="K4189" s="13"/>
      <c r="L4189" s="14"/>
      <c r="M4189" s="15"/>
      <c r="N4189" s="15"/>
      <c r="O4189" s="16"/>
      <c r="Q4189" s="16"/>
    </row>
    <row r="4190" spans="1:17" x14ac:dyDescent="0.3">
      <c r="A4190" s="5"/>
      <c r="B4190" s="6"/>
      <c r="C4190" s="7"/>
      <c r="D4190" s="10"/>
      <c r="F4190" s="1"/>
      <c r="G4190" s="1"/>
      <c r="H4190" s="1"/>
      <c r="I4190" s="7"/>
      <c r="J4190" s="12"/>
      <c r="K4190" s="13"/>
      <c r="L4190" s="14"/>
      <c r="M4190" s="15"/>
      <c r="N4190" s="15"/>
      <c r="O4190" s="16"/>
      <c r="Q4190" s="16"/>
    </row>
    <row r="4191" spans="1:17" x14ac:dyDescent="0.3">
      <c r="A4191" s="5"/>
      <c r="B4191" s="6"/>
      <c r="C4191" s="7"/>
      <c r="D4191" s="10"/>
      <c r="F4191" s="1"/>
      <c r="G4191" s="1"/>
      <c r="H4191" s="1"/>
      <c r="I4191" s="7"/>
      <c r="J4191" s="12"/>
      <c r="K4191" s="13"/>
      <c r="L4191" s="14"/>
      <c r="M4191" s="15"/>
      <c r="N4191" s="15"/>
      <c r="O4191" s="16"/>
      <c r="Q4191" s="16"/>
    </row>
    <row r="4192" spans="1:17" x14ac:dyDescent="0.3">
      <c r="A4192" s="5"/>
      <c r="B4192" s="6"/>
      <c r="C4192" s="7"/>
      <c r="D4192" s="10"/>
      <c r="F4192" s="1"/>
      <c r="G4192" s="1"/>
      <c r="H4192" s="1"/>
      <c r="I4192" s="7"/>
      <c r="J4192" s="12"/>
      <c r="K4192" s="13"/>
      <c r="L4192" s="14"/>
      <c r="M4192" s="15"/>
      <c r="N4192" s="15"/>
      <c r="O4192" s="16"/>
      <c r="Q4192" s="16"/>
    </row>
    <row r="4193" spans="1:17" x14ac:dyDescent="0.3">
      <c r="A4193" s="5"/>
      <c r="B4193" s="6"/>
      <c r="C4193" s="7"/>
      <c r="D4193" s="10"/>
      <c r="F4193" s="1"/>
      <c r="G4193" s="1"/>
      <c r="H4193" s="1"/>
      <c r="I4193" s="7"/>
      <c r="J4193" s="12"/>
      <c r="K4193" s="13"/>
      <c r="L4193" s="14"/>
      <c r="M4193" s="15"/>
      <c r="N4193" s="15"/>
      <c r="O4193" s="16"/>
      <c r="Q4193" s="16"/>
    </row>
    <row r="4194" spans="1:17" x14ac:dyDescent="0.3">
      <c r="A4194" s="5"/>
      <c r="B4194" s="6"/>
      <c r="C4194" s="7"/>
      <c r="D4194" s="10"/>
      <c r="F4194" s="1"/>
      <c r="G4194" s="1"/>
      <c r="H4194" s="1"/>
      <c r="I4194" s="7"/>
      <c r="J4194" s="12"/>
      <c r="K4194" s="13"/>
      <c r="L4194" s="14"/>
      <c r="M4194" s="15"/>
      <c r="N4194" s="15"/>
      <c r="O4194" s="16"/>
      <c r="Q4194" s="16"/>
    </row>
    <row r="4195" spans="1:17" x14ac:dyDescent="0.3">
      <c r="A4195" s="5"/>
      <c r="B4195" s="6"/>
      <c r="C4195" s="7"/>
      <c r="D4195" s="10"/>
      <c r="F4195" s="1"/>
      <c r="G4195" s="1"/>
      <c r="H4195" s="1"/>
      <c r="I4195" s="7"/>
      <c r="J4195" s="12"/>
      <c r="K4195" s="13"/>
      <c r="L4195" s="14"/>
      <c r="M4195" s="15"/>
      <c r="N4195" s="15"/>
      <c r="O4195" s="16"/>
      <c r="Q4195" s="16"/>
    </row>
    <row r="4196" spans="1:17" x14ac:dyDescent="0.3">
      <c r="A4196" s="5"/>
      <c r="B4196" s="6"/>
      <c r="C4196" s="7"/>
      <c r="D4196" s="10"/>
      <c r="F4196" s="1"/>
      <c r="G4196" s="1"/>
      <c r="H4196" s="1"/>
      <c r="I4196" s="7"/>
      <c r="J4196" s="12"/>
      <c r="K4196" s="13"/>
      <c r="L4196" s="14"/>
      <c r="M4196" s="15"/>
      <c r="N4196" s="15"/>
      <c r="O4196" s="16"/>
      <c r="Q4196" s="16"/>
    </row>
    <row r="4197" spans="1:17" x14ac:dyDescent="0.3">
      <c r="A4197" s="5"/>
      <c r="B4197" s="6"/>
      <c r="C4197" s="7"/>
      <c r="D4197" s="10"/>
      <c r="F4197" s="1"/>
      <c r="G4197" s="1"/>
      <c r="H4197" s="1"/>
      <c r="I4197" s="7"/>
      <c r="J4197" s="12"/>
      <c r="K4197" s="13"/>
      <c r="L4197" s="14"/>
      <c r="M4197" s="15"/>
      <c r="N4197" s="15"/>
      <c r="O4197" s="16"/>
      <c r="Q4197" s="16"/>
    </row>
    <row r="4198" spans="1:17" x14ac:dyDescent="0.3">
      <c r="A4198" s="5"/>
      <c r="B4198" s="6"/>
      <c r="C4198" s="7"/>
      <c r="D4198" s="10"/>
      <c r="F4198" s="1"/>
      <c r="G4198" s="1"/>
      <c r="H4198" s="1"/>
      <c r="I4198" s="7"/>
      <c r="J4198" s="12"/>
      <c r="K4198" s="13"/>
      <c r="L4198" s="14"/>
      <c r="M4198" s="15"/>
      <c r="N4198" s="15"/>
      <c r="O4198" s="16"/>
      <c r="Q4198" s="16"/>
    </row>
    <row r="4199" spans="1:17" x14ac:dyDescent="0.3">
      <c r="A4199" s="5"/>
      <c r="B4199" s="6"/>
      <c r="C4199" s="7"/>
      <c r="D4199" s="10"/>
      <c r="F4199" s="1"/>
      <c r="G4199" s="1"/>
      <c r="H4199" s="1"/>
      <c r="I4199" s="7"/>
      <c r="J4199" s="12"/>
      <c r="K4199" s="13"/>
      <c r="L4199" s="14"/>
      <c r="M4199" s="15"/>
      <c r="N4199" s="15"/>
      <c r="O4199" s="16"/>
      <c r="Q4199" s="16"/>
    </row>
    <row r="4200" spans="1:17" x14ac:dyDescent="0.3">
      <c r="A4200" s="5"/>
      <c r="B4200" s="6"/>
      <c r="C4200" s="7"/>
      <c r="D4200" s="10"/>
      <c r="F4200" s="1"/>
      <c r="G4200" s="1"/>
      <c r="H4200" s="1"/>
      <c r="I4200" s="7"/>
      <c r="J4200" s="12"/>
      <c r="K4200" s="13"/>
      <c r="L4200" s="14"/>
      <c r="M4200" s="15"/>
      <c r="N4200" s="15"/>
      <c r="O4200" s="16"/>
      <c r="Q4200" s="16"/>
    </row>
    <row r="4201" spans="1:17" x14ac:dyDescent="0.3">
      <c r="A4201" s="5"/>
      <c r="B4201" s="6"/>
      <c r="C4201" s="7"/>
      <c r="D4201" s="10"/>
      <c r="F4201" s="1"/>
      <c r="G4201" s="1"/>
      <c r="H4201" s="1"/>
      <c r="I4201" s="7"/>
      <c r="J4201" s="12"/>
      <c r="K4201" s="13"/>
      <c r="L4201" s="14"/>
      <c r="M4201" s="15"/>
      <c r="N4201" s="15"/>
      <c r="O4201" s="16"/>
      <c r="Q4201" s="16"/>
    </row>
    <row r="4202" spans="1:17" x14ac:dyDescent="0.3">
      <c r="A4202" s="5"/>
      <c r="B4202" s="6"/>
      <c r="C4202" s="7"/>
      <c r="D4202" s="10"/>
      <c r="F4202" s="1"/>
      <c r="G4202" s="1"/>
      <c r="H4202" s="1"/>
      <c r="I4202" s="7"/>
      <c r="J4202" s="12"/>
      <c r="K4202" s="13"/>
      <c r="L4202" s="14"/>
      <c r="M4202" s="15"/>
      <c r="N4202" s="15"/>
      <c r="O4202" s="16"/>
      <c r="Q4202" s="16"/>
    </row>
    <row r="4203" spans="1:17" x14ac:dyDescent="0.3">
      <c r="A4203" s="5"/>
      <c r="B4203" s="6"/>
      <c r="C4203" s="7"/>
      <c r="D4203" s="10"/>
      <c r="F4203" s="1"/>
      <c r="G4203" s="1"/>
      <c r="H4203" s="1"/>
      <c r="I4203" s="7"/>
      <c r="J4203" s="12"/>
      <c r="K4203" s="13"/>
      <c r="L4203" s="14"/>
      <c r="M4203" s="15"/>
      <c r="N4203" s="15"/>
      <c r="O4203" s="16"/>
      <c r="Q4203" s="16"/>
    </row>
    <row r="4204" spans="1:17" x14ac:dyDescent="0.3">
      <c r="A4204" s="5"/>
      <c r="B4204" s="6"/>
      <c r="C4204" s="7"/>
      <c r="D4204" s="10"/>
      <c r="F4204" s="1"/>
      <c r="G4204" s="1"/>
      <c r="H4204" s="1"/>
      <c r="I4204" s="7"/>
      <c r="J4204" s="12"/>
      <c r="K4204" s="13"/>
      <c r="L4204" s="14"/>
      <c r="M4204" s="15"/>
      <c r="N4204" s="15"/>
      <c r="O4204" s="16"/>
      <c r="Q4204" s="16"/>
    </row>
    <row r="4205" spans="1:17" x14ac:dyDescent="0.3">
      <c r="A4205" s="5"/>
      <c r="B4205" s="6"/>
      <c r="C4205" s="7"/>
      <c r="D4205" s="10"/>
      <c r="F4205" s="1"/>
      <c r="G4205" s="1"/>
      <c r="H4205" s="1"/>
      <c r="I4205" s="7"/>
      <c r="J4205" s="12"/>
      <c r="K4205" s="13"/>
      <c r="L4205" s="14"/>
      <c r="M4205" s="15"/>
      <c r="N4205" s="15"/>
      <c r="O4205" s="16"/>
      <c r="Q4205" s="16"/>
    </row>
    <row r="4206" spans="1:17" x14ac:dyDescent="0.3">
      <c r="A4206" s="5"/>
      <c r="B4206" s="6"/>
      <c r="C4206" s="7"/>
      <c r="D4206" s="10"/>
      <c r="F4206" s="1"/>
      <c r="G4206" s="1"/>
      <c r="H4206" s="1"/>
      <c r="I4206" s="7"/>
      <c r="J4206" s="12"/>
      <c r="K4206" s="13"/>
      <c r="L4206" s="14"/>
      <c r="M4206" s="15"/>
      <c r="N4206" s="15"/>
      <c r="O4206" s="16"/>
      <c r="Q4206" s="16"/>
    </row>
    <row r="4207" spans="1:17" x14ac:dyDescent="0.3">
      <c r="A4207" s="5"/>
      <c r="B4207" s="6"/>
      <c r="C4207" s="7"/>
      <c r="D4207" s="10"/>
      <c r="F4207" s="1"/>
      <c r="G4207" s="1"/>
      <c r="H4207" s="1"/>
      <c r="I4207" s="7"/>
      <c r="J4207" s="12"/>
      <c r="K4207" s="13"/>
      <c r="L4207" s="14"/>
      <c r="M4207" s="15"/>
      <c r="N4207" s="15"/>
      <c r="O4207" s="16"/>
      <c r="Q4207" s="16"/>
    </row>
    <row r="4208" spans="1:17" x14ac:dyDescent="0.3">
      <c r="A4208" s="5"/>
      <c r="B4208" s="6"/>
      <c r="C4208" s="7"/>
      <c r="D4208" s="10"/>
      <c r="F4208" s="1"/>
      <c r="G4208" s="1"/>
      <c r="H4208" s="1"/>
      <c r="I4208" s="7"/>
      <c r="J4208" s="12"/>
      <c r="K4208" s="13"/>
      <c r="L4208" s="14"/>
      <c r="M4208" s="15"/>
      <c r="N4208" s="15"/>
      <c r="O4208" s="16"/>
      <c r="Q4208" s="16"/>
    </row>
    <row r="4209" spans="1:17" x14ac:dyDescent="0.3">
      <c r="A4209" s="5"/>
      <c r="B4209" s="6"/>
      <c r="C4209" s="7"/>
      <c r="D4209" s="10"/>
      <c r="F4209" s="1"/>
      <c r="G4209" s="1"/>
      <c r="H4209" s="1"/>
      <c r="I4209" s="7"/>
      <c r="J4209" s="12"/>
      <c r="K4209" s="13"/>
      <c r="L4209" s="14"/>
      <c r="M4209" s="15"/>
      <c r="N4209" s="15"/>
      <c r="O4209" s="16"/>
      <c r="Q4209" s="16"/>
    </row>
    <row r="4210" spans="1:17" x14ac:dyDescent="0.3">
      <c r="A4210" s="5"/>
      <c r="B4210" s="6"/>
      <c r="C4210" s="7"/>
      <c r="D4210" s="10"/>
      <c r="F4210" s="1"/>
      <c r="G4210" s="1"/>
      <c r="H4210" s="1"/>
      <c r="I4210" s="7"/>
      <c r="J4210" s="12"/>
      <c r="K4210" s="13"/>
      <c r="L4210" s="14"/>
      <c r="M4210" s="15"/>
      <c r="N4210" s="15"/>
      <c r="O4210" s="16"/>
      <c r="Q4210" s="16"/>
    </row>
    <row r="4211" spans="1:17" x14ac:dyDescent="0.3">
      <c r="A4211" s="5"/>
      <c r="B4211" s="6"/>
      <c r="C4211" s="7"/>
      <c r="D4211" s="10"/>
      <c r="F4211" s="1"/>
      <c r="G4211" s="1"/>
      <c r="H4211" s="1"/>
      <c r="I4211" s="7"/>
      <c r="J4211" s="12"/>
      <c r="K4211" s="13"/>
      <c r="L4211" s="14"/>
      <c r="M4211" s="15"/>
      <c r="N4211" s="15"/>
      <c r="O4211" s="16"/>
      <c r="Q4211" s="16"/>
    </row>
    <row r="4212" spans="1:17" x14ac:dyDescent="0.3">
      <c r="A4212" s="5"/>
      <c r="B4212" s="6"/>
      <c r="C4212" s="7"/>
      <c r="D4212" s="10"/>
      <c r="F4212" s="1"/>
      <c r="G4212" s="1"/>
      <c r="H4212" s="1"/>
      <c r="I4212" s="7"/>
      <c r="J4212" s="12"/>
      <c r="K4212" s="13"/>
      <c r="L4212" s="14"/>
      <c r="M4212" s="15"/>
      <c r="N4212" s="15"/>
      <c r="O4212" s="16"/>
      <c r="Q4212" s="16"/>
    </row>
    <row r="4213" spans="1:17" x14ac:dyDescent="0.3">
      <c r="A4213" s="5"/>
      <c r="B4213" s="6"/>
      <c r="C4213" s="7"/>
      <c r="D4213" s="10"/>
      <c r="F4213" s="1"/>
      <c r="G4213" s="1"/>
      <c r="H4213" s="1"/>
      <c r="I4213" s="7"/>
      <c r="J4213" s="12"/>
      <c r="K4213" s="13"/>
      <c r="L4213" s="14"/>
      <c r="M4213" s="15"/>
      <c r="N4213" s="15"/>
      <c r="O4213" s="16"/>
      <c r="Q4213" s="16"/>
    </row>
    <row r="4214" spans="1:17" x14ac:dyDescent="0.3">
      <c r="A4214" s="5"/>
      <c r="B4214" s="6"/>
      <c r="C4214" s="7"/>
      <c r="D4214" s="10"/>
      <c r="F4214" s="1"/>
      <c r="G4214" s="1"/>
      <c r="H4214" s="1"/>
      <c r="I4214" s="7"/>
      <c r="J4214" s="12"/>
      <c r="K4214" s="13"/>
      <c r="L4214" s="14"/>
      <c r="M4214" s="15"/>
      <c r="N4214" s="15"/>
      <c r="O4214" s="16"/>
      <c r="Q4214" s="16"/>
    </row>
    <row r="4215" spans="1:17" x14ac:dyDescent="0.3">
      <c r="A4215" s="5"/>
      <c r="B4215" s="6"/>
      <c r="C4215" s="7"/>
      <c r="D4215" s="10"/>
      <c r="F4215" s="1"/>
      <c r="G4215" s="1"/>
      <c r="H4215" s="1"/>
      <c r="I4215" s="7"/>
      <c r="J4215" s="12"/>
      <c r="K4215" s="13"/>
      <c r="L4215" s="14"/>
      <c r="M4215" s="15"/>
      <c r="N4215" s="15"/>
      <c r="O4215" s="16"/>
      <c r="Q4215" s="16"/>
    </row>
    <row r="4216" spans="1:17" x14ac:dyDescent="0.3">
      <c r="A4216" s="5"/>
      <c r="B4216" s="6"/>
      <c r="C4216" s="7"/>
      <c r="D4216" s="10"/>
      <c r="F4216" s="1"/>
      <c r="G4216" s="1"/>
      <c r="H4216" s="1"/>
      <c r="I4216" s="7"/>
      <c r="J4216" s="12"/>
      <c r="K4216" s="13"/>
      <c r="L4216" s="14"/>
      <c r="M4216" s="15"/>
      <c r="N4216" s="15"/>
      <c r="O4216" s="16"/>
      <c r="Q4216" s="16"/>
    </row>
    <row r="4217" spans="1:17" x14ac:dyDescent="0.3">
      <c r="A4217" s="5"/>
      <c r="B4217" s="6"/>
      <c r="C4217" s="7"/>
      <c r="D4217" s="10"/>
      <c r="F4217" s="1"/>
      <c r="G4217" s="1"/>
      <c r="H4217" s="1"/>
      <c r="I4217" s="7"/>
      <c r="J4217" s="12"/>
      <c r="K4217" s="13"/>
      <c r="L4217" s="14"/>
      <c r="M4217" s="15"/>
      <c r="N4217" s="15"/>
      <c r="O4217" s="16"/>
      <c r="Q4217" s="16"/>
    </row>
    <row r="4218" spans="1:17" x14ac:dyDescent="0.3">
      <c r="A4218" s="5"/>
      <c r="B4218" s="6"/>
      <c r="C4218" s="7"/>
      <c r="D4218" s="10"/>
      <c r="F4218" s="1"/>
      <c r="G4218" s="1"/>
      <c r="H4218" s="1"/>
      <c r="I4218" s="7"/>
      <c r="J4218" s="12"/>
      <c r="K4218" s="13"/>
      <c r="L4218" s="14"/>
      <c r="M4218" s="15"/>
      <c r="N4218" s="15"/>
      <c r="O4218" s="16"/>
      <c r="Q4218" s="16"/>
    </row>
    <row r="4219" spans="1:17" x14ac:dyDescent="0.3">
      <c r="A4219" s="5"/>
      <c r="B4219" s="6"/>
      <c r="C4219" s="7"/>
      <c r="D4219" s="10"/>
      <c r="F4219" s="1"/>
      <c r="G4219" s="1"/>
      <c r="H4219" s="1"/>
      <c r="I4219" s="7"/>
      <c r="J4219" s="12"/>
      <c r="K4219" s="13"/>
      <c r="L4219" s="14"/>
      <c r="M4219" s="15"/>
      <c r="N4219" s="15"/>
      <c r="O4219" s="16"/>
      <c r="Q4219" s="16"/>
    </row>
    <row r="4220" spans="1:17" x14ac:dyDescent="0.3">
      <c r="A4220" s="5"/>
      <c r="B4220" s="6"/>
      <c r="C4220" s="7"/>
      <c r="D4220" s="10"/>
      <c r="F4220" s="1"/>
      <c r="G4220" s="1"/>
      <c r="H4220" s="1"/>
      <c r="I4220" s="7"/>
      <c r="J4220" s="12"/>
      <c r="K4220" s="13"/>
      <c r="L4220" s="14"/>
      <c r="M4220" s="15"/>
      <c r="N4220" s="15"/>
      <c r="O4220" s="16"/>
      <c r="Q4220" s="16"/>
    </row>
    <row r="4221" spans="1:17" x14ac:dyDescent="0.3">
      <c r="A4221" s="5"/>
      <c r="B4221" s="6"/>
      <c r="C4221" s="7"/>
      <c r="D4221" s="10"/>
      <c r="F4221" s="1"/>
      <c r="G4221" s="1"/>
      <c r="H4221" s="1"/>
      <c r="I4221" s="7"/>
      <c r="J4221" s="12"/>
      <c r="K4221" s="13"/>
      <c r="L4221" s="14"/>
      <c r="M4221" s="15"/>
      <c r="N4221" s="15"/>
      <c r="O4221" s="16"/>
      <c r="Q4221" s="16"/>
    </row>
    <row r="4222" spans="1:17" x14ac:dyDescent="0.3">
      <c r="A4222" s="5"/>
      <c r="B4222" s="6"/>
      <c r="C4222" s="7"/>
      <c r="D4222" s="10"/>
      <c r="F4222" s="1"/>
      <c r="G4222" s="1"/>
      <c r="H4222" s="1"/>
      <c r="I4222" s="7"/>
      <c r="J4222" s="12"/>
      <c r="K4222" s="13"/>
      <c r="L4222" s="14"/>
      <c r="M4222" s="15"/>
      <c r="N4222" s="15"/>
      <c r="O4222" s="16"/>
      <c r="Q4222" s="16"/>
    </row>
    <row r="4223" spans="1:17" x14ac:dyDescent="0.3">
      <c r="A4223" s="5"/>
      <c r="B4223" s="6"/>
      <c r="C4223" s="7"/>
      <c r="D4223" s="10"/>
      <c r="F4223" s="1"/>
      <c r="G4223" s="1"/>
      <c r="H4223" s="1"/>
      <c r="I4223" s="7"/>
      <c r="J4223" s="12"/>
      <c r="K4223" s="13"/>
      <c r="L4223" s="14"/>
      <c r="M4223" s="15"/>
      <c r="N4223" s="15"/>
      <c r="O4223" s="16"/>
      <c r="Q4223" s="16"/>
    </row>
    <row r="4224" spans="1:17" x14ac:dyDescent="0.3">
      <c r="A4224" s="5"/>
      <c r="B4224" s="6"/>
      <c r="C4224" s="7"/>
      <c r="D4224" s="10"/>
      <c r="F4224" s="1"/>
      <c r="G4224" s="1"/>
      <c r="H4224" s="1"/>
      <c r="I4224" s="7"/>
      <c r="J4224" s="12"/>
      <c r="K4224" s="13"/>
      <c r="L4224" s="14"/>
      <c r="M4224" s="15"/>
      <c r="N4224" s="15"/>
      <c r="O4224" s="16"/>
      <c r="Q4224" s="16"/>
    </row>
    <row r="4225" spans="1:17" x14ac:dyDescent="0.3">
      <c r="A4225" s="5"/>
      <c r="B4225" s="6"/>
      <c r="C4225" s="7"/>
      <c r="D4225" s="10"/>
      <c r="F4225" s="1"/>
      <c r="G4225" s="1"/>
      <c r="H4225" s="1"/>
      <c r="I4225" s="7"/>
      <c r="J4225" s="12"/>
      <c r="K4225" s="13"/>
      <c r="L4225" s="14"/>
      <c r="M4225" s="15"/>
      <c r="N4225" s="15"/>
      <c r="O4225" s="16"/>
      <c r="Q4225" s="16"/>
    </row>
    <row r="4226" spans="1:17" x14ac:dyDescent="0.3">
      <c r="A4226" s="5"/>
      <c r="B4226" s="6"/>
      <c r="C4226" s="7"/>
      <c r="D4226" s="10"/>
      <c r="F4226" s="1"/>
      <c r="G4226" s="1"/>
      <c r="H4226" s="1"/>
      <c r="I4226" s="7"/>
      <c r="J4226" s="12"/>
      <c r="K4226" s="13"/>
      <c r="L4226" s="14"/>
      <c r="M4226" s="15"/>
      <c r="N4226" s="15"/>
      <c r="O4226" s="16"/>
      <c r="Q4226" s="16"/>
    </row>
    <row r="4227" spans="1:17" x14ac:dyDescent="0.3">
      <c r="A4227" s="5"/>
      <c r="B4227" s="6"/>
      <c r="C4227" s="7"/>
      <c r="D4227" s="10"/>
      <c r="F4227" s="1"/>
      <c r="G4227" s="1"/>
      <c r="H4227" s="1"/>
      <c r="I4227" s="7"/>
      <c r="J4227" s="12"/>
      <c r="K4227" s="13"/>
      <c r="L4227" s="14"/>
      <c r="M4227" s="15"/>
      <c r="N4227" s="15"/>
      <c r="O4227" s="16"/>
      <c r="Q4227" s="16"/>
    </row>
    <row r="4228" spans="1:17" x14ac:dyDescent="0.3">
      <c r="A4228" s="5"/>
      <c r="B4228" s="6"/>
      <c r="C4228" s="7"/>
      <c r="D4228" s="10"/>
      <c r="F4228" s="1"/>
      <c r="G4228" s="1"/>
      <c r="H4228" s="1"/>
      <c r="I4228" s="7"/>
      <c r="J4228" s="12"/>
      <c r="K4228" s="13"/>
      <c r="L4228" s="14"/>
      <c r="M4228" s="15"/>
      <c r="N4228" s="15"/>
      <c r="O4228" s="16"/>
      <c r="Q4228" s="16"/>
    </row>
    <row r="4229" spans="1:17" x14ac:dyDescent="0.3">
      <c r="A4229" s="5"/>
      <c r="B4229" s="6"/>
      <c r="C4229" s="7"/>
      <c r="D4229" s="10"/>
      <c r="F4229" s="1"/>
      <c r="G4229" s="1"/>
      <c r="H4229" s="1"/>
      <c r="I4229" s="7"/>
      <c r="J4229" s="12"/>
      <c r="K4229" s="13"/>
      <c r="L4229" s="14"/>
      <c r="M4229" s="15"/>
      <c r="N4229" s="15"/>
      <c r="O4229" s="16"/>
      <c r="Q4229" s="16"/>
    </row>
    <row r="4230" spans="1:17" x14ac:dyDescent="0.3">
      <c r="A4230" s="5"/>
      <c r="B4230" s="6"/>
      <c r="C4230" s="7"/>
      <c r="D4230" s="10"/>
      <c r="F4230" s="1"/>
      <c r="G4230" s="1"/>
      <c r="H4230" s="1"/>
      <c r="I4230" s="7"/>
      <c r="J4230" s="12"/>
      <c r="K4230" s="13"/>
      <c r="L4230" s="14"/>
      <c r="M4230" s="15"/>
      <c r="N4230" s="15"/>
      <c r="O4230" s="16"/>
      <c r="Q4230" s="16"/>
    </row>
    <row r="4231" spans="1:17" x14ac:dyDescent="0.3">
      <c r="A4231" s="5"/>
      <c r="B4231" s="6"/>
      <c r="C4231" s="7"/>
      <c r="D4231" s="10"/>
      <c r="F4231" s="1"/>
      <c r="G4231" s="1"/>
      <c r="H4231" s="1"/>
      <c r="I4231" s="7"/>
      <c r="J4231" s="12"/>
      <c r="K4231" s="13"/>
      <c r="L4231" s="14"/>
      <c r="M4231" s="15"/>
      <c r="N4231" s="15"/>
      <c r="O4231" s="16"/>
      <c r="Q4231" s="16"/>
    </row>
    <row r="4232" spans="1:17" x14ac:dyDescent="0.3">
      <c r="A4232" s="5"/>
      <c r="B4232" s="6"/>
      <c r="C4232" s="7"/>
      <c r="D4232" s="10"/>
      <c r="F4232" s="1"/>
      <c r="G4232" s="1"/>
      <c r="H4232" s="1"/>
      <c r="I4232" s="7"/>
      <c r="J4232" s="12"/>
      <c r="K4232" s="13"/>
      <c r="L4232" s="14"/>
      <c r="M4232" s="15"/>
      <c r="N4232" s="15"/>
      <c r="O4232" s="16"/>
      <c r="Q4232" s="16"/>
    </row>
    <row r="4233" spans="1:17" x14ac:dyDescent="0.3">
      <c r="A4233" s="5"/>
      <c r="B4233" s="6"/>
      <c r="C4233" s="7"/>
      <c r="D4233" s="10"/>
      <c r="F4233" s="1"/>
      <c r="G4233" s="1"/>
      <c r="H4233" s="1"/>
      <c r="I4233" s="7"/>
      <c r="J4233" s="12"/>
      <c r="K4233" s="13"/>
      <c r="L4233" s="14"/>
      <c r="M4233" s="15"/>
      <c r="N4233" s="15"/>
      <c r="O4233" s="16"/>
      <c r="Q4233" s="16"/>
    </row>
    <row r="4234" spans="1:17" x14ac:dyDescent="0.3">
      <c r="A4234" s="5"/>
      <c r="B4234" s="6"/>
      <c r="C4234" s="7"/>
      <c r="D4234" s="10"/>
      <c r="F4234" s="1"/>
      <c r="G4234" s="1"/>
      <c r="H4234" s="1"/>
      <c r="I4234" s="7"/>
      <c r="J4234" s="12"/>
      <c r="K4234" s="13"/>
      <c r="L4234" s="14"/>
      <c r="M4234" s="15"/>
      <c r="N4234" s="15"/>
      <c r="O4234" s="16"/>
      <c r="Q4234" s="16"/>
    </row>
    <row r="4235" spans="1:17" x14ac:dyDescent="0.3">
      <c r="A4235" s="5"/>
      <c r="B4235" s="6"/>
      <c r="C4235" s="7"/>
      <c r="D4235" s="10"/>
      <c r="F4235" s="1"/>
      <c r="G4235" s="1"/>
      <c r="H4235" s="1"/>
      <c r="I4235" s="7"/>
      <c r="J4235" s="12"/>
      <c r="K4235" s="13"/>
      <c r="L4235" s="14"/>
      <c r="M4235" s="15"/>
      <c r="N4235" s="15"/>
      <c r="O4235" s="16"/>
      <c r="Q4235" s="16"/>
    </row>
    <row r="4236" spans="1:17" x14ac:dyDescent="0.3">
      <c r="A4236" s="5"/>
      <c r="B4236" s="6"/>
      <c r="C4236" s="7"/>
      <c r="D4236" s="10"/>
      <c r="F4236" s="1"/>
      <c r="G4236" s="1"/>
      <c r="H4236" s="1"/>
      <c r="I4236" s="7"/>
      <c r="J4236" s="12"/>
      <c r="K4236" s="13"/>
      <c r="L4236" s="14"/>
      <c r="M4236" s="15"/>
      <c r="N4236" s="15"/>
      <c r="O4236" s="16"/>
      <c r="Q4236" s="16"/>
    </row>
    <row r="4237" spans="1:17" x14ac:dyDescent="0.3">
      <c r="A4237" s="5"/>
      <c r="B4237" s="6"/>
      <c r="C4237" s="7"/>
      <c r="D4237" s="10"/>
      <c r="F4237" s="1"/>
      <c r="G4237" s="1"/>
      <c r="H4237" s="1"/>
      <c r="I4237" s="7"/>
      <c r="J4237" s="12"/>
      <c r="K4237" s="13"/>
      <c r="L4237" s="14"/>
      <c r="M4237" s="15"/>
      <c r="N4237" s="15"/>
      <c r="O4237" s="16"/>
      <c r="Q4237" s="16"/>
    </row>
    <row r="4238" spans="1:17" x14ac:dyDescent="0.3">
      <c r="A4238" s="5"/>
      <c r="B4238" s="6"/>
      <c r="C4238" s="7"/>
      <c r="D4238" s="10"/>
      <c r="F4238" s="1"/>
      <c r="G4238" s="1"/>
      <c r="H4238" s="1"/>
      <c r="I4238" s="7"/>
      <c r="J4238" s="12"/>
      <c r="K4238" s="13"/>
      <c r="L4238" s="14"/>
      <c r="M4238" s="15"/>
      <c r="N4238" s="15"/>
      <c r="O4238" s="16"/>
      <c r="Q4238" s="16"/>
    </row>
    <row r="4239" spans="1:17" x14ac:dyDescent="0.3">
      <c r="A4239" s="5"/>
      <c r="B4239" s="6"/>
      <c r="C4239" s="7"/>
      <c r="D4239" s="10"/>
      <c r="F4239" s="1"/>
      <c r="G4239" s="1"/>
      <c r="H4239" s="1"/>
      <c r="I4239" s="7"/>
      <c r="J4239" s="12"/>
      <c r="K4239" s="13"/>
      <c r="L4239" s="14"/>
      <c r="M4239" s="15"/>
      <c r="N4239" s="15"/>
      <c r="O4239" s="16"/>
      <c r="Q4239" s="16"/>
    </row>
    <row r="4240" spans="1:17" x14ac:dyDescent="0.3">
      <c r="A4240" s="5"/>
      <c r="B4240" s="6"/>
      <c r="C4240" s="7"/>
      <c r="D4240" s="10"/>
      <c r="F4240" s="1"/>
      <c r="G4240" s="1"/>
      <c r="H4240" s="1"/>
      <c r="I4240" s="7"/>
      <c r="J4240" s="12"/>
      <c r="K4240" s="13"/>
      <c r="L4240" s="14"/>
      <c r="M4240" s="15"/>
      <c r="N4240" s="15"/>
      <c r="O4240" s="16"/>
      <c r="Q4240" s="16"/>
    </row>
    <row r="4241" spans="1:17" x14ac:dyDescent="0.3">
      <c r="A4241" s="5"/>
      <c r="B4241" s="6"/>
      <c r="C4241" s="7"/>
      <c r="D4241" s="10"/>
      <c r="F4241" s="1"/>
      <c r="G4241" s="1"/>
      <c r="H4241" s="1"/>
      <c r="I4241" s="7"/>
      <c r="J4241" s="12"/>
      <c r="K4241" s="13"/>
      <c r="L4241" s="14"/>
      <c r="M4241" s="15"/>
      <c r="N4241" s="15"/>
      <c r="O4241" s="16"/>
      <c r="Q4241" s="16"/>
    </row>
    <row r="4242" spans="1:17" x14ac:dyDescent="0.3">
      <c r="A4242" s="5"/>
      <c r="B4242" s="6"/>
      <c r="C4242" s="7"/>
      <c r="D4242" s="10"/>
      <c r="F4242" s="1"/>
      <c r="G4242" s="1"/>
      <c r="H4242" s="1"/>
      <c r="I4242" s="7"/>
      <c r="J4242" s="12"/>
      <c r="K4242" s="13"/>
      <c r="L4242" s="14"/>
      <c r="M4242" s="15"/>
      <c r="N4242" s="15"/>
      <c r="O4242" s="16"/>
      <c r="Q4242" s="16"/>
    </row>
    <row r="4243" spans="1:17" x14ac:dyDescent="0.3">
      <c r="A4243" s="5"/>
      <c r="B4243" s="6"/>
      <c r="C4243" s="7"/>
      <c r="D4243" s="10"/>
      <c r="F4243" s="1"/>
      <c r="G4243" s="1"/>
      <c r="H4243" s="1"/>
      <c r="I4243" s="7"/>
      <c r="J4243" s="12"/>
      <c r="K4243" s="13"/>
      <c r="L4243" s="14"/>
      <c r="M4243" s="15"/>
      <c r="N4243" s="15"/>
      <c r="O4243" s="16"/>
      <c r="Q4243" s="16"/>
    </row>
    <row r="4244" spans="1:17" x14ac:dyDescent="0.3">
      <c r="A4244" s="5"/>
      <c r="B4244" s="6"/>
      <c r="C4244" s="7"/>
      <c r="D4244" s="10"/>
      <c r="F4244" s="1"/>
      <c r="G4244" s="1"/>
      <c r="H4244" s="1"/>
      <c r="I4244" s="7"/>
      <c r="J4244" s="12"/>
      <c r="K4244" s="13"/>
      <c r="L4244" s="14"/>
      <c r="M4244" s="15"/>
      <c r="N4244" s="15"/>
      <c r="O4244" s="16"/>
      <c r="Q4244" s="16"/>
    </row>
    <row r="4245" spans="1:17" x14ac:dyDescent="0.3">
      <c r="A4245" s="5"/>
      <c r="B4245" s="6"/>
      <c r="C4245" s="7"/>
      <c r="D4245" s="10"/>
      <c r="F4245" s="1"/>
      <c r="G4245" s="1"/>
      <c r="H4245" s="1"/>
      <c r="I4245" s="7"/>
      <c r="J4245" s="12"/>
      <c r="K4245" s="13"/>
      <c r="L4245" s="14"/>
      <c r="M4245" s="15"/>
      <c r="N4245" s="15"/>
      <c r="O4245" s="16"/>
      <c r="Q4245" s="16"/>
    </row>
    <row r="4246" spans="1:17" x14ac:dyDescent="0.3">
      <c r="A4246" s="5"/>
      <c r="B4246" s="6"/>
      <c r="C4246" s="7"/>
      <c r="D4246" s="10"/>
      <c r="F4246" s="1"/>
      <c r="G4246" s="1"/>
      <c r="H4246" s="1"/>
      <c r="I4246" s="7"/>
      <c r="J4246" s="12"/>
      <c r="K4246" s="13"/>
      <c r="L4246" s="14"/>
      <c r="M4246" s="15"/>
      <c r="N4246" s="15"/>
      <c r="O4246" s="16"/>
      <c r="Q4246" s="16"/>
    </row>
    <row r="4247" spans="1:17" x14ac:dyDescent="0.3">
      <c r="A4247" s="5"/>
      <c r="B4247" s="6"/>
      <c r="C4247" s="7"/>
      <c r="D4247" s="10"/>
      <c r="F4247" s="1"/>
      <c r="G4247" s="1"/>
      <c r="H4247" s="1"/>
      <c r="I4247" s="7"/>
      <c r="J4247" s="12"/>
      <c r="K4247" s="13"/>
      <c r="L4247" s="14"/>
      <c r="M4247" s="15"/>
      <c r="N4247" s="15"/>
      <c r="O4247" s="16"/>
      <c r="Q4247" s="16"/>
    </row>
    <row r="4248" spans="1:17" x14ac:dyDescent="0.3">
      <c r="A4248" s="5"/>
      <c r="B4248" s="6"/>
      <c r="C4248" s="7"/>
      <c r="D4248" s="10"/>
      <c r="F4248" s="1"/>
      <c r="G4248" s="1"/>
      <c r="H4248" s="1"/>
      <c r="I4248" s="7"/>
      <c r="J4248" s="12"/>
      <c r="K4248" s="13"/>
      <c r="L4248" s="14"/>
      <c r="M4248" s="15"/>
      <c r="N4248" s="15"/>
      <c r="O4248" s="16"/>
      <c r="Q4248" s="16"/>
    </row>
    <row r="4249" spans="1:17" x14ac:dyDescent="0.3">
      <c r="A4249" s="5"/>
      <c r="B4249" s="6"/>
      <c r="C4249" s="7"/>
      <c r="D4249" s="10"/>
      <c r="F4249" s="1"/>
      <c r="G4249" s="1"/>
      <c r="H4249" s="1"/>
      <c r="I4249" s="7"/>
      <c r="J4249" s="12"/>
      <c r="K4249" s="13"/>
      <c r="L4249" s="14"/>
      <c r="M4249" s="15"/>
      <c r="N4249" s="15"/>
      <c r="O4249" s="16"/>
      <c r="Q4249" s="16"/>
    </row>
    <row r="4250" spans="1:17" x14ac:dyDescent="0.3">
      <c r="A4250" s="5"/>
      <c r="B4250" s="6"/>
      <c r="C4250" s="7"/>
      <c r="D4250" s="10"/>
      <c r="F4250" s="1"/>
      <c r="G4250" s="1"/>
      <c r="H4250" s="1"/>
      <c r="I4250" s="7"/>
      <c r="J4250" s="12"/>
      <c r="K4250" s="13"/>
      <c r="L4250" s="14"/>
      <c r="M4250" s="15"/>
      <c r="N4250" s="15"/>
      <c r="O4250" s="16"/>
      <c r="Q4250" s="16"/>
    </row>
    <row r="4251" spans="1:17" x14ac:dyDescent="0.3">
      <c r="A4251" s="5"/>
      <c r="B4251" s="6"/>
      <c r="C4251" s="7"/>
      <c r="D4251" s="10"/>
      <c r="F4251" s="1"/>
      <c r="G4251" s="1"/>
      <c r="H4251" s="1"/>
      <c r="I4251" s="7"/>
      <c r="J4251" s="12"/>
      <c r="K4251" s="13"/>
      <c r="L4251" s="14"/>
      <c r="M4251" s="15"/>
      <c r="N4251" s="15"/>
      <c r="O4251" s="16"/>
      <c r="Q4251" s="16"/>
    </row>
    <row r="4252" spans="1:17" x14ac:dyDescent="0.3">
      <c r="A4252" s="5"/>
      <c r="B4252" s="6"/>
      <c r="C4252" s="7"/>
      <c r="D4252" s="10"/>
      <c r="F4252" s="1"/>
      <c r="G4252" s="1"/>
      <c r="H4252" s="1"/>
      <c r="I4252" s="7"/>
      <c r="J4252" s="12"/>
      <c r="K4252" s="13"/>
      <c r="L4252" s="14"/>
      <c r="M4252" s="15"/>
      <c r="N4252" s="15"/>
      <c r="O4252" s="16"/>
      <c r="Q4252" s="16"/>
    </row>
    <row r="4253" spans="1:17" x14ac:dyDescent="0.3">
      <c r="A4253" s="5"/>
      <c r="B4253" s="6"/>
      <c r="C4253" s="7"/>
      <c r="D4253" s="10"/>
      <c r="F4253" s="1"/>
      <c r="G4253" s="1"/>
      <c r="H4253" s="1"/>
      <c r="I4253" s="7"/>
      <c r="J4253" s="12"/>
      <c r="K4253" s="13"/>
      <c r="L4253" s="14"/>
      <c r="M4253" s="15"/>
      <c r="N4253" s="15"/>
      <c r="O4253" s="16"/>
      <c r="Q4253" s="16"/>
    </row>
    <row r="4254" spans="1:17" x14ac:dyDescent="0.3">
      <c r="A4254" s="5"/>
      <c r="B4254" s="6"/>
      <c r="C4254" s="7"/>
      <c r="D4254" s="10"/>
      <c r="F4254" s="1"/>
      <c r="G4254" s="1"/>
      <c r="H4254" s="1"/>
      <c r="I4254" s="7"/>
      <c r="J4254" s="12"/>
      <c r="K4254" s="13"/>
      <c r="L4254" s="14"/>
      <c r="M4254" s="15"/>
      <c r="N4254" s="15"/>
      <c r="O4254" s="16"/>
      <c r="Q4254" s="16"/>
    </row>
    <row r="4255" spans="1:17" x14ac:dyDescent="0.3">
      <c r="A4255" s="5"/>
      <c r="B4255" s="6"/>
      <c r="C4255" s="7"/>
      <c r="D4255" s="10"/>
      <c r="F4255" s="1"/>
      <c r="G4255" s="1"/>
      <c r="H4255" s="1"/>
      <c r="I4255" s="7"/>
      <c r="J4255" s="12"/>
      <c r="K4255" s="13"/>
      <c r="L4255" s="14"/>
      <c r="M4255" s="15"/>
      <c r="N4255" s="15"/>
      <c r="O4255" s="16"/>
      <c r="Q4255" s="16"/>
    </row>
    <row r="4256" spans="1:17" x14ac:dyDescent="0.3">
      <c r="A4256" s="5"/>
      <c r="B4256" s="6"/>
      <c r="C4256" s="7"/>
      <c r="D4256" s="10"/>
      <c r="F4256" s="1"/>
      <c r="G4256" s="1"/>
      <c r="H4256" s="1"/>
      <c r="I4256" s="7"/>
      <c r="J4256" s="12"/>
      <c r="K4256" s="13"/>
      <c r="L4256" s="14"/>
      <c r="M4256" s="15"/>
      <c r="N4256" s="15"/>
      <c r="O4256" s="16"/>
      <c r="Q4256" s="16"/>
    </row>
    <row r="4257" spans="1:17" x14ac:dyDescent="0.3">
      <c r="A4257" s="5"/>
      <c r="B4257" s="6"/>
      <c r="C4257" s="7"/>
      <c r="D4257" s="10"/>
      <c r="F4257" s="1"/>
      <c r="G4257" s="1"/>
      <c r="H4257" s="1"/>
      <c r="I4257" s="7"/>
      <c r="J4257" s="12"/>
      <c r="K4257" s="13"/>
      <c r="L4257" s="14"/>
      <c r="M4257" s="15"/>
      <c r="N4257" s="15"/>
      <c r="O4257" s="16"/>
      <c r="Q4257" s="16"/>
    </row>
    <row r="4258" spans="1:17" x14ac:dyDescent="0.3">
      <c r="A4258" s="5"/>
      <c r="B4258" s="6"/>
      <c r="C4258" s="7"/>
      <c r="D4258" s="10"/>
      <c r="F4258" s="1"/>
      <c r="G4258" s="1"/>
      <c r="H4258" s="1"/>
      <c r="I4258" s="7"/>
      <c r="J4258" s="12"/>
      <c r="K4258" s="13"/>
      <c r="L4258" s="14"/>
      <c r="M4258" s="15"/>
      <c r="N4258" s="15"/>
      <c r="O4258" s="16"/>
      <c r="Q4258" s="16"/>
    </row>
    <row r="4259" spans="1:17" x14ac:dyDescent="0.3">
      <c r="A4259" s="5"/>
      <c r="B4259" s="6"/>
      <c r="C4259" s="7"/>
      <c r="D4259" s="10"/>
      <c r="F4259" s="1"/>
      <c r="G4259" s="1"/>
      <c r="H4259" s="1"/>
      <c r="I4259" s="7"/>
      <c r="J4259" s="12"/>
      <c r="K4259" s="13"/>
      <c r="L4259" s="14"/>
      <c r="M4259" s="15"/>
      <c r="N4259" s="15"/>
      <c r="O4259" s="16"/>
      <c r="Q4259" s="16"/>
    </row>
    <row r="4260" spans="1:17" x14ac:dyDescent="0.3">
      <c r="A4260" s="5"/>
      <c r="B4260" s="6"/>
      <c r="C4260" s="7"/>
      <c r="D4260" s="10"/>
      <c r="F4260" s="1"/>
      <c r="G4260" s="1"/>
      <c r="H4260" s="1"/>
      <c r="I4260" s="7"/>
      <c r="J4260" s="12"/>
      <c r="K4260" s="13"/>
      <c r="L4260" s="14"/>
      <c r="M4260" s="15"/>
      <c r="N4260" s="15"/>
      <c r="O4260" s="16"/>
      <c r="Q4260" s="16"/>
    </row>
    <row r="4261" spans="1:17" x14ac:dyDescent="0.3">
      <c r="A4261" s="5"/>
      <c r="B4261" s="6"/>
      <c r="C4261" s="7"/>
      <c r="D4261" s="10"/>
      <c r="F4261" s="1"/>
      <c r="G4261" s="1"/>
      <c r="H4261" s="1"/>
      <c r="I4261" s="7"/>
      <c r="J4261" s="12"/>
      <c r="K4261" s="13"/>
      <c r="L4261" s="14"/>
      <c r="M4261" s="15"/>
      <c r="N4261" s="15"/>
      <c r="O4261" s="16"/>
      <c r="Q4261" s="16"/>
    </row>
    <row r="4262" spans="1:17" x14ac:dyDescent="0.3">
      <c r="A4262" s="5"/>
      <c r="B4262" s="6"/>
      <c r="C4262" s="7"/>
      <c r="D4262" s="10"/>
      <c r="F4262" s="1"/>
      <c r="G4262" s="1"/>
      <c r="H4262" s="1"/>
      <c r="I4262" s="7"/>
      <c r="J4262" s="12"/>
      <c r="K4262" s="13"/>
      <c r="L4262" s="14"/>
      <c r="M4262" s="15"/>
      <c r="N4262" s="15"/>
      <c r="O4262" s="16"/>
      <c r="Q4262" s="16"/>
    </row>
    <row r="4263" spans="1:17" x14ac:dyDescent="0.3">
      <c r="A4263" s="5"/>
      <c r="B4263" s="6"/>
      <c r="C4263" s="7"/>
      <c r="D4263" s="10"/>
      <c r="F4263" s="1"/>
      <c r="G4263" s="1"/>
      <c r="H4263" s="1"/>
      <c r="I4263" s="7"/>
      <c r="J4263" s="12"/>
      <c r="K4263" s="13"/>
      <c r="L4263" s="14"/>
      <c r="M4263" s="15"/>
      <c r="N4263" s="15"/>
      <c r="O4263" s="16"/>
      <c r="Q4263" s="16"/>
    </row>
    <row r="4264" spans="1:17" x14ac:dyDescent="0.3">
      <c r="A4264" s="5"/>
      <c r="B4264" s="6"/>
      <c r="C4264" s="7"/>
      <c r="D4264" s="10"/>
      <c r="F4264" s="1"/>
      <c r="G4264" s="1"/>
      <c r="H4264" s="1"/>
      <c r="I4264" s="7"/>
      <c r="J4264" s="12"/>
      <c r="K4264" s="13"/>
      <c r="L4264" s="14"/>
      <c r="M4264" s="15"/>
      <c r="N4264" s="15"/>
      <c r="O4264" s="16"/>
      <c r="Q4264" s="16"/>
    </row>
    <row r="4265" spans="1:17" x14ac:dyDescent="0.3">
      <c r="A4265" s="5"/>
      <c r="B4265" s="6"/>
      <c r="C4265" s="7"/>
      <c r="D4265" s="10"/>
      <c r="F4265" s="1"/>
      <c r="G4265" s="1"/>
      <c r="H4265" s="1"/>
      <c r="I4265" s="7"/>
      <c r="J4265" s="12"/>
      <c r="K4265" s="13"/>
      <c r="L4265" s="14"/>
      <c r="M4265" s="15"/>
      <c r="N4265" s="15"/>
      <c r="O4265" s="16"/>
      <c r="Q4265" s="16"/>
    </row>
    <row r="4266" spans="1:17" x14ac:dyDescent="0.3">
      <c r="A4266" s="5"/>
      <c r="B4266" s="6"/>
      <c r="C4266" s="7"/>
      <c r="D4266" s="10"/>
      <c r="F4266" s="1"/>
      <c r="G4266" s="1"/>
      <c r="H4266" s="1"/>
      <c r="I4266" s="7"/>
      <c r="J4266" s="12"/>
      <c r="K4266" s="13"/>
      <c r="L4266" s="14"/>
      <c r="M4266" s="15"/>
      <c r="N4266" s="15"/>
      <c r="O4266" s="16"/>
      <c r="Q4266" s="16"/>
    </row>
    <row r="4267" spans="1:17" x14ac:dyDescent="0.3">
      <c r="A4267" s="5"/>
      <c r="B4267" s="6"/>
      <c r="C4267" s="7"/>
      <c r="D4267" s="10"/>
      <c r="F4267" s="1"/>
      <c r="G4267" s="1"/>
      <c r="H4267" s="1"/>
      <c r="I4267" s="7"/>
      <c r="J4267" s="12"/>
      <c r="K4267" s="13"/>
      <c r="L4267" s="14"/>
      <c r="M4267" s="15"/>
      <c r="N4267" s="15"/>
      <c r="O4267" s="16"/>
      <c r="Q4267" s="16"/>
    </row>
    <row r="4268" spans="1:17" x14ac:dyDescent="0.3">
      <c r="A4268" s="5"/>
      <c r="B4268" s="6"/>
      <c r="C4268" s="7"/>
      <c r="D4268" s="10"/>
      <c r="F4268" s="1"/>
      <c r="G4268" s="1"/>
      <c r="H4268" s="1"/>
      <c r="I4268" s="7"/>
      <c r="J4268" s="12"/>
      <c r="K4268" s="13"/>
      <c r="L4268" s="14"/>
      <c r="M4268" s="15"/>
      <c r="N4268" s="15"/>
      <c r="O4268" s="16"/>
      <c r="Q4268" s="16"/>
    </row>
    <row r="4269" spans="1:17" x14ac:dyDescent="0.3">
      <c r="A4269" s="5"/>
      <c r="B4269" s="6"/>
      <c r="C4269" s="7"/>
      <c r="D4269" s="10"/>
      <c r="F4269" s="1"/>
      <c r="G4269" s="1"/>
      <c r="H4269" s="1"/>
      <c r="I4269" s="7"/>
      <c r="J4269" s="12"/>
      <c r="K4269" s="13"/>
      <c r="L4269" s="14"/>
      <c r="M4269" s="15"/>
      <c r="N4269" s="15"/>
      <c r="O4269" s="16"/>
      <c r="Q4269" s="16"/>
    </row>
    <row r="4270" spans="1:17" x14ac:dyDescent="0.3">
      <c r="A4270" s="5"/>
      <c r="B4270" s="6"/>
      <c r="C4270" s="7"/>
      <c r="D4270" s="10"/>
      <c r="F4270" s="1"/>
      <c r="G4270" s="1"/>
      <c r="H4270" s="1"/>
      <c r="I4270" s="7"/>
      <c r="J4270" s="12"/>
      <c r="K4270" s="13"/>
      <c r="L4270" s="14"/>
      <c r="M4270" s="15"/>
      <c r="N4270" s="15"/>
      <c r="O4270" s="16"/>
      <c r="Q4270" s="16"/>
    </row>
    <row r="4271" spans="1:17" x14ac:dyDescent="0.3">
      <c r="A4271" s="5"/>
      <c r="B4271" s="6"/>
      <c r="C4271" s="7"/>
      <c r="D4271" s="10"/>
      <c r="F4271" s="1"/>
      <c r="G4271" s="1"/>
      <c r="H4271" s="1"/>
      <c r="I4271" s="7"/>
      <c r="J4271" s="12"/>
      <c r="K4271" s="13"/>
      <c r="L4271" s="14"/>
      <c r="M4271" s="15"/>
      <c r="N4271" s="15"/>
      <c r="O4271" s="16"/>
      <c r="Q4271" s="16"/>
    </row>
    <row r="4272" spans="1:17" x14ac:dyDescent="0.3">
      <c r="A4272" s="5"/>
      <c r="B4272" s="6"/>
      <c r="C4272" s="7"/>
      <c r="D4272" s="10"/>
      <c r="F4272" s="1"/>
      <c r="G4272" s="1"/>
      <c r="H4272" s="1"/>
      <c r="I4272" s="7"/>
      <c r="J4272" s="12"/>
      <c r="K4272" s="13"/>
      <c r="L4272" s="14"/>
      <c r="M4272" s="15"/>
      <c r="N4272" s="15"/>
      <c r="O4272" s="16"/>
      <c r="Q4272" s="16"/>
    </row>
    <row r="4273" spans="1:17" x14ac:dyDescent="0.3">
      <c r="A4273" s="5"/>
      <c r="B4273" s="6"/>
      <c r="C4273" s="7"/>
      <c r="D4273" s="10"/>
      <c r="F4273" s="1"/>
      <c r="G4273" s="1"/>
      <c r="H4273" s="1"/>
      <c r="I4273" s="7"/>
      <c r="J4273" s="12"/>
      <c r="K4273" s="13"/>
      <c r="L4273" s="14"/>
      <c r="M4273" s="15"/>
      <c r="N4273" s="15"/>
      <c r="O4273" s="16"/>
      <c r="Q4273" s="16"/>
    </row>
    <row r="4274" spans="1:17" x14ac:dyDescent="0.3">
      <c r="A4274" s="5"/>
      <c r="B4274" s="6"/>
      <c r="C4274" s="7"/>
      <c r="D4274" s="10"/>
      <c r="F4274" s="1"/>
      <c r="G4274" s="1"/>
      <c r="H4274" s="1"/>
      <c r="I4274" s="7"/>
      <c r="J4274" s="12"/>
      <c r="K4274" s="13"/>
      <c r="L4274" s="14"/>
      <c r="M4274" s="15"/>
      <c r="N4274" s="15"/>
      <c r="O4274" s="16"/>
      <c r="Q4274" s="16"/>
    </row>
    <row r="4275" spans="1:17" x14ac:dyDescent="0.3">
      <c r="A4275" s="5"/>
      <c r="B4275" s="6"/>
      <c r="C4275" s="7"/>
      <c r="D4275" s="10"/>
      <c r="F4275" s="1"/>
      <c r="G4275" s="1"/>
      <c r="H4275" s="1"/>
      <c r="I4275" s="7"/>
      <c r="J4275" s="12"/>
      <c r="K4275" s="13"/>
      <c r="L4275" s="14"/>
      <c r="M4275" s="15"/>
      <c r="N4275" s="15"/>
      <c r="O4275" s="16"/>
      <c r="Q4275" s="16"/>
    </row>
    <row r="4276" spans="1:17" x14ac:dyDescent="0.3">
      <c r="A4276" s="5"/>
      <c r="B4276" s="6"/>
      <c r="C4276" s="7"/>
      <c r="D4276" s="10"/>
      <c r="F4276" s="1"/>
      <c r="G4276" s="1"/>
      <c r="H4276" s="1"/>
      <c r="I4276" s="7"/>
      <c r="J4276" s="12"/>
      <c r="K4276" s="13"/>
      <c r="L4276" s="14"/>
      <c r="M4276" s="15"/>
      <c r="N4276" s="15"/>
      <c r="O4276" s="16"/>
      <c r="Q4276" s="16"/>
    </row>
    <row r="4277" spans="1:17" x14ac:dyDescent="0.3">
      <c r="A4277" s="5"/>
      <c r="B4277" s="6"/>
      <c r="C4277" s="7"/>
      <c r="D4277" s="10"/>
      <c r="F4277" s="1"/>
      <c r="G4277" s="1"/>
      <c r="H4277" s="1"/>
      <c r="I4277" s="7"/>
      <c r="J4277" s="12"/>
      <c r="K4277" s="13"/>
      <c r="L4277" s="14"/>
      <c r="M4277" s="15"/>
      <c r="N4277" s="15"/>
      <c r="O4277" s="16"/>
      <c r="Q4277" s="16"/>
    </row>
    <row r="4278" spans="1:17" x14ac:dyDescent="0.3">
      <c r="A4278" s="5"/>
      <c r="B4278" s="6"/>
      <c r="C4278" s="7"/>
      <c r="D4278" s="10"/>
      <c r="F4278" s="1"/>
      <c r="G4278" s="1"/>
      <c r="H4278" s="1"/>
      <c r="I4278" s="7"/>
      <c r="J4278" s="12"/>
      <c r="K4278" s="13"/>
      <c r="L4278" s="14"/>
      <c r="M4278" s="15"/>
      <c r="N4278" s="15"/>
      <c r="O4278" s="16"/>
      <c r="Q4278" s="16"/>
    </row>
    <row r="4279" spans="1:17" x14ac:dyDescent="0.3">
      <c r="A4279" s="5"/>
      <c r="B4279" s="6"/>
      <c r="C4279" s="7"/>
      <c r="D4279" s="10"/>
      <c r="F4279" s="1"/>
      <c r="G4279" s="1"/>
      <c r="H4279" s="1"/>
      <c r="I4279" s="7"/>
      <c r="J4279" s="12"/>
      <c r="K4279" s="13"/>
      <c r="L4279" s="14"/>
      <c r="M4279" s="15"/>
      <c r="N4279" s="15"/>
      <c r="O4279" s="16"/>
      <c r="Q4279" s="16"/>
    </row>
    <row r="4280" spans="1:17" x14ac:dyDescent="0.3">
      <c r="A4280" s="5"/>
      <c r="B4280" s="6"/>
      <c r="C4280" s="7"/>
      <c r="D4280" s="10"/>
      <c r="F4280" s="1"/>
      <c r="G4280" s="1"/>
      <c r="H4280" s="1"/>
      <c r="I4280" s="7"/>
      <c r="J4280" s="12"/>
      <c r="K4280" s="13"/>
      <c r="L4280" s="14"/>
      <c r="M4280" s="15"/>
      <c r="N4280" s="15"/>
      <c r="O4280" s="16"/>
      <c r="Q4280" s="16"/>
    </row>
    <row r="4281" spans="1:17" x14ac:dyDescent="0.3">
      <c r="A4281" s="5"/>
      <c r="B4281" s="6"/>
      <c r="C4281" s="7"/>
      <c r="D4281" s="10"/>
      <c r="F4281" s="1"/>
      <c r="G4281" s="1"/>
      <c r="H4281" s="1"/>
      <c r="I4281" s="7"/>
      <c r="J4281" s="12"/>
      <c r="K4281" s="13"/>
      <c r="L4281" s="14"/>
      <c r="M4281" s="15"/>
      <c r="N4281" s="15"/>
      <c r="O4281" s="16"/>
      <c r="Q4281" s="16"/>
    </row>
    <row r="4282" spans="1:17" x14ac:dyDescent="0.3">
      <c r="A4282" s="5"/>
      <c r="B4282" s="6"/>
      <c r="C4282" s="7"/>
      <c r="D4282" s="10"/>
      <c r="F4282" s="1"/>
      <c r="G4282" s="1"/>
      <c r="H4282" s="1"/>
      <c r="I4282" s="7"/>
      <c r="J4282" s="12"/>
      <c r="K4282" s="13"/>
      <c r="L4282" s="14"/>
      <c r="M4282" s="15"/>
      <c r="N4282" s="15"/>
      <c r="O4282" s="16"/>
      <c r="Q4282" s="16"/>
    </row>
    <row r="4283" spans="1:17" x14ac:dyDescent="0.3">
      <c r="A4283" s="5"/>
      <c r="B4283" s="6"/>
      <c r="C4283" s="7"/>
      <c r="D4283" s="10"/>
      <c r="F4283" s="1"/>
      <c r="G4283" s="1"/>
      <c r="H4283" s="1"/>
      <c r="I4283" s="7"/>
      <c r="J4283" s="12"/>
      <c r="K4283" s="13"/>
      <c r="L4283" s="14"/>
      <c r="M4283" s="15"/>
      <c r="N4283" s="15"/>
      <c r="O4283" s="16"/>
      <c r="Q4283" s="16"/>
    </row>
    <row r="4284" spans="1:17" x14ac:dyDescent="0.3">
      <c r="A4284" s="5"/>
      <c r="B4284" s="6"/>
      <c r="C4284" s="7"/>
      <c r="D4284" s="10"/>
      <c r="F4284" s="1"/>
      <c r="G4284" s="1"/>
      <c r="H4284" s="1"/>
      <c r="I4284" s="7"/>
      <c r="J4284" s="12"/>
      <c r="K4284" s="13"/>
      <c r="L4284" s="14"/>
      <c r="M4284" s="15"/>
      <c r="N4284" s="15"/>
      <c r="O4284" s="16"/>
      <c r="Q4284" s="16"/>
    </row>
    <row r="4285" spans="1:17" x14ac:dyDescent="0.3">
      <c r="A4285" s="5"/>
      <c r="B4285" s="6"/>
      <c r="C4285" s="7"/>
      <c r="D4285" s="10"/>
      <c r="F4285" s="1"/>
      <c r="G4285" s="1"/>
      <c r="H4285" s="1"/>
      <c r="I4285" s="7"/>
      <c r="J4285" s="12"/>
      <c r="K4285" s="13"/>
      <c r="L4285" s="14"/>
      <c r="M4285" s="15"/>
      <c r="N4285" s="15"/>
      <c r="O4285" s="16"/>
      <c r="Q4285" s="16"/>
    </row>
    <row r="4286" spans="1:17" x14ac:dyDescent="0.3">
      <c r="A4286" s="5"/>
      <c r="B4286" s="6"/>
      <c r="C4286" s="7"/>
      <c r="D4286" s="10"/>
      <c r="F4286" s="1"/>
      <c r="G4286" s="1"/>
      <c r="H4286" s="1"/>
      <c r="I4286" s="7"/>
      <c r="J4286" s="12"/>
      <c r="K4286" s="13"/>
      <c r="L4286" s="14"/>
      <c r="M4286" s="15"/>
      <c r="N4286" s="15"/>
      <c r="O4286" s="16"/>
      <c r="Q4286" s="16"/>
    </row>
    <row r="4287" spans="1:17" x14ac:dyDescent="0.3">
      <c r="A4287" s="5"/>
      <c r="B4287" s="6"/>
      <c r="C4287" s="7"/>
      <c r="D4287" s="10"/>
      <c r="F4287" s="1"/>
      <c r="G4287" s="1"/>
      <c r="H4287" s="1"/>
      <c r="I4287" s="7"/>
      <c r="J4287" s="12"/>
      <c r="K4287" s="13"/>
      <c r="L4287" s="14"/>
      <c r="M4287" s="15"/>
      <c r="N4287" s="15"/>
      <c r="O4287" s="16"/>
      <c r="Q4287" s="16"/>
    </row>
    <row r="4288" spans="1:17" x14ac:dyDescent="0.3">
      <c r="A4288" s="5"/>
      <c r="B4288" s="6"/>
      <c r="C4288" s="7"/>
      <c r="D4288" s="10"/>
      <c r="F4288" s="1"/>
      <c r="G4288" s="1"/>
      <c r="H4288" s="1"/>
      <c r="I4288" s="7"/>
      <c r="J4288" s="12"/>
      <c r="K4288" s="13"/>
      <c r="L4288" s="14"/>
      <c r="M4288" s="15"/>
      <c r="N4288" s="15"/>
      <c r="O4288" s="16"/>
      <c r="Q4288" s="16"/>
    </row>
    <row r="4289" spans="1:17" x14ac:dyDescent="0.3">
      <c r="A4289" s="5"/>
      <c r="B4289" s="6"/>
      <c r="C4289" s="7"/>
      <c r="D4289" s="10"/>
      <c r="F4289" s="1"/>
      <c r="G4289" s="1"/>
      <c r="H4289" s="1"/>
      <c r="I4289" s="7"/>
      <c r="J4289" s="12"/>
      <c r="K4289" s="13"/>
      <c r="L4289" s="14"/>
      <c r="M4289" s="15"/>
      <c r="N4289" s="15"/>
      <c r="O4289" s="16"/>
      <c r="Q4289" s="16"/>
    </row>
    <row r="4290" spans="1:17" x14ac:dyDescent="0.3">
      <c r="A4290" s="5"/>
      <c r="B4290" s="6"/>
      <c r="C4290" s="7"/>
      <c r="D4290" s="10"/>
      <c r="F4290" s="1"/>
      <c r="G4290" s="1"/>
      <c r="H4290" s="1"/>
      <c r="I4290" s="7"/>
      <c r="J4290" s="12"/>
      <c r="K4290" s="13"/>
      <c r="L4290" s="14"/>
      <c r="M4290" s="15"/>
      <c r="N4290" s="15"/>
      <c r="O4290" s="16"/>
      <c r="Q4290" s="16"/>
    </row>
    <row r="4291" spans="1:17" x14ac:dyDescent="0.3">
      <c r="A4291" s="5"/>
      <c r="B4291" s="6"/>
      <c r="C4291" s="7"/>
      <c r="D4291" s="10"/>
      <c r="F4291" s="1"/>
      <c r="G4291" s="1"/>
      <c r="H4291" s="1"/>
      <c r="I4291" s="7"/>
      <c r="J4291" s="12"/>
      <c r="K4291" s="13"/>
      <c r="L4291" s="14"/>
      <c r="M4291" s="15"/>
      <c r="N4291" s="15"/>
      <c r="O4291" s="16"/>
      <c r="Q4291" s="16"/>
    </row>
    <row r="4292" spans="1:17" x14ac:dyDescent="0.3">
      <c r="A4292" s="5"/>
      <c r="B4292" s="6"/>
      <c r="C4292" s="7"/>
      <c r="D4292" s="10"/>
      <c r="F4292" s="1"/>
      <c r="G4292" s="1"/>
      <c r="H4292" s="1"/>
      <c r="I4292" s="7"/>
      <c r="J4292" s="12"/>
      <c r="K4292" s="13"/>
      <c r="L4292" s="14"/>
      <c r="M4292" s="15"/>
      <c r="N4292" s="15"/>
      <c r="O4292" s="16"/>
      <c r="Q4292" s="16"/>
    </row>
    <row r="4293" spans="1:17" x14ac:dyDescent="0.3">
      <c r="A4293" s="5"/>
      <c r="B4293" s="6"/>
      <c r="C4293" s="7"/>
      <c r="D4293" s="10"/>
      <c r="F4293" s="1"/>
      <c r="G4293" s="1"/>
      <c r="H4293" s="1"/>
      <c r="I4293" s="7"/>
      <c r="J4293" s="12"/>
      <c r="K4293" s="13"/>
      <c r="L4293" s="14"/>
      <c r="M4293" s="15"/>
      <c r="N4293" s="15"/>
      <c r="O4293" s="16"/>
      <c r="Q4293" s="16"/>
    </row>
    <row r="4294" spans="1:17" x14ac:dyDescent="0.3">
      <c r="A4294" s="5"/>
      <c r="B4294" s="6"/>
      <c r="C4294" s="7"/>
      <c r="D4294" s="10"/>
      <c r="F4294" s="1"/>
      <c r="G4294" s="1"/>
      <c r="H4294" s="1"/>
      <c r="I4294" s="7"/>
      <c r="J4294" s="12"/>
      <c r="K4294" s="13"/>
      <c r="L4294" s="14"/>
      <c r="M4294" s="15"/>
      <c r="N4294" s="15"/>
      <c r="O4294" s="16"/>
      <c r="Q4294" s="16"/>
    </row>
    <row r="4295" spans="1:17" x14ac:dyDescent="0.3">
      <c r="A4295" s="5"/>
      <c r="B4295" s="6"/>
      <c r="C4295" s="7"/>
      <c r="D4295" s="10"/>
      <c r="F4295" s="1"/>
      <c r="G4295" s="1"/>
      <c r="H4295" s="1"/>
      <c r="I4295" s="7"/>
      <c r="J4295" s="12"/>
      <c r="K4295" s="13"/>
      <c r="L4295" s="14"/>
      <c r="M4295" s="15"/>
      <c r="N4295" s="15"/>
      <c r="O4295" s="16"/>
      <c r="Q4295" s="16"/>
    </row>
    <row r="4296" spans="1:17" x14ac:dyDescent="0.3">
      <c r="A4296" s="5"/>
      <c r="B4296" s="6"/>
      <c r="C4296" s="7"/>
      <c r="D4296" s="10"/>
      <c r="F4296" s="1"/>
      <c r="G4296" s="1"/>
      <c r="H4296" s="1"/>
      <c r="I4296" s="7"/>
      <c r="J4296" s="12"/>
      <c r="K4296" s="13"/>
      <c r="L4296" s="14"/>
      <c r="M4296" s="15"/>
      <c r="N4296" s="15"/>
      <c r="O4296" s="16"/>
      <c r="Q4296" s="16"/>
    </row>
    <row r="4297" spans="1:17" x14ac:dyDescent="0.3">
      <c r="A4297" s="5"/>
      <c r="B4297" s="6"/>
      <c r="C4297" s="7"/>
      <c r="D4297" s="10"/>
      <c r="F4297" s="1"/>
      <c r="G4297" s="1"/>
      <c r="H4297" s="1"/>
      <c r="I4297" s="7"/>
      <c r="J4297" s="12"/>
      <c r="K4297" s="13"/>
      <c r="L4297" s="14"/>
      <c r="M4297" s="15"/>
      <c r="N4297" s="15"/>
      <c r="O4297" s="16"/>
      <c r="Q4297" s="16"/>
    </row>
    <row r="4298" spans="1:17" x14ac:dyDescent="0.3">
      <c r="A4298" s="5"/>
      <c r="B4298" s="6"/>
      <c r="C4298" s="7"/>
      <c r="D4298" s="10"/>
      <c r="F4298" s="1"/>
      <c r="G4298" s="1"/>
      <c r="H4298" s="1"/>
      <c r="I4298" s="7"/>
      <c r="J4298" s="12"/>
      <c r="K4298" s="13"/>
      <c r="L4298" s="14"/>
      <c r="M4298" s="15"/>
      <c r="N4298" s="15"/>
      <c r="O4298" s="16"/>
      <c r="Q4298" s="16"/>
    </row>
    <row r="4299" spans="1:17" x14ac:dyDescent="0.3">
      <c r="A4299" s="5"/>
      <c r="B4299" s="6"/>
      <c r="C4299" s="7"/>
      <c r="D4299" s="10"/>
      <c r="F4299" s="1"/>
      <c r="G4299" s="1"/>
      <c r="H4299" s="1"/>
      <c r="I4299" s="7"/>
      <c r="J4299" s="12"/>
      <c r="K4299" s="13"/>
      <c r="L4299" s="14"/>
      <c r="M4299" s="15"/>
      <c r="N4299" s="15"/>
      <c r="O4299" s="16"/>
      <c r="Q4299" s="16"/>
    </row>
    <row r="4300" spans="1:17" x14ac:dyDescent="0.3">
      <c r="A4300" s="5"/>
      <c r="B4300" s="6"/>
      <c r="C4300" s="7"/>
      <c r="D4300" s="10"/>
      <c r="F4300" s="1"/>
      <c r="G4300" s="1"/>
      <c r="H4300" s="1"/>
      <c r="I4300" s="7"/>
      <c r="J4300" s="12"/>
      <c r="K4300" s="13"/>
      <c r="L4300" s="14"/>
      <c r="M4300" s="15"/>
      <c r="N4300" s="15"/>
      <c r="O4300" s="16"/>
      <c r="Q4300" s="16"/>
    </row>
    <row r="4301" spans="1:17" x14ac:dyDescent="0.3">
      <c r="A4301" s="5"/>
      <c r="B4301" s="6"/>
      <c r="C4301" s="7"/>
      <c r="D4301" s="10"/>
      <c r="F4301" s="1"/>
      <c r="G4301" s="1"/>
      <c r="H4301" s="1"/>
      <c r="I4301" s="7"/>
      <c r="J4301" s="12"/>
      <c r="K4301" s="13"/>
      <c r="L4301" s="14"/>
      <c r="M4301" s="15"/>
      <c r="N4301" s="15"/>
      <c r="O4301" s="16"/>
      <c r="Q4301" s="16"/>
    </row>
    <row r="4302" spans="1:17" x14ac:dyDescent="0.3">
      <c r="A4302" s="5"/>
      <c r="B4302" s="6"/>
      <c r="C4302" s="7"/>
      <c r="D4302" s="10"/>
      <c r="F4302" s="1"/>
      <c r="G4302" s="1"/>
      <c r="H4302" s="1"/>
      <c r="I4302" s="7"/>
      <c r="J4302" s="12"/>
      <c r="K4302" s="13"/>
      <c r="L4302" s="14"/>
      <c r="M4302" s="15"/>
      <c r="N4302" s="15"/>
      <c r="O4302" s="16"/>
      <c r="Q4302" s="16"/>
    </row>
    <row r="4303" spans="1:17" x14ac:dyDescent="0.3">
      <c r="A4303" s="5"/>
      <c r="B4303" s="6"/>
      <c r="C4303" s="7"/>
      <c r="D4303" s="10"/>
      <c r="F4303" s="1"/>
      <c r="G4303" s="1"/>
      <c r="H4303" s="1"/>
      <c r="I4303" s="7"/>
      <c r="J4303" s="12"/>
      <c r="K4303" s="13"/>
      <c r="L4303" s="14"/>
      <c r="M4303" s="15"/>
      <c r="N4303" s="15"/>
      <c r="O4303" s="16"/>
      <c r="Q4303" s="16"/>
    </row>
    <row r="4304" spans="1:17" x14ac:dyDescent="0.3">
      <c r="A4304" s="5"/>
      <c r="B4304" s="6"/>
      <c r="C4304" s="7"/>
      <c r="D4304" s="10"/>
      <c r="F4304" s="1"/>
      <c r="G4304" s="1"/>
      <c r="H4304" s="1"/>
      <c r="I4304" s="7"/>
      <c r="J4304" s="12"/>
      <c r="K4304" s="13"/>
      <c r="L4304" s="14"/>
      <c r="M4304" s="15"/>
      <c r="N4304" s="15"/>
      <c r="O4304" s="16"/>
      <c r="Q4304" s="16"/>
    </row>
    <row r="4305" spans="1:17" x14ac:dyDescent="0.3">
      <c r="A4305" s="5"/>
      <c r="B4305" s="6"/>
      <c r="C4305" s="7"/>
      <c r="D4305" s="10"/>
      <c r="F4305" s="1"/>
      <c r="G4305" s="1"/>
      <c r="H4305" s="1"/>
      <c r="I4305" s="7"/>
      <c r="J4305" s="12"/>
      <c r="K4305" s="13"/>
      <c r="L4305" s="14"/>
      <c r="M4305" s="15"/>
      <c r="N4305" s="15"/>
      <c r="O4305" s="16"/>
      <c r="Q4305" s="16"/>
    </row>
    <row r="4306" spans="1:17" x14ac:dyDescent="0.3">
      <c r="A4306" s="5"/>
      <c r="B4306" s="6"/>
      <c r="C4306" s="7"/>
      <c r="D4306" s="10"/>
      <c r="F4306" s="1"/>
      <c r="G4306" s="1"/>
      <c r="H4306" s="1"/>
      <c r="I4306" s="7"/>
      <c r="J4306" s="12"/>
      <c r="K4306" s="13"/>
      <c r="L4306" s="14"/>
      <c r="M4306" s="15"/>
      <c r="N4306" s="15"/>
      <c r="O4306" s="16"/>
      <c r="Q4306" s="16"/>
    </row>
    <row r="4307" spans="1:17" x14ac:dyDescent="0.3">
      <c r="A4307" s="5"/>
      <c r="B4307" s="6"/>
      <c r="C4307" s="7"/>
      <c r="D4307" s="10"/>
      <c r="F4307" s="1"/>
      <c r="G4307" s="1"/>
      <c r="H4307" s="1"/>
      <c r="I4307" s="7"/>
      <c r="J4307" s="12"/>
      <c r="K4307" s="13"/>
      <c r="L4307" s="14"/>
      <c r="M4307" s="15"/>
      <c r="N4307" s="15"/>
      <c r="O4307" s="16"/>
      <c r="Q4307" s="16"/>
    </row>
    <row r="4308" spans="1:17" x14ac:dyDescent="0.3">
      <c r="A4308" s="5"/>
      <c r="B4308" s="6"/>
      <c r="C4308" s="7"/>
      <c r="D4308" s="10"/>
      <c r="F4308" s="1"/>
      <c r="G4308" s="1"/>
      <c r="H4308" s="1"/>
      <c r="I4308" s="7"/>
      <c r="J4308" s="12"/>
      <c r="K4308" s="13"/>
      <c r="L4308" s="14"/>
      <c r="M4308" s="15"/>
      <c r="N4308" s="15"/>
      <c r="O4308" s="16"/>
      <c r="Q4308" s="16"/>
    </row>
    <row r="4309" spans="1:17" x14ac:dyDescent="0.3">
      <c r="A4309" s="5"/>
      <c r="B4309" s="6"/>
      <c r="C4309" s="7"/>
      <c r="D4309" s="10"/>
      <c r="F4309" s="1"/>
      <c r="G4309" s="1"/>
      <c r="H4309" s="1"/>
      <c r="I4309" s="7"/>
      <c r="J4309" s="12"/>
      <c r="K4309" s="13"/>
      <c r="L4309" s="14"/>
      <c r="M4309" s="15"/>
      <c r="N4309" s="15"/>
      <c r="O4309" s="16"/>
      <c r="Q4309" s="16"/>
    </row>
    <row r="4310" spans="1:17" x14ac:dyDescent="0.3">
      <c r="A4310" s="5"/>
      <c r="B4310" s="6"/>
      <c r="C4310" s="7"/>
      <c r="D4310" s="10"/>
      <c r="F4310" s="1"/>
      <c r="G4310" s="1"/>
      <c r="H4310" s="1"/>
      <c r="I4310" s="7"/>
      <c r="J4310" s="12"/>
      <c r="K4310" s="13"/>
      <c r="L4310" s="14"/>
      <c r="M4310" s="15"/>
      <c r="N4310" s="15"/>
      <c r="O4310" s="16"/>
      <c r="Q4310" s="16"/>
    </row>
    <row r="4311" spans="1:17" x14ac:dyDescent="0.3">
      <c r="A4311" s="5"/>
      <c r="B4311" s="6"/>
      <c r="C4311" s="7"/>
      <c r="D4311" s="10"/>
      <c r="F4311" s="1"/>
      <c r="G4311" s="1"/>
      <c r="H4311" s="1"/>
      <c r="I4311" s="7"/>
      <c r="J4311" s="12"/>
      <c r="K4311" s="13"/>
      <c r="L4311" s="14"/>
      <c r="M4311" s="15"/>
      <c r="N4311" s="15"/>
      <c r="O4311" s="16"/>
      <c r="Q4311" s="16"/>
    </row>
    <row r="4312" spans="1:17" x14ac:dyDescent="0.3">
      <c r="A4312" s="5"/>
      <c r="B4312" s="6"/>
      <c r="C4312" s="7"/>
      <c r="D4312" s="10"/>
      <c r="F4312" s="1"/>
      <c r="G4312" s="1"/>
      <c r="H4312" s="1"/>
      <c r="I4312" s="7"/>
      <c r="J4312" s="12"/>
      <c r="K4312" s="13"/>
      <c r="L4312" s="14"/>
      <c r="M4312" s="15"/>
      <c r="N4312" s="15"/>
      <c r="O4312" s="16"/>
      <c r="Q4312" s="16"/>
    </row>
    <row r="4313" spans="1:17" x14ac:dyDescent="0.3">
      <c r="A4313" s="5"/>
      <c r="B4313" s="6"/>
      <c r="C4313" s="7"/>
      <c r="D4313" s="10"/>
      <c r="F4313" s="1"/>
      <c r="G4313" s="1"/>
      <c r="H4313" s="1"/>
      <c r="I4313" s="7"/>
      <c r="J4313" s="12"/>
      <c r="K4313" s="13"/>
      <c r="L4313" s="14"/>
      <c r="M4313" s="15"/>
      <c r="N4313" s="15"/>
      <c r="O4313" s="16"/>
      <c r="Q4313" s="16"/>
    </row>
    <row r="4314" spans="1:17" x14ac:dyDescent="0.3">
      <c r="A4314" s="5"/>
      <c r="B4314" s="6"/>
      <c r="C4314" s="7"/>
      <c r="D4314" s="10"/>
      <c r="F4314" s="1"/>
      <c r="G4314" s="1"/>
      <c r="H4314" s="1"/>
      <c r="I4314" s="7"/>
      <c r="J4314" s="12"/>
      <c r="K4314" s="13"/>
      <c r="L4314" s="14"/>
      <c r="M4314" s="15"/>
      <c r="N4314" s="15"/>
      <c r="O4314" s="16"/>
      <c r="Q4314" s="16"/>
    </row>
    <row r="4315" spans="1:17" x14ac:dyDescent="0.3">
      <c r="A4315" s="5"/>
      <c r="B4315" s="6"/>
      <c r="C4315" s="7"/>
      <c r="D4315" s="10"/>
      <c r="F4315" s="1"/>
      <c r="G4315" s="1"/>
      <c r="H4315" s="1"/>
      <c r="I4315" s="7"/>
      <c r="J4315" s="12"/>
      <c r="K4315" s="13"/>
      <c r="L4315" s="14"/>
      <c r="M4315" s="15"/>
      <c r="N4315" s="15"/>
      <c r="O4315" s="16"/>
      <c r="Q4315" s="16"/>
    </row>
    <row r="4316" spans="1:17" x14ac:dyDescent="0.3">
      <c r="A4316" s="5"/>
      <c r="B4316" s="6"/>
      <c r="C4316" s="7"/>
      <c r="D4316" s="10"/>
      <c r="F4316" s="1"/>
      <c r="G4316" s="1"/>
      <c r="H4316" s="1"/>
      <c r="I4316" s="7"/>
      <c r="J4316" s="12"/>
      <c r="K4316" s="13"/>
      <c r="L4316" s="14"/>
      <c r="M4316" s="15"/>
      <c r="N4316" s="15"/>
      <c r="O4316" s="16"/>
      <c r="Q4316" s="16"/>
    </row>
    <row r="4317" spans="1:17" x14ac:dyDescent="0.3">
      <c r="A4317" s="5"/>
      <c r="B4317" s="6"/>
      <c r="C4317" s="7"/>
      <c r="D4317" s="10"/>
      <c r="F4317" s="1"/>
      <c r="G4317" s="1"/>
      <c r="H4317" s="1"/>
      <c r="I4317" s="7"/>
      <c r="J4317" s="12"/>
      <c r="K4317" s="13"/>
      <c r="L4317" s="14"/>
      <c r="M4317" s="15"/>
      <c r="N4317" s="15"/>
      <c r="O4317" s="16"/>
      <c r="Q4317" s="16"/>
    </row>
    <row r="4318" spans="1:17" x14ac:dyDescent="0.3">
      <c r="A4318" s="5"/>
      <c r="B4318" s="6"/>
      <c r="C4318" s="7"/>
      <c r="D4318" s="10"/>
      <c r="F4318" s="1"/>
      <c r="G4318" s="1"/>
      <c r="H4318" s="1"/>
      <c r="I4318" s="7"/>
      <c r="J4318" s="12"/>
      <c r="K4318" s="13"/>
      <c r="L4318" s="14"/>
      <c r="M4318" s="15"/>
      <c r="N4318" s="15"/>
      <c r="O4318" s="16"/>
      <c r="Q4318" s="16"/>
    </row>
    <row r="4319" spans="1:17" x14ac:dyDescent="0.3">
      <c r="A4319" s="5"/>
      <c r="B4319" s="6"/>
      <c r="C4319" s="7"/>
      <c r="D4319" s="10"/>
      <c r="F4319" s="1"/>
      <c r="G4319" s="1"/>
      <c r="H4319" s="1"/>
      <c r="I4319" s="7"/>
      <c r="J4319" s="12"/>
      <c r="K4319" s="13"/>
      <c r="L4319" s="14"/>
      <c r="M4319" s="15"/>
      <c r="N4319" s="15"/>
      <c r="O4319" s="16"/>
      <c r="Q4319" s="16"/>
    </row>
    <row r="4320" spans="1:17" x14ac:dyDescent="0.3">
      <c r="A4320" s="5"/>
      <c r="B4320" s="6"/>
      <c r="C4320" s="7"/>
      <c r="D4320" s="10"/>
      <c r="F4320" s="1"/>
      <c r="G4320" s="1"/>
      <c r="H4320" s="1"/>
      <c r="I4320" s="7"/>
      <c r="J4320" s="12"/>
      <c r="K4320" s="13"/>
      <c r="L4320" s="14"/>
      <c r="M4320" s="15"/>
      <c r="N4320" s="15"/>
      <c r="O4320" s="16"/>
      <c r="Q4320" s="16"/>
    </row>
    <row r="4321" spans="1:17" x14ac:dyDescent="0.3">
      <c r="A4321" s="5"/>
      <c r="B4321" s="6"/>
      <c r="C4321" s="7"/>
      <c r="D4321" s="10"/>
      <c r="F4321" s="1"/>
      <c r="G4321" s="1"/>
      <c r="H4321" s="1"/>
      <c r="I4321" s="7"/>
      <c r="J4321" s="12"/>
      <c r="K4321" s="13"/>
      <c r="L4321" s="14"/>
      <c r="M4321" s="15"/>
      <c r="N4321" s="15"/>
      <c r="O4321" s="16"/>
      <c r="Q4321" s="16"/>
    </row>
    <row r="4322" spans="1:17" x14ac:dyDescent="0.3">
      <c r="A4322" s="5"/>
      <c r="B4322" s="6"/>
      <c r="C4322" s="7"/>
      <c r="D4322" s="10"/>
      <c r="F4322" s="1"/>
      <c r="G4322" s="1"/>
      <c r="H4322" s="1"/>
      <c r="I4322" s="7"/>
      <c r="J4322" s="12"/>
      <c r="K4322" s="13"/>
      <c r="L4322" s="14"/>
      <c r="M4322" s="15"/>
      <c r="N4322" s="15"/>
      <c r="O4322" s="16"/>
      <c r="Q4322" s="16"/>
    </row>
    <row r="4323" spans="1:17" x14ac:dyDescent="0.3">
      <c r="A4323" s="5"/>
      <c r="B4323" s="6"/>
      <c r="C4323" s="7"/>
      <c r="D4323" s="10"/>
      <c r="F4323" s="1"/>
      <c r="G4323" s="1"/>
      <c r="H4323" s="1"/>
      <c r="I4323" s="7"/>
      <c r="J4323" s="12"/>
      <c r="K4323" s="13"/>
      <c r="L4323" s="14"/>
      <c r="M4323" s="15"/>
      <c r="N4323" s="15"/>
      <c r="O4323" s="16"/>
      <c r="Q4323" s="16"/>
    </row>
    <row r="4324" spans="1:17" x14ac:dyDescent="0.3">
      <c r="A4324" s="5"/>
      <c r="B4324" s="6"/>
      <c r="C4324" s="7"/>
      <c r="D4324" s="10"/>
      <c r="F4324" s="1"/>
      <c r="G4324" s="1"/>
      <c r="H4324" s="1"/>
      <c r="I4324" s="7"/>
      <c r="J4324" s="12"/>
      <c r="K4324" s="13"/>
      <c r="L4324" s="14"/>
      <c r="M4324" s="15"/>
      <c r="N4324" s="15"/>
      <c r="O4324" s="16"/>
      <c r="Q4324" s="16"/>
    </row>
    <row r="4325" spans="1:17" x14ac:dyDescent="0.3">
      <c r="A4325" s="5"/>
      <c r="B4325" s="6"/>
      <c r="C4325" s="7"/>
      <c r="D4325" s="10"/>
      <c r="F4325" s="1"/>
      <c r="G4325" s="1"/>
      <c r="H4325" s="1"/>
      <c r="I4325" s="7"/>
      <c r="J4325" s="12"/>
      <c r="K4325" s="13"/>
      <c r="L4325" s="14"/>
      <c r="M4325" s="15"/>
      <c r="N4325" s="15"/>
      <c r="O4325" s="16"/>
      <c r="Q4325" s="16"/>
    </row>
    <row r="4326" spans="1:17" x14ac:dyDescent="0.3">
      <c r="A4326" s="5"/>
      <c r="B4326" s="6"/>
      <c r="C4326" s="7"/>
      <c r="D4326" s="10"/>
      <c r="F4326" s="1"/>
      <c r="G4326" s="1"/>
      <c r="H4326" s="1"/>
      <c r="I4326" s="7"/>
      <c r="J4326" s="12"/>
      <c r="K4326" s="13"/>
      <c r="L4326" s="14"/>
      <c r="M4326" s="15"/>
      <c r="N4326" s="15"/>
      <c r="O4326" s="16"/>
      <c r="Q4326" s="16"/>
    </row>
    <row r="4327" spans="1:17" x14ac:dyDescent="0.3">
      <c r="A4327" s="5"/>
      <c r="B4327" s="6"/>
      <c r="C4327" s="7"/>
      <c r="D4327" s="10"/>
      <c r="F4327" s="1"/>
      <c r="G4327" s="1"/>
      <c r="H4327" s="1"/>
      <c r="I4327" s="7"/>
      <c r="J4327" s="12"/>
      <c r="K4327" s="13"/>
      <c r="L4327" s="14"/>
      <c r="M4327" s="15"/>
      <c r="N4327" s="15"/>
      <c r="O4327" s="16"/>
      <c r="Q4327" s="16"/>
    </row>
    <row r="4328" spans="1:17" x14ac:dyDescent="0.3">
      <c r="A4328" s="5"/>
      <c r="B4328" s="6"/>
      <c r="C4328" s="7"/>
      <c r="D4328" s="10"/>
      <c r="F4328" s="1"/>
      <c r="G4328" s="1"/>
      <c r="H4328" s="1"/>
      <c r="I4328" s="7"/>
      <c r="J4328" s="12"/>
      <c r="K4328" s="13"/>
      <c r="L4328" s="14"/>
      <c r="M4328" s="15"/>
      <c r="N4328" s="15"/>
      <c r="O4328" s="16"/>
      <c r="Q4328" s="16"/>
    </row>
    <row r="4329" spans="1:17" x14ac:dyDescent="0.3">
      <c r="A4329" s="5"/>
      <c r="B4329" s="6"/>
      <c r="C4329" s="7"/>
      <c r="D4329" s="10"/>
      <c r="F4329" s="1"/>
      <c r="G4329" s="1"/>
      <c r="H4329" s="1"/>
      <c r="I4329" s="7"/>
      <c r="J4329" s="12"/>
      <c r="K4329" s="13"/>
      <c r="L4329" s="14"/>
      <c r="M4329" s="15"/>
      <c r="N4329" s="15"/>
      <c r="O4329" s="16"/>
      <c r="Q4329" s="16"/>
    </row>
    <row r="4330" spans="1:17" x14ac:dyDescent="0.3">
      <c r="A4330" s="5"/>
      <c r="B4330" s="6"/>
      <c r="C4330" s="7"/>
      <c r="D4330" s="10"/>
      <c r="F4330" s="1"/>
      <c r="G4330" s="1"/>
      <c r="H4330" s="1"/>
      <c r="I4330" s="7"/>
      <c r="J4330" s="12"/>
      <c r="K4330" s="13"/>
      <c r="L4330" s="14"/>
      <c r="M4330" s="15"/>
      <c r="N4330" s="15"/>
      <c r="O4330" s="16"/>
      <c r="Q4330" s="16"/>
    </row>
    <row r="4331" spans="1:17" x14ac:dyDescent="0.3">
      <c r="A4331" s="5"/>
      <c r="B4331" s="6"/>
      <c r="C4331" s="7"/>
      <c r="D4331" s="10"/>
      <c r="F4331" s="1"/>
      <c r="G4331" s="1"/>
      <c r="H4331" s="1"/>
      <c r="I4331" s="7"/>
      <c r="J4331" s="12"/>
      <c r="K4331" s="13"/>
      <c r="L4331" s="14"/>
      <c r="M4331" s="15"/>
      <c r="N4331" s="15"/>
      <c r="O4331" s="16"/>
      <c r="Q4331" s="16"/>
    </row>
    <row r="4332" spans="1:17" x14ac:dyDescent="0.3">
      <c r="A4332" s="5"/>
      <c r="B4332" s="6"/>
      <c r="C4332" s="7"/>
      <c r="D4332" s="10"/>
      <c r="F4332" s="1"/>
      <c r="G4332" s="1"/>
      <c r="H4332" s="1"/>
      <c r="I4332" s="7"/>
      <c r="J4332" s="12"/>
      <c r="K4332" s="13"/>
      <c r="L4332" s="14"/>
      <c r="M4332" s="15"/>
      <c r="N4332" s="15"/>
      <c r="O4332" s="16"/>
      <c r="Q4332" s="16"/>
    </row>
    <row r="4333" spans="1:17" x14ac:dyDescent="0.3">
      <c r="A4333" s="5"/>
      <c r="B4333" s="6"/>
      <c r="C4333" s="7"/>
      <c r="D4333" s="10"/>
      <c r="F4333" s="1"/>
      <c r="G4333" s="1"/>
      <c r="H4333" s="1"/>
      <c r="I4333" s="7"/>
      <c r="J4333" s="12"/>
      <c r="K4333" s="13"/>
      <c r="L4333" s="14"/>
      <c r="M4333" s="15"/>
      <c r="N4333" s="15"/>
      <c r="O4333" s="16"/>
      <c r="Q4333" s="16"/>
    </row>
    <row r="4334" spans="1:17" x14ac:dyDescent="0.3">
      <c r="A4334" s="5"/>
      <c r="B4334" s="6"/>
      <c r="C4334" s="7"/>
      <c r="D4334" s="10"/>
      <c r="F4334" s="1"/>
      <c r="G4334" s="1"/>
      <c r="H4334" s="1"/>
      <c r="I4334" s="7"/>
      <c r="J4334" s="12"/>
      <c r="K4334" s="13"/>
      <c r="L4334" s="14"/>
      <c r="M4334" s="15"/>
      <c r="N4334" s="15"/>
      <c r="O4334" s="16"/>
      <c r="Q4334" s="16"/>
    </row>
    <row r="4335" spans="1:17" x14ac:dyDescent="0.3">
      <c r="A4335" s="5"/>
      <c r="B4335" s="6"/>
      <c r="C4335" s="7"/>
      <c r="D4335" s="10"/>
      <c r="F4335" s="1"/>
      <c r="G4335" s="1"/>
      <c r="H4335" s="1"/>
      <c r="I4335" s="7"/>
      <c r="J4335" s="12"/>
      <c r="K4335" s="13"/>
      <c r="L4335" s="14"/>
      <c r="M4335" s="15"/>
      <c r="N4335" s="15"/>
      <c r="O4335" s="16"/>
      <c r="Q4335" s="16"/>
    </row>
    <row r="4336" spans="1:17" x14ac:dyDescent="0.3">
      <c r="A4336" s="5"/>
      <c r="B4336" s="6"/>
      <c r="C4336" s="7"/>
      <c r="D4336" s="10"/>
      <c r="F4336" s="1"/>
      <c r="G4336" s="1"/>
      <c r="H4336" s="1"/>
      <c r="I4336" s="7"/>
      <c r="J4336" s="12"/>
      <c r="K4336" s="13"/>
      <c r="L4336" s="14"/>
      <c r="M4336" s="15"/>
      <c r="N4336" s="15"/>
      <c r="O4336" s="16"/>
      <c r="Q4336" s="16"/>
    </row>
    <row r="4337" spans="1:17" x14ac:dyDescent="0.3">
      <c r="A4337" s="5"/>
      <c r="B4337" s="6"/>
      <c r="C4337" s="7"/>
      <c r="D4337" s="10"/>
      <c r="F4337" s="1"/>
      <c r="G4337" s="1"/>
      <c r="H4337" s="1"/>
      <c r="I4337" s="7"/>
      <c r="J4337" s="12"/>
      <c r="K4337" s="13"/>
      <c r="L4337" s="14"/>
      <c r="M4337" s="15"/>
      <c r="N4337" s="15"/>
      <c r="O4337" s="16"/>
      <c r="Q4337" s="16"/>
    </row>
    <row r="4338" spans="1:17" x14ac:dyDescent="0.3">
      <c r="A4338" s="5"/>
      <c r="B4338" s="6"/>
      <c r="C4338" s="7"/>
      <c r="D4338" s="10"/>
      <c r="F4338" s="1"/>
      <c r="G4338" s="1"/>
      <c r="H4338" s="1"/>
      <c r="I4338" s="7"/>
      <c r="J4338" s="12"/>
      <c r="K4338" s="13"/>
      <c r="L4338" s="14"/>
      <c r="M4338" s="15"/>
      <c r="N4338" s="15"/>
      <c r="O4338" s="16"/>
      <c r="Q4338" s="16"/>
    </row>
    <row r="4339" spans="1:17" x14ac:dyDescent="0.3">
      <c r="A4339" s="5"/>
      <c r="B4339" s="6"/>
      <c r="C4339" s="7"/>
      <c r="D4339" s="10"/>
      <c r="F4339" s="1"/>
      <c r="G4339" s="1"/>
      <c r="H4339" s="1"/>
      <c r="I4339" s="7"/>
      <c r="J4339" s="12"/>
      <c r="K4339" s="13"/>
      <c r="L4339" s="14"/>
      <c r="M4339" s="15"/>
      <c r="N4339" s="15"/>
      <c r="O4339" s="16"/>
      <c r="Q4339" s="16"/>
    </row>
    <row r="4340" spans="1:17" x14ac:dyDescent="0.3">
      <c r="A4340" s="5"/>
      <c r="B4340" s="6"/>
      <c r="C4340" s="7"/>
      <c r="D4340" s="10"/>
      <c r="F4340" s="1"/>
      <c r="G4340" s="1"/>
      <c r="H4340" s="1"/>
      <c r="I4340" s="7"/>
      <c r="J4340" s="12"/>
      <c r="K4340" s="13"/>
      <c r="L4340" s="14"/>
      <c r="M4340" s="15"/>
      <c r="N4340" s="15"/>
      <c r="O4340" s="16"/>
      <c r="Q4340" s="16"/>
    </row>
    <row r="4341" spans="1:17" x14ac:dyDescent="0.3">
      <c r="A4341" s="5"/>
      <c r="B4341" s="6"/>
      <c r="C4341" s="7"/>
      <c r="D4341" s="10"/>
      <c r="F4341" s="1"/>
      <c r="G4341" s="1"/>
      <c r="H4341" s="1"/>
      <c r="I4341" s="7"/>
      <c r="J4341" s="12"/>
      <c r="K4341" s="13"/>
      <c r="L4341" s="14"/>
      <c r="M4341" s="15"/>
      <c r="N4341" s="15"/>
      <c r="O4341" s="16"/>
      <c r="Q4341" s="16"/>
    </row>
    <row r="4342" spans="1:17" x14ac:dyDescent="0.3">
      <c r="A4342" s="5"/>
      <c r="B4342" s="6"/>
      <c r="C4342" s="7"/>
      <c r="D4342" s="10"/>
      <c r="F4342" s="1"/>
      <c r="G4342" s="1"/>
      <c r="H4342" s="1"/>
      <c r="I4342" s="7"/>
      <c r="J4342" s="12"/>
      <c r="K4342" s="13"/>
      <c r="L4342" s="14"/>
      <c r="M4342" s="15"/>
      <c r="N4342" s="15"/>
      <c r="O4342" s="16"/>
      <c r="Q4342" s="16"/>
    </row>
    <row r="4343" spans="1:17" x14ac:dyDescent="0.3">
      <c r="A4343" s="5"/>
      <c r="B4343" s="6"/>
      <c r="C4343" s="7"/>
      <c r="D4343" s="10"/>
      <c r="F4343" s="1"/>
      <c r="G4343" s="1"/>
      <c r="H4343" s="1"/>
      <c r="I4343" s="7"/>
      <c r="J4343" s="12"/>
      <c r="K4343" s="13"/>
      <c r="L4343" s="14"/>
      <c r="M4343" s="15"/>
      <c r="N4343" s="15"/>
      <c r="O4343" s="16"/>
      <c r="Q4343" s="16"/>
    </row>
    <row r="4344" spans="1:17" x14ac:dyDescent="0.3">
      <c r="A4344" s="5"/>
      <c r="B4344" s="6"/>
      <c r="C4344" s="7"/>
      <c r="D4344" s="10"/>
      <c r="F4344" s="1"/>
      <c r="G4344" s="1"/>
      <c r="H4344" s="1"/>
      <c r="I4344" s="7"/>
      <c r="J4344" s="12"/>
      <c r="K4344" s="13"/>
      <c r="L4344" s="14"/>
      <c r="M4344" s="15"/>
      <c r="N4344" s="15"/>
      <c r="O4344" s="16"/>
      <c r="Q4344" s="16"/>
    </row>
    <row r="4345" spans="1:17" x14ac:dyDescent="0.3">
      <c r="A4345" s="5"/>
      <c r="B4345" s="6"/>
      <c r="C4345" s="7"/>
      <c r="D4345" s="10"/>
      <c r="F4345" s="1"/>
      <c r="G4345" s="1"/>
      <c r="H4345" s="1"/>
      <c r="I4345" s="7"/>
      <c r="J4345" s="12"/>
      <c r="K4345" s="13"/>
      <c r="L4345" s="14"/>
      <c r="M4345" s="15"/>
      <c r="N4345" s="15"/>
      <c r="O4345" s="16"/>
      <c r="Q4345" s="16"/>
    </row>
    <row r="4346" spans="1:17" x14ac:dyDescent="0.3">
      <c r="A4346" s="5"/>
      <c r="B4346" s="6"/>
      <c r="C4346" s="7"/>
      <c r="D4346" s="10"/>
      <c r="F4346" s="1"/>
      <c r="G4346" s="1"/>
      <c r="H4346" s="1"/>
      <c r="I4346" s="7"/>
      <c r="J4346" s="12"/>
      <c r="K4346" s="13"/>
      <c r="L4346" s="14"/>
      <c r="M4346" s="15"/>
      <c r="N4346" s="15"/>
      <c r="O4346" s="16"/>
      <c r="Q4346" s="16"/>
    </row>
    <row r="4347" spans="1:17" x14ac:dyDescent="0.3">
      <c r="A4347" s="5"/>
      <c r="B4347" s="6"/>
      <c r="C4347" s="7"/>
      <c r="D4347" s="10"/>
      <c r="F4347" s="1"/>
      <c r="G4347" s="1"/>
      <c r="H4347" s="1"/>
      <c r="I4347" s="7"/>
      <c r="J4347" s="12"/>
      <c r="K4347" s="13"/>
      <c r="L4347" s="14"/>
      <c r="M4347" s="15"/>
      <c r="N4347" s="15"/>
      <c r="O4347" s="16"/>
      <c r="Q4347" s="16"/>
    </row>
    <row r="4348" spans="1:17" x14ac:dyDescent="0.3">
      <c r="A4348" s="5"/>
      <c r="B4348" s="6"/>
      <c r="C4348" s="7"/>
      <c r="D4348" s="10"/>
      <c r="F4348" s="1"/>
      <c r="G4348" s="1"/>
      <c r="H4348" s="1"/>
      <c r="I4348" s="7"/>
      <c r="J4348" s="12"/>
      <c r="K4348" s="13"/>
      <c r="L4348" s="14"/>
      <c r="M4348" s="15"/>
      <c r="N4348" s="15"/>
      <c r="O4348" s="16"/>
      <c r="Q4348" s="16"/>
    </row>
    <row r="4349" spans="1:17" x14ac:dyDescent="0.3">
      <c r="A4349" s="5"/>
      <c r="B4349" s="6"/>
      <c r="C4349" s="7"/>
      <c r="D4349" s="10"/>
      <c r="F4349" s="1"/>
      <c r="G4349" s="1"/>
      <c r="H4349" s="1"/>
      <c r="I4349" s="7"/>
      <c r="J4349" s="12"/>
      <c r="K4349" s="13"/>
      <c r="L4349" s="14"/>
      <c r="M4349" s="15"/>
      <c r="N4349" s="15"/>
      <c r="O4349" s="16"/>
      <c r="Q4349" s="16"/>
    </row>
    <row r="4350" spans="1:17" x14ac:dyDescent="0.3">
      <c r="A4350" s="5"/>
      <c r="B4350" s="6"/>
      <c r="C4350" s="7"/>
      <c r="D4350" s="10"/>
      <c r="F4350" s="1"/>
      <c r="G4350" s="1"/>
      <c r="H4350" s="1"/>
      <c r="I4350" s="7"/>
      <c r="J4350" s="12"/>
      <c r="K4350" s="13"/>
      <c r="L4350" s="14"/>
      <c r="M4350" s="15"/>
      <c r="N4350" s="15"/>
      <c r="O4350" s="16"/>
      <c r="Q4350" s="16"/>
    </row>
    <row r="4351" spans="1:17" x14ac:dyDescent="0.3">
      <c r="A4351" s="5"/>
      <c r="B4351" s="6"/>
      <c r="C4351" s="7"/>
      <c r="D4351" s="10"/>
      <c r="F4351" s="1"/>
      <c r="G4351" s="1"/>
      <c r="H4351" s="1"/>
      <c r="I4351" s="7"/>
      <c r="J4351" s="12"/>
      <c r="K4351" s="13"/>
      <c r="L4351" s="14"/>
      <c r="M4351" s="15"/>
      <c r="N4351" s="15"/>
      <c r="O4351" s="16"/>
      <c r="Q4351" s="16"/>
    </row>
    <row r="4352" spans="1:17" x14ac:dyDescent="0.3">
      <c r="A4352" s="5"/>
      <c r="B4352" s="6"/>
      <c r="C4352" s="7"/>
      <c r="D4352" s="10"/>
      <c r="F4352" s="1"/>
      <c r="G4352" s="1"/>
      <c r="H4352" s="1"/>
      <c r="I4352" s="7"/>
      <c r="J4352" s="12"/>
      <c r="K4352" s="13"/>
      <c r="L4352" s="14"/>
      <c r="M4352" s="15"/>
      <c r="N4352" s="15"/>
      <c r="O4352" s="16"/>
      <c r="Q4352" s="16"/>
    </row>
    <row r="4353" spans="1:17" x14ac:dyDescent="0.3">
      <c r="A4353" s="5"/>
      <c r="B4353" s="6"/>
      <c r="C4353" s="7"/>
      <c r="D4353" s="10"/>
      <c r="F4353" s="1"/>
      <c r="G4353" s="1"/>
      <c r="H4353" s="1"/>
      <c r="I4353" s="7"/>
      <c r="J4353" s="12"/>
      <c r="K4353" s="13"/>
      <c r="L4353" s="14"/>
      <c r="M4353" s="15"/>
      <c r="N4353" s="15"/>
      <c r="O4353" s="16"/>
      <c r="Q4353" s="16"/>
    </row>
    <row r="4354" spans="1:17" x14ac:dyDescent="0.3">
      <c r="A4354" s="5"/>
      <c r="B4354" s="6"/>
      <c r="C4354" s="7"/>
      <c r="D4354" s="10"/>
      <c r="F4354" s="1"/>
      <c r="G4354" s="1"/>
      <c r="H4354" s="1"/>
      <c r="I4354" s="7"/>
      <c r="J4354" s="12"/>
      <c r="K4354" s="13"/>
      <c r="L4354" s="14"/>
      <c r="M4354" s="15"/>
      <c r="N4354" s="15"/>
      <c r="O4354" s="16"/>
      <c r="Q4354" s="16"/>
    </row>
    <row r="4355" spans="1:17" x14ac:dyDescent="0.3">
      <c r="A4355" s="5"/>
      <c r="B4355" s="6"/>
      <c r="C4355" s="7"/>
      <c r="D4355" s="10"/>
      <c r="F4355" s="1"/>
      <c r="G4355" s="1"/>
      <c r="H4355" s="1"/>
      <c r="I4355" s="7"/>
      <c r="J4355" s="12"/>
      <c r="K4355" s="13"/>
      <c r="L4355" s="14"/>
      <c r="M4355" s="15"/>
      <c r="N4355" s="15"/>
      <c r="O4355" s="16"/>
      <c r="Q4355" s="16"/>
    </row>
    <row r="4356" spans="1:17" x14ac:dyDescent="0.3">
      <c r="A4356" s="5"/>
      <c r="B4356" s="6"/>
      <c r="C4356" s="7"/>
      <c r="D4356" s="10"/>
      <c r="F4356" s="1"/>
      <c r="G4356" s="1"/>
      <c r="H4356" s="1"/>
      <c r="I4356" s="7"/>
      <c r="J4356" s="12"/>
      <c r="K4356" s="13"/>
      <c r="L4356" s="14"/>
      <c r="M4356" s="15"/>
      <c r="N4356" s="15"/>
      <c r="O4356" s="16"/>
      <c r="Q4356" s="16"/>
    </row>
    <row r="4357" spans="1:17" x14ac:dyDescent="0.3">
      <c r="A4357" s="5"/>
      <c r="B4357" s="6"/>
      <c r="C4357" s="7"/>
      <c r="D4357" s="10"/>
      <c r="F4357" s="1"/>
      <c r="G4357" s="1"/>
      <c r="H4357" s="1"/>
      <c r="I4357" s="7"/>
      <c r="J4357" s="12"/>
      <c r="K4357" s="13"/>
      <c r="L4357" s="14"/>
      <c r="M4357" s="15"/>
      <c r="N4357" s="15"/>
      <c r="O4357" s="16"/>
      <c r="Q4357" s="16"/>
    </row>
    <row r="4358" spans="1:17" x14ac:dyDescent="0.3">
      <c r="A4358" s="5"/>
      <c r="B4358" s="6"/>
      <c r="C4358" s="7"/>
      <c r="D4358" s="10"/>
      <c r="F4358" s="1"/>
      <c r="G4358" s="1"/>
      <c r="H4358" s="1"/>
      <c r="I4358" s="7"/>
      <c r="J4358" s="12"/>
      <c r="K4358" s="13"/>
      <c r="L4358" s="14"/>
      <c r="M4358" s="15"/>
      <c r="N4358" s="15"/>
      <c r="O4358" s="16"/>
      <c r="Q4358" s="16"/>
    </row>
    <row r="4359" spans="1:17" x14ac:dyDescent="0.3">
      <c r="A4359" s="5"/>
      <c r="B4359" s="6"/>
      <c r="C4359" s="7"/>
      <c r="D4359" s="10"/>
      <c r="F4359" s="1"/>
      <c r="G4359" s="1"/>
      <c r="H4359" s="1"/>
      <c r="I4359" s="7"/>
      <c r="J4359" s="12"/>
      <c r="K4359" s="13"/>
      <c r="L4359" s="14"/>
      <c r="M4359" s="15"/>
      <c r="N4359" s="15"/>
      <c r="O4359" s="16"/>
      <c r="Q4359" s="16"/>
    </row>
    <row r="4360" spans="1:17" x14ac:dyDescent="0.3">
      <c r="A4360" s="5"/>
      <c r="B4360" s="6"/>
      <c r="C4360" s="7"/>
      <c r="D4360" s="10"/>
      <c r="F4360" s="1"/>
      <c r="G4360" s="1"/>
      <c r="H4360" s="1"/>
      <c r="I4360" s="7"/>
      <c r="J4360" s="12"/>
      <c r="K4360" s="13"/>
      <c r="L4360" s="14"/>
      <c r="M4360" s="15"/>
      <c r="N4360" s="15"/>
      <c r="O4360" s="16"/>
      <c r="Q4360" s="16"/>
    </row>
    <row r="4361" spans="1:17" x14ac:dyDescent="0.3">
      <c r="A4361" s="5"/>
      <c r="B4361" s="6"/>
      <c r="C4361" s="7"/>
      <c r="D4361" s="10"/>
      <c r="F4361" s="1"/>
      <c r="G4361" s="1"/>
      <c r="H4361" s="1"/>
      <c r="I4361" s="7"/>
      <c r="J4361" s="12"/>
      <c r="K4361" s="13"/>
      <c r="L4361" s="14"/>
      <c r="M4361" s="15"/>
      <c r="N4361" s="15"/>
      <c r="O4361" s="16"/>
      <c r="Q4361" s="16"/>
    </row>
    <row r="4362" spans="1:17" x14ac:dyDescent="0.3">
      <c r="A4362" s="5"/>
      <c r="B4362" s="6"/>
      <c r="C4362" s="7"/>
      <c r="D4362" s="10"/>
      <c r="F4362" s="1"/>
      <c r="G4362" s="1"/>
      <c r="H4362" s="1"/>
      <c r="I4362" s="7"/>
      <c r="J4362" s="12"/>
      <c r="K4362" s="13"/>
      <c r="L4362" s="14"/>
      <c r="M4362" s="15"/>
      <c r="N4362" s="15"/>
      <c r="O4362" s="16"/>
      <c r="Q4362" s="16"/>
    </row>
    <row r="4363" spans="1:17" x14ac:dyDescent="0.3">
      <c r="A4363" s="5"/>
      <c r="B4363" s="6"/>
      <c r="C4363" s="7"/>
      <c r="D4363" s="10"/>
      <c r="F4363" s="1"/>
      <c r="G4363" s="1"/>
      <c r="H4363" s="1"/>
      <c r="I4363" s="7"/>
      <c r="J4363" s="12"/>
      <c r="K4363" s="13"/>
      <c r="L4363" s="14"/>
      <c r="M4363" s="15"/>
      <c r="N4363" s="15"/>
      <c r="O4363" s="16"/>
      <c r="Q4363" s="16"/>
    </row>
    <row r="4364" spans="1:17" x14ac:dyDescent="0.3">
      <c r="A4364" s="5"/>
      <c r="B4364" s="6"/>
      <c r="C4364" s="7"/>
      <c r="D4364" s="10"/>
      <c r="F4364" s="1"/>
      <c r="G4364" s="1"/>
      <c r="H4364" s="1"/>
      <c r="I4364" s="7"/>
      <c r="J4364" s="12"/>
      <c r="K4364" s="13"/>
      <c r="L4364" s="14"/>
      <c r="M4364" s="15"/>
      <c r="N4364" s="15"/>
      <c r="O4364" s="16"/>
      <c r="Q4364" s="16"/>
    </row>
    <row r="4365" spans="1:17" x14ac:dyDescent="0.3">
      <c r="A4365" s="5"/>
      <c r="B4365" s="6"/>
      <c r="C4365" s="7"/>
      <c r="D4365" s="10"/>
      <c r="F4365" s="1"/>
      <c r="G4365" s="1"/>
      <c r="H4365" s="1"/>
      <c r="I4365" s="7"/>
      <c r="J4365" s="12"/>
      <c r="K4365" s="13"/>
      <c r="L4365" s="14"/>
      <c r="M4365" s="15"/>
      <c r="N4365" s="15"/>
      <c r="O4365" s="16"/>
      <c r="Q4365" s="16"/>
    </row>
    <row r="4366" spans="1:17" x14ac:dyDescent="0.3">
      <c r="A4366" s="5"/>
      <c r="B4366" s="6"/>
      <c r="C4366" s="7"/>
      <c r="D4366" s="10"/>
      <c r="F4366" s="1"/>
      <c r="G4366" s="1"/>
      <c r="H4366" s="1"/>
      <c r="I4366" s="7"/>
      <c r="J4366" s="12"/>
      <c r="K4366" s="13"/>
      <c r="L4366" s="14"/>
      <c r="M4366" s="15"/>
      <c r="N4366" s="15"/>
      <c r="O4366" s="16"/>
      <c r="Q4366" s="16"/>
    </row>
    <row r="4367" spans="1:17" x14ac:dyDescent="0.3">
      <c r="A4367" s="5"/>
      <c r="B4367" s="6"/>
      <c r="C4367" s="7"/>
      <c r="D4367" s="10"/>
      <c r="F4367" s="1"/>
      <c r="G4367" s="1"/>
      <c r="H4367" s="1"/>
      <c r="I4367" s="7"/>
      <c r="J4367" s="12"/>
      <c r="K4367" s="13"/>
      <c r="L4367" s="14"/>
      <c r="M4367" s="15"/>
      <c r="N4367" s="15"/>
      <c r="O4367" s="16"/>
      <c r="Q4367" s="16"/>
    </row>
    <row r="4368" spans="1:17" x14ac:dyDescent="0.3">
      <c r="A4368" s="5"/>
      <c r="B4368" s="6"/>
      <c r="C4368" s="7"/>
      <c r="D4368" s="10"/>
      <c r="F4368" s="1"/>
      <c r="G4368" s="1"/>
      <c r="H4368" s="1"/>
      <c r="I4368" s="7"/>
      <c r="J4368" s="12"/>
      <c r="K4368" s="13"/>
      <c r="L4368" s="14"/>
      <c r="M4368" s="15"/>
      <c r="N4368" s="15"/>
      <c r="O4368" s="16"/>
      <c r="Q4368" s="16"/>
    </row>
    <row r="4369" spans="1:17" x14ac:dyDescent="0.3">
      <c r="A4369" s="5"/>
      <c r="B4369" s="6"/>
      <c r="C4369" s="7"/>
      <c r="D4369" s="10"/>
      <c r="F4369" s="1"/>
      <c r="G4369" s="1"/>
      <c r="H4369" s="1"/>
      <c r="I4369" s="7"/>
      <c r="J4369" s="12"/>
      <c r="K4369" s="13"/>
      <c r="L4369" s="14"/>
      <c r="M4369" s="15"/>
      <c r="N4369" s="15"/>
      <c r="O4369" s="16"/>
      <c r="Q4369" s="16"/>
    </row>
    <row r="4370" spans="1:17" x14ac:dyDescent="0.3">
      <c r="A4370" s="5"/>
      <c r="B4370" s="6"/>
      <c r="C4370" s="7"/>
      <c r="D4370" s="10"/>
      <c r="F4370" s="1"/>
      <c r="G4370" s="1"/>
      <c r="H4370" s="1"/>
      <c r="I4370" s="7"/>
      <c r="J4370" s="12"/>
      <c r="K4370" s="13"/>
      <c r="L4370" s="14"/>
      <c r="M4370" s="15"/>
      <c r="N4370" s="15"/>
      <c r="O4370" s="16"/>
      <c r="Q4370" s="16"/>
    </row>
    <row r="4371" spans="1:17" x14ac:dyDescent="0.3">
      <c r="A4371" s="5"/>
      <c r="B4371" s="6"/>
      <c r="C4371" s="7"/>
      <c r="D4371" s="10"/>
      <c r="F4371" s="1"/>
      <c r="G4371" s="1"/>
      <c r="H4371" s="1"/>
      <c r="I4371" s="7"/>
      <c r="J4371" s="12"/>
      <c r="K4371" s="13"/>
      <c r="L4371" s="14"/>
      <c r="M4371" s="15"/>
      <c r="N4371" s="15"/>
      <c r="O4371" s="16"/>
      <c r="Q4371" s="16"/>
    </row>
    <row r="4372" spans="1:17" x14ac:dyDescent="0.3">
      <c r="A4372" s="5"/>
      <c r="B4372" s="6"/>
      <c r="C4372" s="7"/>
      <c r="D4372" s="10"/>
      <c r="F4372" s="1"/>
      <c r="G4372" s="1"/>
      <c r="H4372" s="1"/>
      <c r="I4372" s="7"/>
      <c r="J4372" s="12"/>
      <c r="K4372" s="13"/>
      <c r="L4372" s="14"/>
      <c r="M4372" s="15"/>
      <c r="N4372" s="15"/>
      <c r="O4372" s="16"/>
      <c r="Q4372" s="16"/>
    </row>
    <row r="4373" spans="1:17" x14ac:dyDescent="0.3">
      <c r="A4373" s="5"/>
      <c r="B4373" s="6"/>
      <c r="C4373" s="7"/>
      <c r="D4373" s="10"/>
      <c r="F4373" s="1"/>
      <c r="G4373" s="1"/>
      <c r="H4373" s="1"/>
      <c r="I4373" s="7"/>
      <c r="J4373" s="12"/>
      <c r="K4373" s="13"/>
      <c r="L4373" s="14"/>
      <c r="M4373" s="15"/>
      <c r="N4373" s="15"/>
      <c r="O4373" s="16"/>
      <c r="Q4373" s="16"/>
    </row>
    <row r="4374" spans="1:17" x14ac:dyDescent="0.3">
      <c r="A4374" s="5"/>
      <c r="B4374" s="6"/>
      <c r="C4374" s="7"/>
      <c r="D4374" s="10"/>
      <c r="F4374" s="1"/>
      <c r="G4374" s="1"/>
      <c r="H4374" s="1"/>
      <c r="I4374" s="7"/>
      <c r="J4374" s="12"/>
      <c r="K4374" s="13"/>
      <c r="L4374" s="14"/>
      <c r="M4374" s="15"/>
      <c r="N4374" s="15"/>
      <c r="O4374" s="16"/>
      <c r="Q4374" s="16"/>
    </row>
    <row r="4375" spans="1:17" x14ac:dyDescent="0.3">
      <c r="A4375" s="5"/>
      <c r="B4375" s="6"/>
      <c r="C4375" s="7"/>
      <c r="D4375" s="10"/>
      <c r="F4375" s="1"/>
      <c r="G4375" s="1"/>
      <c r="H4375" s="1"/>
      <c r="I4375" s="7"/>
      <c r="J4375" s="12"/>
      <c r="K4375" s="13"/>
      <c r="L4375" s="14"/>
      <c r="M4375" s="15"/>
      <c r="N4375" s="15"/>
      <c r="O4375" s="16"/>
      <c r="Q4375" s="16"/>
    </row>
    <row r="4376" spans="1:17" x14ac:dyDescent="0.3">
      <c r="A4376" s="5"/>
      <c r="B4376" s="6"/>
      <c r="C4376" s="7"/>
      <c r="D4376" s="10"/>
      <c r="F4376" s="1"/>
      <c r="G4376" s="1"/>
      <c r="H4376" s="1"/>
      <c r="I4376" s="7"/>
      <c r="J4376" s="12"/>
      <c r="K4376" s="13"/>
      <c r="L4376" s="14"/>
      <c r="M4376" s="15"/>
      <c r="N4376" s="15"/>
      <c r="O4376" s="16"/>
      <c r="Q4376" s="16"/>
    </row>
    <row r="4377" spans="1:17" x14ac:dyDescent="0.3">
      <c r="A4377" s="5"/>
      <c r="B4377" s="6"/>
      <c r="C4377" s="7"/>
      <c r="D4377" s="10"/>
      <c r="F4377" s="1"/>
      <c r="G4377" s="1"/>
      <c r="H4377" s="1"/>
      <c r="I4377" s="7"/>
      <c r="J4377" s="12"/>
      <c r="K4377" s="13"/>
      <c r="L4377" s="14"/>
      <c r="M4377" s="15"/>
      <c r="N4377" s="15"/>
      <c r="O4377" s="16"/>
      <c r="Q4377" s="16"/>
    </row>
    <row r="4378" spans="1:17" x14ac:dyDescent="0.3">
      <c r="A4378" s="5"/>
      <c r="B4378" s="6"/>
      <c r="C4378" s="7"/>
      <c r="D4378" s="10"/>
      <c r="F4378" s="1"/>
      <c r="G4378" s="1"/>
      <c r="H4378" s="1"/>
      <c r="I4378" s="7"/>
      <c r="J4378" s="12"/>
      <c r="K4378" s="13"/>
      <c r="L4378" s="14"/>
      <c r="M4378" s="15"/>
      <c r="N4378" s="15"/>
      <c r="O4378" s="16"/>
      <c r="Q4378" s="16"/>
    </row>
    <row r="4379" spans="1:17" x14ac:dyDescent="0.3">
      <c r="A4379" s="5"/>
      <c r="B4379" s="6"/>
      <c r="C4379" s="7"/>
      <c r="D4379" s="10"/>
      <c r="F4379" s="1"/>
      <c r="G4379" s="1"/>
      <c r="H4379" s="1"/>
      <c r="I4379" s="7"/>
      <c r="J4379" s="12"/>
      <c r="K4379" s="13"/>
      <c r="L4379" s="14"/>
      <c r="M4379" s="15"/>
      <c r="N4379" s="15"/>
      <c r="O4379" s="16"/>
      <c r="Q4379" s="16"/>
    </row>
    <row r="4380" spans="1:17" x14ac:dyDescent="0.3">
      <c r="A4380" s="5"/>
      <c r="B4380" s="6"/>
      <c r="C4380" s="7"/>
      <c r="D4380" s="10"/>
      <c r="F4380" s="1"/>
      <c r="G4380" s="1"/>
      <c r="H4380" s="1"/>
      <c r="I4380" s="7"/>
      <c r="J4380" s="12"/>
      <c r="K4380" s="13"/>
      <c r="L4380" s="14"/>
      <c r="M4380" s="15"/>
      <c r="N4380" s="15"/>
      <c r="O4380" s="16"/>
      <c r="Q4380" s="16"/>
    </row>
    <row r="4381" spans="1:17" x14ac:dyDescent="0.3">
      <c r="A4381" s="5"/>
      <c r="B4381" s="6"/>
      <c r="C4381" s="7"/>
      <c r="D4381" s="10"/>
      <c r="F4381" s="1"/>
      <c r="G4381" s="1"/>
      <c r="H4381" s="1"/>
      <c r="I4381" s="7"/>
      <c r="J4381" s="12"/>
      <c r="K4381" s="13"/>
      <c r="L4381" s="14"/>
      <c r="M4381" s="15"/>
      <c r="N4381" s="15"/>
      <c r="O4381" s="16"/>
      <c r="Q4381" s="16"/>
    </row>
    <row r="4382" spans="1:17" x14ac:dyDescent="0.3">
      <c r="A4382" s="5"/>
      <c r="B4382" s="6"/>
      <c r="C4382" s="7"/>
      <c r="D4382" s="10"/>
      <c r="F4382" s="1"/>
      <c r="G4382" s="1"/>
      <c r="H4382" s="1"/>
      <c r="I4382" s="7"/>
      <c r="J4382" s="12"/>
      <c r="K4382" s="13"/>
      <c r="L4382" s="14"/>
      <c r="M4382" s="15"/>
      <c r="N4382" s="15"/>
      <c r="O4382" s="16"/>
      <c r="Q4382" s="16"/>
    </row>
    <row r="4383" spans="1:17" x14ac:dyDescent="0.3">
      <c r="A4383" s="5"/>
      <c r="B4383" s="6"/>
      <c r="C4383" s="7"/>
      <c r="D4383" s="10"/>
      <c r="F4383" s="1"/>
      <c r="G4383" s="1"/>
      <c r="H4383" s="1"/>
      <c r="I4383" s="7"/>
      <c r="J4383" s="12"/>
      <c r="K4383" s="13"/>
      <c r="L4383" s="14"/>
      <c r="M4383" s="15"/>
      <c r="N4383" s="15"/>
      <c r="O4383" s="16"/>
      <c r="Q4383" s="16"/>
    </row>
    <row r="4384" spans="1:17" x14ac:dyDescent="0.3">
      <c r="A4384" s="5"/>
      <c r="B4384" s="6"/>
      <c r="C4384" s="7"/>
      <c r="D4384" s="10"/>
      <c r="F4384" s="1"/>
      <c r="G4384" s="1"/>
      <c r="H4384" s="1"/>
      <c r="I4384" s="7"/>
      <c r="J4384" s="12"/>
      <c r="K4384" s="13"/>
      <c r="L4384" s="14"/>
      <c r="M4384" s="15"/>
      <c r="N4384" s="15"/>
      <c r="O4384" s="16"/>
      <c r="Q4384" s="16"/>
    </row>
    <row r="4385" spans="1:17" x14ac:dyDescent="0.3">
      <c r="A4385" s="5"/>
      <c r="B4385" s="6"/>
      <c r="C4385" s="7"/>
      <c r="D4385" s="10"/>
      <c r="F4385" s="1"/>
      <c r="G4385" s="1"/>
      <c r="H4385" s="1"/>
      <c r="I4385" s="7"/>
      <c r="J4385" s="12"/>
      <c r="K4385" s="13"/>
      <c r="L4385" s="14"/>
      <c r="M4385" s="15"/>
      <c r="N4385" s="15"/>
      <c r="O4385" s="16"/>
      <c r="Q4385" s="16"/>
    </row>
    <row r="4386" spans="1:17" x14ac:dyDescent="0.3">
      <c r="A4386" s="5"/>
      <c r="B4386" s="6"/>
      <c r="C4386" s="7"/>
      <c r="D4386" s="10"/>
      <c r="F4386" s="1"/>
      <c r="G4386" s="1"/>
      <c r="H4386" s="1"/>
      <c r="I4386" s="7"/>
      <c r="J4386" s="12"/>
      <c r="K4386" s="13"/>
      <c r="L4386" s="14"/>
      <c r="M4386" s="15"/>
      <c r="N4386" s="15"/>
      <c r="O4386" s="16"/>
      <c r="Q4386" s="16"/>
    </row>
    <row r="4387" spans="1:17" x14ac:dyDescent="0.3">
      <c r="A4387" s="5"/>
      <c r="B4387" s="6"/>
      <c r="C4387" s="7"/>
      <c r="D4387" s="10"/>
      <c r="F4387" s="1"/>
      <c r="G4387" s="1"/>
      <c r="H4387" s="1"/>
      <c r="I4387" s="7"/>
      <c r="J4387" s="12"/>
      <c r="K4387" s="13"/>
      <c r="L4387" s="14"/>
      <c r="M4387" s="15"/>
      <c r="N4387" s="15"/>
      <c r="O4387" s="16"/>
      <c r="Q4387" s="16"/>
    </row>
    <row r="4388" spans="1:17" x14ac:dyDescent="0.3">
      <c r="A4388" s="5"/>
      <c r="B4388" s="6"/>
      <c r="C4388" s="7"/>
      <c r="D4388" s="10"/>
      <c r="F4388" s="1"/>
      <c r="G4388" s="1"/>
      <c r="H4388" s="1"/>
      <c r="I4388" s="7"/>
      <c r="J4388" s="12"/>
      <c r="K4388" s="13"/>
      <c r="L4388" s="14"/>
      <c r="M4388" s="15"/>
      <c r="N4388" s="15"/>
      <c r="O4388" s="16"/>
      <c r="Q4388" s="16"/>
    </row>
    <row r="4389" spans="1:17" x14ac:dyDescent="0.3">
      <c r="A4389" s="5"/>
      <c r="B4389" s="6"/>
      <c r="C4389" s="7"/>
      <c r="D4389" s="10"/>
      <c r="F4389" s="1"/>
      <c r="G4389" s="1"/>
      <c r="H4389" s="1"/>
      <c r="I4389" s="7"/>
      <c r="J4389" s="12"/>
      <c r="K4389" s="13"/>
      <c r="L4389" s="14"/>
      <c r="M4389" s="15"/>
      <c r="N4389" s="15"/>
      <c r="O4389" s="16"/>
      <c r="Q4389" s="16"/>
    </row>
    <row r="4390" spans="1:17" x14ac:dyDescent="0.3">
      <c r="A4390" s="5"/>
      <c r="B4390" s="6"/>
      <c r="C4390" s="7"/>
      <c r="D4390" s="10"/>
      <c r="F4390" s="1"/>
      <c r="G4390" s="1"/>
      <c r="H4390" s="1"/>
      <c r="I4390" s="7"/>
      <c r="J4390" s="12"/>
      <c r="K4390" s="13"/>
      <c r="L4390" s="14"/>
      <c r="M4390" s="15"/>
      <c r="N4390" s="15"/>
      <c r="O4390" s="16"/>
      <c r="Q4390" s="16"/>
    </row>
    <row r="4391" spans="1:17" x14ac:dyDescent="0.3">
      <c r="A4391" s="5"/>
      <c r="B4391" s="6"/>
      <c r="C4391" s="7"/>
      <c r="D4391" s="10"/>
      <c r="F4391" s="1"/>
      <c r="G4391" s="1"/>
      <c r="H4391" s="1"/>
      <c r="I4391" s="7"/>
      <c r="J4391" s="12"/>
      <c r="K4391" s="13"/>
      <c r="L4391" s="14"/>
      <c r="M4391" s="15"/>
      <c r="N4391" s="15"/>
      <c r="O4391" s="16"/>
      <c r="Q4391" s="16"/>
    </row>
    <row r="4392" spans="1:17" x14ac:dyDescent="0.3">
      <c r="A4392" s="5"/>
      <c r="B4392" s="6"/>
      <c r="C4392" s="7"/>
      <c r="D4392" s="10"/>
      <c r="F4392" s="1"/>
      <c r="G4392" s="1"/>
      <c r="H4392" s="1"/>
      <c r="I4392" s="7"/>
      <c r="J4392" s="12"/>
      <c r="K4392" s="13"/>
      <c r="L4392" s="14"/>
      <c r="M4392" s="15"/>
      <c r="N4392" s="15"/>
      <c r="O4392" s="16"/>
      <c r="Q4392" s="16"/>
    </row>
    <row r="4393" spans="1:17" x14ac:dyDescent="0.3">
      <c r="A4393" s="5"/>
      <c r="B4393" s="6"/>
      <c r="C4393" s="7"/>
      <c r="D4393" s="10"/>
      <c r="F4393" s="1"/>
      <c r="G4393" s="1"/>
      <c r="H4393" s="1"/>
      <c r="I4393" s="7"/>
      <c r="J4393" s="12"/>
      <c r="K4393" s="13"/>
      <c r="L4393" s="14"/>
      <c r="M4393" s="15"/>
      <c r="N4393" s="15"/>
      <c r="O4393" s="16"/>
      <c r="Q4393" s="16"/>
    </row>
    <row r="4394" spans="1:17" x14ac:dyDescent="0.3">
      <c r="A4394" s="5"/>
      <c r="B4394" s="6"/>
      <c r="C4394" s="7"/>
      <c r="D4394" s="10"/>
      <c r="F4394" s="1"/>
      <c r="G4394" s="1"/>
      <c r="H4394" s="1"/>
      <c r="I4394" s="7"/>
      <c r="J4394" s="12"/>
      <c r="K4394" s="13"/>
      <c r="L4394" s="14"/>
      <c r="M4394" s="15"/>
      <c r="N4394" s="15"/>
      <c r="O4394" s="16"/>
      <c r="Q4394" s="16"/>
    </row>
    <row r="4395" spans="1:17" x14ac:dyDescent="0.3">
      <c r="A4395" s="5"/>
      <c r="B4395" s="6"/>
      <c r="C4395" s="7"/>
      <c r="D4395" s="10"/>
      <c r="F4395" s="1"/>
      <c r="G4395" s="1"/>
      <c r="H4395" s="1"/>
      <c r="I4395" s="7"/>
      <c r="J4395" s="12"/>
      <c r="K4395" s="13"/>
      <c r="L4395" s="14"/>
      <c r="M4395" s="15"/>
      <c r="N4395" s="15"/>
      <c r="O4395" s="16"/>
      <c r="Q4395" s="16"/>
    </row>
    <row r="4396" spans="1:17" x14ac:dyDescent="0.3">
      <c r="A4396" s="5"/>
      <c r="B4396" s="6"/>
      <c r="C4396" s="7"/>
      <c r="D4396" s="10"/>
      <c r="F4396" s="1"/>
      <c r="G4396" s="1"/>
      <c r="H4396" s="1"/>
      <c r="I4396" s="7"/>
      <c r="J4396" s="12"/>
      <c r="K4396" s="13"/>
      <c r="L4396" s="14"/>
      <c r="M4396" s="15"/>
      <c r="N4396" s="15"/>
      <c r="O4396" s="16"/>
      <c r="Q4396" s="16"/>
    </row>
    <row r="4397" spans="1:17" x14ac:dyDescent="0.3">
      <c r="A4397" s="5"/>
      <c r="B4397" s="6"/>
      <c r="C4397" s="7"/>
      <c r="D4397" s="10"/>
      <c r="F4397" s="1"/>
      <c r="G4397" s="1"/>
      <c r="H4397" s="1"/>
      <c r="I4397" s="7"/>
      <c r="J4397" s="12"/>
      <c r="K4397" s="13"/>
      <c r="L4397" s="14"/>
      <c r="M4397" s="15"/>
      <c r="N4397" s="15"/>
      <c r="O4397" s="16"/>
      <c r="Q4397" s="16"/>
    </row>
    <row r="4398" spans="1:17" x14ac:dyDescent="0.3">
      <c r="A4398" s="5"/>
      <c r="B4398" s="6"/>
      <c r="C4398" s="7"/>
      <c r="D4398" s="10"/>
      <c r="F4398" s="1"/>
      <c r="G4398" s="1"/>
      <c r="H4398" s="1"/>
      <c r="I4398" s="7"/>
      <c r="J4398" s="12"/>
      <c r="K4398" s="13"/>
      <c r="L4398" s="14"/>
      <c r="M4398" s="15"/>
      <c r="N4398" s="15"/>
      <c r="O4398" s="16"/>
      <c r="Q4398" s="16"/>
    </row>
    <row r="4399" spans="1:17" x14ac:dyDescent="0.3">
      <c r="A4399" s="5"/>
      <c r="B4399" s="6"/>
      <c r="C4399" s="7"/>
      <c r="D4399" s="10"/>
      <c r="F4399" s="1"/>
      <c r="G4399" s="1"/>
      <c r="H4399" s="1"/>
      <c r="I4399" s="7"/>
      <c r="J4399" s="12"/>
      <c r="K4399" s="13"/>
      <c r="L4399" s="14"/>
      <c r="M4399" s="15"/>
      <c r="N4399" s="15"/>
      <c r="O4399" s="16"/>
      <c r="Q4399" s="16"/>
    </row>
    <row r="4400" spans="1:17" x14ac:dyDescent="0.3">
      <c r="A4400" s="5"/>
      <c r="B4400" s="6"/>
      <c r="C4400" s="7"/>
      <c r="D4400" s="10"/>
      <c r="F4400" s="1"/>
      <c r="G4400" s="1"/>
      <c r="H4400" s="1"/>
      <c r="I4400" s="7"/>
      <c r="J4400" s="12"/>
      <c r="K4400" s="13"/>
      <c r="L4400" s="14"/>
      <c r="M4400" s="15"/>
      <c r="N4400" s="15"/>
      <c r="O4400" s="16"/>
      <c r="Q4400" s="16"/>
    </row>
    <row r="4401" spans="1:17" x14ac:dyDescent="0.3">
      <c r="A4401" s="5"/>
      <c r="B4401" s="6"/>
      <c r="C4401" s="7"/>
      <c r="D4401" s="10"/>
      <c r="F4401" s="1"/>
      <c r="G4401" s="1"/>
      <c r="H4401" s="1"/>
      <c r="I4401" s="7"/>
      <c r="J4401" s="12"/>
      <c r="K4401" s="13"/>
      <c r="L4401" s="14"/>
      <c r="M4401" s="15"/>
      <c r="N4401" s="15"/>
      <c r="O4401" s="16"/>
      <c r="Q4401" s="16"/>
    </row>
    <row r="4402" spans="1:17" x14ac:dyDescent="0.3">
      <c r="A4402" s="5"/>
      <c r="B4402" s="6"/>
      <c r="C4402" s="7"/>
      <c r="D4402" s="10"/>
      <c r="F4402" s="1"/>
      <c r="G4402" s="1"/>
      <c r="H4402" s="1"/>
      <c r="I4402" s="7"/>
      <c r="J4402" s="12"/>
      <c r="K4402" s="13"/>
      <c r="L4402" s="14"/>
      <c r="M4402" s="15"/>
      <c r="N4402" s="15"/>
      <c r="O4402" s="16"/>
      <c r="Q4402" s="16"/>
    </row>
    <row r="4403" spans="1:17" x14ac:dyDescent="0.3">
      <c r="A4403" s="5"/>
      <c r="B4403" s="6"/>
      <c r="C4403" s="7"/>
      <c r="D4403" s="10"/>
      <c r="F4403" s="1"/>
      <c r="G4403" s="1"/>
      <c r="H4403" s="1"/>
      <c r="I4403" s="7"/>
      <c r="J4403" s="12"/>
      <c r="K4403" s="13"/>
      <c r="L4403" s="14"/>
      <c r="M4403" s="15"/>
      <c r="N4403" s="15"/>
      <c r="O4403" s="16"/>
      <c r="Q4403" s="16"/>
    </row>
    <row r="4404" spans="1:17" x14ac:dyDescent="0.3">
      <c r="A4404" s="5"/>
      <c r="B4404" s="6"/>
      <c r="C4404" s="7"/>
      <c r="D4404" s="10"/>
      <c r="F4404" s="1"/>
      <c r="G4404" s="1"/>
      <c r="H4404" s="1"/>
      <c r="I4404" s="7"/>
      <c r="J4404" s="12"/>
      <c r="K4404" s="13"/>
      <c r="L4404" s="14"/>
      <c r="M4404" s="15"/>
      <c r="N4404" s="15"/>
      <c r="O4404" s="16"/>
      <c r="Q4404" s="16"/>
    </row>
    <row r="4405" spans="1:17" x14ac:dyDescent="0.3">
      <c r="A4405" s="5"/>
      <c r="B4405" s="6"/>
      <c r="C4405" s="7"/>
      <c r="D4405" s="10"/>
      <c r="F4405" s="1"/>
      <c r="G4405" s="1"/>
      <c r="H4405" s="1"/>
      <c r="I4405" s="7"/>
      <c r="J4405" s="12"/>
      <c r="K4405" s="13"/>
      <c r="L4405" s="14"/>
      <c r="M4405" s="15"/>
      <c r="N4405" s="15"/>
      <c r="O4405" s="16"/>
      <c r="Q4405" s="16"/>
    </row>
    <row r="4406" spans="1:17" x14ac:dyDescent="0.3">
      <c r="A4406" s="5"/>
      <c r="B4406" s="6"/>
      <c r="C4406" s="7"/>
      <c r="D4406" s="10"/>
      <c r="F4406" s="1"/>
      <c r="G4406" s="1"/>
      <c r="H4406" s="1"/>
      <c r="I4406" s="7"/>
      <c r="J4406" s="12"/>
      <c r="K4406" s="13"/>
      <c r="L4406" s="14"/>
      <c r="M4406" s="15"/>
      <c r="N4406" s="15"/>
      <c r="O4406" s="16"/>
      <c r="Q4406" s="16"/>
    </row>
    <row r="4407" spans="1:17" x14ac:dyDescent="0.3">
      <c r="A4407" s="5"/>
      <c r="B4407" s="6"/>
      <c r="C4407" s="7"/>
      <c r="D4407" s="10"/>
      <c r="F4407" s="1"/>
      <c r="G4407" s="1"/>
      <c r="H4407" s="1"/>
      <c r="I4407" s="7"/>
      <c r="J4407" s="12"/>
      <c r="K4407" s="13"/>
      <c r="L4407" s="14"/>
      <c r="M4407" s="15"/>
      <c r="N4407" s="15"/>
      <c r="O4407" s="16"/>
      <c r="Q4407" s="16"/>
    </row>
    <row r="4408" spans="1:17" x14ac:dyDescent="0.3">
      <c r="A4408" s="5"/>
      <c r="B4408" s="6"/>
      <c r="C4408" s="7"/>
      <c r="D4408" s="10"/>
      <c r="F4408" s="1"/>
      <c r="G4408" s="1"/>
      <c r="H4408" s="1"/>
      <c r="I4408" s="7"/>
      <c r="J4408" s="12"/>
      <c r="K4408" s="13"/>
      <c r="L4408" s="14"/>
      <c r="M4408" s="15"/>
      <c r="N4408" s="15"/>
      <c r="O4408" s="16"/>
      <c r="Q4408" s="16"/>
    </row>
    <row r="4409" spans="1:17" x14ac:dyDescent="0.3">
      <c r="A4409" s="5"/>
      <c r="B4409" s="6"/>
      <c r="C4409" s="7"/>
      <c r="D4409" s="10"/>
      <c r="F4409" s="1"/>
      <c r="G4409" s="1"/>
      <c r="H4409" s="1"/>
      <c r="I4409" s="7"/>
      <c r="J4409" s="12"/>
      <c r="K4409" s="13"/>
      <c r="L4409" s="14"/>
      <c r="M4409" s="15"/>
      <c r="N4409" s="15"/>
      <c r="O4409" s="16"/>
      <c r="Q4409" s="16"/>
    </row>
    <row r="4410" spans="1:17" x14ac:dyDescent="0.3">
      <c r="A4410" s="5"/>
      <c r="B4410" s="6"/>
      <c r="C4410" s="7"/>
      <c r="D4410" s="10"/>
      <c r="F4410" s="1"/>
      <c r="G4410" s="1"/>
      <c r="H4410" s="1"/>
      <c r="I4410" s="7"/>
      <c r="J4410" s="12"/>
      <c r="K4410" s="13"/>
      <c r="L4410" s="14"/>
      <c r="M4410" s="15"/>
      <c r="N4410" s="15"/>
      <c r="O4410" s="16"/>
      <c r="Q4410" s="16"/>
    </row>
    <row r="4411" spans="1:17" x14ac:dyDescent="0.3">
      <c r="A4411" s="5"/>
      <c r="B4411" s="6"/>
      <c r="C4411" s="7"/>
      <c r="D4411" s="10"/>
      <c r="F4411" s="1"/>
      <c r="G4411" s="1"/>
      <c r="H4411" s="1"/>
      <c r="I4411" s="7"/>
      <c r="J4411" s="12"/>
      <c r="K4411" s="13"/>
      <c r="L4411" s="14"/>
      <c r="M4411" s="15"/>
      <c r="N4411" s="15"/>
      <c r="O4411" s="16"/>
      <c r="Q4411" s="16"/>
    </row>
    <row r="4412" spans="1:17" x14ac:dyDescent="0.3">
      <c r="A4412" s="5"/>
      <c r="B4412" s="6"/>
      <c r="C4412" s="7"/>
      <c r="D4412" s="10"/>
      <c r="F4412" s="1"/>
      <c r="G4412" s="1"/>
      <c r="H4412" s="1"/>
      <c r="I4412" s="7"/>
      <c r="J4412" s="12"/>
      <c r="K4412" s="13"/>
      <c r="L4412" s="14"/>
      <c r="M4412" s="15"/>
      <c r="N4412" s="15"/>
      <c r="O4412" s="16"/>
      <c r="Q4412" s="16"/>
    </row>
    <row r="4413" spans="1:17" x14ac:dyDescent="0.3">
      <c r="A4413" s="5"/>
      <c r="B4413" s="6"/>
      <c r="C4413" s="7"/>
      <c r="D4413" s="10"/>
      <c r="F4413" s="1"/>
      <c r="G4413" s="1"/>
      <c r="H4413" s="1"/>
      <c r="I4413" s="7"/>
      <c r="J4413" s="12"/>
      <c r="K4413" s="13"/>
      <c r="L4413" s="14"/>
      <c r="M4413" s="15"/>
      <c r="N4413" s="15"/>
      <c r="O4413" s="16"/>
      <c r="Q4413" s="16"/>
    </row>
    <row r="4414" spans="1:17" x14ac:dyDescent="0.3">
      <c r="A4414" s="5"/>
      <c r="B4414" s="6"/>
      <c r="C4414" s="7"/>
      <c r="D4414" s="10"/>
      <c r="F4414" s="1"/>
      <c r="G4414" s="1"/>
      <c r="H4414" s="1"/>
      <c r="I4414" s="7"/>
      <c r="J4414" s="12"/>
      <c r="K4414" s="13"/>
      <c r="L4414" s="14"/>
      <c r="M4414" s="15"/>
      <c r="N4414" s="15"/>
      <c r="O4414" s="16"/>
      <c r="Q4414" s="16"/>
    </row>
    <row r="4415" spans="1:17" x14ac:dyDescent="0.3">
      <c r="A4415" s="5"/>
      <c r="B4415" s="6"/>
      <c r="C4415" s="7"/>
      <c r="D4415" s="10"/>
      <c r="F4415" s="1"/>
      <c r="G4415" s="1"/>
      <c r="H4415" s="1"/>
      <c r="I4415" s="7"/>
      <c r="J4415" s="12"/>
      <c r="K4415" s="13"/>
      <c r="L4415" s="14"/>
      <c r="M4415" s="15"/>
      <c r="N4415" s="15"/>
      <c r="O4415" s="16"/>
      <c r="Q4415" s="16"/>
    </row>
    <row r="4416" spans="1:17" x14ac:dyDescent="0.3">
      <c r="A4416" s="5"/>
      <c r="B4416" s="6"/>
      <c r="C4416" s="7"/>
      <c r="D4416" s="10"/>
      <c r="F4416" s="1"/>
      <c r="G4416" s="1"/>
      <c r="H4416" s="1"/>
      <c r="I4416" s="7"/>
      <c r="J4416" s="12"/>
      <c r="K4416" s="13"/>
      <c r="L4416" s="14"/>
      <c r="M4416" s="15"/>
      <c r="N4416" s="15"/>
      <c r="O4416" s="16"/>
      <c r="Q4416" s="16"/>
    </row>
    <row r="4417" spans="1:17" x14ac:dyDescent="0.3">
      <c r="A4417" s="5"/>
      <c r="B4417" s="6"/>
      <c r="C4417" s="7"/>
      <c r="D4417" s="10"/>
      <c r="F4417" s="1"/>
      <c r="G4417" s="1"/>
      <c r="H4417" s="1"/>
      <c r="I4417" s="7"/>
      <c r="J4417" s="12"/>
      <c r="K4417" s="13"/>
      <c r="L4417" s="14"/>
      <c r="M4417" s="15"/>
      <c r="N4417" s="15"/>
      <c r="O4417" s="16"/>
      <c r="Q4417" s="16"/>
    </row>
    <row r="4418" spans="1:17" x14ac:dyDescent="0.3">
      <c r="A4418" s="5"/>
      <c r="B4418" s="6"/>
      <c r="C4418" s="7"/>
      <c r="D4418" s="10"/>
      <c r="F4418" s="1"/>
      <c r="G4418" s="1"/>
      <c r="H4418" s="1"/>
      <c r="I4418" s="7"/>
      <c r="J4418" s="12"/>
      <c r="K4418" s="13"/>
      <c r="L4418" s="14"/>
      <c r="M4418" s="15"/>
      <c r="N4418" s="15"/>
      <c r="O4418" s="16"/>
      <c r="Q4418" s="16"/>
    </row>
    <row r="4419" spans="1:17" x14ac:dyDescent="0.3">
      <c r="A4419" s="5"/>
      <c r="B4419" s="6"/>
      <c r="C4419" s="7"/>
      <c r="D4419" s="10"/>
      <c r="F4419" s="1"/>
      <c r="G4419" s="1"/>
      <c r="H4419" s="1"/>
      <c r="I4419" s="7"/>
      <c r="J4419" s="12"/>
      <c r="K4419" s="13"/>
      <c r="L4419" s="14"/>
      <c r="M4419" s="15"/>
      <c r="N4419" s="15"/>
      <c r="O4419" s="16"/>
      <c r="Q4419" s="16"/>
    </row>
    <row r="4420" spans="1:17" x14ac:dyDescent="0.3">
      <c r="A4420" s="5"/>
      <c r="B4420" s="6"/>
      <c r="C4420" s="7"/>
      <c r="D4420" s="10"/>
      <c r="F4420" s="1"/>
      <c r="G4420" s="1"/>
      <c r="H4420" s="1"/>
      <c r="I4420" s="7"/>
      <c r="J4420" s="12"/>
      <c r="K4420" s="13"/>
      <c r="L4420" s="14"/>
      <c r="M4420" s="15"/>
      <c r="N4420" s="15"/>
      <c r="O4420" s="16"/>
      <c r="Q4420" s="16"/>
    </row>
    <row r="4421" spans="1:17" x14ac:dyDescent="0.3">
      <c r="A4421" s="5"/>
      <c r="B4421" s="6"/>
      <c r="C4421" s="7"/>
      <c r="D4421" s="10"/>
      <c r="F4421" s="1"/>
      <c r="G4421" s="1"/>
      <c r="H4421" s="1"/>
      <c r="I4421" s="7"/>
      <c r="J4421" s="12"/>
      <c r="K4421" s="13"/>
      <c r="L4421" s="14"/>
      <c r="M4421" s="15"/>
      <c r="N4421" s="15"/>
      <c r="O4421" s="16"/>
      <c r="Q4421" s="16"/>
    </row>
    <row r="4422" spans="1:17" x14ac:dyDescent="0.3">
      <c r="A4422" s="5"/>
      <c r="B4422" s="6"/>
      <c r="C4422" s="7"/>
      <c r="D4422" s="10"/>
      <c r="F4422" s="1"/>
      <c r="G4422" s="1"/>
      <c r="H4422" s="1"/>
      <c r="I4422" s="7"/>
      <c r="J4422" s="12"/>
      <c r="K4422" s="13"/>
      <c r="L4422" s="14"/>
      <c r="M4422" s="15"/>
      <c r="N4422" s="15"/>
      <c r="O4422" s="16"/>
      <c r="Q4422" s="16"/>
    </row>
    <row r="4423" spans="1:17" x14ac:dyDescent="0.3">
      <c r="A4423" s="5"/>
      <c r="B4423" s="6"/>
      <c r="C4423" s="7"/>
      <c r="D4423" s="10"/>
      <c r="F4423" s="1"/>
      <c r="G4423" s="1"/>
      <c r="H4423" s="1"/>
      <c r="I4423" s="7"/>
      <c r="J4423" s="12"/>
      <c r="K4423" s="13"/>
      <c r="L4423" s="14"/>
      <c r="M4423" s="15"/>
      <c r="N4423" s="15"/>
      <c r="O4423" s="16"/>
      <c r="Q4423" s="16"/>
    </row>
    <row r="4424" spans="1:17" x14ac:dyDescent="0.3">
      <c r="A4424" s="5"/>
      <c r="B4424" s="6"/>
      <c r="C4424" s="7"/>
      <c r="D4424" s="10"/>
      <c r="F4424" s="1"/>
      <c r="G4424" s="1"/>
      <c r="H4424" s="1"/>
      <c r="I4424" s="7"/>
      <c r="J4424" s="12"/>
      <c r="K4424" s="13"/>
      <c r="L4424" s="14"/>
      <c r="M4424" s="15"/>
      <c r="N4424" s="15"/>
      <c r="O4424" s="16"/>
      <c r="Q4424" s="16"/>
    </row>
    <row r="4425" spans="1:17" x14ac:dyDescent="0.3">
      <c r="A4425" s="5"/>
      <c r="B4425" s="6"/>
      <c r="C4425" s="7"/>
      <c r="D4425" s="10"/>
      <c r="F4425" s="1"/>
      <c r="G4425" s="1"/>
      <c r="H4425" s="1"/>
      <c r="I4425" s="7"/>
      <c r="J4425" s="12"/>
      <c r="K4425" s="13"/>
      <c r="L4425" s="14"/>
      <c r="M4425" s="15"/>
      <c r="N4425" s="15"/>
      <c r="O4425" s="16"/>
      <c r="Q4425" s="16"/>
    </row>
    <row r="4426" spans="1:17" x14ac:dyDescent="0.3">
      <c r="A4426" s="5"/>
      <c r="B4426" s="6"/>
      <c r="C4426" s="7"/>
      <c r="D4426" s="10"/>
      <c r="F4426" s="1"/>
      <c r="G4426" s="1"/>
      <c r="H4426" s="1"/>
      <c r="I4426" s="7"/>
      <c r="J4426" s="12"/>
      <c r="K4426" s="13"/>
      <c r="L4426" s="14"/>
      <c r="M4426" s="15"/>
      <c r="N4426" s="15"/>
      <c r="O4426" s="16"/>
      <c r="Q4426" s="16"/>
    </row>
    <row r="4427" spans="1:17" x14ac:dyDescent="0.3">
      <c r="A4427" s="5"/>
      <c r="B4427" s="6"/>
      <c r="C4427" s="7"/>
      <c r="D4427" s="10"/>
      <c r="F4427" s="1"/>
      <c r="G4427" s="1"/>
      <c r="H4427" s="1"/>
      <c r="I4427" s="7"/>
      <c r="J4427" s="12"/>
      <c r="K4427" s="13"/>
      <c r="L4427" s="14"/>
      <c r="M4427" s="15"/>
      <c r="N4427" s="15"/>
      <c r="O4427" s="16"/>
      <c r="Q4427" s="16"/>
    </row>
    <row r="4428" spans="1:17" x14ac:dyDescent="0.3">
      <c r="A4428" s="5"/>
      <c r="B4428" s="6"/>
      <c r="C4428" s="7"/>
      <c r="D4428" s="10"/>
      <c r="F4428" s="1"/>
      <c r="G4428" s="1"/>
      <c r="H4428" s="1"/>
      <c r="I4428" s="7"/>
      <c r="J4428" s="12"/>
      <c r="K4428" s="13"/>
      <c r="L4428" s="14"/>
      <c r="M4428" s="15"/>
      <c r="N4428" s="15"/>
      <c r="O4428" s="16"/>
      <c r="Q4428" s="16"/>
    </row>
    <row r="4429" spans="1:17" x14ac:dyDescent="0.3">
      <c r="A4429" s="5"/>
      <c r="B4429" s="6"/>
      <c r="C4429" s="7"/>
      <c r="D4429" s="10"/>
      <c r="F4429" s="1"/>
      <c r="G4429" s="1"/>
      <c r="H4429" s="1"/>
      <c r="I4429" s="7"/>
      <c r="J4429" s="12"/>
      <c r="K4429" s="13"/>
      <c r="L4429" s="14"/>
      <c r="M4429" s="15"/>
      <c r="N4429" s="15"/>
      <c r="O4429" s="16"/>
      <c r="Q4429" s="16"/>
    </row>
    <row r="4430" spans="1:17" x14ac:dyDescent="0.3">
      <c r="A4430" s="5"/>
      <c r="B4430" s="6"/>
      <c r="C4430" s="7"/>
      <c r="D4430" s="10"/>
      <c r="F4430" s="1"/>
      <c r="G4430" s="1"/>
      <c r="H4430" s="1"/>
      <c r="I4430" s="7"/>
      <c r="J4430" s="12"/>
      <c r="K4430" s="13"/>
      <c r="L4430" s="14"/>
      <c r="M4430" s="15"/>
      <c r="N4430" s="15"/>
      <c r="O4430" s="16"/>
      <c r="Q4430" s="16"/>
    </row>
    <row r="4431" spans="1:17" x14ac:dyDescent="0.3">
      <c r="A4431" s="5"/>
      <c r="B4431" s="6"/>
      <c r="C4431" s="7"/>
      <c r="D4431" s="10"/>
      <c r="F4431" s="1"/>
      <c r="G4431" s="1"/>
      <c r="H4431" s="1"/>
      <c r="I4431" s="7"/>
      <c r="J4431" s="12"/>
      <c r="K4431" s="13"/>
      <c r="L4431" s="14"/>
      <c r="M4431" s="15"/>
      <c r="N4431" s="15"/>
      <c r="O4431" s="16"/>
      <c r="Q4431" s="16"/>
    </row>
    <row r="4432" spans="1:17" x14ac:dyDescent="0.3">
      <c r="A4432" s="5"/>
      <c r="B4432" s="6"/>
      <c r="C4432" s="7"/>
      <c r="D4432" s="10"/>
      <c r="F4432" s="1"/>
      <c r="G4432" s="1"/>
      <c r="H4432" s="1"/>
      <c r="I4432" s="7"/>
      <c r="J4432" s="12"/>
      <c r="K4432" s="13"/>
      <c r="L4432" s="14"/>
      <c r="M4432" s="15"/>
      <c r="N4432" s="15"/>
      <c r="O4432" s="16"/>
      <c r="Q4432" s="16"/>
    </row>
    <row r="4433" spans="1:17" x14ac:dyDescent="0.3">
      <c r="A4433" s="5"/>
      <c r="B4433" s="6"/>
      <c r="C4433" s="7"/>
      <c r="D4433" s="10"/>
      <c r="F4433" s="1"/>
      <c r="G4433" s="1"/>
      <c r="H4433" s="1"/>
      <c r="I4433" s="7"/>
      <c r="J4433" s="12"/>
      <c r="K4433" s="13"/>
      <c r="L4433" s="14"/>
      <c r="M4433" s="15"/>
      <c r="N4433" s="15"/>
      <c r="O4433" s="16"/>
      <c r="Q4433" s="16"/>
    </row>
    <row r="4434" spans="1:17" x14ac:dyDescent="0.3">
      <c r="A4434" s="5"/>
      <c r="B4434" s="6"/>
      <c r="C4434" s="7"/>
      <c r="D4434" s="10"/>
      <c r="F4434" s="1"/>
      <c r="G4434" s="1"/>
      <c r="H4434" s="1"/>
      <c r="I4434" s="7"/>
      <c r="J4434" s="12"/>
      <c r="K4434" s="13"/>
      <c r="L4434" s="14"/>
      <c r="M4434" s="15"/>
      <c r="N4434" s="15"/>
      <c r="O4434" s="16"/>
      <c r="Q4434" s="16"/>
    </row>
    <row r="4435" spans="1:17" x14ac:dyDescent="0.3">
      <c r="A4435" s="5"/>
      <c r="B4435" s="6"/>
      <c r="C4435" s="7"/>
      <c r="D4435" s="10"/>
      <c r="F4435" s="1"/>
      <c r="G4435" s="1"/>
      <c r="H4435" s="1"/>
      <c r="I4435" s="7"/>
      <c r="J4435" s="12"/>
      <c r="K4435" s="13"/>
      <c r="L4435" s="14"/>
      <c r="M4435" s="15"/>
      <c r="N4435" s="15"/>
      <c r="O4435" s="16"/>
      <c r="Q4435" s="16"/>
    </row>
    <row r="4436" spans="1:17" x14ac:dyDescent="0.3">
      <c r="A4436" s="5"/>
      <c r="B4436" s="6"/>
      <c r="C4436" s="7"/>
      <c r="D4436" s="10"/>
      <c r="F4436" s="1"/>
      <c r="G4436" s="1"/>
      <c r="H4436" s="1"/>
      <c r="I4436" s="7"/>
      <c r="J4436" s="12"/>
      <c r="K4436" s="13"/>
      <c r="L4436" s="14"/>
      <c r="M4436" s="15"/>
      <c r="N4436" s="15"/>
      <c r="O4436" s="16"/>
      <c r="Q4436" s="16"/>
    </row>
    <row r="4437" spans="1:17" x14ac:dyDescent="0.3">
      <c r="A4437" s="5"/>
      <c r="B4437" s="6"/>
      <c r="C4437" s="7"/>
      <c r="D4437" s="10"/>
      <c r="F4437" s="1"/>
      <c r="G4437" s="1"/>
      <c r="H4437" s="1"/>
      <c r="I4437" s="7"/>
      <c r="J4437" s="12"/>
      <c r="K4437" s="13"/>
      <c r="L4437" s="14"/>
      <c r="M4437" s="15"/>
      <c r="N4437" s="15"/>
      <c r="O4437" s="16"/>
      <c r="Q4437" s="16"/>
    </row>
    <row r="4438" spans="1:17" x14ac:dyDescent="0.3">
      <c r="A4438" s="5"/>
      <c r="B4438" s="6"/>
      <c r="C4438" s="7"/>
      <c r="D4438" s="10"/>
      <c r="F4438" s="1"/>
      <c r="G4438" s="1"/>
      <c r="H4438" s="1"/>
      <c r="I4438" s="7"/>
      <c r="J4438" s="12"/>
      <c r="K4438" s="13"/>
      <c r="L4438" s="14"/>
      <c r="M4438" s="15"/>
      <c r="N4438" s="15"/>
      <c r="O4438" s="16"/>
      <c r="Q4438" s="16"/>
    </row>
    <row r="4439" spans="1:17" x14ac:dyDescent="0.3">
      <c r="A4439" s="5"/>
      <c r="B4439" s="6"/>
      <c r="C4439" s="7"/>
      <c r="D4439" s="10"/>
      <c r="F4439" s="1"/>
      <c r="G4439" s="1"/>
      <c r="H4439" s="1"/>
      <c r="I4439" s="7"/>
      <c r="J4439" s="12"/>
      <c r="K4439" s="13"/>
      <c r="L4439" s="14"/>
      <c r="M4439" s="15"/>
      <c r="N4439" s="15"/>
      <c r="O4439" s="16"/>
      <c r="Q4439" s="16"/>
    </row>
    <row r="4440" spans="1:17" x14ac:dyDescent="0.3">
      <c r="A4440" s="5"/>
      <c r="B4440" s="6"/>
      <c r="C4440" s="7"/>
      <c r="D4440" s="10"/>
      <c r="F4440" s="1"/>
      <c r="G4440" s="1"/>
      <c r="H4440" s="1"/>
      <c r="I4440" s="7"/>
      <c r="J4440" s="12"/>
      <c r="K4440" s="13"/>
      <c r="L4440" s="14"/>
      <c r="M4440" s="15"/>
      <c r="N4440" s="15"/>
      <c r="O4440" s="16"/>
      <c r="Q4440" s="16"/>
    </row>
    <row r="4441" spans="1:17" x14ac:dyDescent="0.3">
      <c r="A4441" s="5"/>
      <c r="B4441" s="6"/>
      <c r="C4441" s="7"/>
      <c r="D4441" s="10"/>
      <c r="F4441" s="1"/>
      <c r="G4441" s="1"/>
      <c r="H4441" s="1"/>
      <c r="I4441" s="7"/>
      <c r="J4441" s="12"/>
      <c r="K4441" s="13"/>
      <c r="L4441" s="14"/>
      <c r="M4441" s="15"/>
      <c r="N4441" s="15"/>
      <c r="O4441" s="16"/>
      <c r="Q4441" s="16"/>
    </row>
    <row r="4442" spans="1:17" x14ac:dyDescent="0.3">
      <c r="A4442" s="5"/>
      <c r="B4442" s="6"/>
      <c r="C4442" s="7"/>
      <c r="D4442" s="10"/>
      <c r="F4442" s="1"/>
      <c r="G4442" s="1"/>
      <c r="H4442" s="1"/>
      <c r="I4442" s="7"/>
      <c r="J4442" s="12"/>
      <c r="K4442" s="13"/>
      <c r="L4442" s="14"/>
      <c r="M4442" s="15"/>
      <c r="N4442" s="15"/>
      <c r="O4442" s="16"/>
      <c r="Q4442" s="16"/>
    </row>
    <row r="4443" spans="1:17" x14ac:dyDescent="0.3">
      <c r="A4443" s="5"/>
      <c r="B4443" s="6"/>
      <c r="C4443" s="7"/>
      <c r="D4443" s="10"/>
      <c r="F4443" s="1"/>
      <c r="G4443" s="1"/>
      <c r="H4443" s="1"/>
      <c r="I4443" s="7"/>
      <c r="J4443" s="12"/>
      <c r="K4443" s="13"/>
      <c r="L4443" s="14"/>
      <c r="M4443" s="15"/>
      <c r="N4443" s="15"/>
      <c r="O4443" s="16"/>
      <c r="Q4443" s="16"/>
    </row>
    <row r="4444" spans="1:17" x14ac:dyDescent="0.3">
      <c r="A4444" s="5"/>
      <c r="B4444" s="6"/>
      <c r="C4444" s="7"/>
      <c r="D4444" s="10"/>
      <c r="F4444" s="1"/>
      <c r="G4444" s="1"/>
      <c r="H4444" s="1"/>
      <c r="I4444" s="7"/>
      <c r="J4444" s="12"/>
      <c r="K4444" s="13"/>
      <c r="L4444" s="14"/>
      <c r="M4444" s="15"/>
      <c r="N4444" s="15"/>
      <c r="O4444" s="16"/>
      <c r="Q4444" s="16"/>
    </row>
    <row r="4445" spans="1:17" x14ac:dyDescent="0.3">
      <c r="A4445" s="5"/>
      <c r="B4445" s="6"/>
      <c r="C4445" s="7"/>
      <c r="D4445" s="10"/>
      <c r="F4445" s="1"/>
      <c r="G4445" s="1"/>
      <c r="H4445" s="1"/>
      <c r="I4445" s="7"/>
      <c r="J4445" s="12"/>
      <c r="K4445" s="13"/>
      <c r="L4445" s="14"/>
      <c r="M4445" s="15"/>
      <c r="N4445" s="15"/>
      <c r="O4445" s="16"/>
      <c r="Q4445" s="16"/>
    </row>
    <row r="4446" spans="1:17" x14ac:dyDescent="0.3">
      <c r="A4446" s="5"/>
      <c r="B4446" s="6"/>
      <c r="C4446" s="7"/>
      <c r="D4446" s="10"/>
      <c r="F4446" s="1"/>
      <c r="G4446" s="1"/>
      <c r="H4446" s="1"/>
      <c r="I4446" s="7"/>
      <c r="J4446" s="12"/>
      <c r="K4446" s="13"/>
      <c r="L4446" s="14"/>
      <c r="M4446" s="15"/>
      <c r="N4446" s="15"/>
      <c r="O4446" s="16"/>
      <c r="Q4446" s="16"/>
    </row>
    <row r="4447" spans="1:17" x14ac:dyDescent="0.3">
      <c r="A4447" s="5"/>
      <c r="B4447" s="6"/>
      <c r="C4447" s="7"/>
      <c r="D4447" s="10"/>
      <c r="F4447" s="1"/>
      <c r="G4447" s="1"/>
      <c r="H4447" s="1"/>
      <c r="I4447" s="7"/>
      <c r="J4447" s="12"/>
      <c r="K4447" s="13"/>
      <c r="L4447" s="14"/>
      <c r="M4447" s="15"/>
      <c r="N4447" s="15"/>
      <c r="O4447" s="16"/>
      <c r="Q4447" s="16"/>
    </row>
    <row r="4448" spans="1:17" x14ac:dyDescent="0.3">
      <c r="A4448" s="5"/>
      <c r="B4448" s="6"/>
      <c r="C4448" s="7"/>
      <c r="D4448" s="10"/>
      <c r="F4448" s="1"/>
      <c r="G4448" s="1"/>
      <c r="H4448" s="1"/>
      <c r="I4448" s="7"/>
      <c r="J4448" s="12"/>
      <c r="K4448" s="13"/>
      <c r="L4448" s="14"/>
      <c r="M4448" s="15"/>
      <c r="N4448" s="15"/>
      <c r="O4448" s="16"/>
      <c r="Q4448" s="16"/>
    </row>
    <row r="4449" spans="1:17" x14ac:dyDescent="0.3">
      <c r="A4449" s="5"/>
      <c r="B4449" s="6"/>
      <c r="C4449" s="7"/>
      <c r="D4449" s="10"/>
      <c r="F4449" s="1"/>
      <c r="G4449" s="1"/>
      <c r="H4449" s="1"/>
      <c r="I4449" s="7"/>
      <c r="J4449" s="12"/>
      <c r="K4449" s="13"/>
      <c r="L4449" s="14"/>
      <c r="M4449" s="15"/>
      <c r="N4449" s="15"/>
      <c r="O4449" s="16"/>
      <c r="Q4449" s="16"/>
    </row>
    <row r="4450" spans="1:17" x14ac:dyDescent="0.3">
      <c r="A4450" s="5"/>
      <c r="B4450" s="6"/>
      <c r="C4450" s="7"/>
      <c r="D4450" s="10"/>
      <c r="F4450" s="1"/>
      <c r="G4450" s="1"/>
      <c r="H4450" s="1"/>
      <c r="I4450" s="7"/>
      <c r="J4450" s="12"/>
      <c r="K4450" s="13"/>
      <c r="L4450" s="14"/>
      <c r="M4450" s="15"/>
      <c r="N4450" s="15"/>
      <c r="O4450" s="16"/>
      <c r="Q4450" s="16"/>
    </row>
    <row r="4451" spans="1:17" x14ac:dyDescent="0.3">
      <c r="A4451" s="5"/>
      <c r="B4451" s="6"/>
      <c r="C4451" s="7"/>
      <c r="D4451" s="10"/>
      <c r="F4451" s="1"/>
      <c r="G4451" s="1"/>
      <c r="H4451" s="1"/>
      <c r="I4451" s="7"/>
      <c r="J4451" s="12"/>
      <c r="K4451" s="13"/>
      <c r="L4451" s="14"/>
      <c r="M4451" s="15"/>
      <c r="N4451" s="15"/>
      <c r="O4451" s="16"/>
      <c r="Q4451" s="16"/>
    </row>
    <row r="4452" spans="1:17" x14ac:dyDescent="0.3">
      <c r="A4452" s="5"/>
      <c r="B4452" s="6"/>
      <c r="C4452" s="7"/>
      <c r="D4452" s="10"/>
      <c r="F4452" s="1"/>
      <c r="G4452" s="1"/>
      <c r="H4452" s="1"/>
      <c r="I4452" s="7"/>
      <c r="J4452" s="12"/>
      <c r="K4452" s="13"/>
      <c r="L4452" s="14"/>
      <c r="M4452" s="15"/>
      <c r="N4452" s="15"/>
      <c r="O4452" s="16"/>
      <c r="Q4452" s="16"/>
    </row>
    <row r="4453" spans="1:17" x14ac:dyDescent="0.3">
      <c r="A4453" s="5"/>
      <c r="B4453" s="6"/>
      <c r="C4453" s="7"/>
      <c r="D4453" s="10"/>
      <c r="F4453" s="1"/>
      <c r="G4453" s="1"/>
      <c r="H4453" s="1"/>
      <c r="I4453" s="7"/>
      <c r="J4453" s="12"/>
      <c r="K4453" s="13"/>
      <c r="L4453" s="14"/>
      <c r="M4453" s="15"/>
      <c r="N4453" s="15"/>
      <c r="O4453" s="16"/>
      <c r="Q4453" s="16"/>
    </row>
    <row r="4454" spans="1:17" x14ac:dyDescent="0.3">
      <c r="A4454" s="5"/>
      <c r="B4454" s="6"/>
      <c r="C4454" s="7"/>
      <c r="D4454" s="10"/>
      <c r="F4454" s="1"/>
      <c r="G4454" s="1"/>
      <c r="H4454" s="1"/>
      <c r="I4454" s="7"/>
      <c r="J4454" s="12"/>
      <c r="K4454" s="13"/>
      <c r="L4454" s="14"/>
      <c r="M4454" s="15"/>
      <c r="N4454" s="15"/>
      <c r="O4454" s="16"/>
      <c r="Q4454" s="16"/>
    </row>
    <row r="4455" spans="1:17" x14ac:dyDescent="0.3">
      <c r="A4455" s="5"/>
      <c r="B4455" s="6"/>
      <c r="C4455" s="7"/>
      <c r="D4455" s="10"/>
      <c r="F4455" s="1"/>
      <c r="G4455" s="1"/>
      <c r="H4455" s="1"/>
      <c r="I4455" s="7"/>
      <c r="J4455" s="12"/>
      <c r="K4455" s="13"/>
      <c r="L4455" s="14"/>
      <c r="M4455" s="15"/>
      <c r="N4455" s="15"/>
      <c r="O4455" s="16"/>
      <c r="Q4455" s="16"/>
    </row>
    <row r="4456" spans="1:17" x14ac:dyDescent="0.3">
      <c r="A4456" s="5"/>
      <c r="B4456" s="6"/>
      <c r="C4456" s="7"/>
      <c r="D4456" s="10"/>
      <c r="F4456" s="1"/>
      <c r="G4456" s="1"/>
      <c r="H4456" s="1"/>
      <c r="I4456" s="7"/>
      <c r="J4456" s="12"/>
      <c r="K4456" s="13"/>
      <c r="L4456" s="14"/>
      <c r="M4456" s="15"/>
      <c r="N4456" s="15"/>
      <c r="O4456" s="16"/>
      <c r="Q4456" s="16"/>
    </row>
    <row r="4457" spans="1:17" x14ac:dyDescent="0.3">
      <c r="A4457" s="5"/>
      <c r="B4457" s="6"/>
      <c r="C4457" s="7"/>
      <c r="D4457" s="10"/>
      <c r="F4457" s="1"/>
      <c r="G4457" s="1"/>
      <c r="H4457" s="1"/>
      <c r="I4457" s="7"/>
      <c r="J4457" s="12"/>
      <c r="K4457" s="13"/>
      <c r="L4457" s="14"/>
      <c r="M4457" s="15"/>
      <c r="N4457" s="15"/>
      <c r="O4457" s="16"/>
      <c r="Q4457" s="16"/>
    </row>
    <row r="4458" spans="1:17" x14ac:dyDescent="0.3">
      <c r="A4458" s="5"/>
      <c r="B4458" s="6"/>
      <c r="C4458" s="7"/>
      <c r="D4458" s="10"/>
      <c r="F4458" s="1"/>
      <c r="G4458" s="1"/>
      <c r="H4458" s="1"/>
      <c r="I4458" s="7"/>
      <c r="J4458" s="12"/>
      <c r="K4458" s="13"/>
      <c r="L4458" s="14"/>
      <c r="M4458" s="15"/>
      <c r="N4458" s="15"/>
      <c r="O4458" s="16"/>
      <c r="Q4458" s="16"/>
    </row>
    <row r="4459" spans="1:17" x14ac:dyDescent="0.3">
      <c r="A4459" s="5"/>
      <c r="B4459" s="6"/>
      <c r="C4459" s="7"/>
      <c r="D4459" s="10"/>
      <c r="F4459" s="1"/>
      <c r="G4459" s="1"/>
      <c r="H4459" s="1"/>
      <c r="I4459" s="7"/>
      <c r="J4459" s="12"/>
      <c r="K4459" s="13"/>
      <c r="L4459" s="14"/>
      <c r="M4459" s="15"/>
      <c r="N4459" s="15"/>
      <c r="O4459" s="16"/>
      <c r="Q4459" s="16"/>
    </row>
    <row r="4460" spans="1:17" x14ac:dyDescent="0.3">
      <c r="A4460" s="5"/>
      <c r="B4460" s="6"/>
      <c r="C4460" s="7"/>
      <c r="D4460" s="10"/>
      <c r="F4460" s="1"/>
      <c r="G4460" s="1"/>
      <c r="H4460" s="1"/>
      <c r="I4460" s="7"/>
      <c r="J4460" s="12"/>
      <c r="K4460" s="13"/>
      <c r="L4460" s="14"/>
      <c r="M4460" s="15"/>
      <c r="N4460" s="15"/>
      <c r="O4460" s="16"/>
      <c r="Q4460" s="16"/>
    </row>
    <row r="4461" spans="1:17" x14ac:dyDescent="0.3">
      <c r="A4461" s="5"/>
      <c r="B4461" s="6"/>
      <c r="C4461" s="7"/>
      <c r="D4461" s="10"/>
      <c r="F4461" s="1"/>
      <c r="G4461" s="1"/>
      <c r="H4461" s="1"/>
      <c r="I4461" s="7"/>
      <c r="J4461" s="12"/>
      <c r="K4461" s="13"/>
      <c r="L4461" s="14"/>
      <c r="M4461" s="15"/>
      <c r="N4461" s="15"/>
      <c r="O4461" s="16"/>
      <c r="Q4461" s="16"/>
    </row>
    <row r="4462" spans="1:17" x14ac:dyDescent="0.3">
      <c r="A4462" s="5"/>
      <c r="B4462" s="6"/>
      <c r="C4462" s="7"/>
      <c r="D4462" s="10"/>
      <c r="F4462" s="1"/>
      <c r="G4462" s="1"/>
      <c r="H4462" s="1"/>
      <c r="I4462" s="7"/>
      <c r="J4462" s="12"/>
      <c r="K4462" s="13"/>
      <c r="L4462" s="14"/>
      <c r="M4462" s="15"/>
      <c r="N4462" s="15"/>
      <c r="O4462" s="16"/>
      <c r="Q4462" s="16"/>
    </row>
    <row r="4463" spans="1:17" x14ac:dyDescent="0.3">
      <c r="A4463" s="5"/>
      <c r="B4463" s="6"/>
      <c r="C4463" s="7"/>
      <c r="D4463" s="10"/>
      <c r="F4463" s="1"/>
      <c r="G4463" s="1"/>
      <c r="H4463" s="1"/>
      <c r="I4463" s="7"/>
      <c r="J4463" s="12"/>
      <c r="K4463" s="13"/>
      <c r="L4463" s="14"/>
      <c r="M4463" s="15"/>
      <c r="N4463" s="15"/>
      <c r="O4463" s="16"/>
      <c r="Q4463" s="16"/>
    </row>
    <row r="4464" spans="1:17" x14ac:dyDescent="0.3">
      <c r="A4464" s="5"/>
      <c r="B4464" s="6"/>
      <c r="C4464" s="7"/>
      <c r="D4464" s="10"/>
      <c r="F4464" s="1"/>
      <c r="G4464" s="1"/>
      <c r="H4464" s="1"/>
      <c r="I4464" s="7"/>
      <c r="J4464" s="12"/>
      <c r="K4464" s="13"/>
      <c r="L4464" s="14"/>
      <c r="M4464" s="15"/>
      <c r="N4464" s="15"/>
      <c r="O4464" s="16"/>
      <c r="Q4464" s="16"/>
    </row>
    <row r="4465" spans="1:17" x14ac:dyDescent="0.3">
      <c r="A4465" s="5"/>
      <c r="B4465" s="6"/>
      <c r="C4465" s="7"/>
      <c r="D4465" s="10"/>
      <c r="F4465" s="1"/>
      <c r="G4465" s="1"/>
      <c r="H4465" s="1"/>
      <c r="I4465" s="7"/>
      <c r="J4465" s="12"/>
      <c r="K4465" s="13"/>
      <c r="L4465" s="14"/>
      <c r="M4465" s="15"/>
      <c r="N4465" s="15"/>
      <c r="O4465" s="16"/>
      <c r="Q4465" s="16"/>
    </row>
    <row r="4466" spans="1:17" x14ac:dyDescent="0.3">
      <c r="A4466" s="5"/>
      <c r="B4466" s="6"/>
      <c r="C4466" s="7"/>
      <c r="D4466" s="10"/>
      <c r="F4466" s="1"/>
      <c r="G4466" s="1"/>
      <c r="H4466" s="1"/>
      <c r="I4466" s="7"/>
      <c r="J4466" s="12"/>
      <c r="K4466" s="13"/>
      <c r="L4466" s="14"/>
      <c r="M4466" s="15"/>
      <c r="N4466" s="15"/>
      <c r="O4466" s="16"/>
      <c r="Q4466" s="16"/>
    </row>
    <row r="4467" spans="1:17" x14ac:dyDescent="0.3">
      <c r="A4467" s="5"/>
      <c r="B4467" s="6"/>
      <c r="C4467" s="7"/>
      <c r="D4467" s="10"/>
      <c r="F4467" s="1"/>
      <c r="G4467" s="1"/>
      <c r="H4467" s="1"/>
      <c r="I4467" s="7"/>
      <c r="J4467" s="12"/>
      <c r="K4467" s="13"/>
      <c r="L4467" s="14"/>
      <c r="M4467" s="15"/>
      <c r="N4467" s="15"/>
      <c r="O4467" s="16"/>
      <c r="Q4467" s="16"/>
    </row>
    <row r="4468" spans="1:17" x14ac:dyDescent="0.3">
      <c r="A4468" s="5"/>
      <c r="B4468" s="6"/>
      <c r="C4468" s="7"/>
      <c r="D4468" s="10"/>
      <c r="F4468" s="1"/>
      <c r="G4468" s="1"/>
      <c r="H4468" s="1"/>
      <c r="I4468" s="7"/>
      <c r="J4468" s="12"/>
      <c r="K4468" s="13"/>
      <c r="L4468" s="14"/>
      <c r="M4468" s="15"/>
      <c r="N4468" s="15"/>
      <c r="O4468" s="16"/>
      <c r="Q4468" s="16"/>
    </row>
    <row r="4469" spans="1:17" x14ac:dyDescent="0.3">
      <c r="A4469" s="5"/>
      <c r="B4469" s="6"/>
      <c r="C4469" s="7"/>
      <c r="D4469" s="10"/>
      <c r="F4469" s="1"/>
      <c r="G4469" s="1"/>
      <c r="H4469" s="1"/>
      <c r="I4469" s="7"/>
      <c r="J4469" s="12"/>
      <c r="K4469" s="13"/>
      <c r="L4469" s="14"/>
      <c r="M4469" s="15"/>
      <c r="N4469" s="15"/>
      <c r="O4469" s="16"/>
      <c r="Q4469" s="16"/>
    </row>
    <row r="4470" spans="1:17" x14ac:dyDescent="0.3">
      <c r="A4470" s="5"/>
      <c r="B4470" s="6"/>
      <c r="C4470" s="7"/>
      <c r="D4470" s="10"/>
      <c r="F4470" s="1"/>
      <c r="G4470" s="1"/>
      <c r="H4470" s="1"/>
      <c r="I4470" s="7"/>
      <c r="J4470" s="12"/>
      <c r="K4470" s="13"/>
      <c r="L4470" s="14"/>
      <c r="M4470" s="15"/>
      <c r="N4470" s="15"/>
      <c r="O4470" s="16"/>
      <c r="Q4470" s="16"/>
    </row>
    <row r="4471" spans="1:17" x14ac:dyDescent="0.3">
      <c r="A4471" s="5"/>
      <c r="B4471" s="6"/>
      <c r="C4471" s="7"/>
      <c r="D4471" s="10"/>
      <c r="F4471" s="1"/>
      <c r="G4471" s="1"/>
      <c r="H4471" s="1"/>
      <c r="I4471" s="7"/>
      <c r="J4471" s="12"/>
      <c r="K4471" s="13"/>
      <c r="L4471" s="14"/>
      <c r="M4471" s="15"/>
      <c r="N4471" s="15"/>
      <c r="O4471" s="16"/>
      <c r="Q4471" s="16"/>
    </row>
    <row r="4472" spans="1:17" x14ac:dyDescent="0.3">
      <c r="A4472" s="5"/>
      <c r="B4472" s="6"/>
      <c r="C4472" s="7"/>
      <c r="D4472" s="10"/>
      <c r="F4472" s="1"/>
      <c r="G4472" s="1"/>
      <c r="H4472" s="1"/>
      <c r="I4472" s="7"/>
      <c r="J4472" s="12"/>
      <c r="K4472" s="13"/>
      <c r="L4472" s="14"/>
      <c r="M4472" s="15"/>
      <c r="N4472" s="15"/>
      <c r="O4472" s="16"/>
      <c r="Q4472" s="16"/>
    </row>
    <row r="4473" spans="1:17" x14ac:dyDescent="0.3">
      <c r="A4473" s="5"/>
      <c r="B4473" s="6"/>
      <c r="C4473" s="7"/>
      <c r="D4473" s="10"/>
      <c r="F4473" s="1"/>
      <c r="G4473" s="1"/>
      <c r="H4473" s="1"/>
      <c r="I4473" s="7"/>
      <c r="J4473" s="12"/>
      <c r="K4473" s="13"/>
      <c r="L4473" s="14"/>
      <c r="M4473" s="15"/>
      <c r="N4473" s="15"/>
      <c r="O4473" s="16"/>
      <c r="Q4473" s="16"/>
    </row>
    <row r="4474" spans="1:17" x14ac:dyDescent="0.3">
      <c r="A4474" s="5"/>
      <c r="B4474" s="6"/>
      <c r="C4474" s="7"/>
      <c r="D4474" s="10"/>
      <c r="F4474" s="1"/>
      <c r="G4474" s="1"/>
      <c r="H4474" s="1"/>
      <c r="I4474" s="7"/>
      <c r="J4474" s="12"/>
      <c r="K4474" s="13"/>
      <c r="L4474" s="14"/>
      <c r="M4474" s="15"/>
      <c r="N4474" s="15"/>
      <c r="O4474" s="16"/>
      <c r="Q4474" s="16"/>
    </row>
    <row r="4475" spans="1:17" x14ac:dyDescent="0.3">
      <c r="A4475" s="5"/>
      <c r="B4475" s="6"/>
      <c r="C4475" s="7"/>
      <c r="D4475" s="10"/>
      <c r="F4475" s="1"/>
      <c r="G4475" s="1"/>
      <c r="H4475" s="1"/>
      <c r="I4475" s="7"/>
      <c r="J4475" s="12"/>
      <c r="K4475" s="13"/>
      <c r="L4475" s="14"/>
      <c r="M4475" s="15"/>
      <c r="N4475" s="15"/>
      <c r="O4475" s="16"/>
      <c r="Q4475" s="16"/>
    </row>
    <row r="4476" spans="1:17" x14ac:dyDescent="0.3">
      <c r="A4476" s="5"/>
      <c r="B4476" s="6"/>
      <c r="C4476" s="7"/>
      <c r="D4476" s="10"/>
      <c r="F4476" s="1"/>
      <c r="G4476" s="1"/>
      <c r="H4476" s="1"/>
      <c r="I4476" s="7"/>
      <c r="J4476" s="12"/>
      <c r="K4476" s="13"/>
      <c r="L4476" s="14"/>
      <c r="M4476" s="15"/>
      <c r="N4476" s="15"/>
      <c r="O4476" s="16"/>
      <c r="Q4476" s="16"/>
    </row>
    <row r="4477" spans="1:17" x14ac:dyDescent="0.3">
      <c r="A4477" s="5"/>
      <c r="B4477" s="6"/>
      <c r="C4477" s="7"/>
      <c r="D4477" s="10"/>
      <c r="F4477" s="1"/>
      <c r="G4477" s="1"/>
      <c r="H4477" s="1"/>
      <c r="I4477" s="7"/>
      <c r="J4477" s="12"/>
      <c r="K4477" s="13"/>
      <c r="L4477" s="14"/>
      <c r="M4477" s="15"/>
      <c r="N4477" s="15"/>
      <c r="O4477" s="16"/>
      <c r="Q4477" s="16"/>
    </row>
    <row r="4478" spans="1:17" x14ac:dyDescent="0.3">
      <c r="A4478" s="5"/>
      <c r="B4478" s="6"/>
      <c r="C4478" s="7"/>
      <c r="D4478" s="10"/>
      <c r="F4478" s="1"/>
      <c r="G4478" s="1"/>
      <c r="H4478" s="1"/>
      <c r="I4478" s="7"/>
      <c r="J4478" s="12"/>
      <c r="K4478" s="13"/>
      <c r="L4478" s="14"/>
      <c r="M4478" s="15"/>
      <c r="N4478" s="15"/>
      <c r="O4478" s="16"/>
      <c r="Q4478" s="16"/>
    </row>
    <row r="4479" spans="1:17" x14ac:dyDescent="0.3">
      <c r="A4479" s="5"/>
      <c r="B4479" s="6"/>
      <c r="C4479" s="7"/>
      <c r="D4479" s="10"/>
      <c r="F4479" s="1"/>
      <c r="G4479" s="1"/>
      <c r="H4479" s="1"/>
      <c r="I4479" s="7"/>
      <c r="J4479" s="12"/>
      <c r="K4479" s="13"/>
      <c r="L4479" s="14"/>
      <c r="M4479" s="15"/>
      <c r="N4479" s="15"/>
      <c r="O4479" s="16"/>
      <c r="Q4479" s="16"/>
    </row>
    <row r="4480" spans="1:17" x14ac:dyDescent="0.3">
      <c r="A4480" s="5"/>
      <c r="B4480" s="6"/>
      <c r="C4480" s="7"/>
      <c r="D4480" s="10"/>
      <c r="F4480" s="1"/>
      <c r="G4480" s="1"/>
      <c r="H4480" s="1"/>
      <c r="I4480" s="7"/>
      <c r="J4480" s="12"/>
      <c r="K4480" s="13"/>
      <c r="L4480" s="14"/>
      <c r="M4480" s="15"/>
      <c r="N4480" s="15"/>
      <c r="O4480" s="16"/>
      <c r="Q4480" s="16"/>
    </row>
    <row r="4481" spans="1:17" x14ac:dyDescent="0.3">
      <c r="A4481" s="5"/>
      <c r="B4481" s="6"/>
      <c r="C4481" s="7"/>
      <c r="D4481" s="10"/>
      <c r="F4481" s="1"/>
      <c r="G4481" s="1"/>
      <c r="H4481" s="1"/>
      <c r="I4481" s="7"/>
      <c r="J4481" s="12"/>
      <c r="K4481" s="13"/>
      <c r="L4481" s="14"/>
      <c r="M4481" s="15"/>
      <c r="N4481" s="15"/>
      <c r="O4481" s="16"/>
      <c r="Q4481" s="16"/>
    </row>
    <row r="4482" spans="1:17" x14ac:dyDescent="0.3">
      <c r="A4482" s="5"/>
      <c r="B4482" s="6"/>
      <c r="C4482" s="7"/>
      <c r="D4482" s="10"/>
      <c r="F4482" s="1"/>
      <c r="G4482" s="1"/>
      <c r="H4482" s="1"/>
      <c r="I4482" s="7"/>
      <c r="J4482" s="12"/>
      <c r="K4482" s="13"/>
      <c r="L4482" s="14"/>
      <c r="M4482" s="15"/>
      <c r="N4482" s="15"/>
      <c r="O4482" s="16"/>
      <c r="Q4482" s="16"/>
    </row>
    <row r="4483" spans="1:17" x14ac:dyDescent="0.3">
      <c r="A4483" s="5"/>
      <c r="B4483" s="6"/>
      <c r="C4483" s="7"/>
      <c r="D4483" s="10"/>
      <c r="F4483" s="1"/>
      <c r="G4483" s="1"/>
      <c r="H4483" s="1"/>
      <c r="I4483" s="7"/>
      <c r="J4483" s="12"/>
      <c r="K4483" s="13"/>
      <c r="L4483" s="14"/>
      <c r="M4483" s="15"/>
      <c r="N4483" s="15"/>
      <c r="O4483" s="16"/>
      <c r="Q4483" s="16"/>
    </row>
    <row r="4484" spans="1:17" x14ac:dyDescent="0.3">
      <c r="A4484" s="5"/>
      <c r="B4484" s="6"/>
      <c r="C4484" s="7"/>
      <c r="D4484" s="10"/>
      <c r="F4484" s="1"/>
      <c r="G4484" s="1"/>
      <c r="H4484" s="1"/>
      <c r="I4484" s="7"/>
      <c r="J4484" s="12"/>
      <c r="K4484" s="13"/>
      <c r="L4484" s="14"/>
      <c r="M4484" s="15"/>
      <c r="N4484" s="15"/>
      <c r="O4484" s="16"/>
      <c r="Q4484" s="16"/>
    </row>
    <row r="4485" spans="1:17" x14ac:dyDescent="0.3">
      <c r="A4485" s="5"/>
      <c r="B4485" s="6"/>
      <c r="C4485" s="7"/>
      <c r="D4485" s="10"/>
      <c r="F4485" s="1"/>
      <c r="G4485" s="1"/>
      <c r="H4485" s="1"/>
      <c r="I4485" s="7"/>
      <c r="J4485" s="12"/>
      <c r="K4485" s="13"/>
      <c r="L4485" s="14"/>
      <c r="M4485" s="15"/>
      <c r="N4485" s="15"/>
      <c r="O4485" s="16"/>
      <c r="Q4485" s="16"/>
    </row>
    <row r="4486" spans="1:17" x14ac:dyDescent="0.3">
      <c r="A4486" s="5"/>
      <c r="B4486" s="6"/>
      <c r="C4486" s="7"/>
      <c r="D4486" s="10"/>
      <c r="F4486" s="1"/>
      <c r="G4486" s="1"/>
      <c r="H4486" s="1"/>
      <c r="I4486" s="7"/>
      <c r="J4486" s="12"/>
      <c r="K4486" s="13"/>
      <c r="L4486" s="14"/>
      <c r="M4486" s="15"/>
      <c r="N4486" s="15"/>
      <c r="O4486" s="16"/>
      <c r="Q4486" s="16"/>
    </row>
    <row r="4487" spans="1:17" x14ac:dyDescent="0.3">
      <c r="A4487" s="5"/>
      <c r="B4487" s="6"/>
      <c r="C4487" s="7"/>
      <c r="D4487" s="10"/>
      <c r="F4487" s="1"/>
      <c r="G4487" s="1"/>
      <c r="H4487" s="1"/>
      <c r="I4487" s="7"/>
      <c r="J4487" s="12"/>
      <c r="K4487" s="13"/>
      <c r="L4487" s="14"/>
      <c r="M4487" s="15"/>
      <c r="N4487" s="15"/>
      <c r="O4487" s="16"/>
      <c r="Q4487" s="16"/>
    </row>
    <row r="4488" spans="1:17" x14ac:dyDescent="0.3">
      <c r="A4488" s="5"/>
      <c r="B4488" s="6"/>
      <c r="C4488" s="7"/>
      <c r="D4488" s="10"/>
      <c r="F4488" s="1"/>
      <c r="G4488" s="1"/>
      <c r="H4488" s="1"/>
      <c r="I4488" s="7"/>
      <c r="J4488" s="12"/>
      <c r="K4488" s="13"/>
      <c r="L4488" s="14"/>
      <c r="M4488" s="15"/>
      <c r="N4488" s="15"/>
      <c r="O4488" s="16"/>
      <c r="Q4488" s="16"/>
    </row>
    <row r="4489" spans="1:17" x14ac:dyDescent="0.3">
      <c r="A4489" s="5"/>
      <c r="B4489" s="6"/>
      <c r="C4489" s="7"/>
      <c r="D4489" s="10"/>
      <c r="F4489" s="1"/>
      <c r="G4489" s="1"/>
      <c r="H4489" s="1"/>
      <c r="I4489" s="7"/>
      <c r="J4489" s="12"/>
      <c r="K4489" s="13"/>
      <c r="L4489" s="14"/>
      <c r="M4489" s="15"/>
      <c r="N4489" s="15"/>
      <c r="O4489" s="16"/>
      <c r="Q4489" s="16"/>
    </row>
    <row r="4490" spans="1:17" x14ac:dyDescent="0.3">
      <c r="A4490" s="5"/>
      <c r="B4490" s="6"/>
      <c r="C4490" s="7"/>
      <c r="D4490" s="10"/>
      <c r="F4490" s="1"/>
      <c r="G4490" s="1"/>
      <c r="H4490" s="1"/>
      <c r="I4490" s="7"/>
      <c r="J4490" s="12"/>
      <c r="K4490" s="13"/>
      <c r="L4490" s="14"/>
      <c r="M4490" s="15"/>
      <c r="N4490" s="15"/>
      <c r="O4490" s="16"/>
      <c r="Q4490" s="16"/>
    </row>
    <row r="4491" spans="1:17" x14ac:dyDescent="0.3">
      <c r="A4491" s="5"/>
      <c r="B4491" s="6"/>
      <c r="C4491" s="7"/>
      <c r="D4491" s="10"/>
      <c r="F4491" s="1"/>
      <c r="G4491" s="1"/>
      <c r="H4491" s="1"/>
      <c r="I4491" s="7"/>
      <c r="J4491" s="12"/>
      <c r="K4491" s="13"/>
      <c r="L4491" s="14"/>
      <c r="M4491" s="15"/>
      <c r="N4491" s="15"/>
      <c r="O4491" s="16"/>
      <c r="Q4491" s="16"/>
    </row>
    <row r="4492" spans="1:17" x14ac:dyDescent="0.3">
      <c r="A4492" s="5"/>
      <c r="B4492" s="6"/>
      <c r="C4492" s="7"/>
      <c r="D4492" s="10"/>
      <c r="F4492" s="1"/>
      <c r="G4492" s="1"/>
      <c r="H4492" s="1"/>
      <c r="I4492" s="7"/>
      <c r="J4492" s="12"/>
      <c r="K4492" s="13"/>
      <c r="L4492" s="14"/>
      <c r="M4492" s="15"/>
      <c r="N4492" s="15"/>
      <c r="O4492" s="16"/>
      <c r="Q4492" s="16"/>
    </row>
    <row r="4493" spans="1:17" x14ac:dyDescent="0.3">
      <c r="A4493" s="5"/>
      <c r="B4493" s="6"/>
      <c r="C4493" s="7"/>
      <c r="D4493" s="10"/>
      <c r="F4493" s="1"/>
      <c r="G4493" s="1"/>
      <c r="H4493" s="1"/>
      <c r="I4493" s="7"/>
      <c r="J4493" s="12"/>
      <c r="K4493" s="13"/>
      <c r="L4493" s="14"/>
      <c r="M4493" s="15"/>
      <c r="N4493" s="15"/>
      <c r="O4493" s="16"/>
      <c r="Q4493" s="16"/>
    </row>
    <row r="4494" spans="1:17" x14ac:dyDescent="0.3">
      <c r="A4494" s="5"/>
      <c r="B4494" s="6"/>
      <c r="C4494" s="7"/>
      <c r="D4494" s="10"/>
      <c r="F4494" s="1"/>
      <c r="G4494" s="1"/>
      <c r="H4494" s="1"/>
      <c r="I4494" s="7"/>
      <c r="J4494" s="12"/>
      <c r="K4494" s="13"/>
      <c r="L4494" s="14"/>
      <c r="M4494" s="15"/>
      <c r="N4494" s="15"/>
      <c r="O4494" s="16"/>
      <c r="Q4494" s="16"/>
    </row>
    <row r="4495" spans="1:17" x14ac:dyDescent="0.3">
      <c r="A4495" s="5"/>
      <c r="B4495" s="6"/>
      <c r="C4495" s="7"/>
      <c r="D4495" s="10"/>
      <c r="F4495" s="1"/>
      <c r="G4495" s="1"/>
      <c r="H4495" s="1"/>
      <c r="I4495" s="7"/>
      <c r="J4495" s="12"/>
      <c r="K4495" s="13"/>
      <c r="L4495" s="14"/>
      <c r="M4495" s="15"/>
      <c r="N4495" s="15"/>
      <c r="O4495" s="16"/>
      <c r="Q4495" s="16"/>
    </row>
    <row r="4496" spans="1:17" x14ac:dyDescent="0.3">
      <c r="A4496" s="5"/>
      <c r="B4496" s="6"/>
      <c r="C4496" s="7"/>
      <c r="D4496" s="10"/>
      <c r="F4496" s="1"/>
      <c r="G4496" s="1"/>
      <c r="H4496" s="1"/>
      <c r="I4496" s="7"/>
      <c r="J4496" s="12"/>
      <c r="K4496" s="13"/>
      <c r="L4496" s="14"/>
      <c r="M4496" s="15"/>
      <c r="N4496" s="15"/>
      <c r="O4496" s="16"/>
      <c r="Q4496" s="16"/>
    </row>
    <row r="4497" spans="1:17" x14ac:dyDescent="0.3">
      <c r="A4497" s="5"/>
      <c r="B4497" s="6"/>
      <c r="C4497" s="7"/>
      <c r="D4497" s="10"/>
      <c r="F4497" s="1"/>
      <c r="G4497" s="1"/>
      <c r="H4497" s="1"/>
      <c r="I4497" s="7"/>
      <c r="J4497" s="12"/>
      <c r="K4497" s="13"/>
      <c r="L4497" s="14"/>
      <c r="M4497" s="15"/>
      <c r="N4497" s="15"/>
      <c r="O4497" s="16"/>
      <c r="Q4497" s="16"/>
    </row>
    <row r="4498" spans="1:17" x14ac:dyDescent="0.3">
      <c r="A4498" s="5"/>
      <c r="B4498" s="6"/>
      <c r="C4498" s="7"/>
      <c r="D4498" s="10"/>
      <c r="F4498" s="1"/>
      <c r="G4498" s="1"/>
      <c r="H4498" s="1"/>
      <c r="I4498" s="7"/>
      <c r="J4498" s="12"/>
      <c r="K4498" s="13"/>
      <c r="L4498" s="14"/>
      <c r="M4498" s="15"/>
      <c r="N4498" s="15"/>
      <c r="O4498" s="16"/>
      <c r="Q4498" s="16"/>
    </row>
    <row r="4499" spans="1:17" x14ac:dyDescent="0.3">
      <c r="A4499" s="5"/>
      <c r="B4499" s="6"/>
      <c r="C4499" s="7"/>
      <c r="D4499" s="10"/>
      <c r="F4499" s="1"/>
      <c r="G4499" s="1"/>
      <c r="H4499" s="1"/>
      <c r="I4499" s="7"/>
      <c r="J4499" s="12"/>
      <c r="K4499" s="13"/>
      <c r="L4499" s="14"/>
      <c r="M4499" s="15"/>
      <c r="N4499" s="15"/>
      <c r="O4499" s="16"/>
      <c r="Q4499" s="16"/>
    </row>
    <row r="4500" spans="1:17" x14ac:dyDescent="0.3">
      <c r="A4500" s="5"/>
      <c r="B4500" s="6"/>
      <c r="C4500" s="7"/>
      <c r="D4500" s="10"/>
      <c r="F4500" s="1"/>
      <c r="G4500" s="1"/>
      <c r="H4500" s="1"/>
      <c r="I4500" s="7"/>
      <c r="J4500" s="12"/>
      <c r="K4500" s="13"/>
      <c r="L4500" s="14"/>
      <c r="M4500" s="15"/>
      <c r="N4500" s="15"/>
      <c r="O4500" s="16"/>
      <c r="Q4500" s="16"/>
    </row>
    <row r="4501" spans="1:17" x14ac:dyDescent="0.3">
      <c r="A4501" s="5"/>
      <c r="B4501" s="6"/>
      <c r="C4501" s="7"/>
      <c r="D4501" s="10"/>
      <c r="F4501" s="1"/>
      <c r="G4501" s="1"/>
      <c r="H4501" s="1"/>
      <c r="I4501" s="7"/>
      <c r="J4501" s="12"/>
      <c r="K4501" s="13"/>
      <c r="L4501" s="14"/>
      <c r="M4501" s="15"/>
      <c r="N4501" s="15"/>
      <c r="O4501" s="16"/>
      <c r="Q4501" s="16"/>
    </row>
    <row r="4502" spans="1:17" x14ac:dyDescent="0.3">
      <c r="A4502" s="5"/>
      <c r="B4502" s="6"/>
      <c r="C4502" s="7"/>
      <c r="D4502" s="10"/>
      <c r="F4502" s="1"/>
      <c r="G4502" s="1"/>
      <c r="H4502" s="1"/>
      <c r="I4502" s="7"/>
      <c r="J4502" s="12"/>
      <c r="K4502" s="13"/>
      <c r="L4502" s="14"/>
      <c r="M4502" s="15"/>
      <c r="N4502" s="15"/>
      <c r="O4502" s="16"/>
      <c r="Q4502" s="16"/>
    </row>
    <row r="4503" spans="1:17" x14ac:dyDescent="0.3">
      <c r="A4503" s="5"/>
      <c r="B4503" s="6"/>
      <c r="C4503" s="7"/>
      <c r="D4503" s="10"/>
      <c r="F4503" s="1"/>
      <c r="G4503" s="1"/>
      <c r="H4503" s="1"/>
      <c r="I4503" s="7"/>
      <c r="J4503" s="12"/>
      <c r="K4503" s="13"/>
      <c r="L4503" s="14"/>
      <c r="M4503" s="15"/>
      <c r="N4503" s="15"/>
      <c r="O4503" s="16"/>
      <c r="Q4503" s="16"/>
    </row>
    <row r="4504" spans="1:17" x14ac:dyDescent="0.3">
      <c r="A4504" s="5"/>
      <c r="B4504" s="6"/>
      <c r="C4504" s="7"/>
      <c r="D4504" s="10"/>
      <c r="F4504" s="1"/>
      <c r="G4504" s="1"/>
      <c r="H4504" s="1"/>
      <c r="I4504" s="7"/>
      <c r="J4504" s="12"/>
      <c r="K4504" s="13"/>
      <c r="L4504" s="14"/>
      <c r="M4504" s="15"/>
      <c r="N4504" s="15"/>
      <c r="O4504" s="16"/>
      <c r="Q4504" s="16"/>
    </row>
    <row r="4505" spans="1:17" x14ac:dyDescent="0.3">
      <c r="A4505" s="5"/>
      <c r="B4505" s="6"/>
      <c r="C4505" s="7"/>
      <c r="D4505" s="10"/>
      <c r="F4505" s="1"/>
      <c r="G4505" s="1"/>
      <c r="H4505" s="1"/>
      <c r="I4505" s="7"/>
      <c r="J4505" s="12"/>
      <c r="K4505" s="13"/>
      <c r="L4505" s="14"/>
      <c r="M4505" s="15"/>
      <c r="N4505" s="15"/>
      <c r="O4505" s="16"/>
      <c r="Q4505" s="16"/>
    </row>
    <row r="4506" spans="1:17" x14ac:dyDescent="0.3">
      <c r="A4506" s="5"/>
      <c r="B4506" s="6"/>
      <c r="C4506" s="7"/>
      <c r="D4506" s="10"/>
      <c r="F4506" s="1"/>
      <c r="G4506" s="1"/>
      <c r="H4506" s="1"/>
      <c r="I4506" s="7"/>
      <c r="J4506" s="12"/>
      <c r="K4506" s="13"/>
      <c r="L4506" s="14"/>
      <c r="M4506" s="15"/>
      <c r="N4506" s="15"/>
      <c r="O4506" s="16"/>
      <c r="Q4506" s="16"/>
    </row>
    <row r="4507" spans="1:17" x14ac:dyDescent="0.3">
      <c r="A4507" s="5"/>
      <c r="B4507" s="6"/>
      <c r="C4507" s="7"/>
      <c r="D4507" s="10"/>
      <c r="F4507" s="1"/>
      <c r="G4507" s="1"/>
      <c r="H4507" s="1"/>
      <c r="I4507" s="7"/>
      <c r="J4507" s="12"/>
      <c r="K4507" s="13"/>
      <c r="L4507" s="14"/>
      <c r="M4507" s="15"/>
      <c r="N4507" s="15"/>
      <c r="O4507" s="16"/>
      <c r="Q4507" s="16"/>
    </row>
    <row r="4508" spans="1:17" x14ac:dyDescent="0.3">
      <c r="A4508" s="5"/>
      <c r="B4508" s="6"/>
      <c r="C4508" s="7"/>
      <c r="D4508" s="10"/>
      <c r="F4508" s="1"/>
      <c r="G4508" s="1"/>
      <c r="H4508" s="1"/>
      <c r="I4508" s="7"/>
      <c r="J4508" s="12"/>
      <c r="K4508" s="13"/>
      <c r="L4508" s="14"/>
      <c r="M4508" s="15"/>
      <c r="N4508" s="15"/>
      <c r="O4508" s="16"/>
      <c r="Q4508" s="16"/>
    </row>
    <row r="4509" spans="1:17" x14ac:dyDescent="0.3">
      <c r="A4509" s="5"/>
      <c r="B4509" s="6"/>
      <c r="C4509" s="7"/>
      <c r="D4509" s="10"/>
      <c r="F4509" s="1"/>
      <c r="G4509" s="1"/>
      <c r="H4509" s="1"/>
      <c r="I4509" s="7"/>
      <c r="J4509" s="12"/>
      <c r="K4509" s="13"/>
      <c r="L4509" s="14"/>
      <c r="M4509" s="15"/>
      <c r="N4509" s="15"/>
      <c r="O4509" s="16"/>
      <c r="Q4509" s="16"/>
    </row>
    <row r="4510" spans="1:17" x14ac:dyDescent="0.3">
      <c r="A4510" s="5"/>
      <c r="B4510" s="6"/>
      <c r="C4510" s="7"/>
      <c r="D4510" s="10"/>
      <c r="F4510" s="1"/>
      <c r="G4510" s="1"/>
      <c r="H4510" s="1"/>
      <c r="I4510" s="7"/>
      <c r="J4510" s="12"/>
      <c r="K4510" s="13"/>
      <c r="L4510" s="14"/>
      <c r="M4510" s="15"/>
      <c r="N4510" s="15"/>
      <c r="O4510" s="16"/>
      <c r="Q4510" s="16"/>
    </row>
    <row r="4511" spans="1:17" x14ac:dyDescent="0.3">
      <c r="A4511" s="5"/>
      <c r="B4511" s="6"/>
      <c r="C4511" s="7"/>
      <c r="D4511" s="10"/>
      <c r="F4511" s="1"/>
      <c r="G4511" s="1"/>
      <c r="H4511" s="1"/>
      <c r="I4511" s="7"/>
      <c r="J4511" s="12"/>
      <c r="K4511" s="13"/>
      <c r="L4511" s="14"/>
      <c r="M4511" s="15"/>
      <c r="N4511" s="15"/>
      <c r="O4511" s="16"/>
      <c r="Q4511" s="16"/>
    </row>
    <row r="4512" spans="1:17" x14ac:dyDescent="0.3">
      <c r="A4512" s="5"/>
      <c r="B4512" s="6"/>
      <c r="C4512" s="7"/>
      <c r="D4512" s="10"/>
      <c r="F4512" s="1"/>
      <c r="G4512" s="1"/>
      <c r="H4512" s="1"/>
      <c r="I4512" s="7"/>
      <c r="J4512" s="12"/>
      <c r="K4512" s="13"/>
      <c r="L4512" s="14"/>
      <c r="M4512" s="15"/>
      <c r="N4512" s="15"/>
      <c r="O4512" s="16"/>
      <c r="Q4512" s="16"/>
    </row>
    <row r="4513" spans="1:17" x14ac:dyDescent="0.3">
      <c r="A4513" s="5"/>
      <c r="B4513" s="6"/>
      <c r="C4513" s="7"/>
      <c r="D4513" s="10"/>
      <c r="F4513" s="1"/>
      <c r="G4513" s="1"/>
      <c r="H4513" s="1"/>
      <c r="I4513" s="7"/>
      <c r="J4513" s="12"/>
      <c r="K4513" s="13"/>
      <c r="L4513" s="14"/>
      <c r="M4513" s="15"/>
      <c r="N4513" s="15"/>
      <c r="O4513" s="16"/>
      <c r="Q4513" s="16"/>
    </row>
    <row r="4514" spans="1:17" x14ac:dyDescent="0.3">
      <c r="A4514" s="5"/>
      <c r="B4514" s="6"/>
      <c r="C4514" s="7"/>
      <c r="D4514" s="10"/>
      <c r="F4514" s="1"/>
      <c r="G4514" s="1"/>
      <c r="H4514" s="1"/>
      <c r="I4514" s="7"/>
      <c r="J4514" s="12"/>
      <c r="K4514" s="13"/>
      <c r="L4514" s="14"/>
      <c r="M4514" s="15"/>
      <c r="N4514" s="15"/>
      <c r="O4514" s="16"/>
      <c r="Q4514" s="16"/>
    </row>
    <row r="4515" spans="1:17" x14ac:dyDescent="0.3">
      <c r="A4515" s="5"/>
      <c r="B4515" s="6"/>
      <c r="C4515" s="7"/>
      <c r="D4515" s="10"/>
      <c r="F4515" s="1"/>
      <c r="G4515" s="1"/>
      <c r="H4515" s="1"/>
      <c r="I4515" s="7"/>
      <c r="J4515" s="12"/>
      <c r="K4515" s="13"/>
      <c r="L4515" s="14"/>
      <c r="M4515" s="15"/>
      <c r="N4515" s="15"/>
      <c r="O4515" s="16"/>
      <c r="Q4515" s="16"/>
    </row>
    <row r="4516" spans="1:17" x14ac:dyDescent="0.3">
      <c r="A4516" s="5"/>
      <c r="B4516" s="6"/>
      <c r="C4516" s="7"/>
      <c r="D4516" s="10"/>
      <c r="F4516" s="1"/>
      <c r="G4516" s="1"/>
      <c r="H4516" s="1"/>
      <c r="I4516" s="7"/>
      <c r="J4516" s="12"/>
      <c r="K4516" s="13"/>
      <c r="L4516" s="14"/>
      <c r="M4516" s="15"/>
      <c r="N4516" s="15"/>
      <c r="O4516" s="16"/>
      <c r="Q4516" s="16"/>
    </row>
    <row r="4517" spans="1:17" x14ac:dyDescent="0.3">
      <c r="A4517" s="5"/>
      <c r="B4517" s="6"/>
      <c r="C4517" s="7"/>
      <c r="D4517" s="10"/>
      <c r="F4517" s="1"/>
      <c r="G4517" s="1"/>
      <c r="H4517" s="1"/>
      <c r="I4517" s="7"/>
      <c r="J4517" s="12"/>
      <c r="K4517" s="13"/>
      <c r="L4517" s="14"/>
      <c r="M4517" s="15"/>
      <c r="N4517" s="15"/>
      <c r="O4517" s="16"/>
      <c r="Q4517" s="16"/>
    </row>
    <row r="4518" spans="1:17" x14ac:dyDescent="0.3">
      <c r="A4518" s="5"/>
      <c r="B4518" s="6"/>
      <c r="C4518" s="7"/>
      <c r="D4518" s="10"/>
      <c r="F4518" s="1"/>
      <c r="G4518" s="1"/>
      <c r="H4518" s="1"/>
      <c r="I4518" s="7"/>
      <c r="J4518" s="12"/>
      <c r="K4518" s="13"/>
      <c r="L4518" s="14"/>
      <c r="M4518" s="15"/>
      <c r="N4518" s="15"/>
      <c r="O4518" s="16"/>
      <c r="Q4518" s="16"/>
    </row>
    <row r="4519" spans="1:17" x14ac:dyDescent="0.3">
      <c r="A4519" s="5"/>
      <c r="B4519" s="6"/>
      <c r="C4519" s="7"/>
      <c r="D4519" s="10"/>
      <c r="F4519" s="1"/>
      <c r="G4519" s="1"/>
      <c r="H4519" s="1"/>
      <c r="I4519" s="7"/>
      <c r="J4519" s="12"/>
      <c r="K4519" s="13"/>
      <c r="L4519" s="14"/>
      <c r="M4519" s="15"/>
      <c r="N4519" s="15"/>
      <c r="O4519" s="16"/>
      <c r="Q4519" s="16"/>
    </row>
    <row r="4520" spans="1:17" x14ac:dyDescent="0.3">
      <c r="A4520" s="5"/>
      <c r="B4520" s="6"/>
      <c r="C4520" s="7"/>
      <c r="D4520" s="10"/>
      <c r="F4520" s="1"/>
      <c r="G4520" s="1"/>
      <c r="H4520" s="1"/>
      <c r="I4520" s="7"/>
      <c r="J4520" s="12"/>
      <c r="K4520" s="13"/>
      <c r="L4520" s="14"/>
      <c r="M4520" s="15"/>
      <c r="N4520" s="15"/>
      <c r="O4520" s="16"/>
      <c r="Q4520" s="16"/>
    </row>
    <row r="4521" spans="1:17" x14ac:dyDescent="0.3">
      <c r="A4521" s="5"/>
      <c r="B4521" s="6"/>
      <c r="C4521" s="7"/>
      <c r="D4521" s="10"/>
      <c r="F4521" s="1"/>
      <c r="G4521" s="1"/>
      <c r="H4521" s="1"/>
      <c r="I4521" s="7"/>
      <c r="J4521" s="12"/>
      <c r="K4521" s="13"/>
      <c r="L4521" s="14"/>
      <c r="M4521" s="15"/>
      <c r="N4521" s="15"/>
      <c r="O4521" s="16"/>
      <c r="Q4521" s="16"/>
    </row>
    <row r="4522" spans="1:17" x14ac:dyDescent="0.3">
      <c r="A4522" s="5"/>
      <c r="B4522" s="6"/>
      <c r="C4522" s="7"/>
      <c r="D4522" s="10"/>
      <c r="F4522" s="1"/>
      <c r="G4522" s="1"/>
      <c r="H4522" s="1"/>
      <c r="I4522" s="7"/>
      <c r="J4522" s="12"/>
      <c r="K4522" s="13"/>
      <c r="L4522" s="14"/>
      <c r="M4522" s="15"/>
      <c r="N4522" s="15"/>
      <c r="O4522" s="16"/>
      <c r="Q4522" s="16"/>
    </row>
    <row r="4523" spans="1:17" x14ac:dyDescent="0.3">
      <c r="A4523" s="5"/>
      <c r="B4523" s="6"/>
      <c r="C4523" s="7"/>
      <c r="D4523" s="10"/>
      <c r="F4523" s="1"/>
      <c r="G4523" s="1"/>
      <c r="H4523" s="1"/>
      <c r="I4523" s="7"/>
      <c r="J4523" s="12"/>
      <c r="K4523" s="13"/>
      <c r="L4523" s="14"/>
      <c r="M4523" s="15"/>
      <c r="N4523" s="15"/>
      <c r="O4523" s="16"/>
      <c r="Q4523" s="16"/>
    </row>
    <row r="4524" spans="1:17" x14ac:dyDescent="0.3">
      <c r="A4524" s="5"/>
      <c r="B4524" s="6"/>
      <c r="C4524" s="7"/>
      <c r="D4524" s="10"/>
      <c r="F4524" s="1"/>
      <c r="G4524" s="1"/>
      <c r="H4524" s="1"/>
      <c r="I4524" s="7"/>
      <c r="J4524" s="12"/>
      <c r="K4524" s="13"/>
      <c r="L4524" s="14"/>
      <c r="M4524" s="15"/>
      <c r="N4524" s="15"/>
      <c r="O4524" s="16"/>
      <c r="Q4524" s="16"/>
    </row>
    <row r="4525" spans="1:17" x14ac:dyDescent="0.3">
      <c r="A4525" s="5"/>
      <c r="B4525" s="6"/>
      <c r="C4525" s="7"/>
      <c r="D4525" s="10"/>
      <c r="F4525" s="1"/>
      <c r="G4525" s="1"/>
      <c r="H4525" s="1"/>
      <c r="I4525" s="7"/>
      <c r="J4525" s="12"/>
      <c r="K4525" s="13"/>
      <c r="L4525" s="14"/>
      <c r="M4525" s="15"/>
      <c r="N4525" s="15"/>
      <c r="O4525" s="16"/>
      <c r="Q4525" s="16"/>
    </row>
    <row r="4526" spans="1:17" x14ac:dyDescent="0.3">
      <c r="A4526" s="5"/>
      <c r="B4526" s="6"/>
      <c r="C4526" s="7"/>
      <c r="D4526" s="10"/>
      <c r="F4526" s="1"/>
      <c r="G4526" s="1"/>
      <c r="H4526" s="1"/>
      <c r="I4526" s="7"/>
      <c r="J4526" s="12"/>
      <c r="K4526" s="13"/>
      <c r="L4526" s="14"/>
      <c r="M4526" s="15"/>
      <c r="N4526" s="15"/>
      <c r="O4526" s="16"/>
      <c r="Q4526" s="16"/>
    </row>
    <row r="4527" spans="1:17" x14ac:dyDescent="0.3">
      <c r="A4527" s="5"/>
      <c r="B4527" s="6"/>
      <c r="C4527" s="7"/>
      <c r="D4527" s="10"/>
      <c r="F4527" s="1"/>
      <c r="G4527" s="1"/>
      <c r="H4527" s="1"/>
      <c r="I4527" s="7"/>
      <c r="J4527" s="12"/>
      <c r="K4527" s="13"/>
      <c r="L4527" s="14"/>
      <c r="M4527" s="15"/>
      <c r="N4527" s="15"/>
      <c r="O4527" s="16"/>
      <c r="Q4527" s="16"/>
    </row>
    <row r="4528" spans="1:17" x14ac:dyDescent="0.3">
      <c r="A4528" s="5"/>
      <c r="B4528" s="6"/>
      <c r="C4528" s="7"/>
      <c r="D4528" s="10"/>
      <c r="F4528" s="1"/>
      <c r="G4528" s="1"/>
      <c r="H4528" s="1"/>
      <c r="I4528" s="7"/>
      <c r="J4528" s="12"/>
      <c r="K4528" s="13"/>
      <c r="L4528" s="14"/>
      <c r="M4528" s="15"/>
      <c r="N4528" s="15"/>
      <c r="O4528" s="16"/>
      <c r="Q4528" s="16"/>
    </row>
    <row r="4529" spans="1:17" x14ac:dyDescent="0.3">
      <c r="A4529" s="5"/>
      <c r="B4529" s="6"/>
      <c r="C4529" s="7"/>
      <c r="D4529" s="10"/>
      <c r="F4529" s="1"/>
      <c r="G4529" s="1"/>
      <c r="H4529" s="1"/>
      <c r="I4529" s="7"/>
      <c r="J4529" s="12"/>
      <c r="K4529" s="13"/>
      <c r="L4529" s="14"/>
      <c r="M4529" s="15"/>
      <c r="N4529" s="15"/>
      <c r="O4529" s="16"/>
      <c r="Q4529" s="16"/>
    </row>
    <row r="4530" spans="1:17" x14ac:dyDescent="0.3">
      <c r="A4530" s="5"/>
      <c r="B4530" s="6"/>
      <c r="C4530" s="7"/>
      <c r="D4530" s="10"/>
      <c r="F4530" s="1"/>
      <c r="G4530" s="1"/>
      <c r="H4530" s="1"/>
      <c r="I4530" s="7"/>
      <c r="J4530" s="12"/>
      <c r="K4530" s="13"/>
      <c r="L4530" s="14"/>
      <c r="M4530" s="15"/>
      <c r="N4530" s="15"/>
      <c r="O4530" s="16"/>
      <c r="Q4530" s="16"/>
    </row>
    <row r="4531" spans="1:17" x14ac:dyDescent="0.3">
      <c r="A4531" s="5"/>
      <c r="B4531" s="6"/>
      <c r="C4531" s="7"/>
      <c r="D4531" s="10"/>
      <c r="F4531" s="1"/>
      <c r="G4531" s="1"/>
      <c r="H4531" s="1"/>
      <c r="I4531" s="7"/>
      <c r="J4531" s="12"/>
      <c r="K4531" s="13"/>
      <c r="L4531" s="14"/>
      <c r="M4531" s="15"/>
      <c r="N4531" s="15"/>
      <c r="O4531" s="16"/>
      <c r="Q4531" s="16"/>
    </row>
    <row r="4532" spans="1:17" x14ac:dyDescent="0.3">
      <c r="A4532" s="5"/>
      <c r="B4532" s="6"/>
      <c r="C4532" s="7"/>
      <c r="D4532" s="10"/>
      <c r="F4532" s="1"/>
      <c r="G4532" s="1"/>
      <c r="H4532" s="1"/>
      <c r="I4532" s="7"/>
      <c r="J4532" s="12"/>
      <c r="K4532" s="13"/>
      <c r="L4532" s="14"/>
      <c r="M4532" s="15"/>
      <c r="N4532" s="15"/>
      <c r="O4532" s="16"/>
      <c r="Q4532" s="16"/>
    </row>
    <row r="4533" spans="1:17" x14ac:dyDescent="0.3">
      <c r="A4533" s="5"/>
      <c r="B4533" s="6"/>
      <c r="C4533" s="7"/>
      <c r="D4533" s="10"/>
      <c r="F4533" s="1"/>
      <c r="G4533" s="1"/>
      <c r="H4533" s="1"/>
      <c r="I4533" s="7"/>
      <c r="J4533" s="12"/>
      <c r="K4533" s="13"/>
      <c r="L4533" s="14"/>
      <c r="M4533" s="15"/>
      <c r="N4533" s="15"/>
      <c r="O4533" s="16"/>
      <c r="Q4533" s="16"/>
    </row>
    <row r="4534" spans="1:17" x14ac:dyDescent="0.3">
      <c r="A4534" s="5"/>
      <c r="B4534" s="6"/>
      <c r="C4534" s="7"/>
      <c r="D4534" s="10"/>
      <c r="F4534" s="1"/>
      <c r="G4534" s="1"/>
      <c r="H4534" s="1"/>
      <c r="I4534" s="7"/>
      <c r="J4534" s="12"/>
      <c r="K4534" s="13"/>
      <c r="L4534" s="14"/>
      <c r="M4534" s="15"/>
      <c r="N4534" s="15"/>
      <c r="O4534" s="16"/>
      <c r="Q4534" s="16"/>
    </row>
    <row r="4535" spans="1:17" x14ac:dyDescent="0.3">
      <c r="A4535" s="5"/>
      <c r="B4535" s="6"/>
      <c r="C4535" s="7"/>
      <c r="D4535" s="10"/>
      <c r="F4535" s="1"/>
      <c r="G4535" s="1"/>
      <c r="H4535" s="1"/>
      <c r="I4535" s="7"/>
      <c r="J4535" s="12"/>
      <c r="K4535" s="13"/>
      <c r="L4535" s="14"/>
      <c r="M4535" s="15"/>
      <c r="N4535" s="15"/>
      <c r="O4535" s="16"/>
      <c r="Q4535" s="16"/>
    </row>
    <row r="4536" spans="1:17" x14ac:dyDescent="0.3">
      <c r="A4536" s="5"/>
      <c r="B4536" s="6"/>
      <c r="C4536" s="7"/>
      <c r="D4536" s="10"/>
      <c r="F4536" s="1"/>
      <c r="G4536" s="1"/>
      <c r="H4536" s="1"/>
      <c r="I4536" s="7"/>
      <c r="J4536" s="12"/>
      <c r="K4536" s="13"/>
      <c r="L4536" s="14"/>
      <c r="M4536" s="15"/>
      <c r="N4536" s="15"/>
      <c r="O4536" s="16"/>
      <c r="Q4536" s="16"/>
    </row>
    <row r="4537" spans="1:17" x14ac:dyDescent="0.3">
      <c r="A4537" s="5"/>
      <c r="B4537" s="6"/>
      <c r="C4537" s="7"/>
      <c r="D4537" s="10"/>
      <c r="F4537" s="1"/>
      <c r="G4537" s="1"/>
      <c r="H4537" s="1"/>
      <c r="I4537" s="7"/>
      <c r="J4537" s="12"/>
      <c r="K4537" s="13"/>
      <c r="L4537" s="14"/>
      <c r="M4537" s="15"/>
      <c r="N4537" s="15"/>
      <c r="O4537" s="16"/>
      <c r="Q4537" s="16"/>
    </row>
    <row r="4538" spans="1:17" x14ac:dyDescent="0.3">
      <c r="A4538" s="5"/>
      <c r="B4538" s="6"/>
      <c r="C4538" s="7"/>
      <c r="D4538" s="10"/>
      <c r="F4538" s="1"/>
      <c r="G4538" s="1"/>
      <c r="H4538" s="1"/>
      <c r="I4538" s="7"/>
      <c r="J4538" s="12"/>
      <c r="K4538" s="13"/>
      <c r="L4538" s="14"/>
      <c r="M4538" s="15"/>
      <c r="N4538" s="15"/>
      <c r="O4538" s="16"/>
      <c r="Q4538" s="16"/>
    </row>
    <row r="4539" spans="1:17" x14ac:dyDescent="0.3">
      <c r="A4539" s="5"/>
      <c r="B4539" s="6"/>
      <c r="C4539" s="7"/>
      <c r="D4539" s="10"/>
      <c r="F4539" s="1"/>
      <c r="G4539" s="1"/>
      <c r="H4539" s="1"/>
      <c r="I4539" s="7"/>
      <c r="J4539" s="12"/>
      <c r="K4539" s="13"/>
      <c r="L4539" s="14"/>
      <c r="M4539" s="15"/>
      <c r="N4539" s="15"/>
      <c r="O4539" s="16"/>
      <c r="Q4539" s="16"/>
    </row>
    <row r="4540" spans="1:17" x14ac:dyDescent="0.3">
      <c r="A4540" s="5"/>
      <c r="B4540" s="6"/>
      <c r="C4540" s="7"/>
      <c r="D4540" s="10"/>
      <c r="F4540" s="1"/>
      <c r="G4540" s="1"/>
      <c r="H4540" s="1"/>
      <c r="I4540" s="7"/>
      <c r="J4540" s="12"/>
      <c r="K4540" s="13"/>
      <c r="L4540" s="14"/>
      <c r="M4540" s="15"/>
      <c r="N4540" s="15"/>
      <c r="O4540" s="16"/>
      <c r="Q4540" s="16"/>
    </row>
    <row r="4541" spans="1:17" x14ac:dyDescent="0.3">
      <c r="A4541" s="5"/>
      <c r="B4541" s="6"/>
      <c r="C4541" s="7"/>
      <c r="D4541" s="10"/>
      <c r="F4541" s="1"/>
      <c r="G4541" s="1"/>
      <c r="H4541" s="1"/>
      <c r="I4541" s="7"/>
      <c r="J4541" s="12"/>
      <c r="K4541" s="13"/>
      <c r="L4541" s="14"/>
      <c r="M4541" s="15"/>
      <c r="N4541" s="15"/>
      <c r="O4541" s="16"/>
      <c r="Q4541" s="16"/>
    </row>
    <row r="4542" spans="1:17" x14ac:dyDescent="0.3">
      <c r="A4542" s="5"/>
      <c r="B4542" s="6"/>
      <c r="C4542" s="7"/>
      <c r="D4542" s="10"/>
      <c r="F4542" s="1"/>
      <c r="G4542" s="1"/>
      <c r="H4542" s="1"/>
      <c r="I4542" s="7"/>
      <c r="J4542" s="12"/>
      <c r="K4542" s="13"/>
      <c r="L4542" s="14"/>
      <c r="M4542" s="15"/>
      <c r="N4542" s="15"/>
      <c r="O4542" s="16"/>
      <c r="Q4542" s="16"/>
    </row>
    <row r="4543" spans="1:17" x14ac:dyDescent="0.3">
      <c r="A4543" s="5"/>
      <c r="B4543" s="6"/>
      <c r="C4543" s="7"/>
      <c r="D4543" s="10"/>
      <c r="F4543" s="1"/>
      <c r="G4543" s="1"/>
      <c r="H4543" s="1"/>
      <c r="I4543" s="7"/>
      <c r="J4543" s="12"/>
      <c r="K4543" s="13"/>
      <c r="L4543" s="14"/>
      <c r="M4543" s="15"/>
      <c r="N4543" s="15"/>
      <c r="O4543" s="16"/>
      <c r="Q4543" s="16"/>
    </row>
    <row r="4544" spans="1:17" x14ac:dyDescent="0.3">
      <c r="A4544" s="5"/>
      <c r="B4544" s="6"/>
      <c r="C4544" s="7"/>
      <c r="D4544" s="10"/>
      <c r="F4544" s="1"/>
      <c r="G4544" s="1"/>
      <c r="H4544" s="1"/>
      <c r="I4544" s="7"/>
      <c r="J4544" s="12"/>
      <c r="K4544" s="13"/>
      <c r="L4544" s="14"/>
      <c r="M4544" s="15"/>
      <c r="N4544" s="15"/>
      <c r="O4544" s="16"/>
      <c r="Q4544" s="16"/>
    </row>
    <row r="4545" spans="1:17" x14ac:dyDescent="0.3">
      <c r="A4545" s="5"/>
      <c r="B4545" s="6"/>
      <c r="C4545" s="7"/>
      <c r="D4545" s="10"/>
      <c r="F4545" s="1"/>
      <c r="G4545" s="1"/>
      <c r="H4545" s="1"/>
      <c r="I4545" s="7"/>
      <c r="J4545" s="12"/>
      <c r="K4545" s="13"/>
      <c r="L4545" s="14"/>
      <c r="M4545" s="15"/>
      <c r="N4545" s="15"/>
      <c r="O4545" s="16"/>
      <c r="Q4545" s="16"/>
    </row>
    <row r="4546" spans="1:17" x14ac:dyDescent="0.3">
      <c r="A4546" s="5"/>
      <c r="B4546" s="6"/>
      <c r="C4546" s="7"/>
      <c r="D4546" s="10"/>
      <c r="F4546" s="1"/>
      <c r="G4546" s="1"/>
      <c r="H4546" s="1"/>
      <c r="I4546" s="7"/>
      <c r="J4546" s="12"/>
      <c r="K4546" s="13"/>
      <c r="L4546" s="14"/>
      <c r="M4546" s="15"/>
      <c r="N4546" s="15"/>
      <c r="O4546" s="16"/>
      <c r="Q4546" s="16"/>
    </row>
    <row r="4547" spans="1:17" x14ac:dyDescent="0.3">
      <c r="A4547" s="5"/>
      <c r="B4547" s="6"/>
      <c r="C4547" s="7"/>
      <c r="D4547" s="10"/>
      <c r="F4547" s="1"/>
      <c r="G4547" s="1"/>
      <c r="H4547" s="1"/>
      <c r="I4547" s="7"/>
      <c r="J4547" s="12"/>
      <c r="K4547" s="13"/>
      <c r="L4547" s="14"/>
      <c r="M4547" s="15"/>
      <c r="N4547" s="15"/>
      <c r="O4547" s="16"/>
      <c r="Q4547" s="16"/>
    </row>
    <row r="4548" spans="1:17" x14ac:dyDescent="0.3">
      <c r="A4548" s="5"/>
      <c r="B4548" s="6"/>
      <c r="C4548" s="7"/>
      <c r="D4548" s="10"/>
      <c r="F4548" s="1"/>
      <c r="G4548" s="1"/>
      <c r="H4548" s="1"/>
      <c r="I4548" s="7"/>
      <c r="J4548" s="12"/>
      <c r="K4548" s="13"/>
      <c r="L4548" s="14"/>
      <c r="M4548" s="15"/>
      <c r="N4548" s="15"/>
      <c r="O4548" s="16"/>
      <c r="Q4548" s="16"/>
    </row>
    <row r="4549" spans="1:17" x14ac:dyDescent="0.3">
      <c r="A4549" s="5"/>
      <c r="B4549" s="6"/>
      <c r="C4549" s="7"/>
      <c r="D4549" s="10"/>
      <c r="F4549" s="1"/>
      <c r="G4549" s="1"/>
      <c r="H4549" s="1"/>
      <c r="I4549" s="7"/>
      <c r="J4549" s="12"/>
      <c r="K4549" s="13"/>
      <c r="L4549" s="14"/>
      <c r="M4549" s="15"/>
      <c r="N4549" s="15"/>
      <c r="O4549" s="16"/>
      <c r="Q4549" s="16"/>
    </row>
    <row r="4550" spans="1:17" x14ac:dyDescent="0.3">
      <c r="A4550" s="5"/>
      <c r="B4550" s="6"/>
      <c r="C4550" s="7"/>
      <c r="D4550" s="10"/>
      <c r="F4550" s="1"/>
      <c r="G4550" s="1"/>
      <c r="H4550" s="1"/>
      <c r="I4550" s="7"/>
      <c r="J4550" s="12"/>
      <c r="K4550" s="13"/>
      <c r="L4550" s="14"/>
      <c r="M4550" s="15"/>
      <c r="N4550" s="15"/>
      <c r="O4550" s="16"/>
      <c r="Q4550" s="16"/>
    </row>
    <row r="4551" spans="1:17" x14ac:dyDescent="0.3">
      <c r="A4551" s="5"/>
      <c r="B4551" s="6"/>
      <c r="C4551" s="7"/>
      <c r="D4551" s="10"/>
      <c r="F4551" s="1"/>
      <c r="G4551" s="1"/>
      <c r="H4551" s="1"/>
      <c r="I4551" s="7"/>
      <c r="J4551" s="12"/>
      <c r="K4551" s="13"/>
      <c r="L4551" s="14"/>
      <c r="M4551" s="15"/>
      <c r="N4551" s="15"/>
      <c r="O4551" s="16"/>
      <c r="Q4551" s="16"/>
    </row>
    <row r="4552" spans="1:17" x14ac:dyDescent="0.3">
      <c r="A4552" s="5"/>
      <c r="B4552" s="6"/>
      <c r="C4552" s="7"/>
      <c r="D4552" s="10"/>
      <c r="F4552" s="1"/>
      <c r="G4552" s="1"/>
      <c r="H4552" s="1"/>
      <c r="I4552" s="7"/>
      <c r="J4552" s="12"/>
      <c r="K4552" s="13"/>
      <c r="L4552" s="14"/>
      <c r="M4552" s="15"/>
      <c r="N4552" s="15"/>
      <c r="O4552" s="16"/>
      <c r="Q4552" s="16"/>
    </row>
    <row r="4553" spans="1:17" x14ac:dyDescent="0.3">
      <c r="A4553" s="5"/>
      <c r="B4553" s="6"/>
      <c r="C4553" s="7"/>
      <c r="D4553" s="10"/>
      <c r="F4553" s="1"/>
      <c r="G4553" s="1"/>
      <c r="H4553" s="1"/>
      <c r="I4553" s="7"/>
      <c r="J4553" s="12"/>
      <c r="K4553" s="13"/>
      <c r="L4553" s="14"/>
      <c r="M4553" s="15"/>
      <c r="N4553" s="15"/>
      <c r="O4553" s="16"/>
      <c r="Q4553" s="16"/>
    </row>
    <row r="4554" spans="1:17" x14ac:dyDescent="0.3">
      <c r="A4554" s="5"/>
      <c r="B4554" s="6"/>
      <c r="C4554" s="7"/>
      <c r="D4554" s="10"/>
      <c r="F4554" s="1"/>
      <c r="G4554" s="1"/>
      <c r="H4554" s="1"/>
      <c r="I4554" s="7"/>
      <c r="J4554" s="12"/>
      <c r="K4554" s="13"/>
      <c r="L4554" s="14"/>
      <c r="M4554" s="15"/>
      <c r="N4554" s="15"/>
      <c r="O4554" s="16"/>
      <c r="Q4554" s="16"/>
    </row>
    <row r="4555" spans="1:17" x14ac:dyDescent="0.3">
      <c r="A4555" s="5"/>
      <c r="B4555" s="6"/>
      <c r="C4555" s="7"/>
      <c r="D4555" s="10"/>
      <c r="F4555" s="1"/>
      <c r="G4555" s="1"/>
      <c r="H4555" s="1"/>
      <c r="I4555" s="7"/>
      <c r="J4555" s="12"/>
      <c r="K4555" s="13"/>
      <c r="L4555" s="14"/>
      <c r="M4555" s="15"/>
      <c r="N4555" s="15"/>
      <c r="O4555" s="16"/>
      <c r="Q4555" s="16"/>
    </row>
    <row r="4556" spans="1:17" x14ac:dyDescent="0.3">
      <c r="A4556" s="5"/>
      <c r="B4556" s="6"/>
      <c r="C4556" s="7"/>
      <c r="D4556" s="10"/>
      <c r="F4556" s="1"/>
      <c r="G4556" s="1"/>
      <c r="H4556" s="1"/>
      <c r="I4556" s="7"/>
      <c r="J4556" s="12"/>
      <c r="K4556" s="13"/>
      <c r="L4556" s="14"/>
      <c r="M4556" s="15"/>
      <c r="N4556" s="15"/>
      <c r="O4556" s="16"/>
      <c r="Q4556" s="16"/>
    </row>
    <row r="4557" spans="1:17" x14ac:dyDescent="0.3">
      <c r="A4557" s="5"/>
      <c r="B4557" s="6"/>
      <c r="C4557" s="7"/>
      <c r="D4557" s="10"/>
      <c r="F4557" s="1"/>
      <c r="G4557" s="1"/>
      <c r="H4557" s="1"/>
      <c r="I4557" s="7"/>
      <c r="J4557" s="12"/>
      <c r="K4557" s="13"/>
      <c r="L4557" s="14"/>
      <c r="M4557" s="15"/>
      <c r="N4557" s="15"/>
      <c r="O4557" s="16"/>
      <c r="Q4557" s="16"/>
    </row>
    <row r="4558" spans="1:17" x14ac:dyDescent="0.3">
      <c r="A4558" s="5"/>
      <c r="B4558" s="6"/>
      <c r="C4558" s="7"/>
      <c r="D4558" s="10"/>
      <c r="F4558" s="1"/>
      <c r="G4558" s="1"/>
      <c r="H4558" s="1"/>
      <c r="I4558" s="7"/>
      <c r="J4558" s="12"/>
      <c r="K4558" s="13"/>
      <c r="L4558" s="14"/>
      <c r="M4558" s="15"/>
      <c r="N4558" s="15"/>
      <c r="O4558" s="16"/>
      <c r="Q4558" s="16"/>
    </row>
    <row r="4559" spans="1:17" x14ac:dyDescent="0.3">
      <c r="A4559" s="5"/>
      <c r="B4559" s="6"/>
      <c r="C4559" s="7"/>
      <c r="D4559" s="10"/>
      <c r="F4559" s="1"/>
      <c r="G4559" s="1"/>
      <c r="H4559" s="1"/>
      <c r="I4559" s="7"/>
      <c r="J4559" s="12"/>
      <c r="K4559" s="13"/>
      <c r="L4559" s="14"/>
      <c r="M4559" s="15"/>
      <c r="N4559" s="15"/>
      <c r="O4559" s="16"/>
      <c r="Q4559" s="16"/>
    </row>
    <row r="4560" spans="1:17" x14ac:dyDescent="0.3">
      <c r="A4560" s="5"/>
      <c r="B4560" s="6"/>
      <c r="C4560" s="7"/>
      <c r="D4560" s="10"/>
      <c r="F4560" s="1"/>
      <c r="G4560" s="1"/>
      <c r="H4560" s="1"/>
      <c r="I4560" s="7"/>
      <c r="J4560" s="12"/>
      <c r="K4560" s="13"/>
      <c r="L4560" s="14"/>
      <c r="M4560" s="15"/>
      <c r="N4560" s="15"/>
      <c r="O4560" s="16"/>
      <c r="Q4560" s="16"/>
    </row>
    <row r="4561" spans="1:17" x14ac:dyDescent="0.3">
      <c r="A4561" s="5"/>
      <c r="B4561" s="6"/>
      <c r="C4561" s="7"/>
      <c r="D4561" s="10"/>
      <c r="F4561" s="1"/>
      <c r="G4561" s="1"/>
      <c r="H4561" s="1"/>
      <c r="I4561" s="7"/>
      <c r="J4561" s="12"/>
      <c r="K4561" s="13"/>
      <c r="L4561" s="14"/>
      <c r="M4561" s="15"/>
      <c r="N4561" s="15"/>
      <c r="O4561" s="16"/>
      <c r="Q4561" s="16"/>
    </row>
    <row r="4562" spans="1:17" x14ac:dyDescent="0.3">
      <c r="A4562" s="5"/>
      <c r="B4562" s="6"/>
      <c r="C4562" s="7"/>
      <c r="D4562" s="10"/>
      <c r="F4562" s="1"/>
      <c r="G4562" s="1"/>
      <c r="H4562" s="1"/>
      <c r="I4562" s="7"/>
      <c r="J4562" s="12"/>
      <c r="K4562" s="13"/>
      <c r="L4562" s="14"/>
      <c r="M4562" s="15"/>
      <c r="N4562" s="15"/>
      <c r="O4562" s="16"/>
      <c r="Q4562" s="16"/>
    </row>
    <row r="4563" spans="1:17" x14ac:dyDescent="0.3">
      <c r="A4563" s="5"/>
      <c r="B4563" s="6"/>
      <c r="C4563" s="7"/>
      <c r="D4563" s="10"/>
      <c r="F4563" s="1"/>
      <c r="G4563" s="1"/>
      <c r="H4563" s="1"/>
      <c r="I4563" s="7"/>
      <c r="J4563" s="12"/>
      <c r="K4563" s="13"/>
      <c r="L4563" s="14"/>
      <c r="M4563" s="15"/>
      <c r="N4563" s="15"/>
      <c r="O4563" s="16"/>
      <c r="Q4563" s="16"/>
    </row>
    <row r="4564" spans="1:17" x14ac:dyDescent="0.3">
      <c r="A4564" s="5"/>
      <c r="B4564" s="6"/>
      <c r="C4564" s="7"/>
      <c r="D4564" s="10"/>
      <c r="F4564" s="1"/>
      <c r="G4564" s="1"/>
      <c r="H4564" s="1"/>
      <c r="I4564" s="7"/>
      <c r="J4564" s="12"/>
      <c r="K4564" s="13"/>
      <c r="L4564" s="14"/>
      <c r="M4564" s="15"/>
      <c r="N4564" s="15"/>
      <c r="O4564" s="16"/>
      <c r="Q4564" s="16"/>
    </row>
    <row r="4565" spans="1:17" x14ac:dyDescent="0.3">
      <c r="A4565" s="5"/>
      <c r="B4565" s="6"/>
      <c r="C4565" s="7"/>
      <c r="D4565" s="10"/>
      <c r="F4565" s="1"/>
      <c r="G4565" s="1"/>
      <c r="H4565" s="1"/>
      <c r="I4565" s="7"/>
      <c r="J4565" s="12"/>
      <c r="K4565" s="13"/>
      <c r="L4565" s="14"/>
      <c r="M4565" s="15"/>
      <c r="N4565" s="15"/>
      <c r="O4565" s="16"/>
      <c r="Q4565" s="16"/>
    </row>
    <row r="4566" spans="1:17" x14ac:dyDescent="0.3">
      <c r="A4566" s="5"/>
      <c r="B4566" s="6"/>
      <c r="C4566" s="7"/>
      <c r="D4566" s="10"/>
      <c r="F4566" s="1"/>
      <c r="G4566" s="1"/>
      <c r="H4566" s="1"/>
      <c r="I4566" s="7"/>
      <c r="J4566" s="12"/>
      <c r="K4566" s="13"/>
      <c r="L4566" s="14"/>
      <c r="M4566" s="15"/>
      <c r="N4566" s="15"/>
      <c r="O4566" s="16"/>
      <c r="Q4566" s="16"/>
    </row>
    <row r="4567" spans="1:17" x14ac:dyDescent="0.3">
      <c r="A4567" s="5"/>
      <c r="B4567" s="6"/>
      <c r="C4567" s="7"/>
      <c r="D4567" s="10"/>
      <c r="F4567" s="1"/>
      <c r="G4567" s="1"/>
      <c r="H4567" s="1"/>
      <c r="I4567" s="7"/>
      <c r="J4567" s="12"/>
      <c r="K4567" s="13"/>
      <c r="L4567" s="14"/>
      <c r="M4567" s="15"/>
      <c r="N4567" s="15"/>
      <c r="O4567" s="16"/>
      <c r="Q4567" s="16"/>
    </row>
    <row r="4568" spans="1:17" x14ac:dyDescent="0.3">
      <c r="A4568" s="5"/>
      <c r="B4568" s="6"/>
      <c r="C4568" s="7"/>
      <c r="D4568" s="10"/>
      <c r="F4568" s="1"/>
      <c r="G4568" s="1"/>
      <c r="H4568" s="1"/>
      <c r="I4568" s="7"/>
      <c r="J4568" s="12"/>
      <c r="K4568" s="13"/>
      <c r="L4568" s="14"/>
      <c r="M4568" s="15"/>
      <c r="N4568" s="15"/>
      <c r="O4568" s="16"/>
      <c r="Q4568" s="16"/>
    </row>
    <row r="4569" spans="1:17" x14ac:dyDescent="0.3">
      <c r="A4569" s="5"/>
      <c r="B4569" s="6"/>
      <c r="C4569" s="7"/>
      <c r="D4569" s="10"/>
      <c r="F4569" s="1"/>
      <c r="G4569" s="1"/>
      <c r="H4569" s="1"/>
      <c r="I4569" s="7"/>
      <c r="J4569" s="12"/>
      <c r="K4569" s="13"/>
      <c r="L4569" s="14"/>
      <c r="M4569" s="15"/>
      <c r="N4569" s="15"/>
      <c r="O4569" s="16"/>
      <c r="Q4569" s="16"/>
    </row>
    <row r="4570" spans="1:17" x14ac:dyDescent="0.3">
      <c r="A4570" s="5"/>
      <c r="B4570" s="6"/>
      <c r="C4570" s="7"/>
      <c r="D4570" s="10"/>
      <c r="F4570" s="1"/>
      <c r="G4570" s="1"/>
      <c r="H4570" s="1"/>
      <c r="I4570" s="7"/>
      <c r="J4570" s="12"/>
      <c r="K4570" s="13"/>
      <c r="L4570" s="14"/>
      <c r="M4570" s="15"/>
      <c r="N4570" s="15"/>
      <c r="O4570" s="16"/>
      <c r="Q4570" s="16"/>
    </row>
    <row r="4571" spans="1:17" x14ac:dyDescent="0.3">
      <c r="A4571" s="5"/>
      <c r="B4571" s="6"/>
      <c r="C4571" s="7"/>
      <c r="D4571" s="10"/>
      <c r="F4571" s="1"/>
      <c r="G4571" s="1"/>
      <c r="H4571" s="1"/>
      <c r="I4571" s="7"/>
      <c r="J4571" s="12"/>
      <c r="K4571" s="13"/>
      <c r="L4571" s="14"/>
      <c r="M4571" s="15"/>
      <c r="N4571" s="15"/>
      <c r="O4571" s="16"/>
      <c r="Q4571" s="16"/>
    </row>
    <row r="4572" spans="1:17" x14ac:dyDescent="0.3">
      <c r="A4572" s="5"/>
      <c r="B4572" s="6"/>
      <c r="C4572" s="7"/>
      <c r="D4572" s="10"/>
      <c r="F4572" s="1"/>
      <c r="G4572" s="1"/>
      <c r="H4572" s="1"/>
      <c r="I4572" s="7"/>
      <c r="J4572" s="12"/>
      <c r="K4572" s="13"/>
      <c r="L4572" s="14"/>
      <c r="M4572" s="15"/>
      <c r="N4572" s="15"/>
      <c r="O4572" s="16"/>
      <c r="Q4572" s="16"/>
    </row>
    <row r="4573" spans="1:17" x14ac:dyDescent="0.3">
      <c r="A4573" s="5"/>
      <c r="B4573" s="6"/>
      <c r="C4573" s="7"/>
      <c r="D4573" s="10"/>
      <c r="F4573" s="1"/>
      <c r="G4573" s="1"/>
      <c r="H4573" s="1"/>
      <c r="I4573" s="7"/>
      <c r="J4573" s="12"/>
      <c r="K4573" s="13"/>
      <c r="L4573" s="14"/>
      <c r="M4573" s="15"/>
      <c r="N4573" s="15"/>
      <c r="O4573" s="16"/>
      <c r="Q4573" s="16"/>
    </row>
    <row r="4574" spans="1:17" x14ac:dyDescent="0.3">
      <c r="A4574" s="5"/>
      <c r="B4574" s="6"/>
      <c r="C4574" s="7"/>
      <c r="D4574" s="10"/>
      <c r="F4574" s="1"/>
      <c r="G4574" s="1"/>
      <c r="H4574" s="1"/>
      <c r="I4574" s="7"/>
      <c r="J4574" s="12"/>
      <c r="K4574" s="13"/>
      <c r="L4574" s="14"/>
      <c r="M4574" s="15"/>
      <c r="N4574" s="15"/>
      <c r="O4574" s="16"/>
      <c r="Q4574" s="16"/>
    </row>
    <row r="4575" spans="1:17" x14ac:dyDescent="0.3">
      <c r="A4575" s="5"/>
      <c r="B4575" s="6"/>
      <c r="C4575" s="7"/>
      <c r="D4575" s="10"/>
      <c r="F4575" s="1"/>
      <c r="G4575" s="1"/>
      <c r="H4575" s="1"/>
      <c r="I4575" s="7"/>
      <c r="J4575" s="12"/>
      <c r="K4575" s="13"/>
      <c r="L4575" s="14"/>
      <c r="M4575" s="15"/>
      <c r="N4575" s="15"/>
      <c r="O4575" s="16"/>
      <c r="Q4575" s="16"/>
    </row>
    <row r="4576" spans="1:17" x14ac:dyDescent="0.3">
      <c r="A4576" s="5"/>
      <c r="B4576" s="6"/>
      <c r="C4576" s="7"/>
      <c r="D4576" s="10"/>
      <c r="F4576" s="1"/>
      <c r="G4576" s="1"/>
      <c r="H4576" s="1"/>
      <c r="I4576" s="7"/>
      <c r="J4576" s="12"/>
      <c r="K4576" s="13"/>
      <c r="L4576" s="14"/>
      <c r="M4576" s="15"/>
      <c r="N4576" s="15"/>
      <c r="O4576" s="16"/>
      <c r="Q4576" s="16"/>
    </row>
    <row r="4577" spans="1:17" x14ac:dyDescent="0.3">
      <c r="A4577" s="5"/>
      <c r="B4577" s="6"/>
      <c r="C4577" s="7"/>
      <c r="D4577" s="10"/>
      <c r="F4577" s="1"/>
      <c r="G4577" s="1"/>
      <c r="H4577" s="1"/>
      <c r="I4577" s="7"/>
      <c r="J4577" s="12"/>
      <c r="K4577" s="13"/>
      <c r="L4577" s="14"/>
      <c r="M4577" s="15"/>
      <c r="N4577" s="15"/>
      <c r="O4577" s="16"/>
      <c r="Q4577" s="16"/>
    </row>
    <row r="4578" spans="1:17" x14ac:dyDescent="0.3">
      <c r="A4578" s="5"/>
      <c r="B4578" s="6"/>
      <c r="C4578" s="7"/>
      <c r="D4578" s="10"/>
      <c r="F4578" s="1"/>
      <c r="G4578" s="1"/>
      <c r="H4578" s="1"/>
      <c r="I4578" s="7"/>
      <c r="J4578" s="12"/>
      <c r="K4578" s="13"/>
      <c r="L4578" s="14"/>
      <c r="M4578" s="15"/>
      <c r="N4578" s="15"/>
      <c r="O4578" s="16"/>
      <c r="Q4578" s="16"/>
    </row>
    <row r="4579" spans="1:17" x14ac:dyDescent="0.3">
      <c r="A4579" s="5"/>
      <c r="B4579" s="6"/>
      <c r="C4579" s="7"/>
      <c r="D4579" s="10"/>
      <c r="F4579" s="1"/>
      <c r="G4579" s="1"/>
      <c r="H4579" s="1"/>
      <c r="I4579" s="7"/>
      <c r="J4579" s="12"/>
      <c r="K4579" s="13"/>
      <c r="L4579" s="14"/>
      <c r="M4579" s="15"/>
      <c r="N4579" s="15"/>
      <c r="O4579" s="16"/>
      <c r="Q4579" s="16"/>
    </row>
    <row r="4580" spans="1:17" x14ac:dyDescent="0.3">
      <c r="A4580" s="5"/>
      <c r="B4580" s="6"/>
      <c r="C4580" s="7"/>
      <c r="D4580" s="10"/>
      <c r="F4580" s="1"/>
      <c r="G4580" s="1"/>
      <c r="H4580" s="1"/>
      <c r="I4580" s="7"/>
      <c r="J4580" s="12"/>
      <c r="K4580" s="13"/>
      <c r="L4580" s="14"/>
      <c r="M4580" s="15"/>
      <c r="N4580" s="15"/>
      <c r="O4580" s="16"/>
      <c r="Q4580" s="16"/>
    </row>
    <row r="4581" spans="1:17" x14ac:dyDescent="0.3">
      <c r="A4581" s="5"/>
      <c r="B4581" s="6"/>
      <c r="C4581" s="7"/>
      <c r="D4581" s="10"/>
      <c r="F4581" s="1"/>
      <c r="G4581" s="1"/>
      <c r="H4581" s="1"/>
      <c r="I4581" s="7"/>
      <c r="J4581" s="12"/>
      <c r="K4581" s="13"/>
      <c r="L4581" s="14"/>
      <c r="M4581" s="15"/>
      <c r="N4581" s="15"/>
      <c r="O4581" s="16"/>
      <c r="Q4581" s="16"/>
    </row>
    <row r="4582" spans="1:17" x14ac:dyDescent="0.3">
      <c r="A4582" s="5"/>
      <c r="B4582" s="6"/>
      <c r="C4582" s="7"/>
      <c r="D4582" s="10"/>
      <c r="F4582" s="1"/>
      <c r="G4582" s="1"/>
      <c r="H4582" s="1"/>
      <c r="I4582" s="7"/>
      <c r="J4582" s="12"/>
      <c r="K4582" s="13"/>
      <c r="L4582" s="14"/>
      <c r="M4582" s="15"/>
      <c r="N4582" s="15"/>
      <c r="O4582" s="16"/>
      <c r="Q4582" s="16"/>
    </row>
    <row r="4583" spans="1:17" x14ac:dyDescent="0.3">
      <c r="A4583" s="5"/>
      <c r="B4583" s="6"/>
      <c r="C4583" s="7"/>
      <c r="D4583" s="10"/>
      <c r="F4583" s="1"/>
      <c r="G4583" s="1"/>
      <c r="H4583" s="1"/>
      <c r="I4583" s="7"/>
      <c r="J4583" s="12"/>
      <c r="K4583" s="13"/>
      <c r="L4583" s="14"/>
      <c r="M4583" s="15"/>
      <c r="N4583" s="15"/>
      <c r="O4583" s="16"/>
      <c r="Q4583" s="16"/>
    </row>
    <row r="4584" spans="1:17" x14ac:dyDescent="0.3">
      <c r="A4584" s="5"/>
      <c r="B4584" s="6"/>
      <c r="C4584" s="7"/>
      <c r="D4584" s="10"/>
      <c r="F4584" s="1"/>
      <c r="G4584" s="1"/>
      <c r="H4584" s="1"/>
      <c r="I4584" s="7"/>
      <c r="J4584" s="12"/>
      <c r="K4584" s="13"/>
      <c r="L4584" s="14"/>
      <c r="M4584" s="15"/>
      <c r="N4584" s="15"/>
      <c r="O4584" s="16"/>
      <c r="Q4584" s="16"/>
    </row>
    <row r="4585" spans="1:17" x14ac:dyDescent="0.3">
      <c r="A4585" s="5"/>
      <c r="B4585" s="6"/>
      <c r="C4585" s="7"/>
      <c r="D4585" s="10"/>
      <c r="F4585" s="1"/>
      <c r="G4585" s="1"/>
      <c r="H4585" s="1"/>
      <c r="I4585" s="7"/>
      <c r="J4585" s="12"/>
      <c r="K4585" s="13"/>
      <c r="L4585" s="14"/>
      <c r="M4585" s="15"/>
      <c r="N4585" s="15"/>
      <c r="O4585" s="16"/>
      <c r="Q4585" s="16"/>
    </row>
    <row r="4586" spans="1:17" x14ac:dyDescent="0.3">
      <c r="A4586" s="5"/>
      <c r="B4586" s="6"/>
      <c r="C4586" s="7"/>
      <c r="D4586" s="10"/>
      <c r="F4586" s="1"/>
      <c r="G4586" s="1"/>
      <c r="H4586" s="1"/>
      <c r="I4586" s="7"/>
      <c r="J4586" s="12"/>
      <c r="K4586" s="13"/>
      <c r="L4586" s="14"/>
      <c r="M4586" s="15"/>
      <c r="N4586" s="15"/>
      <c r="O4586" s="16"/>
      <c r="Q4586" s="16"/>
    </row>
    <row r="4587" spans="1:17" x14ac:dyDescent="0.3">
      <c r="A4587" s="5"/>
      <c r="B4587" s="6"/>
      <c r="C4587" s="7"/>
      <c r="D4587" s="10"/>
      <c r="F4587" s="1"/>
      <c r="G4587" s="1"/>
      <c r="H4587" s="1"/>
      <c r="I4587" s="7"/>
      <c r="J4587" s="12"/>
      <c r="K4587" s="13"/>
      <c r="L4587" s="14"/>
      <c r="M4587" s="15"/>
      <c r="N4587" s="15"/>
      <c r="O4587" s="16"/>
      <c r="Q4587" s="16"/>
    </row>
    <row r="4588" spans="1:17" x14ac:dyDescent="0.3">
      <c r="A4588" s="5"/>
      <c r="B4588" s="6"/>
      <c r="C4588" s="7"/>
      <c r="D4588" s="10"/>
      <c r="F4588" s="1"/>
      <c r="G4588" s="1"/>
      <c r="H4588" s="1"/>
      <c r="I4588" s="7"/>
      <c r="J4588" s="12"/>
      <c r="K4588" s="13"/>
      <c r="L4588" s="14"/>
      <c r="M4588" s="15"/>
      <c r="N4588" s="15"/>
      <c r="O4588" s="16"/>
      <c r="Q4588" s="16"/>
    </row>
    <row r="4589" spans="1:17" x14ac:dyDescent="0.3">
      <c r="A4589" s="5"/>
      <c r="B4589" s="6"/>
      <c r="C4589" s="7"/>
      <c r="D4589" s="10"/>
      <c r="F4589" s="1"/>
      <c r="G4589" s="1"/>
      <c r="H4589" s="1"/>
      <c r="I4589" s="7"/>
      <c r="J4589" s="12"/>
      <c r="K4589" s="13"/>
      <c r="L4589" s="14"/>
      <c r="M4589" s="15"/>
      <c r="N4589" s="15"/>
      <c r="O4589" s="16"/>
      <c r="Q4589" s="16"/>
    </row>
    <row r="4590" spans="1:17" x14ac:dyDescent="0.3">
      <c r="A4590" s="5"/>
      <c r="B4590" s="6"/>
      <c r="C4590" s="7"/>
      <c r="D4590" s="10"/>
      <c r="F4590" s="1"/>
      <c r="G4590" s="1"/>
      <c r="H4590" s="1"/>
      <c r="I4590" s="7"/>
      <c r="J4590" s="12"/>
      <c r="K4590" s="13"/>
      <c r="L4590" s="14"/>
      <c r="M4590" s="15"/>
      <c r="N4590" s="15"/>
      <c r="O4590" s="16"/>
      <c r="Q4590" s="16"/>
    </row>
    <row r="4591" spans="1:17" x14ac:dyDescent="0.3">
      <c r="A4591" s="5"/>
      <c r="B4591" s="6"/>
      <c r="C4591" s="7"/>
      <c r="D4591" s="10"/>
      <c r="F4591" s="1"/>
      <c r="G4591" s="1"/>
      <c r="H4591" s="1"/>
      <c r="I4591" s="7"/>
      <c r="J4591" s="12"/>
      <c r="K4591" s="13"/>
      <c r="L4591" s="14"/>
      <c r="M4591" s="15"/>
      <c r="N4591" s="15"/>
      <c r="O4591" s="16"/>
      <c r="Q4591" s="16"/>
    </row>
    <row r="4592" spans="1:17" x14ac:dyDescent="0.3">
      <c r="A4592" s="5"/>
      <c r="B4592" s="6"/>
      <c r="C4592" s="7"/>
      <c r="D4592" s="10"/>
      <c r="F4592" s="1"/>
      <c r="G4592" s="1"/>
      <c r="H4592" s="1"/>
      <c r="I4592" s="7"/>
      <c r="J4592" s="12"/>
      <c r="K4592" s="13"/>
      <c r="L4592" s="14"/>
      <c r="M4592" s="15"/>
      <c r="N4592" s="15"/>
      <c r="O4592" s="16"/>
      <c r="Q4592" s="16"/>
    </row>
    <row r="4593" spans="1:17" x14ac:dyDescent="0.3">
      <c r="A4593" s="5"/>
      <c r="B4593" s="6"/>
      <c r="C4593" s="7"/>
      <c r="D4593" s="10"/>
      <c r="F4593" s="1"/>
      <c r="G4593" s="1"/>
      <c r="H4593" s="1"/>
      <c r="I4593" s="7"/>
      <c r="J4593" s="12"/>
      <c r="K4593" s="13"/>
      <c r="L4593" s="14"/>
      <c r="M4593" s="15"/>
      <c r="N4593" s="15"/>
      <c r="O4593" s="16"/>
      <c r="Q4593" s="16"/>
    </row>
    <row r="4594" spans="1:17" x14ac:dyDescent="0.3">
      <c r="A4594" s="5"/>
      <c r="B4594" s="6"/>
      <c r="C4594" s="7"/>
      <c r="D4594" s="10"/>
      <c r="F4594" s="1"/>
      <c r="G4594" s="1"/>
      <c r="H4594" s="1"/>
      <c r="I4594" s="7"/>
      <c r="J4594" s="12"/>
      <c r="K4594" s="13"/>
      <c r="L4594" s="14"/>
      <c r="M4594" s="15"/>
      <c r="N4594" s="15"/>
      <c r="O4594" s="16"/>
      <c r="Q4594" s="16"/>
    </row>
    <row r="4595" spans="1:17" x14ac:dyDescent="0.3">
      <c r="A4595" s="5"/>
      <c r="B4595" s="6"/>
      <c r="C4595" s="7"/>
      <c r="D4595" s="10"/>
      <c r="F4595" s="1"/>
      <c r="G4595" s="1"/>
      <c r="H4595" s="1"/>
      <c r="I4595" s="7"/>
      <c r="J4595" s="12"/>
      <c r="K4595" s="13"/>
      <c r="L4595" s="14"/>
      <c r="M4595" s="15"/>
      <c r="N4595" s="15"/>
      <c r="O4595" s="16"/>
      <c r="Q4595" s="16"/>
    </row>
    <row r="4596" spans="1:17" x14ac:dyDescent="0.3">
      <c r="A4596" s="5"/>
      <c r="B4596" s="6"/>
      <c r="C4596" s="7"/>
      <c r="D4596" s="10"/>
      <c r="F4596" s="1"/>
      <c r="G4596" s="1"/>
      <c r="H4596" s="1"/>
      <c r="I4596" s="7"/>
      <c r="J4596" s="12"/>
      <c r="K4596" s="13"/>
      <c r="L4596" s="14"/>
      <c r="M4596" s="15"/>
      <c r="N4596" s="15"/>
      <c r="O4596" s="16"/>
      <c r="Q4596" s="16"/>
    </row>
    <row r="4597" spans="1:17" x14ac:dyDescent="0.3">
      <c r="A4597" s="5"/>
      <c r="B4597" s="6"/>
      <c r="C4597" s="7"/>
      <c r="D4597" s="10"/>
      <c r="F4597" s="1"/>
      <c r="G4597" s="1"/>
      <c r="H4597" s="1"/>
      <c r="I4597" s="7"/>
      <c r="J4597" s="12"/>
      <c r="K4597" s="13"/>
      <c r="L4597" s="14"/>
      <c r="M4597" s="15"/>
      <c r="N4597" s="15"/>
      <c r="O4597" s="16"/>
      <c r="Q4597" s="16"/>
    </row>
    <row r="4598" spans="1:17" x14ac:dyDescent="0.3">
      <c r="A4598" s="5"/>
      <c r="B4598" s="6"/>
      <c r="C4598" s="7"/>
      <c r="D4598" s="10"/>
      <c r="F4598" s="1"/>
      <c r="G4598" s="1"/>
      <c r="H4598" s="1"/>
      <c r="I4598" s="7"/>
      <c r="J4598" s="12"/>
      <c r="K4598" s="13"/>
      <c r="L4598" s="14"/>
      <c r="M4598" s="15"/>
      <c r="N4598" s="15"/>
      <c r="O4598" s="16"/>
      <c r="Q4598" s="16"/>
    </row>
    <row r="4599" spans="1:17" x14ac:dyDescent="0.3">
      <c r="A4599" s="5"/>
      <c r="B4599" s="6"/>
      <c r="C4599" s="7"/>
      <c r="D4599" s="10"/>
      <c r="F4599" s="1"/>
      <c r="G4599" s="1"/>
      <c r="H4599" s="1"/>
      <c r="I4599" s="7"/>
      <c r="J4599" s="12"/>
      <c r="K4599" s="13"/>
      <c r="L4599" s="14"/>
      <c r="M4599" s="15"/>
      <c r="N4599" s="15"/>
      <c r="O4599" s="16"/>
      <c r="Q4599" s="16"/>
    </row>
    <row r="4600" spans="1:17" x14ac:dyDescent="0.3">
      <c r="A4600" s="5"/>
      <c r="B4600" s="6"/>
      <c r="C4600" s="7"/>
      <c r="D4600" s="10"/>
      <c r="F4600" s="1"/>
      <c r="G4600" s="1"/>
      <c r="H4600" s="1"/>
      <c r="I4600" s="7"/>
      <c r="J4600" s="12"/>
      <c r="K4600" s="13"/>
      <c r="L4600" s="14"/>
      <c r="M4600" s="15"/>
      <c r="N4600" s="15"/>
      <c r="O4600" s="16"/>
      <c r="Q4600" s="16"/>
    </row>
    <row r="4601" spans="1:17" x14ac:dyDescent="0.3">
      <c r="A4601" s="5"/>
      <c r="B4601" s="6"/>
      <c r="C4601" s="7"/>
      <c r="D4601" s="10"/>
      <c r="F4601" s="1"/>
      <c r="G4601" s="1"/>
      <c r="H4601" s="1"/>
      <c r="I4601" s="7"/>
      <c r="J4601" s="12"/>
      <c r="K4601" s="13"/>
      <c r="L4601" s="14"/>
      <c r="M4601" s="15"/>
      <c r="N4601" s="15"/>
      <c r="O4601" s="16"/>
      <c r="Q4601" s="16"/>
    </row>
    <row r="4602" spans="1:17" x14ac:dyDescent="0.3">
      <c r="A4602" s="5"/>
      <c r="B4602" s="6"/>
      <c r="C4602" s="7"/>
      <c r="D4602" s="10"/>
      <c r="F4602" s="1"/>
      <c r="G4602" s="1"/>
      <c r="H4602" s="1"/>
      <c r="I4602" s="7"/>
      <c r="J4602" s="12"/>
      <c r="K4602" s="13"/>
      <c r="L4602" s="14"/>
      <c r="M4602" s="15"/>
      <c r="N4602" s="15"/>
      <c r="O4602" s="16"/>
      <c r="Q4602" s="16"/>
    </row>
    <row r="4603" spans="1:17" x14ac:dyDescent="0.3">
      <c r="A4603" s="5"/>
      <c r="B4603" s="6"/>
      <c r="C4603" s="7"/>
      <c r="D4603" s="10"/>
      <c r="F4603" s="1"/>
      <c r="G4603" s="1"/>
      <c r="H4603" s="1"/>
      <c r="I4603" s="7"/>
      <c r="J4603" s="12"/>
      <c r="K4603" s="13"/>
      <c r="L4603" s="14"/>
      <c r="M4603" s="15"/>
      <c r="N4603" s="15"/>
      <c r="O4603" s="16"/>
      <c r="Q4603" s="16"/>
    </row>
    <row r="4604" spans="1:17" x14ac:dyDescent="0.3">
      <c r="A4604" s="5"/>
      <c r="B4604" s="6"/>
      <c r="C4604" s="7"/>
      <c r="D4604" s="10"/>
      <c r="F4604" s="1"/>
      <c r="G4604" s="1"/>
      <c r="H4604" s="1"/>
      <c r="I4604" s="7"/>
      <c r="J4604" s="12"/>
      <c r="K4604" s="13"/>
      <c r="L4604" s="14"/>
      <c r="M4604" s="15"/>
      <c r="N4604" s="15"/>
      <c r="O4604" s="16"/>
      <c r="Q4604" s="16"/>
    </row>
    <row r="4605" spans="1:17" x14ac:dyDescent="0.3">
      <c r="A4605" s="5"/>
      <c r="B4605" s="6"/>
      <c r="C4605" s="7"/>
      <c r="D4605" s="10"/>
      <c r="F4605" s="1"/>
      <c r="G4605" s="1"/>
      <c r="H4605" s="1"/>
      <c r="I4605" s="7"/>
      <c r="J4605" s="12"/>
      <c r="K4605" s="13"/>
      <c r="L4605" s="14"/>
      <c r="M4605" s="15"/>
      <c r="N4605" s="15"/>
      <c r="O4605" s="16"/>
      <c r="Q4605" s="16"/>
    </row>
    <row r="4606" spans="1:17" x14ac:dyDescent="0.3">
      <c r="A4606" s="5"/>
      <c r="B4606" s="6"/>
      <c r="C4606" s="7"/>
      <c r="D4606" s="10"/>
      <c r="F4606" s="1"/>
      <c r="G4606" s="1"/>
      <c r="H4606" s="1"/>
      <c r="I4606" s="7"/>
      <c r="J4606" s="12"/>
      <c r="K4606" s="13"/>
      <c r="L4606" s="14"/>
      <c r="M4606" s="15"/>
      <c r="N4606" s="15"/>
      <c r="O4606" s="16"/>
      <c r="Q4606" s="16"/>
    </row>
    <row r="4607" spans="1:17" x14ac:dyDescent="0.3">
      <c r="A4607" s="5"/>
      <c r="B4607" s="6"/>
      <c r="C4607" s="7"/>
      <c r="D4607" s="10"/>
      <c r="F4607" s="1"/>
      <c r="G4607" s="1"/>
      <c r="H4607" s="1"/>
      <c r="I4607" s="7"/>
      <c r="J4607" s="12"/>
      <c r="K4607" s="13"/>
      <c r="L4607" s="14"/>
      <c r="M4607" s="15"/>
      <c r="N4607" s="15"/>
      <c r="O4607" s="16"/>
      <c r="Q4607" s="16"/>
    </row>
    <row r="4608" spans="1:17" x14ac:dyDescent="0.3">
      <c r="A4608" s="5"/>
      <c r="B4608" s="6"/>
      <c r="C4608" s="7"/>
      <c r="D4608" s="10"/>
      <c r="F4608" s="1"/>
      <c r="G4608" s="1"/>
      <c r="H4608" s="1"/>
      <c r="I4608" s="7"/>
      <c r="J4608" s="12"/>
      <c r="K4608" s="13"/>
      <c r="L4608" s="14"/>
      <c r="M4608" s="15"/>
      <c r="N4608" s="15"/>
      <c r="O4608" s="16"/>
      <c r="Q4608" s="16"/>
    </row>
    <row r="4609" spans="1:17" x14ac:dyDescent="0.3">
      <c r="A4609" s="5"/>
      <c r="B4609" s="6"/>
      <c r="C4609" s="7"/>
      <c r="D4609" s="10"/>
      <c r="F4609" s="1"/>
      <c r="G4609" s="1"/>
      <c r="H4609" s="1"/>
      <c r="I4609" s="7"/>
      <c r="J4609" s="12"/>
      <c r="K4609" s="13"/>
      <c r="L4609" s="14"/>
      <c r="M4609" s="15"/>
      <c r="N4609" s="15"/>
      <c r="O4609" s="16"/>
      <c r="Q4609" s="16"/>
    </row>
    <row r="4610" spans="1:17" x14ac:dyDescent="0.3">
      <c r="A4610" s="5"/>
      <c r="B4610" s="6"/>
      <c r="C4610" s="7"/>
      <c r="D4610" s="10"/>
      <c r="F4610" s="1"/>
      <c r="G4610" s="1"/>
      <c r="H4610" s="1"/>
      <c r="I4610" s="7"/>
      <c r="J4610" s="12"/>
      <c r="K4610" s="13"/>
      <c r="L4610" s="14"/>
      <c r="M4610" s="15"/>
      <c r="N4610" s="15"/>
      <c r="O4610" s="16"/>
      <c r="Q4610" s="16"/>
    </row>
    <row r="4611" spans="1:17" x14ac:dyDescent="0.3">
      <c r="A4611" s="5"/>
      <c r="B4611" s="6"/>
      <c r="C4611" s="7"/>
      <c r="D4611" s="10"/>
      <c r="F4611" s="1"/>
      <c r="G4611" s="1"/>
      <c r="H4611" s="1"/>
      <c r="I4611" s="7"/>
      <c r="J4611" s="12"/>
      <c r="K4611" s="13"/>
      <c r="L4611" s="14"/>
      <c r="M4611" s="15"/>
      <c r="N4611" s="15"/>
      <c r="O4611" s="16"/>
      <c r="Q4611" s="16"/>
    </row>
    <row r="4612" spans="1:17" x14ac:dyDescent="0.3">
      <c r="A4612" s="5"/>
      <c r="B4612" s="6"/>
      <c r="C4612" s="7"/>
      <c r="D4612" s="10"/>
      <c r="F4612" s="1"/>
      <c r="G4612" s="1"/>
      <c r="H4612" s="1"/>
      <c r="I4612" s="7"/>
      <c r="J4612" s="12"/>
      <c r="K4612" s="13"/>
      <c r="L4612" s="14"/>
      <c r="M4612" s="15"/>
      <c r="N4612" s="15"/>
      <c r="O4612" s="16"/>
      <c r="Q4612" s="16"/>
    </row>
    <row r="4613" spans="1:17" x14ac:dyDescent="0.3">
      <c r="A4613" s="5"/>
      <c r="B4613" s="6"/>
      <c r="C4613" s="7"/>
      <c r="D4613" s="10"/>
      <c r="F4613" s="1"/>
      <c r="G4613" s="1"/>
      <c r="H4613" s="1"/>
      <c r="I4613" s="7"/>
      <c r="J4613" s="12"/>
      <c r="K4613" s="13"/>
      <c r="L4613" s="14"/>
      <c r="M4613" s="15"/>
      <c r="N4613" s="15"/>
      <c r="O4613" s="16"/>
      <c r="Q4613" s="16"/>
    </row>
    <row r="4614" spans="1:17" x14ac:dyDescent="0.3">
      <c r="A4614" s="5"/>
      <c r="B4614" s="6"/>
      <c r="C4614" s="7"/>
      <c r="D4614" s="10"/>
      <c r="F4614" s="1"/>
      <c r="G4614" s="1"/>
      <c r="H4614" s="1"/>
      <c r="I4614" s="7"/>
      <c r="J4614" s="12"/>
      <c r="K4614" s="13"/>
      <c r="L4614" s="14"/>
      <c r="M4614" s="15"/>
      <c r="N4614" s="15"/>
      <c r="O4614" s="16"/>
      <c r="Q4614" s="16"/>
    </row>
    <row r="4615" spans="1:17" x14ac:dyDescent="0.3">
      <c r="A4615" s="5"/>
      <c r="B4615" s="6"/>
      <c r="C4615" s="7"/>
      <c r="D4615" s="10"/>
      <c r="F4615" s="1"/>
      <c r="G4615" s="1"/>
      <c r="H4615" s="1"/>
      <c r="I4615" s="7"/>
      <c r="J4615" s="12"/>
      <c r="K4615" s="13"/>
      <c r="L4615" s="14"/>
      <c r="M4615" s="15"/>
      <c r="N4615" s="15"/>
      <c r="O4615" s="16"/>
      <c r="Q4615" s="16"/>
    </row>
    <row r="4616" spans="1:17" x14ac:dyDescent="0.3">
      <c r="A4616" s="5"/>
      <c r="B4616" s="6"/>
      <c r="C4616" s="7"/>
      <c r="D4616" s="10"/>
      <c r="F4616" s="1"/>
      <c r="G4616" s="1"/>
      <c r="H4616" s="1"/>
      <c r="I4616" s="7"/>
      <c r="J4616" s="12"/>
      <c r="K4616" s="13"/>
      <c r="L4616" s="14"/>
      <c r="M4616" s="15"/>
      <c r="N4616" s="15"/>
      <c r="O4616" s="16"/>
      <c r="Q4616" s="16"/>
    </row>
    <row r="4617" spans="1:17" x14ac:dyDescent="0.3">
      <c r="A4617" s="5"/>
      <c r="B4617" s="6"/>
      <c r="C4617" s="7"/>
      <c r="D4617" s="10"/>
      <c r="F4617" s="1"/>
      <c r="G4617" s="1"/>
      <c r="H4617" s="1"/>
      <c r="I4617" s="7"/>
      <c r="J4617" s="12"/>
      <c r="K4617" s="13"/>
      <c r="L4617" s="14"/>
      <c r="M4617" s="15"/>
      <c r="N4617" s="15"/>
      <c r="O4617" s="16"/>
      <c r="Q4617" s="16"/>
    </row>
    <row r="4618" spans="1:17" x14ac:dyDescent="0.3">
      <c r="A4618" s="5"/>
      <c r="B4618" s="6"/>
      <c r="C4618" s="7"/>
      <c r="D4618" s="10"/>
      <c r="F4618" s="1"/>
      <c r="G4618" s="1"/>
      <c r="H4618" s="1"/>
      <c r="I4618" s="7"/>
      <c r="J4618" s="12"/>
      <c r="K4618" s="13"/>
      <c r="L4618" s="14"/>
      <c r="M4618" s="15"/>
      <c r="N4618" s="15"/>
      <c r="O4618" s="16"/>
      <c r="Q4618" s="16"/>
    </row>
    <row r="4619" spans="1:17" x14ac:dyDescent="0.3">
      <c r="A4619" s="5"/>
      <c r="B4619" s="6"/>
      <c r="C4619" s="7"/>
      <c r="D4619" s="10"/>
      <c r="F4619" s="1"/>
      <c r="G4619" s="1"/>
      <c r="H4619" s="1"/>
      <c r="I4619" s="7"/>
      <c r="J4619" s="12"/>
      <c r="K4619" s="13"/>
      <c r="L4619" s="14"/>
      <c r="M4619" s="15"/>
      <c r="N4619" s="15"/>
      <c r="O4619" s="16"/>
      <c r="Q4619" s="16"/>
    </row>
    <row r="4620" spans="1:17" x14ac:dyDescent="0.3">
      <c r="A4620" s="5"/>
      <c r="B4620" s="6"/>
      <c r="C4620" s="7"/>
      <c r="D4620" s="10"/>
      <c r="F4620" s="1"/>
      <c r="G4620" s="1"/>
      <c r="H4620" s="1"/>
      <c r="I4620" s="7"/>
      <c r="J4620" s="12"/>
      <c r="K4620" s="13"/>
      <c r="L4620" s="14"/>
      <c r="M4620" s="15"/>
      <c r="N4620" s="15"/>
      <c r="O4620" s="16"/>
      <c r="Q4620" s="16"/>
    </row>
    <row r="4621" spans="1:17" x14ac:dyDescent="0.3">
      <c r="A4621" s="5"/>
      <c r="B4621" s="6"/>
      <c r="C4621" s="7"/>
      <c r="D4621" s="10"/>
      <c r="F4621" s="1"/>
      <c r="G4621" s="1"/>
      <c r="H4621" s="1"/>
      <c r="I4621" s="7"/>
      <c r="J4621" s="12"/>
      <c r="K4621" s="13"/>
      <c r="L4621" s="14"/>
      <c r="M4621" s="15"/>
      <c r="N4621" s="15"/>
      <c r="O4621" s="16"/>
      <c r="Q4621" s="16"/>
    </row>
    <row r="4622" spans="1:17" x14ac:dyDescent="0.3">
      <c r="A4622" s="5"/>
      <c r="B4622" s="6"/>
      <c r="C4622" s="7"/>
      <c r="D4622" s="10"/>
      <c r="F4622" s="1"/>
      <c r="G4622" s="1"/>
      <c r="H4622" s="1"/>
      <c r="I4622" s="7"/>
      <c r="J4622" s="12"/>
      <c r="K4622" s="13"/>
      <c r="L4622" s="14"/>
      <c r="M4622" s="15"/>
      <c r="N4622" s="15"/>
      <c r="O4622" s="16"/>
      <c r="Q4622" s="16"/>
    </row>
    <row r="4623" spans="1:17" x14ac:dyDescent="0.3">
      <c r="A4623" s="5"/>
      <c r="B4623" s="6"/>
      <c r="C4623" s="7"/>
      <c r="D4623" s="10"/>
      <c r="F4623" s="1"/>
      <c r="G4623" s="1"/>
      <c r="H4623" s="1"/>
      <c r="I4623" s="7"/>
      <c r="J4623" s="12"/>
      <c r="K4623" s="13"/>
      <c r="L4623" s="14"/>
      <c r="M4623" s="15"/>
      <c r="N4623" s="15"/>
      <c r="O4623" s="16"/>
      <c r="Q4623" s="16"/>
    </row>
    <row r="4624" spans="1:17" x14ac:dyDescent="0.3">
      <c r="A4624" s="5"/>
      <c r="B4624" s="6"/>
      <c r="C4624" s="7"/>
      <c r="D4624" s="10"/>
      <c r="F4624" s="1"/>
      <c r="G4624" s="1"/>
      <c r="H4624" s="1"/>
      <c r="I4624" s="7"/>
      <c r="J4624" s="12"/>
      <c r="K4624" s="13"/>
      <c r="L4624" s="14"/>
      <c r="M4624" s="15"/>
      <c r="N4624" s="15"/>
      <c r="O4624" s="16"/>
      <c r="Q4624" s="16"/>
    </row>
    <row r="4625" spans="1:17" x14ac:dyDescent="0.3">
      <c r="A4625" s="5"/>
      <c r="B4625" s="6"/>
      <c r="C4625" s="7"/>
      <c r="D4625" s="10"/>
      <c r="F4625" s="1"/>
      <c r="G4625" s="1"/>
      <c r="H4625" s="1"/>
      <c r="I4625" s="7"/>
      <c r="J4625" s="12"/>
      <c r="K4625" s="13"/>
      <c r="L4625" s="14"/>
      <c r="M4625" s="15"/>
      <c r="N4625" s="15"/>
      <c r="O4625" s="16"/>
      <c r="Q4625" s="16"/>
    </row>
    <row r="4626" spans="1:17" x14ac:dyDescent="0.3">
      <c r="A4626" s="5"/>
      <c r="B4626" s="6"/>
      <c r="C4626" s="7"/>
      <c r="D4626" s="10"/>
      <c r="F4626" s="1"/>
      <c r="G4626" s="1"/>
      <c r="H4626" s="1"/>
      <c r="I4626" s="7"/>
      <c r="J4626" s="12"/>
      <c r="K4626" s="13"/>
      <c r="L4626" s="14"/>
      <c r="M4626" s="15"/>
      <c r="N4626" s="15"/>
      <c r="O4626" s="16"/>
      <c r="Q4626" s="16"/>
    </row>
    <row r="4627" spans="1:17" x14ac:dyDescent="0.3">
      <c r="A4627" s="5"/>
      <c r="B4627" s="6"/>
      <c r="C4627" s="7"/>
      <c r="D4627" s="10"/>
      <c r="F4627" s="1"/>
      <c r="G4627" s="1"/>
      <c r="H4627" s="1"/>
      <c r="I4627" s="7"/>
      <c r="J4627" s="12"/>
      <c r="K4627" s="13"/>
      <c r="L4627" s="14"/>
      <c r="M4627" s="15"/>
      <c r="N4627" s="15"/>
      <c r="O4627" s="16"/>
      <c r="Q4627" s="16"/>
    </row>
    <row r="4628" spans="1:17" x14ac:dyDescent="0.3">
      <c r="A4628" s="5"/>
      <c r="B4628" s="6"/>
      <c r="C4628" s="7"/>
      <c r="D4628" s="10"/>
      <c r="F4628" s="1"/>
      <c r="G4628" s="1"/>
      <c r="H4628" s="1"/>
      <c r="I4628" s="7"/>
      <c r="J4628" s="12"/>
      <c r="K4628" s="13"/>
      <c r="L4628" s="14"/>
      <c r="M4628" s="15"/>
      <c r="N4628" s="15"/>
      <c r="O4628" s="16"/>
      <c r="Q4628" s="16"/>
    </row>
    <row r="4629" spans="1:17" x14ac:dyDescent="0.3">
      <c r="A4629" s="5"/>
      <c r="B4629" s="6"/>
      <c r="C4629" s="7"/>
      <c r="D4629" s="10"/>
      <c r="F4629" s="1"/>
      <c r="G4629" s="1"/>
      <c r="H4629" s="1"/>
      <c r="I4629" s="7"/>
      <c r="J4629" s="12"/>
      <c r="K4629" s="13"/>
      <c r="L4629" s="14"/>
      <c r="M4629" s="15"/>
      <c r="N4629" s="15"/>
      <c r="O4629" s="16"/>
      <c r="Q4629" s="16"/>
    </row>
    <row r="4630" spans="1:17" x14ac:dyDescent="0.3">
      <c r="A4630" s="5"/>
      <c r="B4630" s="6"/>
      <c r="C4630" s="7"/>
      <c r="D4630" s="10"/>
      <c r="F4630" s="1"/>
      <c r="G4630" s="1"/>
      <c r="H4630" s="1"/>
      <c r="I4630" s="7"/>
      <c r="J4630" s="12"/>
      <c r="K4630" s="13"/>
      <c r="L4630" s="14"/>
      <c r="M4630" s="15"/>
      <c r="N4630" s="15"/>
      <c r="O4630" s="16"/>
      <c r="Q4630" s="16"/>
    </row>
    <row r="4631" spans="1:17" x14ac:dyDescent="0.3">
      <c r="A4631" s="5"/>
      <c r="B4631" s="6"/>
      <c r="C4631" s="7"/>
      <c r="D4631" s="10"/>
      <c r="F4631" s="1"/>
      <c r="G4631" s="1"/>
      <c r="H4631" s="1"/>
      <c r="I4631" s="7"/>
      <c r="J4631" s="12"/>
      <c r="K4631" s="13"/>
      <c r="L4631" s="14"/>
      <c r="M4631" s="15"/>
      <c r="N4631" s="15"/>
      <c r="O4631" s="16"/>
      <c r="Q4631" s="16"/>
    </row>
    <row r="4632" spans="1:17" x14ac:dyDescent="0.3">
      <c r="A4632" s="5"/>
      <c r="B4632" s="6"/>
      <c r="C4632" s="7"/>
      <c r="D4632" s="10"/>
      <c r="F4632" s="1"/>
      <c r="G4632" s="1"/>
      <c r="H4632" s="1"/>
      <c r="I4632" s="7"/>
      <c r="J4632" s="12"/>
      <c r="K4632" s="13"/>
      <c r="L4632" s="14"/>
      <c r="M4632" s="15"/>
      <c r="N4632" s="15"/>
      <c r="O4632" s="16"/>
      <c r="Q4632" s="16"/>
    </row>
    <row r="4633" spans="1:17" x14ac:dyDescent="0.3">
      <c r="A4633" s="5"/>
      <c r="B4633" s="6"/>
      <c r="C4633" s="7"/>
      <c r="D4633" s="10"/>
      <c r="F4633" s="1"/>
      <c r="G4633" s="1"/>
      <c r="H4633" s="1"/>
      <c r="I4633" s="7"/>
      <c r="J4633" s="12"/>
      <c r="K4633" s="13"/>
      <c r="L4633" s="14"/>
      <c r="M4633" s="15"/>
      <c r="N4633" s="15"/>
      <c r="O4633" s="16"/>
      <c r="Q4633" s="16"/>
    </row>
    <row r="4634" spans="1:17" x14ac:dyDescent="0.3">
      <c r="A4634" s="5"/>
      <c r="B4634" s="6"/>
      <c r="C4634" s="7"/>
      <c r="D4634" s="10"/>
      <c r="F4634" s="1"/>
      <c r="G4634" s="1"/>
      <c r="H4634" s="1"/>
      <c r="I4634" s="7"/>
      <c r="J4634" s="12"/>
      <c r="K4634" s="13"/>
      <c r="L4634" s="14"/>
      <c r="M4634" s="15"/>
      <c r="N4634" s="15"/>
      <c r="O4634" s="16"/>
      <c r="Q4634" s="16"/>
    </row>
    <row r="4635" spans="1:17" x14ac:dyDescent="0.3">
      <c r="A4635" s="5"/>
      <c r="B4635" s="6"/>
      <c r="C4635" s="7"/>
      <c r="D4635" s="10"/>
      <c r="F4635" s="1"/>
      <c r="G4635" s="1"/>
      <c r="H4635" s="1"/>
      <c r="I4635" s="7"/>
      <c r="J4635" s="12"/>
      <c r="K4635" s="13"/>
      <c r="L4635" s="14"/>
      <c r="M4635" s="15"/>
      <c r="N4635" s="15"/>
      <c r="O4635" s="16"/>
      <c r="Q4635" s="16"/>
    </row>
    <row r="4636" spans="1:17" x14ac:dyDescent="0.3">
      <c r="A4636" s="5"/>
      <c r="B4636" s="6"/>
      <c r="C4636" s="7"/>
      <c r="D4636" s="10"/>
      <c r="F4636" s="1"/>
      <c r="G4636" s="1"/>
      <c r="H4636" s="1"/>
      <c r="I4636" s="7"/>
      <c r="J4636" s="12"/>
      <c r="K4636" s="13"/>
      <c r="L4636" s="14"/>
      <c r="M4636" s="15"/>
      <c r="N4636" s="15"/>
      <c r="O4636" s="16"/>
      <c r="Q4636" s="16"/>
    </row>
    <row r="4637" spans="1:17" x14ac:dyDescent="0.3">
      <c r="A4637" s="5"/>
      <c r="B4637" s="6"/>
      <c r="C4637" s="7"/>
      <c r="D4637" s="10"/>
      <c r="F4637" s="1"/>
      <c r="G4637" s="1"/>
      <c r="H4637" s="1"/>
      <c r="I4637" s="7"/>
      <c r="J4637" s="12"/>
      <c r="K4637" s="13"/>
      <c r="L4637" s="14"/>
      <c r="M4637" s="15"/>
      <c r="N4637" s="15"/>
      <c r="O4637" s="16"/>
      <c r="Q4637" s="16"/>
    </row>
    <row r="4638" spans="1:17" x14ac:dyDescent="0.3">
      <c r="A4638" s="5"/>
      <c r="B4638" s="6"/>
      <c r="C4638" s="7"/>
      <c r="D4638" s="10"/>
      <c r="F4638" s="1"/>
      <c r="G4638" s="1"/>
      <c r="H4638" s="1"/>
      <c r="I4638" s="7"/>
      <c r="J4638" s="12"/>
      <c r="K4638" s="13"/>
      <c r="L4638" s="14"/>
      <c r="M4638" s="15"/>
      <c r="N4638" s="15"/>
      <c r="O4638" s="16"/>
      <c r="Q4638" s="16"/>
    </row>
    <row r="4639" spans="1:17" x14ac:dyDescent="0.3">
      <c r="A4639" s="5"/>
      <c r="B4639" s="6"/>
      <c r="C4639" s="7"/>
      <c r="D4639" s="10"/>
      <c r="F4639" s="1"/>
      <c r="G4639" s="1"/>
      <c r="H4639" s="1"/>
      <c r="I4639" s="7"/>
      <c r="J4639" s="12"/>
      <c r="K4639" s="13"/>
      <c r="L4639" s="14"/>
      <c r="M4639" s="15"/>
      <c r="N4639" s="15"/>
      <c r="O4639" s="16"/>
      <c r="Q4639" s="16"/>
    </row>
    <row r="4640" spans="1:17" x14ac:dyDescent="0.3">
      <c r="A4640" s="5"/>
      <c r="B4640" s="6"/>
      <c r="C4640" s="7"/>
      <c r="D4640" s="10"/>
      <c r="F4640" s="1"/>
      <c r="G4640" s="1"/>
      <c r="H4640" s="1"/>
      <c r="I4640" s="7"/>
      <c r="J4640" s="12"/>
      <c r="K4640" s="13"/>
      <c r="L4640" s="14"/>
      <c r="M4640" s="15"/>
      <c r="N4640" s="15"/>
      <c r="O4640" s="16"/>
      <c r="Q4640" s="16"/>
    </row>
    <row r="4641" spans="1:17" x14ac:dyDescent="0.3">
      <c r="A4641" s="5"/>
      <c r="B4641" s="6"/>
      <c r="C4641" s="7"/>
      <c r="D4641" s="10"/>
      <c r="F4641" s="1"/>
      <c r="G4641" s="1"/>
      <c r="H4641" s="1"/>
      <c r="I4641" s="7"/>
      <c r="J4641" s="12"/>
      <c r="K4641" s="13"/>
      <c r="L4641" s="14"/>
      <c r="M4641" s="15"/>
      <c r="N4641" s="15"/>
      <c r="O4641" s="16"/>
      <c r="Q4641" s="16"/>
    </row>
    <row r="4642" spans="1:17" x14ac:dyDescent="0.3">
      <c r="A4642" s="5"/>
      <c r="B4642" s="6"/>
      <c r="C4642" s="7"/>
      <c r="D4642" s="10"/>
      <c r="F4642" s="1"/>
      <c r="G4642" s="1"/>
      <c r="H4642" s="1"/>
      <c r="I4642" s="7"/>
      <c r="J4642" s="12"/>
      <c r="K4642" s="13"/>
      <c r="L4642" s="14"/>
      <c r="M4642" s="15"/>
      <c r="N4642" s="15"/>
      <c r="O4642" s="16"/>
      <c r="Q4642" s="16"/>
    </row>
    <row r="4643" spans="1:17" x14ac:dyDescent="0.3">
      <c r="A4643" s="5"/>
      <c r="B4643" s="6"/>
      <c r="C4643" s="7"/>
      <c r="D4643" s="10"/>
      <c r="F4643" s="1"/>
      <c r="G4643" s="1"/>
      <c r="H4643" s="1"/>
      <c r="I4643" s="7"/>
      <c r="J4643" s="12"/>
      <c r="K4643" s="13"/>
      <c r="L4643" s="14"/>
      <c r="M4643" s="15"/>
      <c r="N4643" s="15"/>
      <c r="O4643" s="16"/>
      <c r="Q4643" s="16"/>
    </row>
    <row r="4644" spans="1:17" x14ac:dyDescent="0.3">
      <c r="A4644" s="5"/>
      <c r="B4644" s="6"/>
      <c r="C4644" s="7"/>
      <c r="D4644" s="10"/>
      <c r="F4644" s="1"/>
      <c r="G4644" s="1"/>
      <c r="H4644" s="1"/>
      <c r="I4644" s="7"/>
      <c r="J4644" s="12"/>
      <c r="K4644" s="13"/>
      <c r="L4644" s="14"/>
      <c r="M4644" s="15"/>
      <c r="N4644" s="15"/>
      <c r="O4644" s="16"/>
      <c r="Q4644" s="16"/>
    </row>
    <row r="4645" spans="1:17" x14ac:dyDescent="0.3">
      <c r="A4645" s="5"/>
      <c r="B4645" s="6"/>
      <c r="C4645" s="7"/>
      <c r="D4645" s="10"/>
      <c r="F4645" s="1"/>
      <c r="G4645" s="1"/>
      <c r="H4645" s="1"/>
      <c r="I4645" s="7"/>
      <c r="J4645" s="12"/>
      <c r="K4645" s="13"/>
      <c r="L4645" s="14"/>
      <c r="M4645" s="15"/>
      <c r="N4645" s="15"/>
      <c r="O4645" s="16"/>
      <c r="Q4645" s="16"/>
    </row>
    <row r="4646" spans="1:17" x14ac:dyDescent="0.3">
      <c r="A4646" s="5"/>
      <c r="B4646" s="6"/>
      <c r="C4646" s="7"/>
      <c r="D4646" s="10"/>
      <c r="F4646" s="1"/>
      <c r="G4646" s="1"/>
      <c r="H4646" s="1"/>
      <c r="I4646" s="7"/>
      <c r="J4646" s="12"/>
      <c r="K4646" s="13"/>
      <c r="L4646" s="14"/>
      <c r="M4646" s="15"/>
      <c r="N4646" s="15"/>
      <c r="O4646" s="16"/>
      <c r="Q4646" s="16"/>
    </row>
    <row r="4647" spans="1:17" x14ac:dyDescent="0.3">
      <c r="A4647" s="5"/>
      <c r="B4647" s="6"/>
      <c r="C4647" s="7"/>
      <c r="D4647" s="10"/>
      <c r="F4647" s="1"/>
      <c r="G4647" s="1"/>
      <c r="H4647" s="1"/>
      <c r="I4647" s="7"/>
      <c r="J4647" s="12"/>
      <c r="K4647" s="13"/>
      <c r="L4647" s="14"/>
      <c r="M4647" s="15"/>
      <c r="N4647" s="15"/>
      <c r="O4647" s="16"/>
      <c r="Q4647" s="16"/>
    </row>
    <row r="4648" spans="1:17" x14ac:dyDescent="0.3">
      <c r="A4648" s="5"/>
      <c r="B4648" s="6"/>
      <c r="C4648" s="7"/>
      <c r="D4648" s="10"/>
      <c r="F4648" s="1"/>
      <c r="G4648" s="1"/>
      <c r="H4648" s="1"/>
      <c r="I4648" s="7"/>
      <c r="J4648" s="12"/>
      <c r="K4648" s="13"/>
      <c r="L4648" s="14"/>
      <c r="M4648" s="15"/>
      <c r="N4648" s="15"/>
      <c r="O4648" s="16"/>
      <c r="Q4648" s="16"/>
    </row>
    <row r="4649" spans="1:17" x14ac:dyDescent="0.3">
      <c r="A4649" s="5"/>
      <c r="B4649" s="6"/>
      <c r="C4649" s="7"/>
      <c r="D4649" s="10"/>
      <c r="F4649" s="1"/>
      <c r="G4649" s="1"/>
      <c r="H4649" s="1"/>
      <c r="I4649" s="7"/>
      <c r="J4649" s="12"/>
      <c r="K4649" s="13"/>
      <c r="L4649" s="14"/>
      <c r="M4649" s="15"/>
      <c r="N4649" s="15"/>
      <c r="O4649" s="16"/>
      <c r="Q4649" s="16"/>
    </row>
    <row r="4650" spans="1:17" x14ac:dyDescent="0.3">
      <c r="A4650" s="5"/>
      <c r="B4650" s="6"/>
      <c r="C4650" s="7"/>
      <c r="D4650" s="10"/>
      <c r="F4650" s="1"/>
      <c r="G4650" s="1"/>
      <c r="H4650" s="1"/>
      <c r="I4650" s="7"/>
      <c r="J4650" s="12"/>
      <c r="K4650" s="13"/>
      <c r="L4650" s="14"/>
      <c r="M4650" s="15"/>
      <c r="N4650" s="15"/>
      <c r="O4650" s="16"/>
      <c r="Q4650" s="16"/>
    </row>
    <row r="4651" spans="1:17" x14ac:dyDescent="0.3">
      <c r="A4651" s="5"/>
      <c r="B4651" s="6"/>
      <c r="C4651" s="7"/>
      <c r="D4651" s="10"/>
      <c r="F4651" s="1"/>
      <c r="G4651" s="1"/>
      <c r="H4651" s="1"/>
      <c r="I4651" s="7"/>
      <c r="J4651" s="12"/>
      <c r="K4651" s="13"/>
      <c r="L4651" s="14"/>
      <c r="M4651" s="15"/>
      <c r="N4651" s="15"/>
      <c r="O4651" s="16"/>
      <c r="Q4651" s="16"/>
    </row>
    <row r="4652" spans="1:17" x14ac:dyDescent="0.3">
      <c r="A4652" s="5"/>
      <c r="B4652" s="6"/>
      <c r="C4652" s="7"/>
      <c r="D4652" s="10"/>
      <c r="F4652" s="1"/>
      <c r="G4652" s="1"/>
      <c r="H4652" s="1"/>
      <c r="I4652" s="7"/>
      <c r="J4652" s="12"/>
      <c r="K4652" s="13"/>
      <c r="L4652" s="14"/>
      <c r="M4652" s="15"/>
      <c r="N4652" s="15"/>
      <c r="O4652" s="16"/>
      <c r="Q4652" s="16"/>
    </row>
    <row r="4653" spans="1:17" x14ac:dyDescent="0.3">
      <c r="A4653" s="5"/>
      <c r="B4653" s="6"/>
      <c r="C4653" s="7"/>
      <c r="D4653" s="10"/>
      <c r="F4653" s="1"/>
      <c r="G4653" s="1"/>
      <c r="H4653" s="1"/>
      <c r="I4653" s="7"/>
      <c r="J4653" s="12"/>
      <c r="K4653" s="13"/>
      <c r="L4653" s="14"/>
      <c r="M4653" s="15"/>
      <c r="N4653" s="15"/>
      <c r="O4653" s="16"/>
      <c r="Q4653" s="16"/>
    </row>
    <row r="4654" spans="1:17" x14ac:dyDescent="0.3">
      <c r="A4654" s="5"/>
      <c r="B4654" s="6"/>
      <c r="C4654" s="7"/>
      <c r="D4654" s="10"/>
      <c r="F4654" s="1"/>
      <c r="G4654" s="1"/>
      <c r="H4654" s="1"/>
      <c r="I4654" s="7"/>
      <c r="J4654" s="12"/>
      <c r="K4654" s="13"/>
      <c r="L4654" s="14"/>
      <c r="M4654" s="15"/>
      <c r="N4654" s="15"/>
      <c r="O4654" s="16"/>
      <c r="Q4654" s="16"/>
    </row>
    <row r="4655" spans="1:17" x14ac:dyDescent="0.3">
      <c r="A4655" s="5"/>
      <c r="B4655" s="6"/>
      <c r="C4655" s="7"/>
      <c r="D4655" s="10"/>
      <c r="F4655" s="1"/>
      <c r="G4655" s="1"/>
      <c r="H4655" s="1"/>
      <c r="I4655" s="7"/>
      <c r="J4655" s="12"/>
      <c r="K4655" s="13"/>
      <c r="L4655" s="14"/>
      <c r="M4655" s="15"/>
      <c r="N4655" s="15"/>
      <c r="O4655" s="16"/>
      <c r="Q4655" s="16"/>
    </row>
    <row r="4656" spans="1:17" x14ac:dyDescent="0.3">
      <c r="A4656" s="5"/>
      <c r="B4656" s="6"/>
      <c r="C4656" s="7"/>
      <c r="D4656" s="10"/>
      <c r="F4656" s="1"/>
      <c r="G4656" s="1"/>
      <c r="H4656" s="1"/>
      <c r="I4656" s="7"/>
      <c r="J4656" s="12"/>
      <c r="K4656" s="13"/>
      <c r="L4656" s="14"/>
      <c r="M4656" s="15"/>
      <c r="N4656" s="15"/>
      <c r="O4656" s="16"/>
      <c r="Q4656" s="16"/>
    </row>
    <row r="4657" spans="1:17" x14ac:dyDescent="0.3">
      <c r="A4657" s="5"/>
      <c r="B4657" s="6"/>
      <c r="C4657" s="7"/>
      <c r="D4657" s="10"/>
      <c r="F4657" s="1"/>
      <c r="G4657" s="1"/>
      <c r="H4657" s="1"/>
      <c r="I4657" s="7"/>
      <c r="J4657" s="12"/>
      <c r="K4657" s="13"/>
      <c r="L4657" s="14"/>
      <c r="M4657" s="15"/>
      <c r="N4657" s="15"/>
      <c r="O4657" s="16"/>
      <c r="Q4657" s="16"/>
    </row>
    <row r="4658" spans="1:17" x14ac:dyDescent="0.3">
      <c r="A4658" s="5"/>
      <c r="B4658" s="6"/>
      <c r="C4658" s="7"/>
      <c r="D4658" s="10"/>
      <c r="F4658" s="1"/>
      <c r="G4658" s="1"/>
      <c r="H4658" s="1"/>
      <c r="I4658" s="7"/>
      <c r="J4658" s="12"/>
      <c r="K4658" s="13"/>
      <c r="L4658" s="14"/>
      <c r="M4658" s="15"/>
      <c r="N4658" s="15"/>
      <c r="O4658" s="16"/>
      <c r="Q4658" s="16"/>
    </row>
    <row r="4659" spans="1:17" x14ac:dyDescent="0.3">
      <c r="A4659" s="5"/>
      <c r="B4659" s="6"/>
      <c r="C4659" s="7"/>
      <c r="D4659" s="10"/>
      <c r="F4659" s="1"/>
      <c r="G4659" s="1"/>
      <c r="H4659" s="1"/>
      <c r="I4659" s="7"/>
      <c r="J4659" s="12"/>
      <c r="K4659" s="13"/>
      <c r="L4659" s="14"/>
      <c r="M4659" s="15"/>
      <c r="N4659" s="15"/>
      <c r="O4659" s="16"/>
      <c r="Q4659" s="16"/>
    </row>
    <row r="4660" spans="1:17" x14ac:dyDescent="0.3">
      <c r="A4660" s="5"/>
      <c r="B4660" s="6"/>
      <c r="C4660" s="7"/>
      <c r="D4660" s="10"/>
      <c r="F4660" s="1"/>
      <c r="G4660" s="1"/>
      <c r="H4660" s="1"/>
      <c r="I4660" s="7"/>
      <c r="J4660" s="12"/>
      <c r="K4660" s="13"/>
      <c r="L4660" s="14"/>
      <c r="M4660" s="15"/>
      <c r="N4660" s="15"/>
      <c r="O4660" s="16"/>
      <c r="Q4660" s="16"/>
    </row>
    <row r="4661" spans="1:17" x14ac:dyDescent="0.3">
      <c r="A4661" s="5"/>
      <c r="B4661" s="6"/>
      <c r="C4661" s="7"/>
      <c r="D4661" s="10"/>
      <c r="F4661" s="1"/>
      <c r="G4661" s="1"/>
      <c r="H4661" s="1"/>
      <c r="I4661" s="7"/>
      <c r="J4661" s="12"/>
      <c r="K4661" s="13"/>
      <c r="L4661" s="14"/>
      <c r="M4661" s="15"/>
      <c r="N4661" s="15"/>
      <c r="O4661" s="16"/>
      <c r="Q4661" s="16"/>
    </row>
    <row r="4662" spans="1:17" x14ac:dyDescent="0.3">
      <c r="A4662" s="5"/>
      <c r="B4662" s="6"/>
      <c r="C4662" s="7"/>
      <c r="D4662" s="10"/>
      <c r="F4662" s="1"/>
      <c r="G4662" s="1"/>
      <c r="H4662" s="1"/>
      <c r="I4662" s="7"/>
      <c r="J4662" s="12"/>
      <c r="K4662" s="13"/>
      <c r="L4662" s="14"/>
      <c r="M4662" s="15"/>
      <c r="N4662" s="15"/>
      <c r="O4662" s="16"/>
      <c r="Q4662" s="16"/>
    </row>
    <row r="4663" spans="1:17" x14ac:dyDescent="0.3">
      <c r="A4663" s="5"/>
      <c r="B4663" s="6"/>
      <c r="C4663" s="7"/>
      <c r="D4663" s="10"/>
      <c r="F4663" s="1"/>
      <c r="G4663" s="1"/>
      <c r="H4663" s="1"/>
      <c r="I4663" s="7"/>
      <c r="J4663" s="12"/>
      <c r="K4663" s="13"/>
      <c r="L4663" s="14"/>
      <c r="M4663" s="15"/>
      <c r="N4663" s="15"/>
      <c r="O4663" s="16"/>
      <c r="Q4663" s="16"/>
    </row>
    <row r="4664" spans="1:17" x14ac:dyDescent="0.3">
      <c r="A4664" s="5"/>
      <c r="B4664" s="6"/>
      <c r="C4664" s="7"/>
      <c r="D4664" s="10"/>
      <c r="F4664" s="1"/>
      <c r="G4664" s="1"/>
      <c r="H4664" s="1"/>
      <c r="I4664" s="7"/>
      <c r="J4664" s="12"/>
      <c r="K4664" s="13"/>
      <c r="L4664" s="14"/>
      <c r="M4664" s="15"/>
      <c r="N4664" s="15"/>
      <c r="O4664" s="16"/>
      <c r="Q4664" s="16"/>
    </row>
    <row r="4665" spans="1:17" x14ac:dyDescent="0.3">
      <c r="A4665" s="5"/>
      <c r="B4665" s="6"/>
      <c r="C4665" s="7"/>
      <c r="D4665" s="10"/>
      <c r="F4665" s="1"/>
      <c r="G4665" s="1"/>
      <c r="H4665" s="1"/>
      <c r="I4665" s="7"/>
      <c r="J4665" s="12"/>
      <c r="K4665" s="13"/>
      <c r="L4665" s="14"/>
      <c r="M4665" s="15"/>
      <c r="N4665" s="15"/>
      <c r="O4665" s="16"/>
      <c r="Q4665" s="16"/>
    </row>
    <row r="4666" spans="1:17" x14ac:dyDescent="0.3">
      <c r="A4666" s="5"/>
      <c r="B4666" s="6"/>
      <c r="C4666" s="7"/>
      <c r="D4666" s="10"/>
      <c r="F4666" s="1"/>
      <c r="G4666" s="1"/>
      <c r="H4666" s="1"/>
      <c r="I4666" s="7"/>
      <c r="J4666" s="12"/>
      <c r="K4666" s="13"/>
      <c r="L4666" s="14"/>
      <c r="M4666" s="15"/>
      <c r="N4666" s="15"/>
      <c r="O4666" s="16"/>
      <c r="Q4666" s="16"/>
    </row>
    <row r="4667" spans="1:17" x14ac:dyDescent="0.3">
      <c r="A4667" s="5"/>
      <c r="B4667" s="6"/>
      <c r="C4667" s="7"/>
      <c r="D4667" s="10"/>
      <c r="F4667" s="1"/>
      <c r="G4667" s="1"/>
      <c r="H4667" s="1"/>
      <c r="I4667" s="7"/>
      <c r="J4667" s="12"/>
      <c r="K4667" s="13"/>
      <c r="L4667" s="14"/>
      <c r="M4667" s="15"/>
      <c r="N4667" s="15"/>
      <c r="O4667" s="16"/>
      <c r="Q4667" s="16"/>
    </row>
    <row r="4668" spans="1:17" x14ac:dyDescent="0.3">
      <c r="A4668" s="5"/>
      <c r="B4668" s="6"/>
      <c r="C4668" s="7"/>
      <c r="D4668" s="10"/>
      <c r="F4668" s="1"/>
      <c r="G4668" s="1"/>
      <c r="H4668" s="1"/>
      <c r="I4668" s="7"/>
      <c r="J4668" s="12"/>
      <c r="K4668" s="13"/>
      <c r="L4668" s="14"/>
      <c r="M4668" s="15"/>
      <c r="N4668" s="15"/>
      <c r="O4668" s="16"/>
      <c r="Q4668" s="16"/>
    </row>
    <row r="4669" spans="1:17" x14ac:dyDescent="0.3">
      <c r="A4669" s="5"/>
      <c r="B4669" s="6"/>
      <c r="C4669" s="7"/>
      <c r="D4669" s="10"/>
      <c r="F4669" s="1"/>
      <c r="G4669" s="1"/>
      <c r="H4669" s="1"/>
      <c r="I4669" s="7"/>
      <c r="J4669" s="12"/>
      <c r="K4669" s="13"/>
      <c r="L4669" s="14"/>
      <c r="M4669" s="15"/>
      <c r="N4669" s="15"/>
      <c r="O4669" s="16"/>
      <c r="Q4669" s="16"/>
    </row>
    <row r="4670" spans="1:17" x14ac:dyDescent="0.3">
      <c r="A4670" s="5"/>
      <c r="B4670" s="6"/>
      <c r="C4670" s="7"/>
      <c r="D4670" s="10"/>
      <c r="F4670" s="1"/>
      <c r="G4670" s="1"/>
      <c r="H4670" s="1"/>
      <c r="I4670" s="7"/>
      <c r="J4670" s="12"/>
      <c r="K4670" s="13"/>
      <c r="L4670" s="14"/>
      <c r="M4670" s="15"/>
      <c r="N4670" s="15"/>
      <c r="O4670" s="16"/>
      <c r="Q4670" s="16"/>
    </row>
    <row r="4671" spans="1:17" x14ac:dyDescent="0.3">
      <c r="A4671" s="5"/>
      <c r="B4671" s="6"/>
      <c r="C4671" s="7"/>
      <c r="D4671" s="10"/>
      <c r="F4671" s="1"/>
      <c r="G4671" s="1"/>
      <c r="H4671" s="1"/>
      <c r="I4671" s="7"/>
      <c r="J4671" s="12"/>
      <c r="K4671" s="13"/>
      <c r="L4671" s="14"/>
      <c r="M4671" s="15"/>
      <c r="N4671" s="15"/>
      <c r="O4671" s="16"/>
      <c r="Q4671" s="16"/>
    </row>
    <row r="4672" spans="1:17" x14ac:dyDescent="0.3">
      <c r="A4672" s="5"/>
      <c r="B4672" s="6"/>
      <c r="C4672" s="7"/>
      <c r="D4672" s="10"/>
      <c r="F4672" s="1"/>
      <c r="G4672" s="1"/>
      <c r="H4672" s="1"/>
      <c r="I4672" s="7"/>
      <c r="J4672" s="12"/>
      <c r="K4672" s="13"/>
      <c r="L4672" s="14"/>
      <c r="M4672" s="15"/>
      <c r="N4672" s="15"/>
      <c r="O4672" s="16"/>
      <c r="Q4672" s="16"/>
    </row>
    <row r="4673" spans="1:17" x14ac:dyDescent="0.3">
      <c r="A4673" s="5"/>
      <c r="B4673" s="6"/>
      <c r="C4673" s="7"/>
      <c r="D4673" s="10"/>
      <c r="F4673" s="1"/>
      <c r="G4673" s="1"/>
      <c r="H4673" s="1"/>
      <c r="I4673" s="7"/>
      <c r="J4673" s="12"/>
      <c r="K4673" s="13"/>
      <c r="L4673" s="14"/>
      <c r="M4673" s="15"/>
      <c r="N4673" s="15"/>
      <c r="O4673" s="16"/>
      <c r="Q4673" s="16"/>
    </row>
    <row r="4674" spans="1:17" x14ac:dyDescent="0.3">
      <c r="A4674" s="5"/>
      <c r="B4674" s="6"/>
      <c r="C4674" s="7"/>
      <c r="D4674" s="10"/>
      <c r="F4674" s="1"/>
      <c r="G4674" s="1"/>
      <c r="H4674" s="1"/>
      <c r="I4674" s="7"/>
      <c r="J4674" s="12"/>
      <c r="K4674" s="13"/>
      <c r="L4674" s="14"/>
      <c r="M4674" s="15"/>
      <c r="N4674" s="15"/>
      <c r="O4674" s="16"/>
      <c r="Q4674" s="16"/>
    </row>
    <row r="4675" spans="1:17" x14ac:dyDescent="0.3">
      <c r="A4675" s="5"/>
      <c r="B4675" s="6"/>
      <c r="C4675" s="7"/>
      <c r="D4675" s="10"/>
      <c r="F4675" s="1"/>
      <c r="G4675" s="1"/>
      <c r="H4675" s="1"/>
      <c r="I4675" s="7"/>
      <c r="J4675" s="12"/>
      <c r="K4675" s="13"/>
      <c r="L4675" s="14"/>
      <c r="M4675" s="15"/>
      <c r="N4675" s="15"/>
      <c r="O4675" s="16"/>
      <c r="Q4675" s="16"/>
    </row>
    <row r="4676" spans="1:17" x14ac:dyDescent="0.3">
      <c r="A4676" s="5"/>
      <c r="B4676" s="6"/>
      <c r="C4676" s="7"/>
      <c r="D4676" s="10"/>
      <c r="F4676" s="1"/>
      <c r="G4676" s="1"/>
      <c r="H4676" s="1"/>
      <c r="I4676" s="7"/>
      <c r="J4676" s="12"/>
      <c r="K4676" s="13"/>
      <c r="L4676" s="14"/>
      <c r="M4676" s="15"/>
      <c r="N4676" s="15"/>
      <c r="O4676" s="16"/>
      <c r="Q4676" s="16"/>
    </row>
    <row r="4677" spans="1:17" x14ac:dyDescent="0.3">
      <c r="A4677" s="5"/>
      <c r="B4677" s="6"/>
      <c r="C4677" s="7"/>
      <c r="D4677" s="10"/>
      <c r="F4677" s="1"/>
      <c r="G4677" s="1"/>
      <c r="H4677" s="1"/>
      <c r="I4677" s="7"/>
      <c r="J4677" s="12"/>
      <c r="K4677" s="13"/>
      <c r="L4677" s="14"/>
      <c r="M4677" s="15"/>
      <c r="N4677" s="15"/>
      <c r="O4677" s="16"/>
      <c r="Q4677" s="16"/>
    </row>
    <row r="4678" spans="1:17" x14ac:dyDescent="0.3">
      <c r="A4678" s="5"/>
      <c r="B4678" s="6"/>
      <c r="C4678" s="7"/>
      <c r="D4678" s="10"/>
      <c r="F4678" s="1"/>
      <c r="G4678" s="1"/>
      <c r="H4678" s="1"/>
      <c r="I4678" s="7"/>
      <c r="J4678" s="12"/>
      <c r="K4678" s="13"/>
      <c r="L4678" s="14"/>
      <c r="M4678" s="15"/>
      <c r="N4678" s="15"/>
      <c r="O4678" s="16"/>
      <c r="Q4678" s="16"/>
    </row>
    <row r="4679" spans="1:17" x14ac:dyDescent="0.3">
      <c r="A4679" s="5"/>
      <c r="B4679" s="6"/>
      <c r="C4679" s="7"/>
      <c r="D4679" s="10"/>
      <c r="F4679" s="1"/>
      <c r="G4679" s="1"/>
      <c r="H4679" s="1"/>
      <c r="I4679" s="7"/>
      <c r="J4679" s="12"/>
      <c r="K4679" s="13"/>
      <c r="L4679" s="14"/>
      <c r="M4679" s="15"/>
      <c r="N4679" s="15"/>
      <c r="O4679" s="16"/>
      <c r="Q4679" s="16"/>
    </row>
    <row r="4680" spans="1:17" x14ac:dyDescent="0.3">
      <c r="A4680" s="5"/>
      <c r="B4680" s="6"/>
      <c r="C4680" s="7"/>
      <c r="D4680" s="10"/>
      <c r="F4680" s="1"/>
      <c r="G4680" s="1"/>
      <c r="H4680" s="1"/>
      <c r="I4680" s="7"/>
      <c r="J4680" s="12"/>
      <c r="K4680" s="13"/>
      <c r="L4680" s="14"/>
      <c r="M4680" s="15"/>
      <c r="N4680" s="15"/>
      <c r="O4680" s="16"/>
      <c r="Q4680" s="16"/>
    </row>
    <row r="4681" spans="1:17" x14ac:dyDescent="0.3">
      <c r="A4681" s="5"/>
      <c r="B4681" s="6"/>
      <c r="C4681" s="7"/>
      <c r="D4681" s="10"/>
      <c r="F4681" s="1"/>
      <c r="G4681" s="1"/>
      <c r="H4681" s="1"/>
      <c r="I4681" s="7"/>
      <c r="J4681" s="12"/>
      <c r="K4681" s="13"/>
      <c r="L4681" s="14"/>
      <c r="M4681" s="15"/>
      <c r="N4681" s="15"/>
      <c r="O4681" s="16"/>
      <c r="Q4681" s="16"/>
    </row>
    <row r="4682" spans="1:17" x14ac:dyDescent="0.3">
      <c r="A4682" s="5"/>
      <c r="B4682" s="6"/>
      <c r="C4682" s="7"/>
      <c r="D4682" s="10"/>
      <c r="F4682" s="1"/>
      <c r="G4682" s="1"/>
      <c r="H4682" s="1"/>
      <c r="I4682" s="7"/>
      <c r="J4682" s="12"/>
      <c r="K4682" s="13"/>
      <c r="L4682" s="14"/>
      <c r="M4682" s="15"/>
      <c r="N4682" s="15"/>
      <c r="O4682" s="16"/>
      <c r="Q4682" s="16"/>
    </row>
    <row r="4683" spans="1:17" x14ac:dyDescent="0.3">
      <c r="A4683" s="5"/>
      <c r="B4683" s="6"/>
      <c r="C4683" s="7"/>
      <c r="D4683" s="10"/>
      <c r="F4683" s="1"/>
      <c r="G4683" s="1"/>
      <c r="H4683" s="1"/>
      <c r="I4683" s="7"/>
      <c r="J4683" s="12"/>
      <c r="K4683" s="13"/>
      <c r="L4683" s="14"/>
      <c r="M4683" s="15"/>
      <c r="N4683" s="15"/>
      <c r="O4683" s="16"/>
      <c r="Q4683" s="16"/>
    </row>
    <row r="4684" spans="1:17" x14ac:dyDescent="0.3">
      <c r="A4684" s="5"/>
      <c r="B4684" s="6"/>
      <c r="C4684" s="7"/>
      <c r="D4684" s="10"/>
      <c r="F4684" s="1"/>
      <c r="G4684" s="1"/>
      <c r="H4684" s="1"/>
      <c r="I4684" s="7"/>
      <c r="J4684" s="12"/>
      <c r="K4684" s="13"/>
      <c r="L4684" s="14"/>
      <c r="M4684" s="15"/>
      <c r="N4684" s="15"/>
      <c r="O4684" s="16"/>
      <c r="Q4684" s="16"/>
    </row>
    <row r="4685" spans="1:17" x14ac:dyDescent="0.3">
      <c r="A4685" s="5"/>
      <c r="B4685" s="6"/>
      <c r="C4685" s="7"/>
      <c r="D4685" s="10"/>
      <c r="F4685" s="1"/>
      <c r="G4685" s="1"/>
      <c r="H4685" s="1"/>
      <c r="I4685" s="7"/>
      <c r="J4685" s="12"/>
      <c r="K4685" s="13"/>
      <c r="L4685" s="14"/>
      <c r="M4685" s="15"/>
      <c r="N4685" s="15"/>
      <c r="O4685" s="16"/>
      <c r="Q4685" s="16"/>
    </row>
    <row r="4686" spans="1:17" x14ac:dyDescent="0.3">
      <c r="A4686" s="5"/>
      <c r="B4686" s="6"/>
      <c r="C4686" s="7"/>
      <c r="D4686" s="10"/>
      <c r="F4686" s="1"/>
      <c r="G4686" s="1"/>
      <c r="H4686" s="1"/>
      <c r="I4686" s="7"/>
      <c r="J4686" s="12"/>
      <c r="K4686" s="13"/>
      <c r="L4686" s="14"/>
      <c r="M4686" s="15"/>
      <c r="N4686" s="15"/>
      <c r="O4686" s="16"/>
      <c r="Q4686" s="16"/>
    </row>
    <row r="4687" spans="1:17" x14ac:dyDescent="0.3">
      <c r="A4687" s="5"/>
      <c r="B4687" s="6"/>
      <c r="C4687" s="7"/>
      <c r="D4687" s="10"/>
      <c r="F4687" s="1"/>
      <c r="G4687" s="1"/>
      <c r="H4687" s="1"/>
      <c r="I4687" s="7"/>
      <c r="J4687" s="12"/>
      <c r="K4687" s="13"/>
      <c r="L4687" s="14"/>
      <c r="M4687" s="15"/>
      <c r="N4687" s="15"/>
      <c r="O4687" s="16"/>
      <c r="Q4687" s="16"/>
    </row>
    <row r="4688" spans="1:17" x14ac:dyDescent="0.3">
      <c r="A4688" s="5"/>
      <c r="B4688" s="6"/>
      <c r="C4688" s="7"/>
      <c r="D4688" s="10"/>
      <c r="F4688" s="1"/>
      <c r="G4688" s="1"/>
      <c r="H4688" s="1"/>
      <c r="I4688" s="7"/>
      <c r="J4688" s="12"/>
      <c r="K4688" s="13"/>
      <c r="L4688" s="14"/>
      <c r="M4688" s="15"/>
      <c r="N4688" s="15"/>
      <c r="O4688" s="16"/>
      <c r="Q4688" s="16"/>
    </row>
    <row r="4689" spans="1:17" x14ac:dyDescent="0.3">
      <c r="A4689" s="5"/>
      <c r="B4689" s="6"/>
      <c r="C4689" s="7"/>
      <c r="D4689" s="10"/>
      <c r="F4689" s="1"/>
      <c r="G4689" s="1"/>
      <c r="H4689" s="1"/>
      <c r="I4689" s="7"/>
      <c r="J4689" s="12"/>
      <c r="K4689" s="13"/>
      <c r="L4689" s="14"/>
      <c r="M4689" s="15"/>
      <c r="N4689" s="15"/>
      <c r="O4689" s="16"/>
      <c r="Q4689" s="16"/>
    </row>
    <row r="4690" spans="1:17" x14ac:dyDescent="0.3">
      <c r="A4690" s="5"/>
      <c r="B4690" s="6"/>
      <c r="C4690" s="7"/>
      <c r="D4690" s="10"/>
      <c r="F4690" s="1"/>
      <c r="G4690" s="1"/>
      <c r="H4690" s="1"/>
      <c r="I4690" s="7"/>
      <c r="J4690" s="12"/>
      <c r="K4690" s="13"/>
      <c r="L4690" s="14"/>
      <c r="M4690" s="15"/>
      <c r="N4690" s="15"/>
      <c r="O4690" s="16"/>
      <c r="Q4690" s="16"/>
    </row>
    <row r="4691" spans="1:17" x14ac:dyDescent="0.3">
      <c r="A4691" s="5"/>
      <c r="B4691" s="6"/>
      <c r="C4691" s="7"/>
      <c r="D4691" s="10"/>
      <c r="F4691" s="1"/>
      <c r="G4691" s="1"/>
      <c r="H4691" s="1"/>
      <c r="I4691" s="7"/>
      <c r="J4691" s="12"/>
      <c r="K4691" s="13"/>
      <c r="L4691" s="14"/>
      <c r="M4691" s="15"/>
      <c r="N4691" s="15"/>
      <c r="O4691" s="16"/>
      <c r="Q4691" s="16"/>
    </row>
    <row r="4692" spans="1:17" x14ac:dyDescent="0.3">
      <c r="A4692" s="5"/>
      <c r="B4692" s="6"/>
      <c r="C4692" s="7"/>
      <c r="D4692" s="10"/>
      <c r="F4692" s="1"/>
      <c r="G4692" s="1"/>
      <c r="H4692" s="1"/>
      <c r="I4692" s="7"/>
      <c r="J4692" s="12"/>
      <c r="K4692" s="13"/>
      <c r="L4692" s="14"/>
      <c r="M4692" s="15"/>
      <c r="N4692" s="15"/>
      <c r="O4692" s="16"/>
      <c r="Q4692" s="16"/>
    </row>
    <row r="4693" spans="1:17" x14ac:dyDescent="0.3">
      <c r="A4693" s="5"/>
      <c r="B4693" s="6"/>
      <c r="C4693" s="7"/>
      <c r="D4693" s="10"/>
      <c r="F4693" s="1"/>
      <c r="G4693" s="1"/>
      <c r="H4693" s="1"/>
      <c r="I4693" s="7"/>
      <c r="J4693" s="12"/>
      <c r="K4693" s="13"/>
      <c r="L4693" s="14"/>
      <c r="M4693" s="15"/>
      <c r="N4693" s="15"/>
      <c r="O4693" s="16"/>
      <c r="Q4693" s="16"/>
    </row>
    <row r="4694" spans="1:17" x14ac:dyDescent="0.3">
      <c r="A4694" s="5"/>
      <c r="B4694" s="6"/>
      <c r="C4694" s="7"/>
      <c r="D4694" s="10"/>
      <c r="F4694" s="1"/>
      <c r="G4694" s="1"/>
      <c r="H4694" s="1"/>
      <c r="I4694" s="7"/>
      <c r="J4694" s="12"/>
      <c r="K4694" s="13"/>
      <c r="L4694" s="14"/>
      <c r="M4694" s="15"/>
      <c r="N4694" s="15"/>
      <c r="O4694" s="16"/>
      <c r="Q4694" s="16"/>
    </row>
    <row r="4695" spans="1:17" x14ac:dyDescent="0.3">
      <c r="A4695" s="5"/>
      <c r="B4695" s="6"/>
      <c r="C4695" s="7"/>
      <c r="D4695" s="10"/>
      <c r="F4695" s="1"/>
      <c r="G4695" s="1"/>
      <c r="H4695" s="1"/>
      <c r="I4695" s="7"/>
      <c r="J4695" s="12"/>
      <c r="K4695" s="13"/>
      <c r="L4695" s="14"/>
      <c r="M4695" s="15"/>
      <c r="N4695" s="15"/>
      <c r="O4695" s="16"/>
      <c r="Q4695" s="16"/>
    </row>
    <row r="4696" spans="1:17" x14ac:dyDescent="0.3">
      <c r="A4696" s="5"/>
      <c r="B4696" s="6"/>
      <c r="C4696" s="7"/>
      <c r="D4696" s="10"/>
      <c r="F4696" s="1"/>
      <c r="G4696" s="1"/>
      <c r="H4696" s="1"/>
      <c r="I4696" s="7"/>
      <c r="J4696" s="12"/>
      <c r="K4696" s="13"/>
      <c r="L4696" s="14"/>
      <c r="M4696" s="15"/>
      <c r="N4696" s="15"/>
      <c r="O4696" s="16"/>
      <c r="Q4696" s="16"/>
    </row>
    <row r="4697" spans="1:17" x14ac:dyDescent="0.3">
      <c r="A4697" s="5"/>
      <c r="B4697" s="6"/>
      <c r="C4697" s="7"/>
      <c r="D4697" s="10"/>
      <c r="F4697" s="1"/>
      <c r="G4697" s="1"/>
      <c r="H4697" s="1"/>
      <c r="I4697" s="7"/>
      <c r="J4697" s="12"/>
      <c r="K4697" s="13"/>
      <c r="L4697" s="14"/>
      <c r="M4697" s="15"/>
      <c r="N4697" s="15"/>
      <c r="O4697" s="16"/>
      <c r="Q4697" s="16"/>
    </row>
    <row r="4698" spans="1:17" x14ac:dyDescent="0.3">
      <c r="A4698" s="5"/>
      <c r="B4698" s="6"/>
      <c r="C4698" s="7"/>
      <c r="D4698" s="10"/>
      <c r="F4698" s="1"/>
      <c r="G4698" s="1"/>
      <c r="H4698" s="1"/>
      <c r="I4698" s="7"/>
      <c r="J4698" s="12"/>
      <c r="K4698" s="13"/>
      <c r="L4698" s="14"/>
      <c r="M4698" s="15"/>
      <c r="N4698" s="15"/>
      <c r="O4698" s="16"/>
      <c r="Q4698" s="16"/>
    </row>
    <row r="4699" spans="1:17" x14ac:dyDescent="0.3">
      <c r="A4699" s="5"/>
      <c r="B4699" s="6"/>
      <c r="C4699" s="7"/>
      <c r="D4699" s="10"/>
      <c r="F4699" s="1"/>
      <c r="G4699" s="1"/>
      <c r="H4699" s="1"/>
      <c r="I4699" s="7"/>
      <c r="J4699" s="12"/>
      <c r="K4699" s="13"/>
      <c r="L4699" s="14"/>
      <c r="M4699" s="15"/>
      <c r="N4699" s="15"/>
      <c r="O4699" s="16"/>
      <c r="Q4699" s="16"/>
    </row>
    <row r="4700" spans="1:17" x14ac:dyDescent="0.3">
      <c r="A4700" s="5"/>
      <c r="B4700" s="6"/>
      <c r="C4700" s="7"/>
      <c r="D4700" s="10"/>
      <c r="F4700" s="1"/>
      <c r="G4700" s="1"/>
      <c r="H4700" s="1"/>
      <c r="I4700" s="7"/>
      <c r="J4700" s="12"/>
      <c r="K4700" s="13"/>
      <c r="L4700" s="14"/>
      <c r="M4700" s="15"/>
      <c r="N4700" s="15"/>
      <c r="O4700" s="16"/>
      <c r="Q4700" s="16"/>
    </row>
    <row r="4701" spans="1:17" x14ac:dyDescent="0.3">
      <c r="A4701" s="5"/>
      <c r="B4701" s="6"/>
      <c r="C4701" s="7"/>
      <c r="D4701" s="10"/>
      <c r="F4701" s="1"/>
      <c r="G4701" s="1"/>
      <c r="H4701" s="1"/>
      <c r="I4701" s="7"/>
      <c r="J4701" s="12"/>
      <c r="K4701" s="13"/>
      <c r="L4701" s="14"/>
      <c r="M4701" s="15"/>
      <c r="N4701" s="15"/>
      <c r="O4701" s="16"/>
      <c r="Q4701" s="16"/>
    </row>
    <row r="4702" spans="1:17" x14ac:dyDescent="0.3">
      <c r="A4702" s="5"/>
      <c r="B4702" s="6"/>
      <c r="C4702" s="7"/>
      <c r="D4702" s="10"/>
      <c r="F4702" s="1"/>
      <c r="G4702" s="1"/>
      <c r="H4702" s="1"/>
      <c r="I4702" s="7"/>
      <c r="J4702" s="12"/>
      <c r="K4702" s="13"/>
      <c r="L4702" s="14"/>
      <c r="M4702" s="15"/>
      <c r="N4702" s="15"/>
      <c r="O4702" s="16"/>
      <c r="Q4702" s="16"/>
    </row>
    <row r="4703" spans="1:17" x14ac:dyDescent="0.3">
      <c r="A4703" s="5"/>
      <c r="B4703" s="6"/>
      <c r="C4703" s="7"/>
      <c r="D4703" s="10"/>
      <c r="F4703" s="1"/>
      <c r="G4703" s="1"/>
      <c r="H4703" s="1"/>
      <c r="I4703" s="7"/>
      <c r="J4703" s="12"/>
      <c r="K4703" s="13"/>
      <c r="L4703" s="14"/>
      <c r="M4703" s="15"/>
      <c r="N4703" s="15"/>
      <c r="O4703" s="16"/>
      <c r="Q4703" s="16"/>
    </row>
    <row r="4704" spans="1:17" x14ac:dyDescent="0.3">
      <c r="A4704" s="5"/>
      <c r="B4704" s="6"/>
      <c r="C4704" s="7"/>
      <c r="D4704" s="10"/>
      <c r="F4704" s="1"/>
      <c r="G4704" s="1"/>
      <c r="H4704" s="1"/>
      <c r="I4704" s="7"/>
      <c r="J4704" s="12"/>
      <c r="K4704" s="13"/>
      <c r="L4704" s="14"/>
      <c r="M4704" s="15"/>
      <c r="N4704" s="15"/>
      <c r="O4704" s="16"/>
      <c r="Q4704" s="16"/>
    </row>
    <row r="4705" spans="1:17" x14ac:dyDescent="0.3">
      <c r="A4705" s="5"/>
      <c r="B4705" s="6"/>
      <c r="C4705" s="7"/>
      <c r="D4705" s="10"/>
      <c r="F4705" s="1"/>
      <c r="G4705" s="1"/>
      <c r="H4705" s="1"/>
      <c r="I4705" s="7"/>
      <c r="J4705" s="12"/>
      <c r="K4705" s="13"/>
      <c r="L4705" s="14"/>
      <c r="M4705" s="15"/>
      <c r="N4705" s="15"/>
      <c r="O4705" s="16"/>
      <c r="Q4705" s="16"/>
    </row>
    <row r="4706" spans="1:17" x14ac:dyDescent="0.3">
      <c r="A4706" s="5"/>
      <c r="B4706" s="6"/>
      <c r="C4706" s="7"/>
      <c r="D4706" s="10"/>
      <c r="F4706" s="1"/>
      <c r="G4706" s="1"/>
      <c r="H4706" s="1"/>
      <c r="I4706" s="7"/>
      <c r="J4706" s="12"/>
      <c r="K4706" s="13"/>
      <c r="L4706" s="14"/>
      <c r="M4706" s="15"/>
      <c r="N4706" s="15"/>
      <c r="O4706" s="16"/>
      <c r="Q4706" s="16"/>
    </row>
    <row r="4707" spans="1:17" x14ac:dyDescent="0.3">
      <c r="A4707" s="5"/>
      <c r="B4707" s="6"/>
      <c r="C4707" s="7"/>
      <c r="D4707" s="10"/>
      <c r="F4707" s="1"/>
      <c r="G4707" s="1"/>
      <c r="H4707" s="1"/>
      <c r="I4707" s="7"/>
      <c r="J4707" s="12"/>
      <c r="K4707" s="13"/>
      <c r="L4707" s="14"/>
      <c r="M4707" s="15"/>
      <c r="N4707" s="15"/>
      <c r="O4707" s="16"/>
      <c r="Q4707" s="16"/>
    </row>
    <row r="4708" spans="1:17" x14ac:dyDescent="0.3">
      <c r="A4708" s="5"/>
      <c r="B4708" s="6"/>
      <c r="C4708" s="7"/>
      <c r="D4708" s="10"/>
      <c r="F4708" s="1"/>
      <c r="G4708" s="1"/>
      <c r="H4708" s="1"/>
      <c r="I4708" s="7"/>
      <c r="J4708" s="12"/>
      <c r="K4708" s="13"/>
      <c r="L4708" s="14"/>
      <c r="M4708" s="15"/>
      <c r="N4708" s="15"/>
      <c r="O4708" s="16"/>
      <c r="Q4708" s="16"/>
    </row>
    <row r="4709" spans="1:17" x14ac:dyDescent="0.3">
      <c r="A4709" s="5"/>
      <c r="B4709" s="6"/>
      <c r="C4709" s="7"/>
      <c r="D4709" s="10"/>
      <c r="F4709" s="1"/>
      <c r="G4709" s="1"/>
      <c r="H4709" s="1"/>
      <c r="I4709" s="7"/>
      <c r="J4709" s="12"/>
      <c r="K4709" s="13"/>
      <c r="L4709" s="14"/>
      <c r="M4709" s="15"/>
      <c r="N4709" s="15"/>
      <c r="O4709" s="16"/>
      <c r="Q4709" s="16"/>
    </row>
    <row r="4710" spans="1:17" x14ac:dyDescent="0.3">
      <c r="A4710" s="5"/>
      <c r="B4710" s="6"/>
      <c r="C4710" s="7"/>
      <c r="D4710" s="10"/>
      <c r="F4710" s="1"/>
      <c r="G4710" s="1"/>
      <c r="H4710" s="1"/>
      <c r="I4710" s="7"/>
      <c r="J4710" s="12"/>
      <c r="K4710" s="13"/>
      <c r="L4710" s="14"/>
      <c r="M4710" s="15"/>
      <c r="N4710" s="15"/>
      <c r="O4710" s="16"/>
      <c r="Q4710" s="16"/>
    </row>
    <row r="4711" spans="1:17" x14ac:dyDescent="0.3">
      <c r="A4711" s="5"/>
      <c r="B4711" s="6"/>
      <c r="C4711" s="7"/>
      <c r="D4711" s="10"/>
      <c r="F4711" s="1"/>
      <c r="G4711" s="1"/>
      <c r="H4711" s="1"/>
      <c r="I4711" s="7"/>
      <c r="J4711" s="12"/>
      <c r="K4711" s="13"/>
      <c r="L4711" s="14"/>
      <c r="M4711" s="15"/>
      <c r="N4711" s="15"/>
      <c r="O4711" s="16"/>
      <c r="Q4711" s="16"/>
    </row>
    <row r="4712" spans="1:17" x14ac:dyDescent="0.3">
      <c r="A4712" s="5"/>
      <c r="B4712" s="6"/>
      <c r="C4712" s="7"/>
      <c r="D4712" s="10"/>
      <c r="F4712" s="1"/>
      <c r="G4712" s="1"/>
      <c r="H4712" s="1"/>
      <c r="I4712" s="7"/>
      <c r="J4712" s="12"/>
      <c r="K4712" s="13"/>
      <c r="L4712" s="14"/>
      <c r="M4712" s="15"/>
      <c r="N4712" s="15"/>
      <c r="O4712" s="16"/>
      <c r="Q4712" s="16"/>
    </row>
    <row r="4713" spans="1:17" x14ac:dyDescent="0.3">
      <c r="A4713" s="5"/>
      <c r="B4713" s="6"/>
      <c r="C4713" s="7"/>
      <c r="D4713" s="10"/>
      <c r="F4713" s="1"/>
      <c r="G4713" s="1"/>
      <c r="H4713" s="1"/>
      <c r="I4713" s="7"/>
      <c r="J4713" s="12"/>
      <c r="K4713" s="13"/>
      <c r="L4713" s="14"/>
      <c r="M4713" s="15"/>
      <c r="N4713" s="15"/>
      <c r="O4713" s="16"/>
      <c r="Q4713" s="16"/>
    </row>
    <row r="4714" spans="1:17" x14ac:dyDescent="0.3">
      <c r="A4714" s="5"/>
      <c r="B4714" s="6"/>
      <c r="C4714" s="7"/>
      <c r="D4714" s="10"/>
      <c r="F4714" s="1"/>
      <c r="G4714" s="1"/>
      <c r="H4714" s="1"/>
      <c r="I4714" s="7"/>
      <c r="J4714" s="12"/>
      <c r="K4714" s="13"/>
      <c r="L4714" s="14"/>
      <c r="M4714" s="15"/>
      <c r="N4714" s="15"/>
      <c r="O4714" s="16"/>
      <c r="Q4714" s="16"/>
    </row>
    <row r="4715" spans="1:17" x14ac:dyDescent="0.3">
      <c r="A4715" s="5"/>
      <c r="B4715" s="6"/>
      <c r="C4715" s="7"/>
      <c r="D4715" s="10"/>
      <c r="F4715" s="1"/>
      <c r="G4715" s="1"/>
      <c r="H4715" s="1"/>
      <c r="I4715" s="7"/>
      <c r="J4715" s="12"/>
      <c r="K4715" s="13"/>
      <c r="L4715" s="14"/>
      <c r="M4715" s="15"/>
      <c r="N4715" s="15"/>
      <c r="O4715" s="16"/>
      <c r="Q4715" s="16"/>
    </row>
    <row r="4716" spans="1:17" x14ac:dyDescent="0.3">
      <c r="A4716" s="5"/>
      <c r="B4716" s="6"/>
      <c r="C4716" s="7"/>
      <c r="D4716" s="10"/>
      <c r="F4716" s="1"/>
      <c r="G4716" s="1"/>
      <c r="H4716" s="1"/>
      <c r="I4716" s="7"/>
      <c r="J4716" s="12"/>
      <c r="K4716" s="13"/>
      <c r="L4716" s="14"/>
      <c r="M4716" s="15"/>
      <c r="N4716" s="15"/>
      <c r="O4716" s="16"/>
      <c r="Q4716" s="16"/>
    </row>
    <row r="4717" spans="1:17" x14ac:dyDescent="0.3">
      <c r="A4717" s="5"/>
      <c r="B4717" s="6"/>
      <c r="C4717" s="7"/>
      <c r="D4717" s="10"/>
      <c r="F4717" s="1"/>
      <c r="G4717" s="1"/>
      <c r="H4717" s="1"/>
      <c r="I4717" s="7"/>
      <c r="J4717" s="12"/>
      <c r="K4717" s="13"/>
      <c r="L4717" s="14"/>
      <c r="M4717" s="15"/>
      <c r="N4717" s="15"/>
      <c r="O4717" s="16"/>
      <c r="Q4717" s="16"/>
    </row>
    <row r="4718" spans="1:17" x14ac:dyDescent="0.3">
      <c r="A4718" s="5"/>
      <c r="B4718" s="6"/>
      <c r="C4718" s="7"/>
      <c r="D4718" s="10"/>
      <c r="F4718" s="1"/>
      <c r="G4718" s="1"/>
      <c r="H4718" s="1"/>
      <c r="I4718" s="7"/>
      <c r="J4718" s="12"/>
      <c r="K4718" s="13"/>
      <c r="L4718" s="14"/>
      <c r="M4718" s="15"/>
      <c r="N4718" s="15"/>
      <c r="O4718" s="16"/>
      <c r="Q4718" s="16"/>
    </row>
    <row r="4719" spans="1:17" x14ac:dyDescent="0.3">
      <c r="A4719" s="5"/>
      <c r="B4719" s="6"/>
      <c r="C4719" s="7"/>
      <c r="D4719" s="10"/>
      <c r="F4719" s="1"/>
      <c r="G4719" s="1"/>
      <c r="H4719" s="1"/>
      <c r="I4719" s="7"/>
      <c r="J4719" s="12"/>
      <c r="K4719" s="13"/>
      <c r="L4719" s="14"/>
      <c r="M4719" s="15"/>
      <c r="N4719" s="15"/>
      <c r="O4719" s="16"/>
      <c r="Q4719" s="16"/>
    </row>
    <row r="4720" spans="1:17" x14ac:dyDescent="0.3">
      <c r="A4720" s="5"/>
      <c r="B4720" s="6"/>
      <c r="C4720" s="7"/>
      <c r="D4720" s="10"/>
      <c r="F4720" s="1"/>
      <c r="G4720" s="1"/>
      <c r="H4720" s="1"/>
      <c r="I4720" s="7"/>
      <c r="J4720" s="12"/>
      <c r="K4720" s="13"/>
      <c r="L4720" s="14"/>
      <c r="M4720" s="15"/>
      <c r="N4720" s="15"/>
      <c r="O4720" s="16"/>
      <c r="Q4720" s="16"/>
    </row>
    <row r="4721" spans="1:17" x14ac:dyDescent="0.3">
      <c r="A4721" s="5"/>
      <c r="B4721" s="6"/>
      <c r="C4721" s="7"/>
      <c r="D4721" s="10"/>
      <c r="F4721" s="1"/>
      <c r="G4721" s="1"/>
      <c r="H4721" s="1"/>
      <c r="I4721" s="7"/>
      <c r="J4721" s="12"/>
      <c r="K4721" s="13"/>
      <c r="L4721" s="14"/>
      <c r="M4721" s="15"/>
      <c r="N4721" s="15"/>
      <c r="O4721" s="16"/>
      <c r="Q4721" s="16"/>
    </row>
    <row r="4722" spans="1:17" x14ac:dyDescent="0.3">
      <c r="A4722" s="5"/>
      <c r="B4722" s="6"/>
      <c r="C4722" s="7"/>
      <c r="D4722" s="10"/>
      <c r="F4722" s="1"/>
      <c r="G4722" s="1"/>
      <c r="H4722" s="1"/>
      <c r="I4722" s="7"/>
      <c r="J4722" s="12"/>
      <c r="K4722" s="13"/>
      <c r="L4722" s="14"/>
      <c r="M4722" s="15"/>
      <c r="N4722" s="15"/>
      <c r="O4722" s="16"/>
      <c r="Q4722" s="16"/>
    </row>
    <row r="4723" spans="1:17" x14ac:dyDescent="0.3">
      <c r="A4723" s="5"/>
      <c r="B4723" s="6"/>
      <c r="C4723" s="7"/>
      <c r="D4723" s="10"/>
      <c r="F4723" s="1"/>
      <c r="G4723" s="1"/>
      <c r="H4723" s="1"/>
      <c r="I4723" s="7"/>
      <c r="J4723" s="12"/>
      <c r="K4723" s="13"/>
      <c r="L4723" s="14"/>
      <c r="M4723" s="15"/>
      <c r="N4723" s="15"/>
      <c r="O4723" s="16"/>
      <c r="Q4723" s="16"/>
    </row>
    <row r="4724" spans="1:17" x14ac:dyDescent="0.3">
      <c r="A4724" s="5"/>
      <c r="B4724" s="6"/>
      <c r="C4724" s="7"/>
      <c r="D4724" s="10"/>
      <c r="F4724" s="1"/>
      <c r="G4724" s="1"/>
      <c r="H4724" s="1"/>
      <c r="I4724" s="7"/>
      <c r="J4724" s="12"/>
      <c r="K4724" s="13"/>
      <c r="L4724" s="14"/>
      <c r="M4724" s="15"/>
      <c r="N4724" s="15"/>
      <c r="O4724" s="16"/>
      <c r="Q4724" s="16"/>
    </row>
    <row r="4725" spans="1:17" x14ac:dyDescent="0.3">
      <c r="A4725" s="5"/>
      <c r="B4725" s="6"/>
      <c r="C4725" s="7"/>
      <c r="D4725" s="10"/>
      <c r="F4725" s="1"/>
      <c r="G4725" s="1"/>
      <c r="H4725" s="1"/>
      <c r="I4725" s="7"/>
      <c r="J4725" s="12"/>
      <c r="K4725" s="13"/>
      <c r="L4725" s="14"/>
      <c r="M4725" s="15"/>
      <c r="N4725" s="15"/>
      <c r="O4725" s="16"/>
      <c r="Q4725" s="16"/>
    </row>
    <row r="4726" spans="1:17" x14ac:dyDescent="0.3">
      <c r="A4726" s="5"/>
      <c r="B4726" s="6"/>
      <c r="C4726" s="7"/>
      <c r="D4726" s="10"/>
      <c r="F4726" s="1"/>
      <c r="G4726" s="1"/>
      <c r="H4726" s="1"/>
      <c r="I4726" s="7"/>
      <c r="J4726" s="12"/>
      <c r="K4726" s="13"/>
      <c r="L4726" s="14"/>
      <c r="M4726" s="15"/>
      <c r="N4726" s="15"/>
      <c r="O4726" s="16"/>
      <c r="Q4726" s="16"/>
    </row>
    <row r="4727" spans="1:17" x14ac:dyDescent="0.3">
      <c r="A4727" s="5"/>
      <c r="B4727" s="6"/>
      <c r="C4727" s="7"/>
      <c r="D4727" s="10"/>
      <c r="F4727" s="1"/>
      <c r="G4727" s="1"/>
      <c r="H4727" s="1"/>
      <c r="I4727" s="7"/>
      <c r="J4727" s="12"/>
      <c r="K4727" s="13"/>
      <c r="L4727" s="14"/>
      <c r="M4727" s="15"/>
      <c r="N4727" s="15"/>
      <c r="O4727" s="16"/>
      <c r="Q4727" s="16"/>
    </row>
    <row r="4728" spans="1:17" x14ac:dyDescent="0.3">
      <c r="A4728" s="5"/>
      <c r="B4728" s="6"/>
      <c r="C4728" s="7"/>
      <c r="D4728" s="10"/>
      <c r="F4728" s="1"/>
      <c r="G4728" s="1"/>
      <c r="H4728" s="1"/>
      <c r="I4728" s="7"/>
      <c r="J4728" s="12"/>
      <c r="K4728" s="13"/>
      <c r="L4728" s="14"/>
      <c r="M4728" s="15"/>
      <c r="N4728" s="15"/>
      <c r="O4728" s="16"/>
      <c r="Q4728" s="16"/>
    </row>
    <row r="4729" spans="1:17" x14ac:dyDescent="0.3">
      <c r="A4729" s="5"/>
      <c r="B4729" s="6"/>
      <c r="C4729" s="7"/>
      <c r="D4729" s="10"/>
      <c r="F4729" s="1"/>
      <c r="G4729" s="1"/>
      <c r="H4729" s="1"/>
      <c r="I4729" s="7"/>
      <c r="J4729" s="12"/>
      <c r="K4729" s="13"/>
      <c r="L4729" s="14"/>
      <c r="M4729" s="15"/>
      <c r="N4729" s="15"/>
      <c r="O4729" s="16"/>
      <c r="Q4729" s="16"/>
    </row>
    <row r="4730" spans="1:17" x14ac:dyDescent="0.3">
      <c r="A4730" s="5"/>
      <c r="B4730" s="6"/>
      <c r="C4730" s="7"/>
      <c r="D4730" s="10"/>
      <c r="F4730" s="1"/>
      <c r="G4730" s="1"/>
      <c r="H4730" s="1"/>
      <c r="I4730" s="7"/>
      <c r="J4730" s="12"/>
      <c r="K4730" s="13"/>
      <c r="L4730" s="14"/>
      <c r="M4730" s="15"/>
      <c r="N4730" s="15"/>
      <c r="O4730" s="16"/>
      <c r="Q4730" s="16"/>
    </row>
    <row r="4731" spans="1:17" x14ac:dyDescent="0.3">
      <c r="A4731" s="5"/>
      <c r="B4731" s="6"/>
      <c r="C4731" s="7"/>
      <c r="D4731" s="10"/>
      <c r="F4731" s="1"/>
      <c r="G4731" s="1"/>
      <c r="H4731" s="1"/>
      <c r="I4731" s="7"/>
      <c r="J4731" s="12"/>
      <c r="K4731" s="13"/>
      <c r="L4731" s="14"/>
      <c r="M4731" s="15"/>
      <c r="N4731" s="15"/>
      <c r="O4731" s="16"/>
      <c r="Q4731" s="16"/>
    </row>
    <row r="4732" spans="1:17" x14ac:dyDescent="0.3">
      <c r="A4732" s="5"/>
      <c r="B4732" s="6"/>
      <c r="C4732" s="7"/>
      <c r="D4732" s="10"/>
      <c r="F4732" s="1"/>
      <c r="G4732" s="1"/>
      <c r="H4732" s="1"/>
      <c r="I4732" s="7"/>
      <c r="J4732" s="12"/>
      <c r="K4732" s="13"/>
      <c r="L4732" s="14"/>
      <c r="M4732" s="15"/>
      <c r="N4732" s="15"/>
      <c r="O4732" s="16"/>
      <c r="Q4732" s="16"/>
    </row>
    <row r="4733" spans="1:17" x14ac:dyDescent="0.3">
      <c r="A4733" s="5"/>
      <c r="B4733" s="6"/>
      <c r="C4733" s="7"/>
      <c r="D4733" s="10"/>
      <c r="F4733" s="1"/>
      <c r="G4733" s="1"/>
      <c r="H4733" s="1"/>
      <c r="I4733" s="7"/>
      <c r="J4733" s="12"/>
      <c r="K4733" s="13"/>
      <c r="L4733" s="14"/>
      <c r="M4733" s="15"/>
      <c r="N4733" s="15"/>
      <c r="O4733" s="16"/>
      <c r="Q4733" s="16"/>
    </row>
    <row r="4734" spans="1:17" x14ac:dyDescent="0.3">
      <c r="A4734" s="5"/>
      <c r="B4734" s="6"/>
      <c r="C4734" s="7"/>
      <c r="D4734" s="10"/>
      <c r="F4734" s="1"/>
      <c r="G4734" s="1"/>
      <c r="H4734" s="1"/>
      <c r="I4734" s="7"/>
      <c r="J4734" s="12"/>
      <c r="K4734" s="13"/>
      <c r="L4734" s="14"/>
      <c r="M4734" s="15"/>
      <c r="N4734" s="15"/>
      <c r="O4734" s="16"/>
      <c r="Q4734" s="16"/>
    </row>
    <row r="4735" spans="1:17" x14ac:dyDescent="0.3">
      <c r="A4735" s="5"/>
      <c r="B4735" s="6"/>
      <c r="C4735" s="7"/>
      <c r="D4735" s="10"/>
      <c r="F4735" s="1"/>
      <c r="G4735" s="1"/>
      <c r="H4735" s="1"/>
      <c r="I4735" s="7"/>
      <c r="J4735" s="12"/>
      <c r="K4735" s="13"/>
      <c r="L4735" s="14"/>
      <c r="M4735" s="15"/>
      <c r="N4735" s="15"/>
      <c r="O4735" s="16"/>
      <c r="Q4735" s="16"/>
    </row>
    <row r="4736" spans="1:17" x14ac:dyDescent="0.3">
      <c r="A4736" s="5"/>
      <c r="B4736" s="6"/>
      <c r="C4736" s="7"/>
      <c r="D4736" s="10"/>
      <c r="F4736" s="1"/>
      <c r="G4736" s="1"/>
      <c r="H4736" s="1"/>
      <c r="I4736" s="7"/>
      <c r="J4736" s="12"/>
      <c r="K4736" s="13"/>
      <c r="L4736" s="14"/>
      <c r="M4736" s="15"/>
      <c r="N4736" s="15"/>
      <c r="O4736" s="16"/>
      <c r="Q4736" s="16"/>
    </row>
    <row r="4737" spans="1:17" x14ac:dyDescent="0.3">
      <c r="A4737" s="5"/>
      <c r="B4737" s="6"/>
      <c r="C4737" s="7"/>
      <c r="D4737" s="10"/>
      <c r="F4737" s="1"/>
      <c r="G4737" s="1"/>
      <c r="H4737" s="1"/>
      <c r="I4737" s="7"/>
      <c r="J4737" s="12"/>
      <c r="K4737" s="13"/>
      <c r="L4737" s="14"/>
      <c r="M4737" s="15"/>
      <c r="N4737" s="15"/>
      <c r="O4737" s="16"/>
      <c r="Q4737" s="16"/>
    </row>
    <row r="4738" spans="1:17" x14ac:dyDescent="0.3">
      <c r="A4738" s="5"/>
      <c r="B4738" s="6"/>
      <c r="C4738" s="7"/>
      <c r="D4738" s="10"/>
      <c r="F4738" s="1"/>
      <c r="G4738" s="1"/>
      <c r="H4738" s="1"/>
      <c r="I4738" s="7"/>
      <c r="J4738" s="12"/>
      <c r="K4738" s="13"/>
      <c r="L4738" s="14"/>
      <c r="M4738" s="15"/>
      <c r="N4738" s="15"/>
      <c r="O4738" s="16"/>
      <c r="Q4738" s="16"/>
    </row>
    <row r="4739" spans="1:17" x14ac:dyDescent="0.3">
      <c r="A4739" s="5"/>
      <c r="B4739" s="6"/>
      <c r="C4739" s="7"/>
      <c r="D4739" s="10"/>
      <c r="F4739" s="1"/>
      <c r="G4739" s="1"/>
      <c r="H4739" s="1"/>
      <c r="I4739" s="7"/>
      <c r="J4739" s="12"/>
      <c r="K4739" s="13"/>
      <c r="L4739" s="14"/>
      <c r="M4739" s="15"/>
      <c r="N4739" s="15"/>
      <c r="O4739" s="16"/>
      <c r="Q4739" s="16"/>
    </row>
    <row r="4740" spans="1:17" x14ac:dyDescent="0.3">
      <c r="A4740" s="5"/>
      <c r="B4740" s="6"/>
      <c r="C4740" s="7"/>
      <c r="D4740" s="10"/>
      <c r="F4740" s="1"/>
      <c r="G4740" s="1"/>
      <c r="H4740" s="1"/>
      <c r="I4740" s="7"/>
      <c r="J4740" s="12"/>
      <c r="K4740" s="13"/>
      <c r="L4740" s="14"/>
      <c r="M4740" s="15"/>
      <c r="N4740" s="15"/>
      <c r="O4740" s="16"/>
      <c r="Q4740" s="16"/>
    </row>
    <row r="4741" spans="1:17" x14ac:dyDescent="0.3">
      <c r="A4741" s="5"/>
      <c r="B4741" s="6"/>
      <c r="C4741" s="7"/>
      <c r="D4741" s="10"/>
      <c r="F4741" s="1"/>
      <c r="G4741" s="1"/>
      <c r="H4741" s="1"/>
      <c r="I4741" s="7"/>
      <c r="J4741" s="12"/>
      <c r="K4741" s="13"/>
      <c r="L4741" s="14"/>
      <c r="M4741" s="15"/>
      <c r="N4741" s="15"/>
      <c r="O4741" s="16"/>
      <c r="Q4741" s="16"/>
    </row>
    <row r="4742" spans="1:17" x14ac:dyDescent="0.3">
      <c r="A4742" s="5"/>
      <c r="B4742" s="6"/>
      <c r="C4742" s="7"/>
      <c r="D4742" s="10"/>
      <c r="F4742" s="1"/>
      <c r="G4742" s="1"/>
      <c r="H4742" s="1"/>
      <c r="I4742" s="7"/>
      <c r="J4742" s="12"/>
      <c r="K4742" s="13"/>
      <c r="L4742" s="14"/>
      <c r="M4742" s="15"/>
      <c r="N4742" s="15"/>
      <c r="O4742" s="16"/>
      <c r="Q4742" s="16"/>
    </row>
    <row r="4743" spans="1:17" x14ac:dyDescent="0.3">
      <c r="A4743" s="5"/>
      <c r="B4743" s="6"/>
      <c r="C4743" s="7"/>
      <c r="D4743" s="10"/>
      <c r="F4743" s="1"/>
      <c r="G4743" s="1"/>
      <c r="H4743" s="1"/>
      <c r="I4743" s="7"/>
      <c r="J4743" s="12"/>
      <c r="K4743" s="13"/>
      <c r="L4743" s="14"/>
      <c r="M4743" s="15"/>
      <c r="N4743" s="15"/>
      <c r="O4743" s="16"/>
      <c r="Q4743" s="16"/>
    </row>
    <row r="4744" spans="1:17" x14ac:dyDescent="0.3">
      <c r="A4744" s="5"/>
      <c r="B4744" s="6"/>
      <c r="C4744" s="7"/>
      <c r="D4744" s="10"/>
      <c r="F4744" s="1"/>
      <c r="G4744" s="1"/>
      <c r="H4744" s="1"/>
      <c r="I4744" s="7"/>
      <c r="J4744" s="12"/>
      <c r="K4744" s="13"/>
      <c r="L4744" s="14"/>
      <c r="M4744" s="15"/>
      <c r="N4744" s="15"/>
      <c r="O4744" s="16"/>
      <c r="Q4744" s="16"/>
    </row>
    <row r="4745" spans="1:17" x14ac:dyDescent="0.3">
      <c r="A4745" s="5"/>
      <c r="B4745" s="6"/>
      <c r="C4745" s="7"/>
      <c r="D4745" s="10"/>
      <c r="F4745" s="1"/>
      <c r="G4745" s="1"/>
      <c r="H4745" s="1"/>
      <c r="I4745" s="7"/>
      <c r="J4745" s="12"/>
      <c r="K4745" s="13"/>
      <c r="L4745" s="14"/>
      <c r="M4745" s="15"/>
      <c r="N4745" s="15"/>
      <c r="O4745" s="16"/>
      <c r="Q4745" s="16"/>
    </row>
    <row r="4746" spans="1:17" x14ac:dyDescent="0.3">
      <c r="A4746" s="5"/>
      <c r="B4746" s="6"/>
      <c r="C4746" s="7"/>
      <c r="D4746" s="10"/>
      <c r="F4746" s="1"/>
      <c r="G4746" s="1"/>
      <c r="H4746" s="1"/>
      <c r="I4746" s="7"/>
      <c r="J4746" s="12"/>
      <c r="K4746" s="13"/>
      <c r="L4746" s="14"/>
      <c r="M4746" s="15"/>
      <c r="N4746" s="15"/>
      <c r="O4746" s="16"/>
      <c r="Q4746" s="16"/>
    </row>
    <row r="4747" spans="1:17" x14ac:dyDescent="0.3">
      <c r="A4747" s="5"/>
      <c r="B4747" s="6"/>
      <c r="C4747" s="7"/>
      <c r="D4747" s="10"/>
      <c r="F4747" s="1"/>
      <c r="G4747" s="1"/>
      <c r="H4747" s="1"/>
      <c r="I4747" s="7"/>
      <c r="J4747" s="12"/>
      <c r="K4747" s="13"/>
      <c r="L4747" s="14"/>
      <c r="M4747" s="15"/>
      <c r="N4747" s="15"/>
      <c r="O4747" s="16"/>
      <c r="Q4747" s="16"/>
    </row>
    <row r="4748" spans="1:17" x14ac:dyDescent="0.3">
      <c r="A4748" s="5"/>
      <c r="B4748" s="6"/>
      <c r="C4748" s="7"/>
      <c r="D4748" s="10"/>
      <c r="F4748" s="1"/>
      <c r="G4748" s="1"/>
      <c r="H4748" s="1"/>
      <c r="I4748" s="7"/>
      <c r="J4748" s="12"/>
      <c r="K4748" s="13"/>
      <c r="L4748" s="14"/>
      <c r="M4748" s="15"/>
      <c r="N4748" s="15"/>
      <c r="O4748" s="16"/>
      <c r="Q4748" s="16"/>
    </row>
    <row r="4749" spans="1:17" x14ac:dyDescent="0.3">
      <c r="A4749" s="5"/>
      <c r="B4749" s="6"/>
      <c r="C4749" s="7"/>
      <c r="D4749" s="10"/>
      <c r="F4749" s="1"/>
      <c r="G4749" s="1"/>
      <c r="H4749" s="1"/>
      <c r="I4749" s="7"/>
      <c r="J4749" s="12"/>
      <c r="K4749" s="13"/>
      <c r="L4749" s="14"/>
      <c r="M4749" s="15"/>
      <c r="N4749" s="15"/>
      <c r="O4749" s="16"/>
      <c r="Q4749" s="16"/>
    </row>
    <row r="4750" spans="1:17" x14ac:dyDescent="0.3">
      <c r="A4750" s="5"/>
      <c r="B4750" s="6"/>
      <c r="C4750" s="7"/>
      <c r="D4750" s="10"/>
      <c r="F4750" s="1"/>
      <c r="G4750" s="1"/>
      <c r="H4750" s="1"/>
      <c r="I4750" s="7"/>
      <c r="J4750" s="12"/>
      <c r="K4750" s="13"/>
      <c r="L4750" s="14"/>
      <c r="M4750" s="15"/>
      <c r="N4750" s="15"/>
      <c r="O4750" s="16"/>
      <c r="Q4750" s="16"/>
    </row>
    <row r="4751" spans="1:17" x14ac:dyDescent="0.3">
      <c r="A4751" s="5"/>
      <c r="B4751" s="6"/>
      <c r="C4751" s="7"/>
      <c r="D4751" s="10"/>
      <c r="F4751" s="1"/>
      <c r="G4751" s="1"/>
      <c r="H4751" s="1"/>
      <c r="I4751" s="7"/>
      <c r="J4751" s="12"/>
      <c r="K4751" s="13"/>
      <c r="L4751" s="14"/>
      <c r="M4751" s="15"/>
      <c r="N4751" s="15"/>
      <c r="O4751" s="16"/>
      <c r="Q4751" s="16"/>
    </row>
    <row r="4752" spans="1:17" x14ac:dyDescent="0.3">
      <c r="A4752" s="5"/>
      <c r="B4752" s="6"/>
      <c r="C4752" s="7"/>
      <c r="D4752" s="10"/>
      <c r="F4752" s="1"/>
      <c r="G4752" s="1"/>
      <c r="H4752" s="1"/>
      <c r="I4752" s="7"/>
      <c r="J4752" s="12"/>
      <c r="K4752" s="13"/>
      <c r="L4752" s="14"/>
      <c r="M4752" s="15"/>
      <c r="N4752" s="15"/>
      <c r="O4752" s="16"/>
      <c r="Q4752" s="16"/>
    </row>
    <row r="4753" spans="1:17" x14ac:dyDescent="0.3">
      <c r="A4753" s="5"/>
      <c r="B4753" s="6"/>
      <c r="C4753" s="7"/>
      <c r="D4753" s="10"/>
      <c r="F4753" s="1"/>
      <c r="G4753" s="1"/>
      <c r="H4753" s="1"/>
      <c r="I4753" s="7"/>
      <c r="J4753" s="12"/>
      <c r="K4753" s="13"/>
      <c r="L4753" s="14"/>
      <c r="M4753" s="15"/>
      <c r="N4753" s="15"/>
      <c r="O4753" s="16"/>
      <c r="Q4753" s="16"/>
    </row>
    <row r="4754" spans="1:17" x14ac:dyDescent="0.3">
      <c r="A4754" s="5"/>
      <c r="B4754" s="6"/>
      <c r="C4754" s="7"/>
      <c r="D4754" s="10"/>
      <c r="F4754" s="1"/>
      <c r="G4754" s="1"/>
      <c r="H4754" s="1"/>
      <c r="I4754" s="7"/>
      <c r="J4754" s="12"/>
      <c r="K4754" s="13"/>
      <c r="L4754" s="14"/>
      <c r="M4754" s="15"/>
      <c r="N4754" s="15"/>
      <c r="O4754" s="16"/>
      <c r="Q4754" s="16"/>
    </row>
    <row r="4755" spans="1:17" x14ac:dyDescent="0.3">
      <c r="A4755" s="5"/>
      <c r="B4755" s="6"/>
      <c r="C4755" s="7"/>
      <c r="D4755" s="10"/>
      <c r="F4755" s="1"/>
      <c r="G4755" s="1"/>
      <c r="H4755" s="1"/>
      <c r="I4755" s="7"/>
      <c r="J4755" s="12"/>
      <c r="K4755" s="13"/>
      <c r="L4755" s="14"/>
      <c r="M4755" s="15"/>
      <c r="N4755" s="15"/>
      <c r="O4755" s="16"/>
      <c r="Q4755" s="16"/>
    </row>
    <row r="4756" spans="1:17" x14ac:dyDescent="0.3">
      <c r="A4756" s="5"/>
      <c r="B4756" s="6"/>
      <c r="C4756" s="7"/>
      <c r="D4756" s="10"/>
      <c r="F4756" s="1"/>
      <c r="G4756" s="1"/>
      <c r="H4756" s="1"/>
      <c r="I4756" s="7"/>
      <c r="J4756" s="12"/>
      <c r="K4756" s="13"/>
      <c r="L4756" s="14"/>
      <c r="M4756" s="15"/>
      <c r="N4756" s="15"/>
      <c r="O4756" s="16"/>
      <c r="Q4756" s="16"/>
    </row>
    <row r="4757" spans="1:17" x14ac:dyDescent="0.3">
      <c r="A4757" s="5"/>
      <c r="B4757" s="6"/>
      <c r="C4757" s="7"/>
      <c r="D4757" s="10"/>
      <c r="F4757" s="1"/>
      <c r="G4757" s="1"/>
      <c r="H4757" s="1"/>
      <c r="I4757" s="7"/>
      <c r="J4757" s="12"/>
      <c r="K4757" s="13"/>
      <c r="L4757" s="14"/>
      <c r="M4757" s="15"/>
      <c r="N4757" s="15"/>
      <c r="O4757" s="16"/>
      <c r="Q4757" s="16"/>
    </row>
    <row r="4758" spans="1:17" x14ac:dyDescent="0.3">
      <c r="A4758" s="5"/>
      <c r="B4758" s="6"/>
      <c r="C4758" s="7"/>
      <c r="D4758" s="10"/>
      <c r="F4758" s="1"/>
      <c r="G4758" s="1"/>
      <c r="H4758" s="1"/>
      <c r="I4758" s="7"/>
      <c r="J4758" s="12"/>
      <c r="K4758" s="13"/>
      <c r="L4758" s="14"/>
      <c r="M4758" s="15"/>
      <c r="N4758" s="15"/>
      <c r="O4758" s="16"/>
      <c r="Q4758" s="16"/>
    </row>
    <row r="4759" spans="1:17" x14ac:dyDescent="0.3">
      <c r="A4759" s="5"/>
      <c r="B4759" s="6"/>
      <c r="C4759" s="7"/>
      <c r="D4759" s="10"/>
      <c r="F4759" s="1"/>
      <c r="G4759" s="1"/>
      <c r="H4759" s="1"/>
      <c r="I4759" s="7"/>
      <c r="J4759" s="12"/>
      <c r="K4759" s="13"/>
      <c r="L4759" s="14"/>
      <c r="M4759" s="15"/>
      <c r="N4759" s="15"/>
      <c r="O4759" s="16"/>
      <c r="Q4759" s="16"/>
    </row>
    <row r="4760" spans="1:17" x14ac:dyDescent="0.3">
      <c r="A4760" s="5"/>
      <c r="B4760" s="6"/>
      <c r="C4760" s="7"/>
      <c r="D4760" s="10"/>
      <c r="F4760" s="1"/>
      <c r="G4760" s="1"/>
      <c r="H4760" s="1"/>
      <c r="I4760" s="7"/>
      <c r="J4760" s="12"/>
      <c r="K4760" s="13"/>
      <c r="L4760" s="14"/>
      <c r="M4760" s="15"/>
      <c r="N4760" s="15"/>
      <c r="O4760" s="16"/>
      <c r="Q4760" s="16"/>
    </row>
    <row r="4761" spans="1:17" x14ac:dyDescent="0.3">
      <c r="A4761" s="5"/>
      <c r="B4761" s="6"/>
      <c r="C4761" s="7"/>
      <c r="D4761" s="10"/>
      <c r="F4761" s="1"/>
      <c r="G4761" s="1"/>
      <c r="H4761" s="1"/>
      <c r="I4761" s="7"/>
      <c r="J4761" s="12"/>
      <c r="K4761" s="13"/>
      <c r="L4761" s="14"/>
      <c r="M4761" s="15"/>
      <c r="N4761" s="15"/>
      <c r="O4761" s="16"/>
      <c r="Q4761" s="16"/>
    </row>
    <row r="4762" spans="1:17" x14ac:dyDescent="0.3">
      <c r="A4762" s="5"/>
      <c r="B4762" s="6"/>
      <c r="C4762" s="7"/>
      <c r="D4762" s="10"/>
      <c r="F4762" s="1"/>
      <c r="G4762" s="1"/>
      <c r="H4762" s="1"/>
      <c r="I4762" s="7"/>
      <c r="J4762" s="12"/>
      <c r="K4762" s="13"/>
      <c r="L4762" s="14"/>
      <c r="M4762" s="15"/>
      <c r="N4762" s="15"/>
      <c r="O4762" s="16"/>
      <c r="Q4762" s="16"/>
    </row>
    <row r="4763" spans="1:17" x14ac:dyDescent="0.3">
      <c r="A4763" s="5"/>
      <c r="B4763" s="6"/>
      <c r="C4763" s="7"/>
      <c r="D4763" s="10"/>
      <c r="F4763" s="1"/>
      <c r="G4763" s="1"/>
      <c r="H4763" s="1"/>
      <c r="I4763" s="7"/>
      <c r="J4763" s="12"/>
      <c r="K4763" s="13"/>
      <c r="L4763" s="14"/>
      <c r="M4763" s="15"/>
      <c r="N4763" s="15"/>
      <c r="O4763" s="16"/>
      <c r="Q4763" s="16"/>
    </row>
    <row r="4764" spans="1:17" x14ac:dyDescent="0.3">
      <c r="A4764" s="5"/>
      <c r="B4764" s="6"/>
      <c r="C4764" s="7"/>
      <c r="D4764" s="10"/>
      <c r="F4764" s="1"/>
      <c r="G4764" s="1"/>
      <c r="H4764" s="1"/>
      <c r="I4764" s="7"/>
      <c r="J4764" s="12"/>
      <c r="K4764" s="13"/>
      <c r="L4764" s="14"/>
      <c r="M4764" s="15"/>
      <c r="N4764" s="15"/>
      <c r="O4764" s="16"/>
      <c r="Q4764" s="16"/>
    </row>
    <row r="4765" spans="1:17" x14ac:dyDescent="0.3">
      <c r="A4765" s="5"/>
      <c r="B4765" s="6"/>
      <c r="C4765" s="7"/>
      <c r="D4765" s="10"/>
      <c r="F4765" s="1"/>
      <c r="G4765" s="1"/>
      <c r="H4765" s="1"/>
      <c r="I4765" s="7"/>
      <c r="J4765" s="12"/>
      <c r="K4765" s="13"/>
      <c r="L4765" s="14"/>
      <c r="M4765" s="15"/>
      <c r="N4765" s="15"/>
      <c r="O4765" s="16"/>
      <c r="Q4765" s="16"/>
    </row>
    <row r="4766" spans="1:17" x14ac:dyDescent="0.3">
      <c r="A4766" s="5"/>
      <c r="B4766" s="6"/>
      <c r="C4766" s="7"/>
      <c r="D4766" s="10"/>
      <c r="F4766" s="1"/>
      <c r="G4766" s="1"/>
      <c r="H4766" s="1"/>
      <c r="I4766" s="7"/>
      <c r="J4766" s="12"/>
      <c r="K4766" s="13"/>
      <c r="L4766" s="14"/>
      <c r="M4766" s="15"/>
      <c r="N4766" s="15"/>
      <c r="O4766" s="16"/>
      <c r="Q4766" s="16"/>
    </row>
    <row r="4767" spans="1:17" x14ac:dyDescent="0.3">
      <c r="A4767" s="5"/>
      <c r="B4767" s="6"/>
      <c r="C4767" s="7"/>
      <c r="D4767" s="10"/>
      <c r="F4767" s="1"/>
      <c r="G4767" s="1"/>
      <c r="H4767" s="1"/>
      <c r="I4767" s="7"/>
      <c r="J4767" s="12"/>
      <c r="K4767" s="13"/>
      <c r="L4767" s="14"/>
      <c r="M4767" s="15"/>
      <c r="N4767" s="15"/>
      <c r="O4767" s="16"/>
      <c r="Q4767" s="16"/>
    </row>
    <row r="4768" spans="1:17" x14ac:dyDescent="0.3">
      <c r="A4768" s="5"/>
      <c r="B4768" s="6"/>
      <c r="C4768" s="7"/>
      <c r="D4768" s="10"/>
      <c r="F4768" s="1"/>
      <c r="G4768" s="1"/>
      <c r="H4768" s="1"/>
      <c r="I4768" s="7"/>
      <c r="J4768" s="12"/>
      <c r="K4768" s="13"/>
      <c r="L4768" s="14"/>
      <c r="M4768" s="15"/>
      <c r="N4768" s="15"/>
      <c r="O4768" s="16"/>
      <c r="Q4768" s="16"/>
    </row>
    <row r="4769" spans="1:17" x14ac:dyDescent="0.3">
      <c r="A4769" s="5"/>
      <c r="B4769" s="6"/>
      <c r="C4769" s="7"/>
      <c r="D4769" s="10"/>
      <c r="F4769" s="1"/>
      <c r="G4769" s="1"/>
      <c r="H4769" s="1"/>
      <c r="I4769" s="7"/>
      <c r="J4769" s="12"/>
      <c r="K4769" s="13"/>
      <c r="L4769" s="14"/>
      <c r="M4769" s="15"/>
      <c r="N4769" s="15"/>
      <c r="O4769" s="16"/>
      <c r="Q4769" s="16"/>
    </row>
    <row r="4770" spans="1:17" x14ac:dyDescent="0.3">
      <c r="A4770" s="5"/>
      <c r="B4770" s="6"/>
      <c r="C4770" s="7"/>
      <c r="D4770" s="10"/>
      <c r="F4770" s="1"/>
      <c r="G4770" s="1"/>
      <c r="H4770" s="1"/>
      <c r="I4770" s="7"/>
      <c r="J4770" s="12"/>
      <c r="K4770" s="13"/>
      <c r="L4770" s="14"/>
      <c r="M4770" s="15"/>
      <c r="N4770" s="15"/>
      <c r="O4770" s="16"/>
      <c r="Q4770" s="16"/>
    </row>
    <row r="4771" spans="1:17" x14ac:dyDescent="0.3">
      <c r="A4771" s="5"/>
      <c r="B4771" s="6"/>
      <c r="C4771" s="7"/>
      <c r="D4771" s="10"/>
      <c r="F4771" s="1"/>
      <c r="G4771" s="1"/>
      <c r="H4771" s="1"/>
      <c r="I4771" s="7"/>
      <c r="J4771" s="12"/>
      <c r="K4771" s="13"/>
      <c r="L4771" s="14"/>
      <c r="M4771" s="15"/>
      <c r="N4771" s="15"/>
      <c r="O4771" s="16"/>
      <c r="Q4771" s="16"/>
    </row>
    <row r="4772" spans="1:17" x14ac:dyDescent="0.3">
      <c r="A4772" s="5"/>
      <c r="B4772" s="6"/>
      <c r="C4772" s="7"/>
      <c r="D4772" s="10"/>
      <c r="F4772" s="1"/>
      <c r="G4772" s="1"/>
      <c r="H4772" s="1"/>
      <c r="I4772" s="7"/>
      <c r="J4772" s="12"/>
      <c r="K4772" s="13"/>
      <c r="L4772" s="14"/>
      <c r="M4772" s="15"/>
      <c r="N4772" s="15"/>
      <c r="O4772" s="16"/>
      <c r="Q4772" s="16"/>
    </row>
    <row r="4773" spans="1:17" x14ac:dyDescent="0.3">
      <c r="A4773" s="5"/>
      <c r="B4773" s="6"/>
      <c r="C4773" s="7"/>
      <c r="D4773" s="10"/>
      <c r="F4773" s="1"/>
      <c r="G4773" s="1"/>
      <c r="H4773" s="1"/>
      <c r="I4773" s="7"/>
      <c r="J4773" s="12"/>
      <c r="K4773" s="13"/>
      <c r="L4773" s="14"/>
      <c r="M4773" s="15"/>
      <c r="N4773" s="15"/>
      <c r="O4773" s="16"/>
      <c r="Q4773" s="16"/>
    </row>
    <row r="4774" spans="1:17" x14ac:dyDescent="0.3">
      <c r="A4774" s="5"/>
      <c r="B4774" s="6"/>
      <c r="C4774" s="7"/>
      <c r="D4774" s="10"/>
      <c r="F4774" s="1"/>
      <c r="G4774" s="1"/>
      <c r="H4774" s="1"/>
      <c r="I4774" s="7"/>
      <c r="J4774" s="12"/>
      <c r="K4774" s="13"/>
      <c r="L4774" s="14"/>
      <c r="M4774" s="15"/>
      <c r="N4774" s="15"/>
      <c r="O4774" s="16"/>
      <c r="Q4774" s="16"/>
    </row>
    <row r="4775" spans="1:17" x14ac:dyDescent="0.3">
      <c r="A4775" s="5"/>
      <c r="B4775" s="6"/>
      <c r="C4775" s="7"/>
      <c r="D4775" s="10"/>
      <c r="F4775" s="1"/>
      <c r="G4775" s="1"/>
      <c r="H4775" s="1"/>
      <c r="I4775" s="7"/>
      <c r="J4775" s="12"/>
      <c r="K4775" s="13"/>
      <c r="L4775" s="14"/>
      <c r="M4775" s="15"/>
      <c r="N4775" s="15"/>
      <c r="O4775" s="16"/>
      <c r="Q4775" s="16"/>
    </row>
    <row r="4776" spans="1:17" x14ac:dyDescent="0.3">
      <c r="A4776" s="5"/>
      <c r="B4776" s="6"/>
      <c r="C4776" s="7"/>
      <c r="D4776" s="10"/>
      <c r="F4776" s="1"/>
      <c r="G4776" s="1"/>
      <c r="H4776" s="1"/>
      <c r="I4776" s="7"/>
      <c r="J4776" s="12"/>
      <c r="K4776" s="13"/>
      <c r="L4776" s="14"/>
      <c r="M4776" s="15"/>
      <c r="N4776" s="15"/>
      <c r="O4776" s="16"/>
      <c r="Q4776" s="16"/>
    </row>
    <row r="4777" spans="1:17" x14ac:dyDescent="0.3">
      <c r="A4777" s="5"/>
      <c r="B4777" s="6"/>
      <c r="C4777" s="7"/>
      <c r="D4777" s="10"/>
      <c r="F4777" s="1"/>
      <c r="G4777" s="1"/>
      <c r="H4777" s="1"/>
      <c r="I4777" s="7"/>
      <c r="J4777" s="12"/>
      <c r="K4777" s="13"/>
      <c r="L4777" s="14"/>
      <c r="M4777" s="15"/>
      <c r="N4777" s="15"/>
      <c r="O4777" s="16"/>
      <c r="Q4777" s="16"/>
    </row>
    <row r="4778" spans="1:17" x14ac:dyDescent="0.3">
      <c r="A4778" s="5"/>
      <c r="B4778" s="6"/>
      <c r="C4778" s="7"/>
      <c r="D4778" s="10"/>
      <c r="F4778" s="1"/>
      <c r="G4778" s="1"/>
      <c r="H4778" s="1"/>
      <c r="I4778" s="7"/>
      <c r="J4778" s="12"/>
      <c r="K4778" s="13"/>
      <c r="L4778" s="14"/>
      <c r="M4778" s="15"/>
      <c r="N4778" s="15"/>
      <c r="O4778" s="16"/>
      <c r="Q4778" s="16"/>
    </row>
    <row r="4779" spans="1:17" x14ac:dyDescent="0.3">
      <c r="A4779" s="5"/>
      <c r="B4779" s="6"/>
      <c r="C4779" s="7"/>
      <c r="D4779" s="10"/>
      <c r="F4779" s="1"/>
      <c r="G4779" s="1"/>
      <c r="H4779" s="1"/>
      <c r="I4779" s="7"/>
      <c r="J4779" s="12"/>
      <c r="K4779" s="13"/>
      <c r="L4779" s="14"/>
      <c r="M4779" s="15"/>
      <c r="N4779" s="15"/>
      <c r="O4779" s="16"/>
      <c r="Q4779" s="16"/>
    </row>
    <row r="4780" spans="1:17" x14ac:dyDescent="0.3">
      <c r="A4780" s="5"/>
      <c r="B4780" s="6"/>
      <c r="C4780" s="7"/>
      <c r="D4780" s="10"/>
      <c r="F4780" s="1"/>
      <c r="G4780" s="1"/>
      <c r="H4780" s="1"/>
      <c r="I4780" s="7"/>
      <c r="J4780" s="12"/>
      <c r="K4780" s="13"/>
      <c r="L4780" s="14"/>
      <c r="M4780" s="15"/>
      <c r="N4780" s="15"/>
      <c r="O4780" s="16"/>
      <c r="Q4780" s="16"/>
    </row>
    <row r="4781" spans="1:17" x14ac:dyDescent="0.3">
      <c r="A4781" s="5"/>
      <c r="B4781" s="6"/>
      <c r="C4781" s="7"/>
      <c r="D4781" s="10"/>
      <c r="F4781" s="1"/>
      <c r="G4781" s="1"/>
      <c r="H4781" s="1"/>
      <c r="I4781" s="7"/>
      <c r="J4781" s="12"/>
      <c r="K4781" s="13"/>
      <c r="L4781" s="14"/>
      <c r="M4781" s="15"/>
      <c r="N4781" s="15"/>
      <c r="O4781" s="16"/>
      <c r="Q4781" s="16"/>
    </row>
    <row r="4782" spans="1:17" x14ac:dyDescent="0.3">
      <c r="A4782" s="5"/>
      <c r="B4782" s="6"/>
      <c r="C4782" s="7"/>
      <c r="D4782" s="10"/>
      <c r="F4782" s="1"/>
      <c r="G4782" s="1"/>
      <c r="H4782" s="1"/>
      <c r="I4782" s="7"/>
      <c r="J4782" s="12"/>
      <c r="K4782" s="13"/>
      <c r="L4782" s="14"/>
      <c r="M4782" s="15"/>
      <c r="N4782" s="15"/>
      <c r="O4782" s="16"/>
      <c r="Q4782" s="16"/>
    </row>
    <row r="4783" spans="1:17" x14ac:dyDescent="0.3">
      <c r="A4783" s="5"/>
      <c r="B4783" s="6"/>
      <c r="C4783" s="7"/>
      <c r="D4783" s="10"/>
      <c r="F4783" s="1"/>
      <c r="G4783" s="1"/>
      <c r="H4783" s="1"/>
      <c r="I4783" s="7"/>
      <c r="J4783" s="12"/>
      <c r="K4783" s="13"/>
      <c r="L4783" s="14"/>
      <c r="M4783" s="15"/>
      <c r="N4783" s="15"/>
      <c r="O4783" s="16"/>
      <c r="Q4783" s="16"/>
    </row>
    <row r="4784" spans="1:17" x14ac:dyDescent="0.3">
      <c r="A4784" s="5"/>
      <c r="B4784" s="6"/>
      <c r="C4784" s="7"/>
      <c r="D4784" s="10"/>
      <c r="F4784" s="1"/>
      <c r="G4784" s="1"/>
      <c r="H4784" s="1"/>
      <c r="I4784" s="7"/>
      <c r="J4784" s="12"/>
      <c r="K4784" s="13"/>
      <c r="L4784" s="14"/>
      <c r="M4784" s="15"/>
      <c r="N4784" s="15"/>
      <c r="O4784" s="16"/>
      <c r="Q4784" s="16"/>
    </row>
    <row r="4785" spans="1:17" x14ac:dyDescent="0.3">
      <c r="A4785" s="5"/>
      <c r="B4785" s="6"/>
      <c r="C4785" s="7"/>
      <c r="D4785" s="10"/>
      <c r="F4785" s="1"/>
      <c r="G4785" s="1"/>
      <c r="H4785" s="1"/>
      <c r="I4785" s="7"/>
      <c r="J4785" s="12"/>
      <c r="K4785" s="13"/>
      <c r="L4785" s="14"/>
      <c r="M4785" s="15"/>
      <c r="N4785" s="15"/>
      <c r="O4785" s="16"/>
      <c r="Q4785" s="16"/>
    </row>
    <row r="4786" spans="1:17" x14ac:dyDescent="0.3">
      <c r="A4786" s="5"/>
      <c r="B4786" s="6"/>
      <c r="C4786" s="7"/>
      <c r="D4786" s="10"/>
      <c r="F4786" s="1"/>
      <c r="G4786" s="1"/>
      <c r="H4786" s="1"/>
      <c r="I4786" s="7"/>
      <c r="J4786" s="12"/>
      <c r="K4786" s="13"/>
      <c r="L4786" s="14"/>
      <c r="M4786" s="15"/>
      <c r="N4786" s="15"/>
      <c r="O4786" s="16"/>
      <c r="Q4786" s="16"/>
    </row>
    <row r="4787" spans="1:17" x14ac:dyDescent="0.3">
      <c r="A4787" s="5"/>
      <c r="B4787" s="6"/>
      <c r="C4787" s="7"/>
      <c r="D4787" s="10"/>
      <c r="F4787" s="1"/>
      <c r="G4787" s="1"/>
      <c r="H4787" s="1"/>
      <c r="I4787" s="7"/>
      <c r="J4787" s="12"/>
      <c r="K4787" s="13"/>
      <c r="L4787" s="14"/>
      <c r="M4787" s="15"/>
      <c r="N4787" s="15"/>
      <c r="O4787" s="16"/>
      <c r="Q4787" s="16"/>
    </row>
    <row r="4788" spans="1:17" x14ac:dyDescent="0.3">
      <c r="A4788" s="5"/>
      <c r="B4788" s="6"/>
      <c r="C4788" s="7"/>
      <c r="D4788" s="10"/>
      <c r="F4788" s="1"/>
      <c r="G4788" s="1"/>
      <c r="H4788" s="1"/>
      <c r="I4788" s="7"/>
      <c r="J4788" s="12"/>
      <c r="K4788" s="13"/>
      <c r="L4788" s="14"/>
      <c r="M4788" s="15"/>
      <c r="N4788" s="15"/>
      <c r="O4788" s="16"/>
      <c r="Q4788" s="16"/>
    </row>
    <row r="4789" spans="1:17" x14ac:dyDescent="0.3">
      <c r="A4789" s="5"/>
      <c r="B4789" s="6"/>
      <c r="C4789" s="7"/>
      <c r="D4789" s="10"/>
      <c r="F4789" s="1"/>
      <c r="G4789" s="1"/>
      <c r="H4789" s="1"/>
      <c r="I4789" s="7"/>
      <c r="J4789" s="12"/>
      <c r="K4789" s="13"/>
      <c r="L4789" s="14"/>
      <c r="M4789" s="15"/>
      <c r="N4789" s="15"/>
      <c r="O4789" s="16"/>
      <c r="Q4789" s="16"/>
    </row>
    <row r="4790" spans="1:17" x14ac:dyDescent="0.3">
      <c r="A4790" s="5"/>
      <c r="B4790" s="6"/>
      <c r="C4790" s="7"/>
      <c r="D4790" s="10"/>
      <c r="F4790" s="1"/>
      <c r="G4790" s="1"/>
      <c r="H4790" s="1"/>
      <c r="I4790" s="7"/>
      <c r="J4790" s="12"/>
      <c r="K4790" s="13"/>
      <c r="L4790" s="14"/>
      <c r="M4790" s="15"/>
      <c r="N4790" s="15"/>
      <c r="O4790" s="16"/>
      <c r="Q4790" s="16"/>
    </row>
    <row r="4791" spans="1:17" x14ac:dyDescent="0.3">
      <c r="A4791" s="5"/>
      <c r="B4791" s="6"/>
      <c r="C4791" s="7"/>
      <c r="D4791" s="10"/>
      <c r="F4791" s="1"/>
      <c r="G4791" s="1"/>
      <c r="H4791" s="1"/>
      <c r="I4791" s="7"/>
      <c r="J4791" s="12"/>
      <c r="K4791" s="13"/>
      <c r="L4791" s="14"/>
      <c r="M4791" s="15"/>
      <c r="N4791" s="15"/>
      <c r="O4791" s="16"/>
      <c r="Q4791" s="16"/>
    </row>
    <row r="4792" spans="1:17" x14ac:dyDescent="0.3">
      <c r="A4792" s="5"/>
      <c r="B4792" s="6"/>
      <c r="C4792" s="7"/>
      <c r="D4792" s="10"/>
      <c r="F4792" s="1"/>
      <c r="G4792" s="1"/>
      <c r="H4792" s="1"/>
      <c r="I4792" s="7"/>
      <c r="J4792" s="12"/>
      <c r="K4792" s="13"/>
      <c r="L4792" s="14"/>
      <c r="M4792" s="15"/>
      <c r="N4792" s="15"/>
      <c r="O4792" s="16"/>
      <c r="Q4792" s="16"/>
    </row>
    <row r="4793" spans="1:17" x14ac:dyDescent="0.3">
      <c r="A4793" s="5"/>
      <c r="B4793" s="6"/>
      <c r="C4793" s="7"/>
      <c r="D4793" s="10"/>
      <c r="F4793" s="1"/>
      <c r="G4793" s="1"/>
      <c r="H4793" s="1"/>
      <c r="I4793" s="7"/>
      <c r="J4793" s="12"/>
      <c r="K4793" s="13"/>
      <c r="L4793" s="14"/>
      <c r="M4793" s="15"/>
      <c r="N4793" s="15"/>
      <c r="O4793" s="16"/>
      <c r="Q4793" s="16"/>
    </row>
    <row r="4794" spans="1:17" x14ac:dyDescent="0.3">
      <c r="A4794" s="5"/>
      <c r="B4794" s="6"/>
      <c r="C4794" s="7"/>
      <c r="D4794" s="10"/>
      <c r="F4794" s="1"/>
      <c r="G4794" s="1"/>
      <c r="H4794" s="1"/>
      <c r="I4794" s="7"/>
      <c r="J4794" s="12"/>
      <c r="K4794" s="13"/>
      <c r="L4794" s="14"/>
      <c r="M4794" s="15"/>
      <c r="N4794" s="15"/>
      <c r="O4794" s="16"/>
      <c r="Q4794" s="16"/>
    </row>
    <row r="4795" spans="1:17" x14ac:dyDescent="0.3">
      <c r="A4795" s="5"/>
      <c r="B4795" s="6"/>
      <c r="C4795" s="7"/>
      <c r="D4795" s="10"/>
      <c r="F4795" s="1"/>
      <c r="G4795" s="1"/>
      <c r="H4795" s="1"/>
      <c r="I4795" s="7"/>
      <c r="J4795" s="12"/>
      <c r="K4795" s="13"/>
      <c r="L4795" s="14"/>
      <c r="M4795" s="15"/>
      <c r="N4795" s="15"/>
      <c r="O4795" s="16"/>
      <c r="Q4795" s="16"/>
    </row>
    <row r="4796" spans="1:17" x14ac:dyDescent="0.3">
      <c r="A4796" s="5"/>
      <c r="B4796" s="6"/>
      <c r="C4796" s="7"/>
      <c r="D4796" s="10"/>
      <c r="F4796" s="1"/>
      <c r="G4796" s="1"/>
      <c r="H4796" s="1"/>
      <c r="I4796" s="7"/>
      <c r="J4796" s="12"/>
      <c r="K4796" s="13"/>
      <c r="L4796" s="14"/>
      <c r="M4796" s="15"/>
      <c r="N4796" s="15"/>
      <c r="O4796" s="16"/>
      <c r="Q4796" s="16"/>
    </row>
    <row r="4797" spans="1:17" x14ac:dyDescent="0.3">
      <c r="A4797" s="5"/>
      <c r="B4797" s="6"/>
      <c r="C4797" s="7"/>
      <c r="D4797" s="10"/>
      <c r="F4797" s="1"/>
      <c r="G4797" s="1"/>
      <c r="H4797" s="1"/>
      <c r="I4797" s="7"/>
      <c r="J4797" s="12"/>
      <c r="K4797" s="13"/>
      <c r="L4797" s="14"/>
      <c r="M4797" s="15"/>
      <c r="N4797" s="15"/>
      <c r="O4797" s="16"/>
      <c r="Q4797" s="16"/>
    </row>
    <row r="4798" spans="1:17" x14ac:dyDescent="0.3">
      <c r="A4798" s="5"/>
      <c r="B4798" s="6"/>
      <c r="C4798" s="7"/>
      <c r="D4798" s="10"/>
      <c r="F4798" s="1"/>
      <c r="G4798" s="1"/>
      <c r="H4798" s="1"/>
      <c r="I4798" s="7"/>
      <c r="J4798" s="12"/>
      <c r="K4798" s="13"/>
      <c r="L4798" s="14"/>
      <c r="M4798" s="15"/>
      <c r="N4798" s="15"/>
      <c r="O4798" s="16"/>
      <c r="Q4798" s="16"/>
    </row>
    <row r="4799" spans="1:17" x14ac:dyDescent="0.3">
      <c r="A4799" s="5"/>
      <c r="B4799" s="6"/>
      <c r="C4799" s="7"/>
      <c r="D4799" s="10"/>
      <c r="F4799" s="1"/>
      <c r="G4799" s="1"/>
      <c r="H4799" s="1"/>
      <c r="I4799" s="7"/>
      <c r="J4799" s="12"/>
      <c r="K4799" s="13"/>
      <c r="L4799" s="14"/>
      <c r="M4799" s="15"/>
      <c r="N4799" s="15"/>
      <c r="O4799" s="16"/>
      <c r="Q4799" s="16"/>
    </row>
    <row r="4800" spans="1:17" x14ac:dyDescent="0.3">
      <c r="A4800" s="5"/>
      <c r="B4800" s="6"/>
      <c r="C4800" s="7"/>
      <c r="D4800" s="10"/>
      <c r="F4800" s="1"/>
      <c r="G4800" s="1"/>
      <c r="H4800" s="1"/>
      <c r="I4800" s="7"/>
      <c r="J4800" s="12"/>
      <c r="K4800" s="13"/>
      <c r="L4800" s="14"/>
      <c r="M4800" s="15"/>
      <c r="N4800" s="15"/>
      <c r="O4800" s="16"/>
      <c r="Q4800" s="16"/>
    </row>
    <row r="4801" spans="1:17" x14ac:dyDescent="0.3">
      <c r="A4801" s="5"/>
      <c r="B4801" s="6"/>
      <c r="C4801" s="7"/>
      <c r="D4801" s="10"/>
      <c r="F4801" s="1"/>
      <c r="G4801" s="1"/>
      <c r="H4801" s="1"/>
      <c r="I4801" s="7"/>
      <c r="J4801" s="12"/>
      <c r="K4801" s="13"/>
      <c r="L4801" s="14"/>
      <c r="M4801" s="15"/>
      <c r="N4801" s="15"/>
      <c r="O4801" s="16"/>
      <c r="Q4801" s="16"/>
    </row>
    <row r="4802" spans="1:17" x14ac:dyDescent="0.3">
      <c r="A4802" s="5"/>
      <c r="B4802" s="6"/>
      <c r="C4802" s="7"/>
      <c r="D4802" s="10"/>
      <c r="F4802" s="1"/>
      <c r="G4802" s="1"/>
      <c r="H4802" s="1"/>
      <c r="I4802" s="7"/>
      <c r="J4802" s="12"/>
      <c r="K4802" s="13"/>
      <c r="L4802" s="14"/>
      <c r="M4802" s="15"/>
      <c r="N4802" s="15"/>
      <c r="O4802" s="16"/>
      <c r="Q4802" s="16"/>
    </row>
    <row r="4803" spans="1:17" x14ac:dyDescent="0.3">
      <c r="A4803" s="5"/>
      <c r="B4803" s="6"/>
      <c r="C4803" s="7"/>
      <c r="D4803" s="10"/>
      <c r="F4803" s="1"/>
      <c r="G4803" s="1"/>
      <c r="H4803" s="1"/>
      <c r="I4803" s="7"/>
      <c r="J4803" s="12"/>
      <c r="K4803" s="13"/>
      <c r="L4803" s="14"/>
      <c r="M4803" s="15"/>
      <c r="N4803" s="15"/>
      <c r="O4803" s="16"/>
      <c r="Q4803" s="16"/>
    </row>
    <row r="4804" spans="1:17" x14ac:dyDescent="0.3">
      <c r="A4804" s="5"/>
      <c r="B4804" s="6"/>
      <c r="C4804" s="7"/>
      <c r="D4804" s="10"/>
      <c r="F4804" s="1"/>
      <c r="G4804" s="1"/>
      <c r="H4804" s="1"/>
      <c r="I4804" s="7"/>
      <c r="J4804" s="12"/>
      <c r="K4804" s="13"/>
      <c r="L4804" s="14"/>
      <c r="M4804" s="15"/>
      <c r="N4804" s="15"/>
      <c r="O4804" s="16"/>
      <c r="Q4804" s="16"/>
    </row>
    <row r="4805" spans="1:17" x14ac:dyDescent="0.3">
      <c r="A4805" s="5"/>
      <c r="B4805" s="6"/>
      <c r="C4805" s="7"/>
      <c r="D4805" s="10"/>
      <c r="F4805" s="1"/>
      <c r="G4805" s="1"/>
      <c r="H4805" s="1"/>
      <c r="I4805" s="7"/>
      <c r="J4805" s="12"/>
      <c r="K4805" s="13"/>
      <c r="L4805" s="14"/>
      <c r="M4805" s="15"/>
      <c r="N4805" s="15"/>
      <c r="O4805" s="16"/>
      <c r="Q4805" s="16"/>
    </row>
    <row r="4806" spans="1:17" x14ac:dyDescent="0.3">
      <c r="A4806" s="5"/>
      <c r="B4806" s="6"/>
      <c r="C4806" s="7"/>
      <c r="D4806" s="10"/>
      <c r="F4806" s="1"/>
      <c r="G4806" s="1"/>
      <c r="H4806" s="1"/>
      <c r="I4806" s="7"/>
      <c r="J4806" s="12"/>
      <c r="K4806" s="13"/>
      <c r="L4806" s="14"/>
      <c r="M4806" s="15"/>
      <c r="N4806" s="15"/>
      <c r="O4806" s="16"/>
      <c r="Q4806" s="16"/>
    </row>
    <row r="4807" spans="1:17" x14ac:dyDescent="0.3">
      <c r="A4807" s="5"/>
      <c r="B4807" s="6"/>
      <c r="C4807" s="7"/>
      <c r="D4807" s="10"/>
      <c r="F4807" s="1"/>
      <c r="G4807" s="1"/>
      <c r="H4807" s="1"/>
      <c r="I4807" s="7"/>
      <c r="J4807" s="12"/>
      <c r="K4807" s="13"/>
      <c r="L4807" s="14"/>
      <c r="M4807" s="15"/>
      <c r="N4807" s="15"/>
      <c r="O4807" s="16"/>
      <c r="Q4807" s="16"/>
    </row>
    <row r="4808" spans="1:17" x14ac:dyDescent="0.3">
      <c r="A4808" s="5"/>
      <c r="B4808" s="6"/>
      <c r="C4808" s="7"/>
      <c r="D4808" s="10"/>
      <c r="F4808" s="1"/>
      <c r="G4808" s="1"/>
      <c r="H4808" s="1"/>
      <c r="I4808" s="7"/>
      <c r="J4808" s="12"/>
      <c r="K4808" s="13"/>
      <c r="L4808" s="14"/>
      <c r="M4808" s="15"/>
      <c r="N4808" s="15"/>
      <c r="O4808" s="16"/>
      <c r="Q4808" s="16"/>
    </row>
    <row r="4809" spans="1:17" x14ac:dyDescent="0.3">
      <c r="A4809" s="5"/>
      <c r="B4809" s="6"/>
      <c r="C4809" s="7"/>
      <c r="D4809" s="10"/>
      <c r="F4809" s="1"/>
      <c r="G4809" s="1"/>
      <c r="H4809" s="1"/>
      <c r="I4809" s="7"/>
      <c r="J4809" s="12"/>
      <c r="K4809" s="13"/>
      <c r="L4809" s="14"/>
      <c r="M4809" s="15"/>
      <c r="N4809" s="15"/>
      <c r="O4809" s="16"/>
      <c r="Q4809" s="16"/>
    </row>
    <row r="4810" spans="1:17" x14ac:dyDescent="0.3">
      <c r="A4810" s="5"/>
      <c r="B4810" s="6"/>
      <c r="C4810" s="7"/>
      <c r="D4810" s="10"/>
      <c r="F4810" s="1"/>
      <c r="G4810" s="1"/>
      <c r="H4810" s="1"/>
      <c r="I4810" s="7"/>
      <c r="J4810" s="12"/>
      <c r="K4810" s="13"/>
      <c r="L4810" s="14"/>
      <c r="M4810" s="15"/>
      <c r="N4810" s="15"/>
      <c r="O4810" s="16"/>
      <c r="Q4810" s="16"/>
    </row>
    <row r="4811" spans="1:17" x14ac:dyDescent="0.3">
      <c r="A4811" s="5"/>
      <c r="B4811" s="6"/>
      <c r="C4811" s="7"/>
      <c r="D4811" s="10"/>
      <c r="F4811" s="1"/>
      <c r="G4811" s="1"/>
      <c r="H4811" s="1"/>
      <c r="I4811" s="7"/>
      <c r="J4811" s="12"/>
      <c r="K4811" s="13"/>
      <c r="L4811" s="14"/>
      <c r="M4811" s="15"/>
      <c r="N4811" s="15"/>
      <c r="O4811" s="16"/>
      <c r="Q4811" s="16"/>
    </row>
    <row r="4812" spans="1:17" x14ac:dyDescent="0.3">
      <c r="A4812" s="5"/>
      <c r="B4812" s="6"/>
      <c r="C4812" s="7"/>
      <c r="D4812" s="10"/>
      <c r="F4812" s="1"/>
      <c r="G4812" s="1"/>
      <c r="H4812" s="1"/>
      <c r="I4812" s="7"/>
      <c r="J4812" s="12"/>
      <c r="K4812" s="13"/>
      <c r="L4812" s="14"/>
      <c r="M4812" s="15"/>
      <c r="N4812" s="15"/>
      <c r="O4812" s="16"/>
      <c r="Q4812" s="16"/>
    </row>
    <row r="4813" spans="1:17" x14ac:dyDescent="0.3">
      <c r="A4813" s="5"/>
      <c r="B4813" s="6"/>
      <c r="C4813" s="7"/>
      <c r="D4813" s="10"/>
      <c r="F4813" s="1"/>
      <c r="G4813" s="1"/>
      <c r="H4813" s="1"/>
      <c r="I4813" s="7"/>
      <c r="J4813" s="12"/>
      <c r="K4813" s="13"/>
      <c r="L4813" s="14"/>
      <c r="M4813" s="15"/>
      <c r="N4813" s="15"/>
      <c r="O4813" s="16"/>
      <c r="Q4813" s="16"/>
    </row>
    <row r="4814" spans="1:17" x14ac:dyDescent="0.3">
      <c r="A4814" s="5"/>
      <c r="B4814" s="6"/>
      <c r="C4814" s="7"/>
      <c r="D4814" s="10"/>
      <c r="F4814" s="1"/>
      <c r="G4814" s="1"/>
      <c r="H4814" s="1"/>
      <c r="I4814" s="7"/>
      <c r="J4814" s="12"/>
      <c r="K4814" s="13"/>
      <c r="L4814" s="14"/>
      <c r="M4814" s="15"/>
      <c r="N4814" s="15"/>
      <c r="O4814" s="16"/>
      <c r="Q4814" s="16"/>
    </row>
    <row r="4815" spans="1:17" x14ac:dyDescent="0.3">
      <c r="A4815" s="5"/>
      <c r="B4815" s="6"/>
      <c r="C4815" s="7"/>
      <c r="D4815" s="10"/>
      <c r="F4815" s="1"/>
      <c r="G4815" s="1"/>
      <c r="H4815" s="1"/>
      <c r="I4815" s="7"/>
      <c r="J4815" s="12"/>
      <c r="K4815" s="13"/>
      <c r="L4815" s="14"/>
      <c r="M4815" s="15"/>
      <c r="N4815" s="15"/>
      <c r="O4815" s="16"/>
      <c r="Q4815" s="16"/>
    </row>
    <row r="4816" spans="1:17" x14ac:dyDescent="0.3">
      <c r="A4816" s="5"/>
      <c r="B4816" s="6"/>
      <c r="C4816" s="7"/>
      <c r="D4816" s="10"/>
      <c r="F4816" s="1"/>
      <c r="G4816" s="1"/>
      <c r="H4816" s="1"/>
      <c r="I4816" s="7"/>
      <c r="J4816" s="12"/>
      <c r="K4816" s="13"/>
      <c r="L4816" s="14"/>
      <c r="M4816" s="15"/>
      <c r="N4816" s="15"/>
      <c r="O4816" s="16"/>
      <c r="Q4816" s="16"/>
    </row>
    <row r="4817" spans="1:17" x14ac:dyDescent="0.3">
      <c r="A4817" s="5"/>
      <c r="B4817" s="6"/>
      <c r="C4817" s="7"/>
      <c r="D4817" s="10"/>
      <c r="F4817" s="1"/>
      <c r="G4817" s="1"/>
      <c r="H4817" s="1"/>
      <c r="I4817" s="7"/>
      <c r="J4817" s="12"/>
      <c r="K4817" s="13"/>
      <c r="L4817" s="14"/>
      <c r="M4817" s="15"/>
      <c r="N4817" s="15"/>
      <c r="O4817" s="16"/>
      <c r="Q4817" s="16"/>
    </row>
    <row r="4818" spans="1:17" x14ac:dyDescent="0.3">
      <c r="A4818" s="5"/>
      <c r="B4818" s="6"/>
      <c r="C4818" s="7"/>
      <c r="D4818" s="10"/>
      <c r="F4818" s="1"/>
      <c r="G4818" s="1"/>
      <c r="H4818" s="1"/>
      <c r="I4818" s="7"/>
      <c r="J4818" s="12"/>
      <c r="K4818" s="13"/>
      <c r="L4818" s="14"/>
      <c r="M4818" s="15"/>
      <c r="N4818" s="15"/>
      <c r="O4818" s="16"/>
      <c r="Q4818" s="16"/>
    </row>
    <row r="4819" spans="1:17" x14ac:dyDescent="0.3">
      <c r="A4819" s="5"/>
      <c r="B4819" s="6"/>
      <c r="C4819" s="7"/>
      <c r="D4819" s="10"/>
      <c r="F4819" s="1"/>
      <c r="G4819" s="1"/>
      <c r="H4819" s="1"/>
      <c r="I4819" s="7"/>
      <c r="J4819" s="12"/>
      <c r="K4819" s="13"/>
      <c r="L4819" s="14"/>
      <c r="M4819" s="15"/>
      <c r="N4819" s="15"/>
      <c r="O4819" s="16"/>
      <c r="Q4819" s="16"/>
    </row>
    <row r="4820" spans="1:17" x14ac:dyDescent="0.3">
      <c r="A4820" s="5"/>
      <c r="B4820" s="6"/>
      <c r="C4820" s="7"/>
      <c r="D4820" s="10"/>
      <c r="F4820" s="1"/>
      <c r="G4820" s="1"/>
      <c r="H4820" s="1"/>
      <c r="I4820" s="7"/>
      <c r="J4820" s="12"/>
      <c r="K4820" s="13"/>
      <c r="L4820" s="14"/>
      <c r="M4820" s="15"/>
      <c r="N4820" s="15"/>
      <c r="O4820" s="16"/>
      <c r="Q4820" s="16"/>
    </row>
    <row r="4821" spans="1:17" x14ac:dyDescent="0.3">
      <c r="A4821" s="5"/>
      <c r="B4821" s="6"/>
      <c r="C4821" s="7"/>
      <c r="D4821" s="10"/>
      <c r="F4821" s="1"/>
      <c r="G4821" s="1"/>
      <c r="H4821" s="1"/>
      <c r="I4821" s="7"/>
      <c r="J4821" s="12"/>
      <c r="K4821" s="13"/>
      <c r="L4821" s="14"/>
      <c r="M4821" s="15"/>
      <c r="N4821" s="15"/>
      <c r="O4821" s="16"/>
      <c r="Q4821" s="16"/>
    </row>
    <row r="4822" spans="1:17" x14ac:dyDescent="0.3">
      <c r="A4822" s="5"/>
      <c r="B4822" s="6"/>
      <c r="C4822" s="7"/>
      <c r="D4822" s="10"/>
      <c r="F4822" s="1"/>
      <c r="G4822" s="1"/>
      <c r="H4822" s="1"/>
      <c r="I4822" s="7"/>
      <c r="J4822" s="12"/>
      <c r="K4822" s="13"/>
      <c r="L4822" s="14"/>
      <c r="M4822" s="15"/>
      <c r="N4822" s="15"/>
      <c r="O4822" s="16"/>
      <c r="Q4822" s="16"/>
    </row>
    <row r="4823" spans="1:17" x14ac:dyDescent="0.3">
      <c r="A4823" s="5"/>
      <c r="B4823" s="6"/>
      <c r="C4823" s="7"/>
      <c r="D4823" s="10"/>
      <c r="F4823" s="1"/>
      <c r="G4823" s="1"/>
      <c r="H4823" s="1"/>
      <c r="I4823" s="7"/>
      <c r="J4823" s="12"/>
      <c r="K4823" s="13"/>
      <c r="L4823" s="14"/>
      <c r="M4823" s="15"/>
      <c r="N4823" s="15"/>
      <c r="O4823" s="16"/>
      <c r="Q4823" s="16"/>
    </row>
    <row r="4824" spans="1:17" x14ac:dyDescent="0.3">
      <c r="A4824" s="5"/>
      <c r="B4824" s="6"/>
      <c r="C4824" s="7"/>
      <c r="D4824" s="10"/>
      <c r="F4824" s="1"/>
      <c r="G4824" s="1"/>
      <c r="H4824" s="1"/>
      <c r="I4824" s="7"/>
      <c r="J4824" s="12"/>
      <c r="K4824" s="13"/>
      <c r="L4824" s="14"/>
      <c r="M4824" s="15"/>
      <c r="N4824" s="15"/>
      <c r="O4824" s="16"/>
      <c r="Q4824" s="16"/>
    </row>
    <row r="4825" spans="1:17" x14ac:dyDescent="0.3">
      <c r="A4825" s="5"/>
      <c r="B4825" s="6"/>
      <c r="C4825" s="7"/>
      <c r="D4825" s="10"/>
      <c r="F4825" s="1"/>
      <c r="G4825" s="1"/>
      <c r="H4825" s="1"/>
      <c r="I4825" s="7"/>
      <c r="J4825" s="12"/>
      <c r="K4825" s="13"/>
      <c r="L4825" s="14"/>
      <c r="M4825" s="15"/>
      <c r="N4825" s="15"/>
      <c r="O4825" s="16"/>
      <c r="Q4825" s="16"/>
    </row>
    <row r="4826" spans="1:17" x14ac:dyDescent="0.3">
      <c r="A4826" s="5"/>
      <c r="B4826" s="6"/>
      <c r="C4826" s="7"/>
      <c r="D4826" s="10"/>
      <c r="F4826" s="1"/>
      <c r="G4826" s="1"/>
      <c r="H4826" s="1"/>
      <c r="I4826" s="7"/>
      <c r="J4826" s="12"/>
      <c r="K4826" s="13"/>
      <c r="L4826" s="14"/>
      <c r="M4826" s="15"/>
      <c r="N4826" s="15"/>
      <c r="O4826" s="16"/>
      <c r="Q4826" s="16"/>
    </row>
    <row r="4827" spans="1:17" x14ac:dyDescent="0.3">
      <c r="A4827" s="5"/>
      <c r="B4827" s="6"/>
      <c r="C4827" s="7"/>
      <c r="D4827" s="10"/>
      <c r="F4827" s="1"/>
      <c r="G4827" s="1"/>
      <c r="H4827" s="1"/>
      <c r="I4827" s="7"/>
      <c r="J4827" s="12"/>
      <c r="K4827" s="13"/>
      <c r="L4827" s="14"/>
      <c r="M4827" s="15"/>
      <c r="N4827" s="15"/>
      <c r="O4827" s="16"/>
      <c r="Q4827" s="16"/>
    </row>
    <row r="4828" spans="1:17" x14ac:dyDescent="0.3">
      <c r="A4828" s="5"/>
      <c r="B4828" s="6"/>
      <c r="C4828" s="7"/>
      <c r="D4828" s="10"/>
      <c r="F4828" s="1"/>
      <c r="G4828" s="1"/>
      <c r="H4828" s="1"/>
      <c r="I4828" s="7"/>
      <c r="J4828" s="12"/>
      <c r="K4828" s="13"/>
      <c r="L4828" s="14"/>
      <c r="M4828" s="15"/>
      <c r="N4828" s="15"/>
      <c r="O4828" s="16"/>
      <c r="Q4828" s="16"/>
    </row>
    <row r="4829" spans="1:17" x14ac:dyDescent="0.3">
      <c r="A4829" s="5"/>
      <c r="B4829" s="6"/>
      <c r="C4829" s="7"/>
      <c r="D4829" s="10"/>
      <c r="F4829" s="1"/>
      <c r="G4829" s="1"/>
      <c r="H4829" s="1"/>
      <c r="I4829" s="7"/>
      <c r="J4829" s="12"/>
      <c r="K4829" s="13"/>
      <c r="L4829" s="14"/>
      <c r="M4829" s="15"/>
      <c r="N4829" s="15"/>
      <c r="O4829" s="16"/>
      <c r="Q4829" s="16"/>
    </row>
    <row r="4830" spans="1:17" x14ac:dyDescent="0.3">
      <c r="A4830" s="5"/>
      <c r="B4830" s="6"/>
      <c r="C4830" s="7"/>
      <c r="D4830" s="10"/>
      <c r="F4830" s="1"/>
      <c r="G4830" s="1"/>
      <c r="H4830" s="1"/>
      <c r="I4830" s="7"/>
      <c r="J4830" s="12"/>
      <c r="K4830" s="13"/>
      <c r="L4830" s="14"/>
      <c r="M4830" s="15"/>
      <c r="N4830" s="15"/>
      <c r="O4830" s="16"/>
      <c r="Q4830" s="16"/>
    </row>
    <row r="4831" spans="1:17" x14ac:dyDescent="0.3">
      <c r="A4831" s="5"/>
      <c r="B4831" s="6"/>
      <c r="C4831" s="7"/>
      <c r="D4831" s="10"/>
      <c r="F4831" s="1"/>
      <c r="G4831" s="1"/>
      <c r="H4831" s="1"/>
      <c r="I4831" s="7"/>
      <c r="J4831" s="12"/>
      <c r="K4831" s="13"/>
      <c r="L4831" s="14"/>
      <c r="M4831" s="15"/>
      <c r="N4831" s="15"/>
      <c r="O4831" s="16"/>
      <c r="Q4831" s="16"/>
    </row>
    <row r="4832" spans="1:17" x14ac:dyDescent="0.3">
      <c r="A4832" s="5"/>
      <c r="B4832" s="6"/>
      <c r="C4832" s="7"/>
      <c r="D4832" s="10"/>
      <c r="F4832" s="1"/>
      <c r="G4832" s="1"/>
      <c r="H4832" s="1"/>
      <c r="I4832" s="7"/>
      <c r="J4832" s="12"/>
      <c r="K4832" s="13"/>
      <c r="L4832" s="14"/>
      <c r="M4832" s="15"/>
      <c r="N4832" s="15"/>
      <c r="O4832" s="16"/>
      <c r="Q4832" s="16"/>
    </row>
    <row r="4833" spans="1:17" x14ac:dyDescent="0.3">
      <c r="A4833" s="5"/>
      <c r="B4833" s="6"/>
      <c r="C4833" s="7"/>
      <c r="D4833" s="10"/>
      <c r="F4833" s="1"/>
      <c r="G4833" s="1"/>
      <c r="H4833" s="1"/>
      <c r="I4833" s="7"/>
      <c r="J4833" s="12"/>
      <c r="K4833" s="13"/>
      <c r="L4833" s="14"/>
      <c r="M4833" s="15"/>
      <c r="N4833" s="15"/>
      <c r="O4833" s="16"/>
      <c r="Q4833" s="16"/>
    </row>
    <row r="4834" spans="1:17" x14ac:dyDescent="0.3">
      <c r="A4834" s="5"/>
      <c r="B4834" s="6"/>
      <c r="C4834" s="7"/>
      <c r="D4834" s="10"/>
      <c r="F4834" s="1"/>
      <c r="G4834" s="1"/>
      <c r="H4834" s="1"/>
      <c r="I4834" s="7"/>
      <c r="J4834" s="12"/>
      <c r="K4834" s="13"/>
      <c r="L4834" s="14"/>
      <c r="M4834" s="15"/>
      <c r="N4834" s="15"/>
      <c r="O4834" s="16"/>
      <c r="Q4834" s="16"/>
    </row>
    <row r="4835" spans="1:17" x14ac:dyDescent="0.3">
      <c r="A4835" s="5"/>
      <c r="B4835" s="6"/>
      <c r="C4835" s="7"/>
      <c r="D4835" s="10"/>
      <c r="F4835" s="1"/>
      <c r="G4835" s="1"/>
      <c r="H4835" s="1"/>
      <c r="I4835" s="7"/>
      <c r="J4835" s="12"/>
      <c r="K4835" s="13"/>
      <c r="L4835" s="14"/>
      <c r="M4835" s="15"/>
      <c r="N4835" s="15"/>
      <c r="O4835" s="16"/>
      <c r="Q4835" s="16"/>
    </row>
    <row r="4836" spans="1:17" x14ac:dyDescent="0.3">
      <c r="A4836" s="5"/>
      <c r="B4836" s="6"/>
      <c r="C4836" s="7"/>
      <c r="D4836" s="10"/>
      <c r="F4836" s="1"/>
      <c r="G4836" s="1"/>
      <c r="H4836" s="1"/>
      <c r="I4836" s="7"/>
      <c r="J4836" s="12"/>
      <c r="K4836" s="13"/>
      <c r="L4836" s="14"/>
      <c r="M4836" s="15"/>
      <c r="N4836" s="15"/>
      <c r="O4836" s="16"/>
      <c r="Q4836" s="16"/>
    </row>
    <row r="4837" spans="1:17" x14ac:dyDescent="0.3">
      <c r="A4837" s="5"/>
      <c r="B4837" s="6"/>
      <c r="C4837" s="7"/>
      <c r="D4837" s="10"/>
      <c r="F4837" s="1"/>
      <c r="G4837" s="1"/>
      <c r="H4837" s="1"/>
      <c r="I4837" s="7"/>
      <c r="J4837" s="12"/>
      <c r="K4837" s="13"/>
      <c r="L4837" s="14"/>
      <c r="M4837" s="15"/>
      <c r="N4837" s="15"/>
      <c r="O4837" s="16"/>
      <c r="Q4837" s="16"/>
    </row>
    <row r="4838" spans="1:17" x14ac:dyDescent="0.3">
      <c r="A4838" s="5"/>
      <c r="B4838" s="6"/>
      <c r="C4838" s="7"/>
      <c r="D4838" s="10"/>
      <c r="F4838" s="1"/>
      <c r="G4838" s="1"/>
      <c r="H4838" s="1"/>
      <c r="I4838" s="7"/>
      <c r="J4838" s="12"/>
      <c r="K4838" s="13"/>
      <c r="L4838" s="14"/>
      <c r="M4838" s="15"/>
      <c r="N4838" s="15"/>
      <c r="O4838" s="16"/>
      <c r="Q4838" s="16"/>
    </row>
    <row r="4839" spans="1:17" x14ac:dyDescent="0.3">
      <c r="A4839" s="5"/>
      <c r="B4839" s="6"/>
      <c r="C4839" s="7"/>
      <c r="D4839" s="10"/>
      <c r="F4839" s="1"/>
      <c r="G4839" s="1"/>
      <c r="H4839" s="1"/>
      <c r="I4839" s="7"/>
      <c r="J4839" s="12"/>
      <c r="K4839" s="13"/>
      <c r="L4839" s="14"/>
      <c r="M4839" s="15"/>
      <c r="N4839" s="15"/>
      <c r="O4839" s="16"/>
      <c r="Q4839" s="16"/>
    </row>
    <row r="4840" spans="1:17" x14ac:dyDescent="0.3">
      <c r="A4840" s="5"/>
      <c r="B4840" s="6"/>
      <c r="C4840" s="7"/>
      <c r="D4840" s="10"/>
      <c r="F4840" s="1"/>
      <c r="G4840" s="1"/>
      <c r="H4840" s="1"/>
      <c r="I4840" s="7"/>
      <c r="J4840" s="12"/>
      <c r="K4840" s="13"/>
      <c r="L4840" s="14"/>
      <c r="M4840" s="15"/>
      <c r="N4840" s="15"/>
      <c r="O4840" s="16"/>
      <c r="Q4840" s="16"/>
    </row>
    <row r="4841" spans="1:17" x14ac:dyDescent="0.3">
      <c r="A4841" s="5"/>
      <c r="B4841" s="6"/>
      <c r="C4841" s="7"/>
      <c r="D4841" s="10"/>
      <c r="F4841" s="1"/>
      <c r="G4841" s="1"/>
      <c r="H4841" s="1"/>
      <c r="I4841" s="7"/>
      <c r="J4841" s="12"/>
      <c r="K4841" s="13"/>
      <c r="L4841" s="14"/>
      <c r="M4841" s="15"/>
      <c r="N4841" s="15"/>
      <c r="O4841" s="16"/>
      <c r="Q4841" s="16"/>
    </row>
    <row r="4842" spans="1:17" x14ac:dyDescent="0.3">
      <c r="A4842" s="5"/>
      <c r="B4842" s="6"/>
      <c r="C4842" s="7"/>
      <c r="D4842" s="10"/>
      <c r="F4842" s="1"/>
      <c r="G4842" s="1"/>
      <c r="H4842" s="1"/>
      <c r="I4842" s="7"/>
      <c r="J4842" s="12"/>
      <c r="K4842" s="13"/>
      <c r="L4842" s="14"/>
      <c r="M4842" s="15"/>
      <c r="N4842" s="15"/>
      <c r="O4842" s="16"/>
      <c r="Q4842" s="16"/>
    </row>
    <row r="4843" spans="1:17" x14ac:dyDescent="0.3">
      <c r="A4843" s="5"/>
      <c r="B4843" s="6"/>
      <c r="C4843" s="7"/>
      <c r="D4843" s="10"/>
      <c r="F4843" s="1"/>
      <c r="G4843" s="1"/>
      <c r="H4843" s="1"/>
      <c r="I4843" s="7"/>
      <c r="J4843" s="12"/>
      <c r="K4843" s="13"/>
      <c r="L4843" s="14"/>
      <c r="M4843" s="15"/>
      <c r="N4843" s="15"/>
      <c r="O4843" s="16"/>
      <c r="Q4843" s="16"/>
    </row>
    <row r="4844" spans="1:17" x14ac:dyDescent="0.3">
      <c r="A4844" s="5"/>
      <c r="B4844" s="6"/>
      <c r="C4844" s="7"/>
      <c r="D4844" s="10"/>
      <c r="F4844" s="1"/>
      <c r="G4844" s="1"/>
      <c r="H4844" s="1"/>
      <c r="I4844" s="7"/>
      <c r="J4844" s="12"/>
      <c r="K4844" s="13"/>
      <c r="L4844" s="14"/>
      <c r="M4844" s="15"/>
      <c r="N4844" s="15"/>
      <c r="O4844" s="16"/>
      <c r="Q4844" s="16"/>
    </row>
    <row r="4845" spans="1:17" x14ac:dyDescent="0.3">
      <c r="A4845" s="5"/>
      <c r="B4845" s="6"/>
      <c r="C4845" s="7"/>
      <c r="D4845" s="10"/>
      <c r="F4845" s="1"/>
      <c r="G4845" s="1"/>
      <c r="H4845" s="1"/>
      <c r="I4845" s="7"/>
      <c r="J4845" s="12"/>
      <c r="K4845" s="13"/>
      <c r="L4845" s="14"/>
      <c r="M4845" s="15"/>
      <c r="N4845" s="15"/>
      <c r="O4845" s="16"/>
      <c r="Q4845" s="16"/>
    </row>
    <row r="4846" spans="1:17" x14ac:dyDescent="0.3">
      <c r="A4846" s="5"/>
      <c r="B4846" s="6"/>
      <c r="C4846" s="7"/>
      <c r="D4846" s="10"/>
      <c r="F4846" s="1"/>
      <c r="G4846" s="1"/>
      <c r="H4846" s="1"/>
      <c r="I4846" s="7"/>
      <c r="J4846" s="12"/>
      <c r="K4846" s="13"/>
      <c r="L4846" s="14"/>
      <c r="M4846" s="15"/>
      <c r="N4846" s="15"/>
      <c r="O4846" s="16"/>
      <c r="Q4846" s="16"/>
    </row>
    <row r="4847" spans="1:17" x14ac:dyDescent="0.3">
      <c r="A4847" s="5"/>
      <c r="B4847" s="6"/>
      <c r="C4847" s="7"/>
      <c r="D4847" s="10"/>
      <c r="F4847" s="1"/>
      <c r="G4847" s="1"/>
      <c r="H4847" s="1"/>
      <c r="I4847" s="7"/>
      <c r="J4847" s="12"/>
      <c r="K4847" s="13"/>
      <c r="L4847" s="14"/>
      <c r="M4847" s="15"/>
      <c r="N4847" s="15"/>
      <c r="O4847" s="16"/>
      <c r="Q4847" s="16"/>
    </row>
    <row r="4848" spans="1:17" x14ac:dyDescent="0.3">
      <c r="A4848" s="5"/>
      <c r="B4848" s="6"/>
      <c r="C4848" s="7"/>
      <c r="D4848" s="10"/>
      <c r="F4848" s="1"/>
      <c r="G4848" s="1"/>
      <c r="H4848" s="1"/>
      <c r="I4848" s="7"/>
      <c r="J4848" s="12"/>
      <c r="K4848" s="13"/>
      <c r="L4848" s="14"/>
      <c r="M4848" s="15"/>
      <c r="N4848" s="15"/>
      <c r="O4848" s="16"/>
      <c r="Q4848" s="16"/>
    </row>
    <row r="4849" spans="1:17" x14ac:dyDescent="0.3">
      <c r="A4849" s="5"/>
      <c r="B4849" s="6"/>
      <c r="C4849" s="7"/>
      <c r="D4849" s="10"/>
      <c r="F4849" s="1"/>
      <c r="G4849" s="1"/>
      <c r="H4849" s="1"/>
      <c r="I4849" s="7"/>
      <c r="J4849" s="12"/>
      <c r="K4849" s="13"/>
      <c r="L4849" s="14"/>
      <c r="M4849" s="15"/>
      <c r="N4849" s="15"/>
      <c r="O4849" s="16"/>
      <c r="Q4849" s="16"/>
    </row>
    <row r="4850" spans="1:17" x14ac:dyDescent="0.3">
      <c r="A4850" s="5"/>
      <c r="B4850" s="6"/>
      <c r="C4850" s="7"/>
      <c r="D4850" s="10"/>
      <c r="F4850" s="1"/>
      <c r="G4850" s="1"/>
      <c r="H4850" s="1"/>
      <c r="I4850" s="7"/>
      <c r="J4850" s="12"/>
      <c r="K4850" s="13"/>
      <c r="L4850" s="14"/>
      <c r="M4850" s="15"/>
      <c r="N4850" s="15"/>
      <c r="O4850" s="16"/>
      <c r="Q4850" s="16"/>
    </row>
    <row r="4851" spans="1:17" x14ac:dyDescent="0.3">
      <c r="A4851" s="5"/>
      <c r="B4851" s="6"/>
      <c r="C4851" s="7"/>
      <c r="D4851" s="10"/>
      <c r="F4851" s="1"/>
      <c r="G4851" s="1"/>
      <c r="H4851" s="1"/>
      <c r="I4851" s="7"/>
      <c r="J4851" s="12"/>
      <c r="K4851" s="13"/>
      <c r="L4851" s="14"/>
      <c r="M4851" s="15"/>
      <c r="N4851" s="15"/>
      <c r="O4851" s="16"/>
      <c r="Q4851" s="16"/>
    </row>
    <row r="4852" spans="1:17" x14ac:dyDescent="0.3">
      <c r="A4852" s="5"/>
      <c r="B4852" s="6"/>
      <c r="C4852" s="7"/>
      <c r="D4852" s="10"/>
      <c r="F4852" s="1"/>
      <c r="G4852" s="1"/>
      <c r="H4852" s="1"/>
      <c r="I4852" s="7"/>
      <c r="J4852" s="12"/>
      <c r="K4852" s="13"/>
      <c r="L4852" s="14"/>
      <c r="M4852" s="15"/>
      <c r="N4852" s="15"/>
      <c r="O4852" s="16"/>
      <c r="Q4852" s="16"/>
    </row>
    <row r="4853" spans="1:17" x14ac:dyDescent="0.3">
      <c r="A4853" s="5"/>
      <c r="B4853" s="6"/>
      <c r="C4853" s="7"/>
      <c r="D4853" s="10"/>
      <c r="F4853" s="1"/>
      <c r="G4853" s="1"/>
      <c r="H4853" s="1"/>
      <c r="I4853" s="7"/>
      <c r="J4853" s="12"/>
      <c r="K4853" s="13"/>
      <c r="L4853" s="14"/>
      <c r="M4853" s="15"/>
      <c r="N4853" s="15"/>
      <c r="O4853" s="16"/>
      <c r="Q4853" s="16"/>
    </row>
    <row r="4854" spans="1:17" x14ac:dyDescent="0.3">
      <c r="A4854" s="5"/>
      <c r="B4854" s="6"/>
      <c r="C4854" s="7"/>
      <c r="D4854" s="10"/>
      <c r="F4854" s="1"/>
      <c r="G4854" s="1"/>
      <c r="H4854" s="1"/>
      <c r="I4854" s="7"/>
      <c r="J4854" s="12"/>
      <c r="K4854" s="13"/>
      <c r="L4854" s="14"/>
      <c r="M4854" s="15"/>
      <c r="N4854" s="15"/>
      <c r="O4854" s="16"/>
      <c r="Q4854" s="16"/>
    </row>
    <row r="4855" spans="1:17" x14ac:dyDescent="0.3">
      <c r="A4855" s="5"/>
      <c r="B4855" s="6"/>
      <c r="C4855" s="7"/>
      <c r="D4855" s="10"/>
      <c r="F4855" s="1"/>
      <c r="G4855" s="1"/>
      <c r="H4855" s="1"/>
      <c r="I4855" s="7"/>
      <c r="J4855" s="12"/>
      <c r="K4855" s="13"/>
      <c r="L4855" s="14"/>
      <c r="M4855" s="15"/>
      <c r="N4855" s="15"/>
      <c r="O4855" s="16"/>
      <c r="Q4855" s="16"/>
    </row>
    <row r="4856" spans="1:17" x14ac:dyDescent="0.3">
      <c r="A4856" s="5"/>
      <c r="B4856" s="6"/>
      <c r="C4856" s="7"/>
      <c r="D4856" s="10"/>
      <c r="F4856" s="1"/>
      <c r="G4856" s="1"/>
      <c r="H4856" s="1"/>
      <c r="I4856" s="7"/>
      <c r="J4856" s="12"/>
      <c r="K4856" s="13"/>
      <c r="L4856" s="14"/>
      <c r="M4856" s="15"/>
      <c r="N4856" s="15"/>
      <c r="O4856" s="16"/>
      <c r="Q4856" s="16"/>
    </row>
    <row r="4857" spans="1:17" x14ac:dyDescent="0.3">
      <c r="A4857" s="5"/>
      <c r="B4857" s="6"/>
      <c r="C4857" s="7"/>
      <c r="D4857" s="10"/>
      <c r="F4857" s="1"/>
      <c r="G4857" s="1"/>
      <c r="H4857" s="1"/>
      <c r="I4857" s="7"/>
      <c r="J4857" s="12"/>
      <c r="K4857" s="13"/>
      <c r="L4857" s="14"/>
      <c r="M4857" s="15"/>
      <c r="N4857" s="15"/>
      <c r="O4857" s="16"/>
      <c r="Q4857" s="16"/>
    </row>
    <row r="4858" spans="1:17" x14ac:dyDescent="0.3">
      <c r="A4858" s="5"/>
      <c r="B4858" s="6"/>
      <c r="C4858" s="7"/>
      <c r="D4858" s="10"/>
      <c r="F4858" s="1"/>
      <c r="G4858" s="1"/>
      <c r="H4858" s="1"/>
      <c r="I4858" s="7"/>
      <c r="J4858" s="12"/>
      <c r="K4858" s="13"/>
      <c r="L4858" s="14"/>
      <c r="M4858" s="15"/>
      <c r="N4858" s="15"/>
      <c r="O4858" s="16"/>
      <c r="Q4858" s="16"/>
    </row>
    <row r="4859" spans="1:17" x14ac:dyDescent="0.3">
      <c r="A4859" s="5"/>
      <c r="B4859" s="6"/>
      <c r="C4859" s="7"/>
      <c r="D4859" s="10"/>
      <c r="F4859" s="1"/>
      <c r="G4859" s="1"/>
      <c r="H4859" s="1"/>
      <c r="I4859" s="7"/>
      <c r="J4859" s="12"/>
      <c r="K4859" s="13"/>
      <c r="L4859" s="14"/>
      <c r="M4859" s="15"/>
      <c r="N4859" s="15"/>
      <c r="O4859" s="16"/>
      <c r="Q4859" s="16"/>
    </row>
    <row r="4860" spans="1:17" x14ac:dyDescent="0.3">
      <c r="A4860" s="5"/>
      <c r="B4860" s="6"/>
      <c r="C4860" s="7"/>
      <c r="D4860" s="10"/>
      <c r="F4860" s="1"/>
      <c r="G4860" s="1"/>
      <c r="H4860" s="1"/>
      <c r="I4860" s="7"/>
      <c r="J4860" s="12"/>
      <c r="K4860" s="13"/>
      <c r="L4860" s="14"/>
      <c r="M4860" s="15"/>
      <c r="N4860" s="15"/>
      <c r="O4860" s="16"/>
      <c r="Q4860" s="16"/>
    </row>
    <row r="4861" spans="1:17" x14ac:dyDescent="0.3">
      <c r="A4861" s="5"/>
      <c r="B4861" s="6"/>
      <c r="C4861" s="7"/>
      <c r="D4861" s="10"/>
      <c r="F4861" s="1"/>
      <c r="G4861" s="1"/>
      <c r="H4861" s="1"/>
      <c r="I4861" s="7"/>
      <c r="J4861" s="12"/>
      <c r="K4861" s="13"/>
      <c r="L4861" s="14"/>
      <c r="M4861" s="15"/>
      <c r="N4861" s="15"/>
      <c r="O4861" s="16"/>
      <c r="Q4861" s="16"/>
    </row>
    <row r="4862" spans="1:17" x14ac:dyDescent="0.3">
      <c r="A4862" s="5"/>
      <c r="B4862" s="6"/>
      <c r="C4862" s="7"/>
      <c r="D4862" s="10"/>
      <c r="F4862" s="1"/>
      <c r="G4862" s="1"/>
      <c r="H4862" s="1"/>
      <c r="I4862" s="7"/>
      <c r="J4862" s="12"/>
      <c r="K4862" s="13"/>
      <c r="L4862" s="14"/>
      <c r="M4862" s="15"/>
      <c r="N4862" s="15"/>
      <c r="O4862" s="16"/>
      <c r="Q4862" s="16"/>
    </row>
    <row r="4863" spans="1:17" x14ac:dyDescent="0.3">
      <c r="A4863" s="5"/>
      <c r="B4863" s="6"/>
      <c r="C4863" s="7"/>
      <c r="D4863" s="10"/>
      <c r="F4863" s="1"/>
      <c r="G4863" s="1"/>
      <c r="H4863" s="1"/>
      <c r="I4863" s="7"/>
      <c r="J4863" s="12"/>
      <c r="K4863" s="13"/>
      <c r="L4863" s="14"/>
      <c r="M4863" s="15"/>
      <c r="N4863" s="15"/>
      <c r="O4863" s="16"/>
      <c r="Q4863" s="16"/>
    </row>
    <row r="4864" spans="1:17" x14ac:dyDescent="0.3">
      <c r="A4864" s="5"/>
      <c r="B4864" s="6"/>
      <c r="C4864" s="7"/>
      <c r="D4864" s="10"/>
      <c r="F4864" s="1"/>
      <c r="G4864" s="1"/>
      <c r="H4864" s="1"/>
      <c r="I4864" s="7"/>
      <c r="J4864" s="12"/>
      <c r="K4864" s="13"/>
      <c r="L4864" s="14"/>
      <c r="M4864" s="15"/>
      <c r="N4864" s="15"/>
      <c r="O4864" s="16"/>
      <c r="Q4864" s="16"/>
    </row>
    <row r="4865" spans="1:17" x14ac:dyDescent="0.3">
      <c r="A4865" s="5"/>
      <c r="B4865" s="6"/>
      <c r="C4865" s="7"/>
      <c r="D4865" s="10"/>
      <c r="F4865" s="1"/>
      <c r="G4865" s="1"/>
      <c r="H4865" s="1"/>
      <c r="I4865" s="7"/>
      <c r="J4865" s="12"/>
      <c r="K4865" s="13"/>
      <c r="L4865" s="14"/>
      <c r="M4865" s="15"/>
      <c r="N4865" s="15"/>
      <c r="O4865" s="16"/>
      <c r="Q4865" s="16"/>
    </row>
    <row r="4866" spans="1:17" x14ac:dyDescent="0.3">
      <c r="A4866" s="5"/>
      <c r="B4866" s="6"/>
      <c r="C4866" s="7"/>
      <c r="D4866" s="10"/>
      <c r="F4866" s="1"/>
      <c r="G4866" s="1"/>
      <c r="H4866" s="1"/>
      <c r="I4866" s="7"/>
      <c r="J4866" s="12"/>
      <c r="K4866" s="13"/>
      <c r="L4866" s="14"/>
      <c r="M4866" s="15"/>
      <c r="N4866" s="15"/>
      <c r="O4866" s="16"/>
      <c r="Q4866" s="16"/>
    </row>
    <row r="4867" spans="1:17" x14ac:dyDescent="0.3">
      <c r="A4867" s="5"/>
      <c r="B4867" s="6"/>
      <c r="C4867" s="7"/>
      <c r="D4867" s="10"/>
      <c r="F4867" s="1"/>
      <c r="G4867" s="1"/>
      <c r="H4867" s="1"/>
      <c r="I4867" s="7"/>
      <c r="J4867" s="12"/>
      <c r="K4867" s="13"/>
      <c r="L4867" s="14"/>
      <c r="M4867" s="15"/>
      <c r="N4867" s="15"/>
      <c r="O4867" s="16"/>
      <c r="Q4867" s="16"/>
    </row>
    <row r="4868" spans="1:17" x14ac:dyDescent="0.3">
      <c r="A4868" s="5"/>
      <c r="B4868" s="6"/>
      <c r="C4868" s="7"/>
      <c r="D4868" s="10"/>
      <c r="F4868" s="1"/>
      <c r="G4868" s="1"/>
      <c r="H4868" s="1"/>
      <c r="I4868" s="7"/>
      <c r="J4868" s="12"/>
      <c r="K4868" s="13"/>
      <c r="L4868" s="14"/>
      <c r="M4868" s="15"/>
      <c r="N4868" s="15"/>
      <c r="O4868" s="16"/>
      <c r="Q4868" s="16"/>
    </row>
    <row r="4869" spans="1:17" x14ac:dyDescent="0.3">
      <c r="A4869" s="5"/>
      <c r="B4869" s="6"/>
      <c r="C4869" s="7"/>
      <c r="D4869" s="10"/>
      <c r="F4869" s="1"/>
      <c r="G4869" s="1"/>
      <c r="H4869" s="1"/>
      <c r="I4869" s="7"/>
      <c r="J4869" s="12"/>
      <c r="K4869" s="13"/>
      <c r="L4869" s="14"/>
      <c r="M4869" s="15"/>
      <c r="N4869" s="15"/>
      <c r="O4869" s="16"/>
      <c r="Q4869" s="16"/>
    </row>
    <row r="4870" spans="1:17" x14ac:dyDescent="0.3">
      <c r="A4870" s="5"/>
      <c r="B4870" s="6"/>
      <c r="C4870" s="7"/>
      <c r="D4870" s="10"/>
      <c r="F4870" s="1"/>
      <c r="G4870" s="1"/>
      <c r="H4870" s="1"/>
      <c r="I4870" s="7"/>
      <c r="J4870" s="12"/>
      <c r="K4870" s="13"/>
      <c r="L4870" s="14"/>
      <c r="M4870" s="15"/>
      <c r="N4870" s="15"/>
      <c r="O4870" s="16"/>
      <c r="Q4870" s="16"/>
    </row>
    <row r="4871" spans="1:17" x14ac:dyDescent="0.3">
      <c r="A4871" s="5"/>
      <c r="B4871" s="6"/>
      <c r="C4871" s="7"/>
      <c r="D4871" s="10"/>
      <c r="F4871" s="1"/>
      <c r="G4871" s="1"/>
      <c r="H4871" s="1"/>
      <c r="I4871" s="7"/>
      <c r="J4871" s="12"/>
      <c r="K4871" s="13"/>
      <c r="L4871" s="14"/>
      <c r="M4871" s="15"/>
      <c r="N4871" s="15"/>
      <c r="O4871" s="16"/>
      <c r="Q4871" s="16"/>
    </row>
    <row r="4872" spans="1:17" x14ac:dyDescent="0.3">
      <c r="A4872" s="5"/>
      <c r="B4872" s="6"/>
      <c r="C4872" s="7"/>
      <c r="D4872" s="10"/>
      <c r="F4872" s="1"/>
      <c r="G4872" s="1"/>
      <c r="H4872" s="1"/>
      <c r="I4872" s="7"/>
      <c r="J4872" s="12"/>
      <c r="K4872" s="13"/>
      <c r="L4872" s="14"/>
      <c r="M4872" s="15"/>
      <c r="N4872" s="15"/>
      <c r="O4872" s="16"/>
      <c r="Q4872" s="16"/>
    </row>
    <row r="4873" spans="1:17" x14ac:dyDescent="0.3">
      <c r="A4873" s="5"/>
      <c r="B4873" s="6"/>
      <c r="C4873" s="7"/>
      <c r="D4873" s="10"/>
      <c r="F4873" s="1"/>
      <c r="G4873" s="1"/>
      <c r="H4873" s="1"/>
      <c r="I4873" s="7"/>
      <c r="J4873" s="12"/>
      <c r="K4873" s="13"/>
      <c r="L4873" s="14"/>
      <c r="M4873" s="15"/>
      <c r="N4873" s="15"/>
      <c r="O4873" s="16"/>
      <c r="Q4873" s="16"/>
    </row>
    <row r="4874" spans="1:17" x14ac:dyDescent="0.3">
      <c r="A4874" s="5"/>
      <c r="B4874" s="6"/>
      <c r="C4874" s="7"/>
      <c r="D4874" s="10"/>
      <c r="F4874" s="1"/>
      <c r="G4874" s="1"/>
      <c r="H4874" s="1"/>
      <c r="I4874" s="7"/>
      <c r="J4874" s="12"/>
      <c r="K4874" s="13"/>
      <c r="L4874" s="14"/>
      <c r="M4874" s="15"/>
      <c r="N4874" s="15"/>
      <c r="O4874" s="16"/>
      <c r="Q4874" s="16"/>
    </row>
    <row r="4875" spans="1:17" x14ac:dyDescent="0.3">
      <c r="A4875" s="5"/>
      <c r="B4875" s="6"/>
      <c r="C4875" s="7"/>
      <c r="D4875" s="10"/>
      <c r="F4875" s="1"/>
      <c r="G4875" s="1"/>
      <c r="H4875" s="1"/>
      <c r="I4875" s="7"/>
      <c r="J4875" s="12"/>
      <c r="K4875" s="13"/>
      <c r="L4875" s="14"/>
      <c r="M4875" s="15"/>
      <c r="N4875" s="15"/>
      <c r="O4875" s="16"/>
      <c r="Q4875" s="16"/>
    </row>
    <row r="4876" spans="1:17" x14ac:dyDescent="0.3">
      <c r="A4876" s="5"/>
      <c r="B4876" s="6"/>
      <c r="C4876" s="7"/>
      <c r="D4876" s="10"/>
      <c r="F4876" s="1"/>
      <c r="G4876" s="1"/>
      <c r="H4876" s="1"/>
      <c r="I4876" s="7"/>
      <c r="J4876" s="12"/>
      <c r="K4876" s="13"/>
      <c r="L4876" s="14"/>
      <c r="M4876" s="15"/>
      <c r="N4876" s="15"/>
      <c r="O4876" s="16"/>
      <c r="Q4876" s="16"/>
    </row>
    <row r="4877" spans="1:17" x14ac:dyDescent="0.3">
      <c r="A4877" s="5"/>
      <c r="B4877" s="6"/>
      <c r="C4877" s="7"/>
      <c r="D4877" s="10"/>
      <c r="F4877" s="1"/>
      <c r="G4877" s="1"/>
      <c r="H4877" s="1"/>
      <c r="I4877" s="7"/>
      <c r="J4877" s="12"/>
      <c r="K4877" s="13"/>
      <c r="L4877" s="14"/>
      <c r="M4877" s="15"/>
      <c r="N4877" s="15"/>
      <c r="O4877" s="16"/>
      <c r="Q4877" s="16"/>
    </row>
    <row r="4878" spans="1:17" x14ac:dyDescent="0.3">
      <c r="A4878" s="5"/>
      <c r="B4878" s="6"/>
      <c r="C4878" s="7"/>
      <c r="D4878" s="10"/>
      <c r="F4878" s="1"/>
      <c r="G4878" s="1"/>
      <c r="H4878" s="1"/>
      <c r="I4878" s="7"/>
      <c r="J4878" s="12"/>
      <c r="K4878" s="13"/>
      <c r="L4878" s="14"/>
      <c r="M4878" s="15"/>
      <c r="N4878" s="15"/>
      <c r="O4878" s="16"/>
      <c r="Q4878" s="16"/>
    </row>
    <row r="4879" spans="1:17" x14ac:dyDescent="0.3">
      <c r="A4879" s="5"/>
      <c r="B4879" s="6"/>
      <c r="C4879" s="7"/>
      <c r="D4879" s="10"/>
      <c r="F4879" s="1"/>
      <c r="G4879" s="1"/>
      <c r="H4879" s="1"/>
      <c r="I4879" s="7"/>
      <c r="J4879" s="12"/>
      <c r="K4879" s="13"/>
      <c r="L4879" s="14"/>
      <c r="M4879" s="15"/>
      <c r="N4879" s="15"/>
      <c r="O4879" s="16"/>
      <c r="Q4879" s="16"/>
    </row>
    <row r="4880" spans="1:17" x14ac:dyDescent="0.3">
      <c r="A4880" s="5"/>
      <c r="B4880" s="6"/>
      <c r="C4880" s="7"/>
      <c r="D4880" s="10"/>
      <c r="F4880" s="1"/>
      <c r="G4880" s="1"/>
      <c r="H4880" s="1"/>
      <c r="I4880" s="7"/>
      <c r="J4880" s="12"/>
      <c r="K4880" s="13"/>
      <c r="L4880" s="14"/>
      <c r="M4880" s="15"/>
      <c r="N4880" s="15"/>
      <c r="O4880" s="16"/>
      <c r="Q4880" s="16"/>
    </row>
    <row r="4881" spans="1:17" x14ac:dyDescent="0.3">
      <c r="A4881" s="5"/>
      <c r="B4881" s="6"/>
      <c r="C4881" s="7"/>
      <c r="D4881" s="10"/>
      <c r="F4881" s="1"/>
      <c r="G4881" s="1"/>
      <c r="H4881" s="1"/>
      <c r="I4881" s="7"/>
      <c r="J4881" s="12"/>
      <c r="K4881" s="13"/>
      <c r="L4881" s="14"/>
      <c r="M4881" s="15"/>
      <c r="N4881" s="15"/>
      <c r="O4881" s="16"/>
      <c r="Q4881" s="16"/>
    </row>
    <row r="4882" spans="1:17" x14ac:dyDescent="0.3">
      <c r="A4882" s="5"/>
      <c r="B4882" s="6"/>
      <c r="C4882" s="7"/>
      <c r="D4882" s="10"/>
      <c r="F4882" s="1"/>
      <c r="G4882" s="1"/>
      <c r="H4882" s="1"/>
      <c r="I4882" s="7"/>
      <c r="J4882" s="12"/>
      <c r="K4882" s="13"/>
      <c r="L4882" s="14"/>
      <c r="M4882" s="15"/>
      <c r="N4882" s="15"/>
      <c r="O4882" s="16"/>
      <c r="Q4882" s="16"/>
    </row>
    <row r="4883" spans="1:17" x14ac:dyDescent="0.3">
      <c r="A4883" s="5"/>
      <c r="B4883" s="6"/>
      <c r="C4883" s="7"/>
      <c r="D4883" s="10"/>
      <c r="F4883" s="1"/>
      <c r="G4883" s="1"/>
      <c r="H4883" s="1"/>
      <c r="I4883" s="7"/>
      <c r="J4883" s="12"/>
      <c r="K4883" s="13"/>
      <c r="L4883" s="14"/>
      <c r="M4883" s="15"/>
      <c r="N4883" s="15"/>
      <c r="O4883" s="16"/>
      <c r="Q4883" s="16"/>
    </row>
    <row r="4884" spans="1:17" x14ac:dyDescent="0.3">
      <c r="A4884" s="5"/>
      <c r="B4884" s="6"/>
      <c r="C4884" s="7"/>
      <c r="D4884" s="10"/>
      <c r="F4884" s="1"/>
      <c r="G4884" s="1"/>
      <c r="H4884" s="1"/>
      <c r="I4884" s="7"/>
      <c r="J4884" s="12"/>
      <c r="K4884" s="13"/>
      <c r="L4884" s="14"/>
      <c r="M4884" s="15"/>
      <c r="N4884" s="15"/>
      <c r="O4884" s="16"/>
      <c r="Q4884" s="16"/>
    </row>
    <row r="4885" spans="1:17" x14ac:dyDescent="0.3">
      <c r="A4885" s="5"/>
      <c r="B4885" s="6"/>
      <c r="C4885" s="7"/>
      <c r="D4885" s="10"/>
      <c r="F4885" s="1"/>
      <c r="G4885" s="1"/>
      <c r="H4885" s="1"/>
      <c r="I4885" s="7"/>
      <c r="J4885" s="12"/>
      <c r="K4885" s="13"/>
      <c r="L4885" s="14"/>
      <c r="M4885" s="15"/>
      <c r="N4885" s="15"/>
      <c r="O4885" s="16"/>
      <c r="Q4885" s="16"/>
    </row>
    <row r="4886" spans="1:17" x14ac:dyDescent="0.3">
      <c r="A4886" s="5"/>
      <c r="B4886" s="6"/>
      <c r="C4886" s="7"/>
      <c r="D4886" s="10"/>
      <c r="F4886" s="1"/>
      <c r="G4886" s="1"/>
      <c r="H4886" s="1"/>
      <c r="I4886" s="7"/>
      <c r="J4886" s="12"/>
      <c r="K4886" s="13"/>
      <c r="L4886" s="14"/>
      <c r="M4886" s="15"/>
      <c r="N4886" s="15"/>
      <c r="O4886" s="16"/>
      <c r="Q4886" s="16"/>
    </row>
    <row r="4887" spans="1:17" x14ac:dyDescent="0.3">
      <c r="A4887" s="5"/>
      <c r="B4887" s="6"/>
      <c r="C4887" s="7"/>
      <c r="D4887" s="10"/>
      <c r="F4887" s="1"/>
      <c r="G4887" s="1"/>
      <c r="H4887" s="1"/>
      <c r="I4887" s="7"/>
      <c r="J4887" s="12"/>
      <c r="K4887" s="13"/>
      <c r="L4887" s="14"/>
      <c r="M4887" s="15"/>
      <c r="N4887" s="15"/>
      <c r="O4887" s="16"/>
      <c r="Q4887" s="16"/>
    </row>
    <row r="4888" spans="1:17" x14ac:dyDescent="0.3">
      <c r="A4888" s="5"/>
      <c r="B4888" s="6"/>
      <c r="C4888" s="7"/>
      <c r="D4888" s="10"/>
      <c r="F4888" s="1"/>
      <c r="G4888" s="1"/>
      <c r="H4888" s="1"/>
      <c r="I4888" s="7"/>
      <c r="J4888" s="12"/>
      <c r="K4888" s="13"/>
      <c r="L4888" s="14"/>
      <c r="M4888" s="15"/>
      <c r="N4888" s="15"/>
      <c r="O4888" s="16"/>
      <c r="Q4888" s="16"/>
    </row>
    <row r="4889" spans="1:17" x14ac:dyDescent="0.3">
      <c r="A4889" s="5"/>
      <c r="B4889" s="6"/>
      <c r="C4889" s="7"/>
      <c r="D4889" s="10"/>
      <c r="F4889" s="1"/>
      <c r="G4889" s="1"/>
      <c r="H4889" s="1"/>
      <c r="I4889" s="7"/>
      <c r="J4889" s="12"/>
      <c r="K4889" s="13"/>
      <c r="L4889" s="14"/>
      <c r="M4889" s="15"/>
      <c r="N4889" s="15"/>
      <c r="O4889" s="16"/>
      <c r="Q4889" s="16"/>
    </row>
    <row r="4890" spans="1:17" x14ac:dyDescent="0.3">
      <c r="A4890" s="5"/>
      <c r="B4890" s="6"/>
      <c r="C4890" s="7"/>
      <c r="D4890" s="10"/>
      <c r="F4890" s="1"/>
      <c r="G4890" s="1"/>
      <c r="H4890" s="1"/>
      <c r="I4890" s="7"/>
      <c r="J4890" s="12"/>
      <c r="K4890" s="13"/>
      <c r="L4890" s="14"/>
      <c r="M4890" s="15"/>
      <c r="N4890" s="15"/>
      <c r="O4890" s="16"/>
      <c r="Q4890" s="16"/>
    </row>
    <row r="4891" spans="1:17" x14ac:dyDescent="0.3">
      <c r="A4891" s="5"/>
      <c r="B4891" s="6"/>
      <c r="C4891" s="7"/>
      <c r="D4891" s="10"/>
      <c r="F4891" s="1"/>
      <c r="G4891" s="1"/>
      <c r="H4891" s="1"/>
      <c r="I4891" s="7"/>
      <c r="J4891" s="12"/>
      <c r="K4891" s="13"/>
      <c r="L4891" s="14"/>
      <c r="M4891" s="15"/>
      <c r="N4891" s="15"/>
      <c r="O4891" s="16"/>
      <c r="Q4891" s="16"/>
    </row>
    <row r="4892" spans="1:17" x14ac:dyDescent="0.3">
      <c r="A4892" s="5"/>
      <c r="B4892" s="6"/>
      <c r="C4892" s="7"/>
      <c r="D4892" s="10"/>
      <c r="F4892" s="1"/>
      <c r="G4892" s="1"/>
      <c r="H4892" s="1"/>
      <c r="I4892" s="7"/>
      <c r="J4892" s="12"/>
      <c r="K4892" s="13"/>
      <c r="L4892" s="14"/>
      <c r="M4892" s="15"/>
      <c r="N4892" s="15"/>
      <c r="O4892" s="16"/>
      <c r="Q4892" s="16"/>
    </row>
    <row r="4893" spans="1:17" x14ac:dyDescent="0.3">
      <c r="A4893" s="5"/>
      <c r="B4893" s="6"/>
      <c r="C4893" s="7"/>
      <c r="D4893" s="10"/>
      <c r="F4893" s="1"/>
      <c r="G4893" s="1"/>
      <c r="H4893" s="1"/>
      <c r="I4893" s="7"/>
      <c r="J4893" s="12"/>
      <c r="K4893" s="13"/>
      <c r="L4893" s="14"/>
      <c r="M4893" s="15"/>
      <c r="N4893" s="15"/>
      <c r="O4893" s="16"/>
      <c r="Q4893" s="16"/>
    </row>
    <row r="4894" spans="1:17" x14ac:dyDescent="0.3">
      <c r="A4894" s="5"/>
      <c r="B4894" s="6"/>
      <c r="C4894" s="7"/>
      <c r="D4894" s="10"/>
      <c r="F4894" s="1"/>
      <c r="G4894" s="1"/>
      <c r="H4894" s="1"/>
      <c r="I4894" s="7"/>
      <c r="J4894" s="12"/>
      <c r="K4894" s="13"/>
      <c r="L4894" s="14"/>
      <c r="M4894" s="15"/>
      <c r="N4894" s="15"/>
      <c r="O4894" s="16"/>
      <c r="Q4894" s="16"/>
    </row>
    <row r="4895" spans="1:17" x14ac:dyDescent="0.3">
      <c r="A4895" s="5"/>
      <c r="B4895" s="6"/>
      <c r="C4895" s="7"/>
      <c r="D4895" s="10"/>
      <c r="F4895" s="1"/>
      <c r="G4895" s="1"/>
      <c r="H4895" s="1"/>
      <c r="I4895" s="7"/>
      <c r="J4895" s="12"/>
      <c r="K4895" s="13"/>
      <c r="L4895" s="14"/>
      <c r="M4895" s="15"/>
      <c r="N4895" s="15"/>
      <c r="O4895" s="16"/>
      <c r="Q4895" s="16"/>
    </row>
    <row r="4896" spans="1:17" x14ac:dyDescent="0.3">
      <c r="A4896" s="5"/>
      <c r="B4896" s="6"/>
      <c r="C4896" s="7"/>
      <c r="D4896" s="10"/>
      <c r="F4896" s="1"/>
      <c r="G4896" s="1"/>
      <c r="H4896" s="1"/>
      <c r="I4896" s="7"/>
      <c r="J4896" s="12"/>
      <c r="K4896" s="13"/>
      <c r="L4896" s="14"/>
      <c r="M4896" s="15"/>
      <c r="N4896" s="15"/>
      <c r="O4896" s="16"/>
      <c r="Q4896" s="16"/>
    </row>
    <row r="4897" spans="1:17" x14ac:dyDescent="0.3">
      <c r="A4897" s="5"/>
      <c r="B4897" s="6"/>
      <c r="C4897" s="7"/>
      <c r="D4897" s="10"/>
      <c r="F4897" s="1"/>
      <c r="G4897" s="1"/>
      <c r="H4897" s="1"/>
      <c r="I4897" s="7"/>
      <c r="J4897" s="12"/>
      <c r="K4897" s="13"/>
      <c r="L4897" s="14"/>
      <c r="M4897" s="15"/>
      <c r="N4897" s="15"/>
      <c r="O4897" s="16"/>
      <c r="Q4897" s="16"/>
    </row>
    <row r="4898" spans="1:17" x14ac:dyDescent="0.3">
      <c r="A4898" s="5"/>
      <c r="B4898" s="6"/>
      <c r="C4898" s="7"/>
      <c r="D4898" s="10"/>
      <c r="F4898" s="1"/>
      <c r="G4898" s="1"/>
      <c r="H4898" s="1"/>
      <c r="I4898" s="7"/>
      <c r="J4898" s="12"/>
      <c r="K4898" s="13"/>
      <c r="L4898" s="14"/>
      <c r="M4898" s="15"/>
      <c r="N4898" s="15"/>
      <c r="O4898" s="16"/>
      <c r="Q4898" s="16"/>
    </row>
    <row r="4899" spans="1:17" x14ac:dyDescent="0.3">
      <c r="A4899" s="5"/>
      <c r="B4899" s="6"/>
      <c r="C4899" s="7"/>
      <c r="D4899" s="10"/>
      <c r="F4899" s="1"/>
      <c r="G4899" s="1"/>
      <c r="H4899" s="1"/>
      <c r="I4899" s="7"/>
      <c r="J4899" s="12"/>
      <c r="K4899" s="13"/>
      <c r="L4899" s="14"/>
      <c r="M4899" s="15"/>
      <c r="N4899" s="15"/>
      <c r="O4899" s="16"/>
      <c r="Q4899" s="16"/>
    </row>
    <row r="4900" spans="1:17" x14ac:dyDescent="0.3">
      <c r="A4900" s="5"/>
      <c r="B4900" s="6"/>
      <c r="C4900" s="7"/>
      <c r="D4900" s="10"/>
      <c r="F4900" s="1"/>
      <c r="G4900" s="1"/>
      <c r="H4900" s="1"/>
      <c r="I4900" s="7"/>
      <c r="J4900" s="12"/>
      <c r="K4900" s="13"/>
      <c r="L4900" s="14"/>
      <c r="M4900" s="15"/>
      <c r="N4900" s="15"/>
      <c r="O4900" s="16"/>
      <c r="Q4900" s="16"/>
    </row>
    <row r="4901" spans="1:17" x14ac:dyDescent="0.3">
      <c r="A4901" s="5"/>
      <c r="B4901" s="6"/>
      <c r="C4901" s="7"/>
      <c r="D4901" s="10"/>
      <c r="F4901" s="1"/>
      <c r="G4901" s="1"/>
      <c r="H4901" s="1"/>
      <c r="I4901" s="7"/>
      <c r="J4901" s="12"/>
      <c r="K4901" s="13"/>
      <c r="L4901" s="14"/>
      <c r="M4901" s="15"/>
      <c r="N4901" s="15"/>
      <c r="O4901" s="16"/>
      <c r="Q4901" s="16"/>
    </row>
    <row r="4902" spans="1:17" x14ac:dyDescent="0.3">
      <c r="A4902" s="5"/>
      <c r="B4902" s="6"/>
      <c r="C4902" s="7"/>
      <c r="D4902" s="10"/>
      <c r="F4902" s="1"/>
      <c r="G4902" s="1"/>
      <c r="H4902" s="1"/>
      <c r="I4902" s="7"/>
      <c r="J4902" s="12"/>
      <c r="K4902" s="13"/>
      <c r="L4902" s="14"/>
      <c r="M4902" s="15"/>
      <c r="N4902" s="15"/>
      <c r="O4902" s="16"/>
      <c r="Q4902" s="16"/>
    </row>
    <row r="4903" spans="1:17" x14ac:dyDescent="0.3">
      <c r="A4903" s="5"/>
      <c r="B4903" s="6"/>
      <c r="C4903" s="7"/>
      <c r="D4903" s="10"/>
      <c r="F4903" s="1"/>
      <c r="G4903" s="1"/>
      <c r="H4903" s="1"/>
      <c r="I4903" s="7"/>
      <c r="J4903" s="12"/>
      <c r="K4903" s="13"/>
      <c r="L4903" s="14"/>
      <c r="M4903" s="15"/>
      <c r="N4903" s="15"/>
      <c r="O4903" s="16"/>
      <c r="Q4903" s="16"/>
    </row>
    <row r="4904" spans="1:17" x14ac:dyDescent="0.3">
      <c r="A4904" s="5"/>
      <c r="B4904" s="6"/>
      <c r="C4904" s="7"/>
      <c r="D4904" s="10"/>
      <c r="F4904" s="1"/>
      <c r="G4904" s="1"/>
      <c r="H4904" s="1"/>
      <c r="I4904" s="7"/>
      <c r="J4904" s="12"/>
      <c r="K4904" s="13"/>
      <c r="L4904" s="14"/>
      <c r="M4904" s="15"/>
      <c r="N4904" s="15"/>
      <c r="O4904" s="16"/>
      <c r="Q4904" s="16"/>
    </row>
    <row r="4905" spans="1:17" x14ac:dyDescent="0.3">
      <c r="A4905" s="5"/>
      <c r="B4905" s="6"/>
      <c r="C4905" s="7"/>
      <c r="D4905" s="10"/>
      <c r="F4905" s="1"/>
      <c r="G4905" s="1"/>
      <c r="H4905" s="1"/>
      <c r="I4905" s="7"/>
      <c r="J4905" s="12"/>
      <c r="K4905" s="13"/>
      <c r="L4905" s="14"/>
      <c r="M4905" s="15"/>
      <c r="N4905" s="15"/>
      <c r="O4905" s="16"/>
      <c r="Q4905" s="16"/>
    </row>
    <row r="4906" spans="1:17" x14ac:dyDescent="0.3">
      <c r="A4906" s="5"/>
      <c r="B4906" s="6"/>
      <c r="C4906" s="7"/>
      <c r="D4906" s="10"/>
      <c r="F4906" s="1"/>
      <c r="G4906" s="1"/>
      <c r="H4906" s="1"/>
      <c r="I4906" s="7"/>
      <c r="J4906" s="12"/>
      <c r="K4906" s="13"/>
      <c r="L4906" s="14"/>
      <c r="M4906" s="15"/>
      <c r="N4906" s="15"/>
      <c r="O4906" s="16"/>
      <c r="Q4906" s="16"/>
    </row>
    <row r="4907" spans="1:17" x14ac:dyDescent="0.3">
      <c r="A4907" s="5"/>
      <c r="B4907" s="6"/>
      <c r="C4907" s="7"/>
      <c r="D4907" s="10"/>
      <c r="F4907" s="1"/>
      <c r="G4907" s="1"/>
      <c r="H4907" s="1"/>
      <c r="I4907" s="7"/>
      <c r="J4907" s="12"/>
      <c r="K4907" s="13"/>
      <c r="L4907" s="14"/>
      <c r="M4907" s="15"/>
      <c r="N4907" s="15"/>
      <c r="O4907" s="16"/>
      <c r="Q4907" s="16"/>
    </row>
    <row r="4908" spans="1:17" x14ac:dyDescent="0.3">
      <c r="A4908" s="5"/>
      <c r="B4908" s="6"/>
      <c r="C4908" s="7"/>
      <c r="D4908" s="10"/>
      <c r="F4908" s="1"/>
      <c r="G4908" s="1"/>
      <c r="H4908" s="1"/>
      <c r="I4908" s="7"/>
      <c r="J4908" s="12"/>
      <c r="K4908" s="13"/>
      <c r="L4908" s="14"/>
      <c r="M4908" s="15"/>
      <c r="N4908" s="15"/>
      <c r="O4908" s="16"/>
      <c r="Q4908" s="16"/>
    </row>
    <row r="4909" spans="1:17" x14ac:dyDescent="0.3">
      <c r="A4909" s="5"/>
      <c r="B4909" s="6"/>
      <c r="C4909" s="7"/>
      <c r="D4909" s="10"/>
      <c r="F4909" s="1"/>
      <c r="G4909" s="1"/>
      <c r="H4909" s="1"/>
      <c r="I4909" s="7"/>
      <c r="J4909" s="12"/>
      <c r="K4909" s="13"/>
      <c r="L4909" s="14"/>
      <c r="M4909" s="15"/>
      <c r="N4909" s="15"/>
      <c r="O4909" s="16"/>
      <c r="Q4909" s="16"/>
    </row>
    <row r="4910" spans="1:17" x14ac:dyDescent="0.3">
      <c r="A4910" s="5"/>
      <c r="B4910" s="6"/>
      <c r="C4910" s="7"/>
      <c r="D4910" s="10"/>
      <c r="F4910" s="1"/>
      <c r="G4910" s="1"/>
      <c r="H4910" s="1"/>
      <c r="I4910" s="7"/>
      <c r="J4910" s="12"/>
      <c r="K4910" s="13"/>
      <c r="L4910" s="14"/>
      <c r="M4910" s="15"/>
      <c r="N4910" s="15"/>
      <c r="O4910" s="16"/>
      <c r="Q4910" s="16"/>
    </row>
    <row r="4911" spans="1:17" x14ac:dyDescent="0.3">
      <c r="A4911" s="5"/>
      <c r="B4911" s="6"/>
      <c r="C4911" s="7"/>
      <c r="D4911" s="10"/>
      <c r="F4911" s="1"/>
      <c r="G4911" s="1"/>
      <c r="H4911" s="1"/>
      <c r="I4911" s="7"/>
      <c r="J4911" s="12"/>
      <c r="K4911" s="13"/>
      <c r="L4911" s="14"/>
      <c r="M4911" s="15"/>
      <c r="N4911" s="15"/>
      <c r="O4911" s="16"/>
      <c r="Q4911" s="16"/>
    </row>
    <row r="4912" spans="1:17" x14ac:dyDescent="0.3">
      <c r="A4912" s="5"/>
      <c r="B4912" s="6"/>
      <c r="C4912" s="7"/>
      <c r="D4912" s="10"/>
      <c r="F4912" s="1"/>
      <c r="G4912" s="1"/>
      <c r="H4912" s="1"/>
      <c r="I4912" s="7"/>
      <c r="J4912" s="12"/>
      <c r="K4912" s="13"/>
      <c r="L4912" s="14"/>
      <c r="M4912" s="15"/>
      <c r="N4912" s="15"/>
      <c r="O4912" s="16"/>
      <c r="Q4912" s="16"/>
    </row>
    <row r="4913" spans="1:17" x14ac:dyDescent="0.3">
      <c r="A4913" s="5"/>
      <c r="B4913" s="6"/>
      <c r="C4913" s="7"/>
      <c r="D4913" s="10"/>
      <c r="F4913" s="1"/>
      <c r="G4913" s="1"/>
      <c r="H4913" s="1"/>
      <c r="I4913" s="7"/>
      <c r="J4913" s="12"/>
      <c r="K4913" s="13"/>
      <c r="L4913" s="14"/>
      <c r="M4913" s="15"/>
      <c r="N4913" s="15"/>
      <c r="O4913" s="16"/>
      <c r="Q4913" s="16"/>
    </row>
    <row r="4914" spans="1:17" x14ac:dyDescent="0.3">
      <c r="A4914" s="5"/>
      <c r="B4914" s="6"/>
      <c r="C4914" s="7"/>
      <c r="D4914" s="10"/>
      <c r="F4914" s="1"/>
      <c r="G4914" s="1"/>
      <c r="H4914" s="1"/>
      <c r="I4914" s="7"/>
      <c r="J4914" s="12"/>
      <c r="K4914" s="13"/>
      <c r="L4914" s="14"/>
      <c r="M4914" s="15"/>
      <c r="N4914" s="15"/>
      <c r="O4914" s="16"/>
      <c r="Q4914" s="16"/>
    </row>
    <row r="4915" spans="1:17" x14ac:dyDescent="0.3">
      <c r="A4915" s="5"/>
      <c r="B4915" s="6"/>
      <c r="C4915" s="7"/>
      <c r="D4915" s="10"/>
      <c r="F4915" s="1"/>
      <c r="G4915" s="1"/>
      <c r="H4915" s="1"/>
      <c r="I4915" s="7"/>
      <c r="J4915" s="12"/>
      <c r="K4915" s="13"/>
      <c r="L4915" s="14"/>
      <c r="M4915" s="15"/>
      <c r="N4915" s="15"/>
      <c r="O4915" s="16"/>
      <c r="Q4915" s="16"/>
    </row>
    <row r="4916" spans="1:17" x14ac:dyDescent="0.3">
      <c r="A4916" s="5"/>
      <c r="B4916" s="6"/>
      <c r="C4916" s="7"/>
      <c r="D4916" s="10"/>
      <c r="F4916" s="1"/>
      <c r="G4916" s="1"/>
      <c r="H4916" s="1"/>
      <c r="I4916" s="7"/>
      <c r="J4916" s="12"/>
      <c r="K4916" s="13"/>
      <c r="L4916" s="14"/>
      <c r="M4916" s="15"/>
      <c r="N4916" s="15"/>
      <c r="O4916" s="16"/>
      <c r="Q4916" s="16"/>
    </row>
    <row r="4917" spans="1:17" x14ac:dyDescent="0.3">
      <c r="A4917" s="5"/>
      <c r="B4917" s="6"/>
      <c r="C4917" s="7"/>
      <c r="D4917" s="10"/>
      <c r="F4917" s="1"/>
      <c r="G4917" s="1"/>
      <c r="H4917" s="1"/>
      <c r="I4917" s="7"/>
      <c r="J4917" s="12"/>
      <c r="K4917" s="13"/>
      <c r="L4917" s="14"/>
      <c r="M4917" s="15"/>
      <c r="N4917" s="15"/>
      <c r="O4917" s="16"/>
      <c r="Q4917" s="16"/>
    </row>
    <row r="4918" spans="1:17" x14ac:dyDescent="0.3">
      <c r="A4918" s="5"/>
      <c r="B4918" s="6"/>
      <c r="C4918" s="7"/>
      <c r="D4918" s="10"/>
      <c r="F4918" s="1"/>
      <c r="G4918" s="1"/>
      <c r="H4918" s="1"/>
      <c r="I4918" s="7"/>
      <c r="J4918" s="12"/>
      <c r="K4918" s="13"/>
      <c r="L4918" s="14"/>
      <c r="M4918" s="15"/>
      <c r="N4918" s="15"/>
      <c r="O4918" s="16"/>
      <c r="Q4918" s="16"/>
    </row>
    <row r="4919" spans="1:17" x14ac:dyDescent="0.3">
      <c r="A4919" s="5"/>
      <c r="B4919" s="6"/>
      <c r="C4919" s="7"/>
      <c r="D4919" s="10"/>
      <c r="F4919" s="1"/>
      <c r="G4919" s="1"/>
      <c r="H4919" s="1"/>
      <c r="I4919" s="7"/>
      <c r="J4919" s="12"/>
      <c r="K4919" s="13"/>
      <c r="L4919" s="14"/>
      <c r="M4919" s="15"/>
      <c r="N4919" s="15"/>
      <c r="O4919" s="16"/>
      <c r="Q4919" s="16"/>
    </row>
    <row r="4920" spans="1:17" x14ac:dyDescent="0.3">
      <c r="A4920" s="5"/>
      <c r="B4920" s="6"/>
      <c r="C4920" s="7"/>
      <c r="D4920" s="10"/>
      <c r="F4920" s="1"/>
      <c r="G4920" s="1"/>
      <c r="H4920" s="1"/>
      <c r="I4920" s="7"/>
      <c r="J4920" s="12"/>
      <c r="K4920" s="13"/>
      <c r="L4920" s="14"/>
      <c r="M4920" s="15"/>
      <c r="N4920" s="15"/>
      <c r="O4920" s="16"/>
      <c r="Q4920" s="16"/>
    </row>
    <row r="4921" spans="1:17" x14ac:dyDescent="0.3">
      <c r="A4921" s="5"/>
      <c r="B4921" s="6"/>
      <c r="C4921" s="7"/>
      <c r="D4921" s="10"/>
      <c r="F4921" s="1"/>
      <c r="G4921" s="1"/>
      <c r="H4921" s="1"/>
      <c r="I4921" s="7"/>
      <c r="J4921" s="12"/>
      <c r="K4921" s="13"/>
      <c r="L4921" s="14"/>
      <c r="M4921" s="15"/>
      <c r="N4921" s="15"/>
      <c r="O4921" s="16"/>
      <c r="Q4921" s="16"/>
    </row>
    <row r="4922" spans="1:17" x14ac:dyDescent="0.3">
      <c r="A4922" s="5"/>
      <c r="B4922" s="6"/>
      <c r="C4922" s="7"/>
      <c r="D4922" s="10"/>
      <c r="F4922" s="1"/>
      <c r="G4922" s="1"/>
      <c r="H4922" s="1"/>
      <c r="I4922" s="7"/>
      <c r="J4922" s="12"/>
      <c r="K4922" s="13"/>
      <c r="L4922" s="14"/>
      <c r="M4922" s="15"/>
      <c r="N4922" s="15"/>
      <c r="O4922" s="16"/>
      <c r="Q4922" s="16"/>
    </row>
    <row r="4923" spans="1:17" x14ac:dyDescent="0.3">
      <c r="A4923" s="5"/>
      <c r="B4923" s="6"/>
      <c r="C4923" s="7"/>
      <c r="D4923" s="10"/>
      <c r="F4923" s="1"/>
      <c r="G4923" s="1"/>
      <c r="H4923" s="1"/>
      <c r="I4923" s="7"/>
      <c r="J4923" s="12"/>
      <c r="K4923" s="13"/>
      <c r="L4923" s="14"/>
      <c r="M4923" s="15"/>
      <c r="N4923" s="15"/>
      <c r="O4923" s="16"/>
      <c r="Q4923" s="16"/>
    </row>
    <row r="4924" spans="1:17" x14ac:dyDescent="0.3">
      <c r="A4924" s="5"/>
      <c r="B4924" s="6"/>
      <c r="C4924" s="7"/>
      <c r="D4924" s="10"/>
      <c r="F4924" s="1"/>
      <c r="G4924" s="1"/>
      <c r="H4924" s="1"/>
      <c r="I4924" s="7"/>
      <c r="J4924" s="12"/>
      <c r="K4924" s="13"/>
      <c r="L4924" s="14"/>
      <c r="M4924" s="15"/>
      <c r="N4924" s="15"/>
      <c r="O4924" s="16"/>
      <c r="Q4924" s="16"/>
    </row>
    <row r="4925" spans="1:17" x14ac:dyDescent="0.3">
      <c r="A4925" s="5"/>
      <c r="B4925" s="6"/>
      <c r="C4925" s="7"/>
      <c r="D4925" s="10"/>
      <c r="F4925" s="1"/>
      <c r="G4925" s="1"/>
      <c r="H4925" s="1"/>
      <c r="I4925" s="7"/>
      <c r="J4925" s="12"/>
      <c r="K4925" s="13"/>
      <c r="L4925" s="14"/>
      <c r="M4925" s="15"/>
      <c r="N4925" s="15"/>
      <c r="O4925" s="16"/>
      <c r="Q4925" s="16"/>
    </row>
    <row r="4926" spans="1:17" x14ac:dyDescent="0.3">
      <c r="A4926" s="5"/>
      <c r="B4926" s="6"/>
      <c r="C4926" s="7"/>
      <c r="D4926" s="10"/>
      <c r="F4926" s="1"/>
      <c r="G4926" s="1"/>
      <c r="H4926" s="1"/>
      <c r="I4926" s="7"/>
      <c r="J4926" s="12"/>
      <c r="K4926" s="13"/>
      <c r="L4926" s="14"/>
      <c r="M4926" s="15"/>
      <c r="N4926" s="15"/>
      <c r="O4926" s="16"/>
      <c r="Q4926" s="16"/>
    </row>
    <row r="4927" spans="1:17" x14ac:dyDescent="0.3">
      <c r="A4927" s="5"/>
      <c r="B4927" s="6"/>
      <c r="C4927" s="7"/>
      <c r="D4927" s="10"/>
      <c r="F4927" s="1"/>
      <c r="G4927" s="1"/>
      <c r="H4927" s="1"/>
      <c r="I4927" s="7"/>
      <c r="J4927" s="12"/>
      <c r="K4927" s="13"/>
      <c r="L4927" s="14"/>
      <c r="M4927" s="15"/>
      <c r="N4927" s="15"/>
      <c r="O4927" s="16"/>
      <c r="Q4927" s="16"/>
    </row>
    <row r="4928" spans="1:17" x14ac:dyDescent="0.3">
      <c r="A4928" s="5"/>
      <c r="B4928" s="6"/>
      <c r="C4928" s="7"/>
      <c r="D4928" s="10"/>
      <c r="F4928" s="1"/>
      <c r="G4928" s="1"/>
      <c r="H4928" s="1"/>
      <c r="I4928" s="7"/>
      <c r="J4928" s="12"/>
      <c r="K4928" s="13"/>
      <c r="L4928" s="14"/>
      <c r="M4928" s="15"/>
      <c r="N4928" s="15"/>
      <c r="O4928" s="16"/>
      <c r="Q4928" s="16"/>
    </row>
    <row r="4929" spans="1:17" x14ac:dyDescent="0.3">
      <c r="A4929" s="5"/>
      <c r="B4929" s="6"/>
      <c r="C4929" s="7"/>
      <c r="D4929" s="10"/>
      <c r="F4929" s="1"/>
      <c r="G4929" s="1"/>
      <c r="H4929" s="1"/>
      <c r="I4929" s="7"/>
      <c r="J4929" s="12"/>
      <c r="K4929" s="13"/>
      <c r="L4929" s="14"/>
      <c r="M4929" s="15"/>
      <c r="N4929" s="15"/>
      <c r="O4929" s="16"/>
      <c r="Q4929" s="16"/>
    </row>
    <row r="4930" spans="1:17" x14ac:dyDescent="0.3">
      <c r="A4930" s="5"/>
      <c r="B4930" s="6"/>
      <c r="C4930" s="7"/>
      <c r="D4930" s="10"/>
      <c r="F4930" s="1"/>
      <c r="G4930" s="1"/>
      <c r="H4930" s="1"/>
      <c r="I4930" s="7"/>
      <c r="J4930" s="12"/>
      <c r="K4930" s="13"/>
      <c r="L4930" s="14"/>
      <c r="M4930" s="15"/>
      <c r="N4930" s="15"/>
      <c r="O4930" s="16"/>
      <c r="Q4930" s="16"/>
    </row>
    <row r="4931" spans="1:17" x14ac:dyDescent="0.3">
      <c r="A4931" s="5"/>
      <c r="B4931" s="6"/>
      <c r="C4931" s="7"/>
      <c r="D4931" s="10"/>
      <c r="F4931" s="1"/>
      <c r="G4931" s="1"/>
      <c r="H4931" s="1"/>
      <c r="I4931" s="7"/>
      <c r="J4931" s="12"/>
      <c r="K4931" s="13"/>
      <c r="L4931" s="14"/>
      <c r="M4931" s="15"/>
      <c r="N4931" s="15"/>
      <c r="O4931" s="16"/>
      <c r="Q4931" s="16"/>
    </row>
    <row r="4932" spans="1:17" x14ac:dyDescent="0.3">
      <c r="A4932" s="5"/>
      <c r="B4932" s="6"/>
      <c r="C4932" s="7"/>
      <c r="D4932" s="10"/>
      <c r="F4932" s="1"/>
      <c r="G4932" s="1"/>
      <c r="H4932" s="1"/>
      <c r="I4932" s="7"/>
      <c r="J4932" s="12"/>
      <c r="K4932" s="13"/>
      <c r="L4932" s="14"/>
      <c r="M4932" s="15"/>
      <c r="N4932" s="15"/>
      <c r="O4932" s="16"/>
      <c r="Q4932" s="16"/>
    </row>
    <row r="4933" spans="1:17" x14ac:dyDescent="0.3">
      <c r="A4933" s="5"/>
      <c r="B4933" s="6"/>
      <c r="C4933" s="7"/>
      <c r="D4933" s="10"/>
      <c r="F4933" s="1"/>
      <c r="G4933" s="1"/>
      <c r="H4933" s="1"/>
      <c r="I4933" s="7"/>
      <c r="J4933" s="12"/>
      <c r="K4933" s="13"/>
      <c r="L4933" s="14"/>
      <c r="M4933" s="15"/>
      <c r="N4933" s="15"/>
      <c r="O4933" s="16"/>
      <c r="Q4933" s="16"/>
    </row>
    <row r="4934" spans="1:17" x14ac:dyDescent="0.3">
      <c r="A4934" s="5"/>
      <c r="B4934" s="6"/>
      <c r="C4934" s="7"/>
      <c r="D4934" s="10"/>
      <c r="F4934" s="1"/>
      <c r="G4934" s="1"/>
      <c r="H4934" s="1"/>
      <c r="I4934" s="7"/>
      <c r="J4934" s="12"/>
      <c r="K4934" s="13"/>
      <c r="L4934" s="14"/>
      <c r="M4934" s="15"/>
      <c r="N4934" s="15"/>
      <c r="O4934" s="16"/>
      <c r="Q4934" s="16"/>
    </row>
    <row r="4935" spans="1:17" x14ac:dyDescent="0.3">
      <c r="A4935" s="5"/>
      <c r="B4935" s="6"/>
      <c r="C4935" s="7"/>
      <c r="D4935" s="10"/>
      <c r="F4935" s="1"/>
      <c r="G4935" s="1"/>
      <c r="H4935" s="1"/>
      <c r="I4935" s="7"/>
      <c r="J4935" s="12"/>
      <c r="K4935" s="13"/>
      <c r="L4935" s="14"/>
      <c r="M4935" s="15"/>
      <c r="N4935" s="15"/>
      <c r="O4935" s="16"/>
      <c r="Q4935" s="16"/>
    </row>
    <row r="4936" spans="1:17" x14ac:dyDescent="0.3">
      <c r="A4936" s="5"/>
      <c r="B4936" s="6"/>
      <c r="C4936" s="7"/>
      <c r="D4936" s="10"/>
      <c r="F4936" s="1"/>
      <c r="G4936" s="1"/>
      <c r="H4936" s="1"/>
      <c r="I4936" s="7"/>
      <c r="J4936" s="12"/>
      <c r="K4936" s="13"/>
      <c r="L4936" s="14"/>
      <c r="M4936" s="15"/>
      <c r="N4936" s="15"/>
      <c r="O4936" s="16"/>
      <c r="Q4936" s="16"/>
    </row>
    <row r="4937" spans="1:17" x14ac:dyDescent="0.3">
      <c r="A4937" s="5"/>
      <c r="B4937" s="6"/>
      <c r="C4937" s="7"/>
      <c r="D4937" s="10"/>
      <c r="F4937" s="1"/>
      <c r="G4937" s="1"/>
      <c r="H4937" s="1"/>
      <c r="I4937" s="7"/>
      <c r="J4937" s="12"/>
      <c r="K4937" s="13"/>
      <c r="L4937" s="14"/>
      <c r="M4937" s="15"/>
      <c r="N4937" s="15"/>
      <c r="O4937" s="16"/>
      <c r="Q4937" s="16"/>
    </row>
    <row r="4938" spans="1:17" x14ac:dyDescent="0.3">
      <c r="A4938" s="5"/>
      <c r="B4938" s="6"/>
      <c r="C4938" s="7"/>
      <c r="D4938" s="10"/>
      <c r="F4938" s="1"/>
      <c r="G4938" s="1"/>
      <c r="H4938" s="1"/>
      <c r="I4938" s="7"/>
      <c r="J4938" s="12"/>
      <c r="K4938" s="13"/>
      <c r="L4938" s="14"/>
      <c r="M4938" s="15"/>
      <c r="N4938" s="15"/>
      <c r="O4938" s="16"/>
      <c r="Q4938" s="16"/>
    </row>
    <row r="4939" spans="1:17" x14ac:dyDescent="0.3">
      <c r="A4939" s="5"/>
      <c r="B4939" s="6"/>
      <c r="C4939" s="7"/>
      <c r="D4939" s="10"/>
      <c r="F4939" s="1"/>
      <c r="G4939" s="1"/>
      <c r="H4939" s="1"/>
      <c r="I4939" s="7"/>
      <c r="J4939" s="12"/>
      <c r="K4939" s="13"/>
      <c r="L4939" s="14"/>
      <c r="M4939" s="15"/>
      <c r="N4939" s="15"/>
      <c r="O4939" s="16"/>
      <c r="Q4939" s="16"/>
    </row>
    <row r="4940" spans="1:17" x14ac:dyDescent="0.3">
      <c r="A4940" s="5"/>
      <c r="B4940" s="6"/>
      <c r="C4940" s="7"/>
      <c r="D4940" s="10"/>
      <c r="F4940" s="1"/>
      <c r="G4940" s="1"/>
      <c r="H4940" s="1"/>
      <c r="I4940" s="7"/>
      <c r="J4940" s="12"/>
      <c r="K4940" s="13"/>
      <c r="L4940" s="14"/>
      <c r="M4940" s="15"/>
      <c r="N4940" s="15"/>
      <c r="O4940" s="16"/>
      <c r="Q4940" s="16"/>
    </row>
    <row r="4941" spans="1:17" x14ac:dyDescent="0.3">
      <c r="A4941" s="5"/>
      <c r="B4941" s="6"/>
      <c r="C4941" s="7"/>
      <c r="D4941" s="10"/>
      <c r="F4941" s="1"/>
      <c r="G4941" s="1"/>
      <c r="H4941" s="1"/>
      <c r="I4941" s="7"/>
      <c r="J4941" s="12"/>
      <c r="K4941" s="13"/>
      <c r="L4941" s="14"/>
      <c r="M4941" s="15"/>
      <c r="N4941" s="15"/>
      <c r="O4941" s="16"/>
      <c r="Q4941" s="16"/>
    </row>
    <row r="4942" spans="1:17" x14ac:dyDescent="0.3">
      <c r="A4942" s="5"/>
      <c r="B4942" s="6"/>
      <c r="C4942" s="7"/>
      <c r="D4942" s="10"/>
      <c r="F4942" s="1"/>
      <c r="G4942" s="1"/>
      <c r="H4942" s="1"/>
      <c r="I4942" s="7"/>
      <c r="J4942" s="12"/>
      <c r="K4942" s="13"/>
      <c r="L4942" s="14"/>
      <c r="M4942" s="15"/>
      <c r="N4942" s="15"/>
      <c r="O4942" s="16"/>
      <c r="Q4942" s="16"/>
    </row>
    <row r="4943" spans="1:17" x14ac:dyDescent="0.3">
      <c r="A4943" s="5"/>
      <c r="B4943" s="6"/>
      <c r="C4943" s="7"/>
      <c r="D4943" s="10"/>
      <c r="F4943" s="1"/>
      <c r="G4943" s="1"/>
      <c r="H4943" s="1"/>
      <c r="I4943" s="7"/>
      <c r="J4943" s="12"/>
      <c r="K4943" s="13"/>
      <c r="L4943" s="14"/>
      <c r="M4943" s="15"/>
      <c r="N4943" s="15"/>
      <c r="O4943" s="16"/>
      <c r="Q4943" s="16"/>
    </row>
    <row r="4944" spans="1:17" x14ac:dyDescent="0.3">
      <c r="A4944" s="5"/>
      <c r="B4944" s="6"/>
      <c r="C4944" s="7"/>
      <c r="D4944" s="10"/>
      <c r="F4944" s="1"/>
      <c r="G4944" s="1"/>
      <c r="H4944" s="1"/>
      <c r="I4944" s="7"/>
      <c r="J4944" s="12"/>
      <c r="K4944" s="13"/>
      <c r="L4944" s="14"/>
      <c r="M4944" s="15"/>
      <c r="N4944" s="15"/>
      <c r="O4944" s="16"/>
      <c r="Q4944" s="16"/>
    </row>
    <row r="4945" spans="1:17" x14ac:dyDescent="0.3">
      <c r="A4945" s="5"/>
      <c r="B4945" s="6"/>
      <c r="C4945" s="7"/>
      <c r="D4945" s="10"/>
      <c r="F4945" s="1"/>
      <c r="G4945" s="1"/>
      <c r="H4945" s="1"/>
      <c r="I4945" s="7"/>
      <c r="J4945" s="12"/>
      <c r="K4945" s="13"/>
      <c r="L4945" s="14"/>
      <c r="M4945" s="15"/>
      <c r="N4945" s="15"/>
      <c r="O4945" s="16"/>
      <c r="Q4945" s="16"/>
    </row>
    <row r="4946" spans="1:17" x14ac:dyDescent="0.3">
      <c r="A4946" s="5"/>
      <c r="B4946" s="6"/>
      <c r="C4946" s="7"/>
      <c r="D4946" s="10"/>
      <c r="F4946" s="1"/>
      <c r="G4946" s="1"/>
      <c r="H4946" s="1"/>
      <c r="I4946" s="7"/>
      <c r="J4946" s="12"/>
      <c r="K4946" s="13"/>
      <c r="L4946" s="14"/>
      <c r="M4946" s="15"/>
      <c r="N4946" s="15"/>
      <c r="O4946" s="16"/>
      <c r="Q4946" s="16"/>
    </row>
    <row r="4947" spans="1:17" x14ac:dyDescent="0.3">
      <c r="A4947" s="5"/>
      <c r="B4947" s="6"/>
      <c r="C4947" s="7"/>
      <c r="D4947" s="10"/>
      <c r="F4947" s="1"/>
      <c r="G4947" s="1"/>
      <c r="H4947" s="1"/>
      <c r="I4947" s="7"/>
      <c r="J4947" s="12"/>
      <c r="K4947" s="13"/>
      <c r="L4947" s="14"/>
      <c r="M4947" s="15"/>
      <c r="N4947" s="15"/>
      <c r="O4947" s="16"/>
      <c r="Q4947" s="16"/>
    </row>
    <row r="4948" spans="1:17" x14ac:dyDescent="0.3">
      <c r="A4948" s="5"/>
      <c r="B4948" s="6"/>
      <c r="C4948" s="7"/>
      <c r="D4948" s="10"/>
      <c r="F4948" s="1"/>
      <c r="G4948" s="1"/>
      <c r="H4948" s="1"/>
      <c r="I4948" s="7"/>
      <c r="J4948" s="12"/>
      <c r="K4948" s="13"/>
      <c r="L4948" s="14"/>
      <c r="M4948" s="15"/>
      <c r="N4948" s="15"/>
      <c r="O4948" s="16"/>
      <c r="Q4948" s="16"/>
    </row>
    <row r="4949" spans="1:17" x14ac:dyDescent="0.3">
      <c r="A4949" s="5"/>
      <c r="B4949" s="6"/>
      <c r="C4949" s="7"/>
      <c r="D4949" s="10"/>
      <c r="F4949" s="1"/>
      <c r="G4949" s="1"/>
      <c r="H4949" s="1"/>
      <c r="I4949" s="7"/>
      <c r="J4949" s="12"/>
      <c r="K4949" s="13"/>
      <c r="L4949" s="14"/>
      <c r="M4949" s="15"/>
      <c r="N4949" s="15"/>
      <c r="O4949" s="16"/>
      <c r="Q4949" s="16"/>
    </row>
    <row r="4950" spans="1:17" x14ac:dyDescent="0.3">
      <c r="A4950" s="5"/>
      <c r="B4950" s="6"/>
      <c r="C4950" s="7"/>
      <c r="D4950" s="10"/>
      <c r="F4950" s="1"/>
      <c r="G4950" s="1"/>
      <c r="H4950" s="1"/>
      <c r="I4950" s="7"/>
      <c r="J4950" s="12"/>
      <c r="K4950" s="13"/>
      <c r="L4950" s="14"/>
      <c r="M4950" s="15"/>
      <c r="N4950" s="15"/>
      <c r="O4950" s="16"/>
      <c r="Q4950" s="16"/>
    </row>
    <row r="4951" spans="1:17" x14ac:dyDescent="0.3">
      <c r="A4951" s="5"/>
      <c r="B4951" s="6"/>
      <c r="C4951" s="7"/>
      <c r="D4951" s="10"/>
      <c r="F4951" s="1"/>
      <c r="G4951" s="1"/>
      <c r="H4951" s="1"/>
      <c r="I4951" s="7"/>
      <c r="J4951" s="12"/>
      <c r="K4951" s="13"/>
      <c r="L4951" s="14"/>
      <c r="M4951" s="15"/>
      <c r="N4951" s="15"/>
      <c r="O4951" s="16"/>
      <c r="Q4951" s="16"/>
    </row>
    <row r="4952" spans="1:17" x14ac:dyDescent="0.3">
      <c r="A4952" s="5"/>
      <c r="B4952" s="6"/>
      <c r="C4952" s="7"/>
      <c r="D4952" s="10"/>
      <c r="F4952" s="1"/>
      <c r="G4952" s="1"/>
      <c r="H4952" s="1"/>
      <c r="I4952" s="7"/>
      <c r="J4952" s="12"/>
      <c r="K4952" s="13"/>
      <c r="L4952" s="14"/>
      <c r="M4952" s="15"/>
      <c r="N4952" s="15"/>
      <c r="O4952" s="16"/>
      <c r="Q4952" s="16"/>
    </row>
    <row r="4953" spans="1:17" x14ac:dyDescent="0.3">
      <c r="A4953" s="5"/>
      <c r="B4953" s="6"/>
      <c r="C4953" s="7"/>
      <c r="D4953" s="10"/>
      <c r="F4953" s="1"/>
      <c r="G4953" s="1"/>
      <c r="H4953" s="1"/>
      <c r="I4953" s="7"/>
      <c r="J4953" s="12"/>
      <c r="K4953" s="13"/>
      <c r="L4953" s="14"/>
      <c r="M4953" s="15"/>
      <c r="N4953" s="15"/>
      <c r="O4953" s="16"/>
      <c r="Q4953" s="16"/>
    </row>
    <row r="4954" spans="1:17" x14ac:dyDescent="0.3">
      <c r="A4954" s="5"/>
      <c r="B4954" s="6"/>
      <c r="C4954" s="7"/>
      <c r="D4954" s="10"/>
      <c r="F4954" s="1"/>
      <c r="G4954" s="1"/>
      <c r="H4954" s="1"/>
      <c r="I4954" s="7"/>
      <c r="J4954" s="12"/>
      <c r="K4954" s="13"/>
      <c r="L4954" s="14"/>
      <c r="M4954" s="15"/>
      <c r="N4954" s="15"/>
      <c r="O4954" s="16"/>
      <c r="Q4954" s="16"/>
    </row>
    <row r="4955" spans="1:17" x14ac:dyDescent="0.3">
      <c r="A4955" s="5"/>
      <c r="B4955" s="6"/>
      <c r="C4955" s="7"/>
      <c r="D4955" s="10"/>
      <c r="F4955" s="1"/>
      <c r="G4955" s="1"/>
      <c r="H4955" s="1"/>
      <c r="I4955" s="7"/>
      <c r="J4955" s="12"/>
      <c r="K4955" s="13"/>
      <c r="L4955" s="14"/>
      <c r="M4955" s="15"/>
      <c r="N4955" s="15"/>
      <c r="O4955" s="16"/>
      <c r="Q4955" s="16"/>
    </row>
    <row r="4956" spans="1:17" x14ac:dyDescent="0.3">
      <c r="A4956" s="5"/>
      <c r="B4956" s="6"/>
      <c r="C4956" s="7"/>
      <c r="D4956" s="10"/>
      <c r="F4956" s="1"/>
      <c r="G4956" s="1"/>
      <c r="H4956" s="1"/>
      <c r="I4956" s="7"/>
      <c r="J4956" s="12"/>
      <c r="K4956" s="13"/>
      <c r="L4956" s="14"/>
      <c r="M4956" s="15"/>
      <c r="N4956" s="15"/>
      <c r="O4956" s="16"/>
      <c r="Q4956" s="16"/>
    </row>
    <row r="4957" spans="1:17" x14ac:dyDescent="0.3">
      <c r="A4957" s="5"/>
      <c r="B4957" s="6"/>
      <c r="C4957" s="7"/>
      <c r="D4957" s="10"/>
      <c r="F4957" s="1"/>
      <c r="G4957" s="1"/>
      <c r="H4957" s="1"/>
      <c r="I4957" s="7"/>
      <c r="J4957" s="12"/>
      <c r="K4957" s="13"/>
      <c r="L4957" s="14"/>
      <c r="M4957" s="15"/>
      <c r="N4957" s="15"/>
      <c r="O4957" s="16"/>
      <c r="Q4957" s="16"/>
    </row>
    <row r="4958" spans="1:17" x14ac:dyDescent="0.3">
      <c r="A4958" s="5"/>
      <c r="B4958" s="6"/>
      <c r="C4958" s="7"/>
      <c r="D4958" s="10"/>
      <c r="F4958" s="1"/>
      <c r="G4958" s="1"/>
      <c r="H4958" s="1"/>
      <c r="I4958" s="7"/>
      <c r="J4958" s="12"/>
      <c r="K4958" s="13"/>
      <c r="L4958" s="14"/>
      <c r="M4958" s="15"/>
      <c r="N4958" s="15"/>
      <c r="O4958" s="16"/>
      <c r="Q4958" s="16"/>
    </row>
    <row r="4959" spans="1:17" x14ac:dyDescent="0.3">
      <c r="A4959" s="5"/>
      <c r="B4959" s="6"/>
      <c r="C4959" s="7"/>
      <c r="D4959" s="10"/>
      <c r="F4959" s="1"/>
      <c r="G4959" s="1"/>
      <c r="H4959" s="1"/>
      <c r="I4959" s="7"/>
      <c r="J4959" s="12"/>
      <c r="K4959" s="13"/>
      <c r="L4959" s="14"/>
      <c r="M4959" s="15"/>
      <c r="N4959" s="15"/>
      <c r="O4959" s="16"/>
      <c r="Q4959" s="16"/>
    </row>
    <row r="4960" spans="1:17" x14ac:dyDescent="0.3">
      <c r="A4960" s="5"/>
      <c r="B4960" s="6"/>
      <c r="C4960" s="7"/>
      <c r="D4960" s="10"/>
      <c r="F4960" s="1"/>
      <c r="G4960" s="1"/>
      <c r="H4960" s="1"/>
      <c r="I4960" s="7"/>
      <c r="J4960" s="12"/>
      <c r="K4960" s="13"/>
      <c r="L4960" s="14"/>
      <c r="M4960" s="15"/>
      <c r="N4960" s="15"/>
      <c r="O4960" s="16"/>
      <c r="Q4960" s="16"/>
    </row>
    <row r="4961" spans="1:17" x14ac:dyDescent="0.3">
      <c r="A4961" s="5"/>
      <c r="B4961" s="6"/>
      <c r="C4961" s="7"/>
      <c r="D4961" s="10"/>
      <c r="F4961" s="1"/>
      <c r="G4961" s="1"/>
      <c r="H4961" s="1"/>
      <c r="I4961" s="7"/>
      <c r="J4961" s="12"/>
      <c r="K4961" s="13"/>
      <c r="L4961" s="14"/>
      <c r="M4961" s="15"/>
      <c r="N4961" s="15"/>
      <c r="O4961" s="16"/>
      <c r="Q4961" s="16"/>
    </row>
    <row r="4962" spans="1:17" x14ac:dyDescent="0.3">
      <c r="A4962" s="5"/>
      <c r="B4962" s="6"/>
      <c r="C4962" s="7"/>
      <c r="D4962" s="10"/>
      <c r="F4962" s="1"/>
      <c r="G4962" s="1"/>
      <c r="H4962" s="1"/>
      <c r="I4962" s="7"/>
      <c r="J4962" s="12"/>
      <c r="K4962" s="13"/>
      <c r="L4962" s="14"/>
      <c r="M4962" s="15"/>
      <c r="N4962" s="15"/>
      <c r="O4962" s="16"/>
      <c r="Q4962" s="16"/>
    </row>
    <row r="4963" spans="1:17" x14ac:dyDescent="0.3">
      <c r="A4963" s="5"/>
      <c r="B4963" s="6"/>
      <c r="C4963" s="7"/>
      <c r="D4963" s="10"/>
      <c r="F4963" s="1"/>
      <c r="G4963" s="1"/>
      <c r="H4963" s="1"/>
      <c r="I4963" s="7"/>
      <c r="J4963" s="12"/>
      <c r="K4963" s="13"/>
      <c r="L4963" s="14"/>
      <c r="M4963" s="15"/>
      <c r="N4963" s="15"/>
      <c r="O4963" s="16"/>
      <c r="Q4963" s="16"/>
    </row>
    <row r="4964" spans="1:17" x14ac:dyDescent="0.3">
      <c r="A4964" s="5"/>
      <c r="B4964" s="6"/>
      <c r="C4964" s="7"/>
      <c r="D4964" s="10"/>
      <c r="F4964" s="1"/>
      <c r="G4964" s="1"/>
      <c r="H4964" s="1"/>
      <c r="I4964" s="7"/>
      <c r="J4964" s="12"/>
      <c r="K4964" s="13"/>
      <c r="L4964" s="14"/>
      <c r="M4964" s="15"/>
      <c r="N4964" s="15"/>
      <c r="O4964" s="16"/>
      <c r="Q4964" s="16"/>
    </row>
    <row r="4965" spans="1:17" x14ac:dyDescent="0.3">
      <c r="A4965" s="5"/>
      <c r="B4965" s="6"/>
      <c r="C4965" s="7"/>
      <c r="D4965" s="10"/>
      <c r="F4965" s="1"/>
      <c r="G4965" s="1"/>
      <c r="H4965" s="1"/>
      <c r="I4965" s="7"/>
      <c r="J4965" s="12"/>
      <c r="K4965" s="13"/>
      <c r="L4965" s="14"/>
      <c r="M4965" s="15"/>
      <c r="N4965" s="15"/>
      <c r="O4965" s="16"/>
      <c r="Q4965" s="16"/>
    </row>
    <row r="4966" spans="1:17" x14ac:dyDescent="0.3">
      <c r="A4966" s="5"/>
      <c r="B4966" s="6"/>
      <c r="C4966" s="7"/>
      <c r="D4966" s="10"/>
      <c r="F4966" s="1"/>
      <c r="G4966" s="1"/>
      <c r="H4966" s="1"/>
      <c r="I4966" s="7"/>
      <c r="J4966" s="12"/>
      <c r="K4966" s="13"/>
      <c r="L4966" s="14"/>
      <c r="M4966" s="15"/>
      <c r="N4966" s="15"/>
      <c r="O4966" s="16"/>
      <c r="Q4966" s="16"/>
    </row>
    <row r="4967" spans="1:17" x14ac:dyDescent="0.3">
      <c r="A4967" s="5"/>
      <c r="B4967" s="6"/>
      <c r="C4967" s="7"/>
      <c r="D4967" s="10"/>
      <c r="F4967" s="1"/>
      <c r="G4967" s="1"/>
      <c r="H4967" s="1"/>
      <c r="I4967" s="7"/>
      <c r="J4967" s="12"/>
      <c r="K4967" s="13"/>
      <c r="L4967" s="14"/>
      <c r="M4967" s="15"/>
      <c r="N4967" s="15"/>
      <c r="O4967" s="16"/>
      <c r="Q4967" s="16"/>
    </row>
    <row r="4968" spans="1:17" x14ac:dyDescent="0.3">
      <c r="A4968" s="5"/>
      <c r="B4968" s="6"/>
      <c r="C4968" s="7"/>
      <c r="D4968" s="10"/>
      <c r="F4968" s="1"/>
      <c r="G4968" s="1"/>
      <c r="H4968" s="1"/>
      <c r="I4968" s="7"/>
      <c r="J4968" s="12"/>
      <c r="K4968" s="13"/>
      <c r="L4968" s="14"/>
      <c r="M4968" s="15"/>
      <c r="N4968" s="15"/>
      <c r="O4968" s="16"/>
      <c r="Q4968" s="16"/>
    </row>
    <row r="4969" spans="1:17" x14ac:dyDescent="0.3">
      <c r="A4969" s="5"/>
      <c r="B4969" s="6"/>
      <c r="C4969" s="7"/>
      <c r="D4969" s="10"/>
      <c r="F4969" s="1"/>
      <c r="G4969" s="1"/>
      <c r="H4969" s="1"/>
      <c r="I4969" s="7"/>
      <c r="J4969" s="12"/>
      <c r="K4969" s="13"/>
      <c r="L4969" s="14"/>
      <c r="M4969" s="15"/>
      <c r="N4969" s="15"/>
      <c r="O4969" s="16"/>
      <c r="Q4969" s="16"/>
    </row>
    <row r="4970" spans="1:17" x14ac:dyDescent="0.3">
      <c r="A4970" s="5"/>
      <c r="B4970" s="6"/>
      <c r="C4970" s="7"/>
      <c r="D4970" s="10"/>
      <c r="F4970" s="1"/>
      <c r="G4970" s="1"/>
      <c r="H4970" s="1"/>
      <c r="I4970" s="7"/>
      <c r="J4970" s="12"/>
      <c r="K4970" s="13"/>
      <c r="L4970" s="14"/>
      <c r="M4970" s="15"/>
      <c r="N4970" s="15"/>
      <c r="O4970" s="16"/>
      <c r="Q4970" s="16"/>
    </row>
    <row r="4971" spans="1:17" x14ac:dyDescent="0.3">
      <c r="A4971" s="5"/>
      <c r="B4971" s="6"/>
      <c r="C4971" s="7"/>
      <c r="D4971" s="10"/>
      <c r="F4971" s="1"/>
      <c r="G4971" s="1"/>
      <c r="H4971" s="1"/>
      <c r="I4971" s="7"/>
      <c r="J4971" s="12"/>
      <c r="K4971" s="13"/>
      <c r="L4971" s="14"/>
      <c r="M4971" s="15"/>
      <c r="N4971" s="15"/>
      <c r="O4971" s="16"/>
      <c r="Q4971" s="16"/>
    </row>
    <row r="4972" spans="1:17" x14ac:dyDescent="0.3">
      <c r="A4972" s="5"/>
      <c r="B4972" s="6"/>
      <c r="C4972" s="7"/>
      <c r="D4972" s="10"/>
      <c r="F4972" s="1"/>
      <c r="G4972" s="1"/>
      <c r="H4972" s="1"/>
      <c r="I4972" s="7"/>
      <c r="J4972" s="12"/>
      <c r="K4972" s="13"/>
      <c r="L4972" s="14"/>
      <c r="M4972" s="15"/>
      <c r="N4972" s="15"/>
      <c r="O4972" s="16"/>
      <c r="Q4972" s="16"/>
    </row>
    <row r="4973" spans="1:17" x14ac:dyDescent="0.3">
      <c r="A4973" s="5"/>
      <c r="B4973" s="6"/>
      <c r="C4973" s="7"/>
      <c r="D4973" s="10"/>
      <c r="F4973" s="1"/>
      <c r="G4973" s="1"/>
      <c r="H4973" s="1"/>
      <c r="I4973" s="7"/>
      <c r="J4973" s="12"/>
      <c r="K4973" s="13"/>
      <c r="L4973" s="14"/>
      <c r="M4973" s="15"/>
      <c r="N4973" s="15"/>
      <c r="O4973" s="16"/>
      <c r="Q4973" s="16"/>
    </row>
    <row r="4974" spans="1:17" x14ac:dyDescent="0.3">
      <c r="A4974" s="5"/>
      <c r="B4974" s="6"/>
      <c r="C4974" s="7"/>
      <c r="D4974" s="10"/>
      <c r="F4974" s="1"/>
      <c r="G4974" s="1"/>
      <c r="H4974" s="1"/>
      <c r="I4974" s="7"/>
      <c r="J4974" s="12"/>
      <c r="K4974" s="13"/>
      <c r="L4974" s="14"/>
      <c r="M4974" s="15"/>
      <c r="N4974" s="15"/>
      <c r="O4974" s="16"/>
      <c r="Q4974" s="16"/>
    </row>
    <row r="4975" spans="1:17" x14ac:dyDescent="0.3">
      <c r="A4975" s="5"/>
      <c r="B4975" s="6"/>
      <c r="C4975" s="7"/>
      <c r="D4975" s="10"/>
      <c r="F4975" s="1"/>
      <c r="G4975" s="1"/>
      <c r="H4975" s="1"/>
      <c r="I4975" s="7"/>
      <c r="J4975" s="12"/>
      <c r="K4975" s="13"/>
      <c r="L4975" s="14"/>
      <c r="M4975" s="15"/>
      <c r="N4975" s="15"/>
      <c r="O4975" s="16"/>
      <c r="Q4975" s="16"/>
    </row>
    <row r="4976" spans="1:17" x14ac:dyDescent="0.3">
      <c r="A4976" s="5"/>
      <c r="B4976" s="6"/>
      <c r="C4976" s="7"/>
      <c r="D4976" s="10"/>
      <c r="F4976" s="1"/>
      <c r="G4976" s="1"/>
      <c r="H4976" s="1"/>
      <c r="I4976" s="7"/>
      <c r="J4976" s="12"/>
      <c r="K4976" s="13"/>
      <c r="L4976" s="14"/>
      <c r="M4976" s="15"/>
      <c r="N4976" s="15"/>
      <c r="O4976" s="16"/>
      <c r="Q4976" s="16"/>
    </row>
    <row r="4977" spans="1:17" x14ac:dyDescent="0.3">
      <c r="A4977" s="5"/>
      <c r="B4977" s="6"/>
      <c r="C4977" s="7"/>
      <c r="D4977" s="10"/>
      <c r="F4977" s="1"/>
      <c r="G4977" s="1"/>
      <c r="H4977" s="1"/>
      <c r="I4977" s="7"/>
      <c r="J4977" s="12"/>
      <c r="K4977" s="13"/>
      <c r="L4977" s="14"/>
      <c r="M4977" s="15"/>
      <c r="N4977" s="15"/>
      <c r="O4977" s="16"/>
      <c r="Q4977" s="16"/>
    </row>
    <row r="4978" spans="1:17" x14ac:dyDescent="0.3">
      <c r="A4978" s="5"/>
      <c r="B4978" s="6"/>
      <c r="C4978" s="7"/>
      <c r="D4978" s="10"/>
      <c r="F4978" s="1"/>
      <c r="G4978" s="1"/>
      <c r="H4978" s="1"/>
      <c r="I4978" s="7"/>
      <c r="J4978" s="12"/>
      <c r="K4978" s="13"/>
      <c r="L4978" s="14"/>
      <c r="M4978" s="15"/>
      <c r="N4978" s="15"/>
      <c r="O4978" s="16"/>
      <c r="Q4978" s="16"/>
    </row>
    <row r="4979" spans="1:17" x14ac:dyDescent="0.3">
      <c r="A4979" s="5"/>
      <c r="B4979" s="6"/>
      <c r="C4979" s="7"/>
      <c r="D4979" s="10"/>
      <c r="F4979" s="1"/>
      <c r="G4979" s="1"/>
      <c r="H4979" s="1"/>
      <c r="I4979" s="7"/>
      <c r="J4979" s="12"/>
      <c r="K4979" s="13"/>
      <c r="L4979" s="14"/>
      <c r="M4979" s="15"/>
      <c r="N4979" s="15"/>
      <c r="O4979" s="16"/>
      <c r="Q4979" s="16"/>
    </row>
    <row r="4980" spans="1:17" x14ac:dyDescent="0.3">
      <c r="A4980" s="5"/>
      <c r="B4980" s="6"/>
      <c r="C4980" s="7"/>
      <c r="D4980" s="10"/>
      <c r="F4980" s="1"/>
      <c r="G4980" s="1"/>
      <c r="H4980" s="1"/>
      <c r="I4980" s="7"/>
      <c r="J4980" s="12"/>
      <c r="K4980" s="13"/>
      <c r="L4980" s="14"/>
      <c r="M4980" s="15"/>
      <c r="N4980" s="15"/>
      <c r="O4980" s="16"/>
      <c r="Q4980" s="16"/>
    </row>
    <row r="4981" spans="1:17" x14ac:dyDescent="0.3">
      <c r="A4981" s="5"/>
      <c r="B4981" s="6"/>
      <c r="C4981" s="7"/>
      <c r="D4981" s="10"/>
      <c r="F4981" s="1"/>
      <c r="G4981" s="1"/>
      <c r="H4981" s="1"/>
      <c r="I4981" s="7"/>
      <c r="J4981" s="12"/>
      <c r="K4981" s="13"/>
      <c r="L4981" s="14"/>
      <c r="M4981" s="15"/>
      <c r="N4981" s="15"/>
      <c r="O4981" s="16"/>
      <c r="Q4981" s="16"/>
    </row>
    <row r="4982" spans="1:17" x14ac:dyDescent="0.3">
      <c r="A4982" s="5"/>
      <c r="B4982" s="6"/>
      <c r="C4982" s="7"/>
      <c r="D4982" s="10"/>
      <c r="F4982" s="1"/>
      <c r="G4982" s="1"/>
      <c r="H4982" s="1"/>
      <c r="I4982" s="7"/>
      <c r="J4982" s="12"/>
      <c r="K4982" s="13"/>
      <c r="L4982" s="14"/>
      <c r="M4982" s="15"/>
      <c r="N4982" s="15"/>
      <c r="O4982" s="16"/>
      <c r="Q4982" s="16"/>
    </row>
    <row r="4983" spans="1:17" x14ac:dyDescent="0.3">
      <c r="A4983" s="5"/>
      <c r="B4983" s="6"/>
      <c r="C4983" s="7"/>
      <c r="D4983" s="10"/>
      <c r="F4983" s="1"/>
      <c r="G4983" s="1"/>
      <c r="H4983" s="1"/>
      <c r="I4983" s="7"/>
      <c r="J4983" s="12"/>
      <c r="K4983" s="13"/>
      <c r="L4983" s="14"/>
      <c r="M4983" s="15"/>
      <c r="N4983" s="15"/>
      <c r="O4983" s="16"/>
      <c r="Q4983" s="16"/>
    </row>
    <row r="4984" spans="1:17" x14ac:dyDescent="0.3">
      <c r="A4984" s="5"/>
      <c r="B4984" s="6"/>
      <c r="C4984" s="7"/>
      <c r="D4984" s="10"/>
      <c r="F4984" s="1"/>
      <c r="G4984" s="1"/>
      <c r="H4984" s="1"/>
      <c r="I4984" s="7"/>
      <c r="J4984" s="12"/>
      <c r="K4984" s="13"/>
      <c r="L4984" s="14"/>
      <c r="M4984" s="15"/>
      <c r="N4984" s="15"/>
      <c r="O4984" s="16"/>
      <c r="Q4984" s="16"/>
    </row>
    <row r="4985" spans="1:17" x14ac:dyDescent="0.3">
      <c r="A4985" s="5"/>
      <c r="B4985" s="6"/>
      <c r="C4985" s="7"/>
      <c r="D4985" s="10"/>
      <c r="F4985" s="1"/>
      <c r="G4985" s="1"/>
      <c r="H4985" s="1"/>
      <c r="I4985" s="7"/>
      <c r="J4985" s="12"/>
      <c r="K4985" s="13"/>
      <c r="L4985" s="14"/>
      <c r="M4985" s="15"/>
      <c r="N4985" s="15"/>
      <c r="O4985" s="16"/>
      <c r="Q4985" s="16"/>
    </row>
    <row r="4986" spans="1:17" x14ac:dyDescent="0.3">
      <c r="A4986" s="5"/>
      <c r="B4986" s="6"/>
      <c r="C4986" s="7"/>
      <c r="D4986" s="10"/>
      <c r="F4986" s="1"/>
      <c r="G4986" s="1"/>
      <c r="H4986" s="1"/>
      <c r="I4986" s="7"/>
      <c r="J4986" s="12"/>
      <c r="K4986" s="13"/>
      <c r="L4986" s="14"/>
      <c r="M4986" s="15"/>
      <c r="N4986" s="15"/>
      <c r="O4986" s="16"/>
      <c r="Q4986" s="16"/>
    </row>
    <row r="4987" spans="1:17" x14ac:dyDescent="0.3">
      <c r="A4987" s="5"/>
      <c r="B4987" s="6"/>
      <c r="C4987" s="7"/>
      <c r="D4987" s="10"/>
      <c r="F4987" s="1"/>
      <c r="G4987" s="1"/>
      <c r="H4987" s="1"/>
      <c r="I4987" s="7"/>
      <c r="J4987" s="12"/>
      <c r="K4987" s="13"/>
      <c r="L4987" s="14"/>
      <c r="M4987" s="15"/>
      <c r="N4987" s="15"/>
      <c r="O4987" s="16"/>
      <c r="Q4987" s="16"/>
    </row>
    <row r="4988" spans="1:17" x14ac:dyDescent="0.3">
      <c r="A4988" s="5"/>
      <c r="B4988" s="6"/>
      <c r="C4988" s="7"/>
      <c r="D4988" s="10"/>
      <c r="F4988" s="1"/>
      <c r="G4988" s="1"/>
      <c r="H4988" s="1"/>
      <c r="I4988" s="7"/>
      <c r="J4988" s="12"/>
      <c r="K4988" s="13"/>
      <c r="L4988" s="14"/>
      <c r="M4988" s="15"/>
      <c r="N4988" s="15"/>
      <c r="O4988" s="16"/>
      <c r="Q4988" s="16"/>
    </row>
    <row r="4989" spans="1:17" x14ac:dyDescent="0.3">
      <c r="A4989" s="5"/>
      <c r="B4989" s="6"/>
      <c r="C4989" s="7"/>
      <c r="D4989" s="10"/>
      <c r="F4989" s="1"/>
      <c r="G4989" s="1"/>
      <c r="H4989" s="1"/>
      <c r="I4989" s="7"/>
      <c r="J4989" s="12"/>
      <c r="K4989" s="13"/>
      <c r="L4989" s="14"/>
      <c r="M4989" s="15"/>
      <c r="N4989" s="15"/>
      <c r="O4989" s="16"/>
      <c r="Q4989" s="16"/>
    </row>
    <row r="4990" spans="1:17" x14ac:dyDescent="0.3">
      <c r="A4990" s="5"/>
      <c r="B4990" s="6"/>
      <c r="C4990" s="7"/>
      <c r="D4990" s="10"/>
      <c r="F4990" s="1"/>
      <c r="G4990" s="1"/>
      <c r="H4990" s="1"/>
      <c r="I4990" s="7"/>
      <c r="J4990" s="12"/>
      <c r="K4990" s="13"/>
      <c r="L4990" s="14"/>
      <c r="M4990" s="15"/>
      <c r="N4990" s="15"/>
      <c r="O4990" s="16"/>
      <c r="Q4990" s="16"/>
    </row>
    <row r="4991" spans="1:17" x14ac:dyDescent="0.3">
      <c r="A4991" s="5"/>
      <c r="B4991" s="6"/>
      <c r="C4991" s="7"/>
      <c r="D4991" s="10"/>
      <c r="F4991" s="1"/>
      <c r="G4991" s="1"/>
      <c r="H4991" s="1"/>
      <c r="I4991" s="7"/>
      <c r="J4991" s="12"/>
      <c r="K4991" s="13"/>
      <c r="L4991" s="14"/>
      <c r="M4991" s="15"/>
      <c r="N4991" s="15"/>
      <c r="O4991" s="16"/>
      <c r="Q4991" s="16"/>
    </row>
    <row r="4992" spans="1:17" x14ac:dyDescent="0.3">
      <c r="A4992" s="5"/>
      <c r="B4992" s="6"/>
      <c r="C4992" s="7"/>
      <c r="D4992" s="10"/>
      <c r="F4992" s="1"/>
      <c r="G4992" s="1"/>
      <c r="H4992" s="1"/>
      <c r="I4992" s="7"/>
      <c r="J4992" s="12"/>
      <c r="K4992" s="13"/>
      <c r="L4992" s="14"/>
      <c r="M4992" s="15"/>
      <c r="N4992" s="15"/>
      <c r="O4992" s="16"/>
      <c r="Q4992" s="16"/>
    </row>
    <row r="4993" spans="1:17" x14ac:dyDescent="0.3">
      <c r="A4993" s="5"/>
      <c r="B4993" s="6"/>
      <c r="C4993" s="7"/>
      <c r="D4993" s="10"/>
      <c r="F4993" s="1"/>
      <c r="G4993" s="1"/>
      <c r="H4993" s="1"/>
      <c r="I4993" s="7"/>
      <c r="J4993" s="12"/>
      <c r="K4993" s="13"/>
      <c r="L4993" s="14"/>
      <c r="M4993" s="15"/>
      <c r="N4993" s="15"/>
      <c r="O4993" s="16"/>
      <c r="Q4993" s="16"/>
    </row>
    <row r="4994" spans="1:17" x14ac:dyDescent="0.3">
      <c r="A4994" s="5"/>
      <c r="B4994" s="6"/>
      <c r="C4994" s="7"/>
      <c r="D4994" s="10"/>
      <c r="F4994" s="1"/>
      <c r="G4994" s="1"/>
      <c r="H4994" s="1"/>
      <c r="I4994" s="7"/>
      <c r="J4994" s="12"/>
      <c r="K4994" s="13"/>
      <c r="L4994" s="14"/>
      <c r="M4994" s="15"/>
      <c r="N4994" s="15"/>
      <c r="O4994" s="16"/>
      <c r="Q4994" s="16"/>
    </row>
    <row r="4995" spans="1:17" x14ac:dyDescent="0.3">
      <c r="A4995" s="5"/>
      <c r="B4995" s="6"/>
      <c r="C4995" s="7"/>
      <c r="D4995" s="10"/>
      <c r="F4995" s="1"/>
      <c r="G4995" s="1"/>
      <c r="H4995" s="1"/>
      <c r="I4995" s="7"/>
      <c r="J4995" s="12"/>
      <c r="K4995" s="13"/>
      <c r="L4995" s="14"/>
      <c r="M4995" s="15"/>
      <c r="N4995" s="15"/>
      <c r="O4995" s="16"/>
      <c r="Q4995" s="16"/>
    </row>
    <row r="4996" spans="1:17" x14ac:dyDescent="0.3">
      <c r="A4996" s="5"/>
      <c r="B4996" s="6"/>
      <c r="C4996" s="7"/>
      <c r="D4996" s="10"/>
      <c r="F4996" s="1"/>
      <c r="G4996" s="1"/>
      <c r="H4996" s="1"/>
      <c r="I4996" s="7"/>
      <c r="J4996" s="12"/>
      <c r="K4996" s="13"/>
      <c r="L4996" s="14"/>
      <c r="M4996" s="15"/>
      <c r="N4996" s="15"/>
      <c r="O4996" s="16"/>
      <c r="Q4996" s="16"/>
    </row>
    <row r="4997" spans="1:17" x14ac:dyDescent="0.3">
      <c r="A4997" s="5"/>
      <c r="B4997" s="6"/>
      <c r="C4997" s="7"/>
      <c r="D4997" s="10"/>
      <c r="F4997" s="1"/>
      <c r="G4997" s="1"/>
      <c r="H4997" s="1"/>
      <c r="I4997" s="7"/>
      <c r="J4997" s="12"/>
      <c r="K4997" s="13"/>
      <c r="L4997" s="14"/>
      <c r="M4997" s="15"/>
      <c r="N4997" s="15"/>
      <c r="O4997" s="16"/>
      <c r="Q4997" s="16"/>
    </row>
    <row r="4998" spans="1:17" x14ac:dyDescent="0.3">
      <c r="A4998" s="5"/>
      <c r="B4998" s="6"/>
      <c r="C4998" s="7"/>
      <c r="D4998" s="10"/>
      <c r="F4998" s="1"/>
      <c r="G4998" s="1"/>
      <c r="H4998" s="1"/>
      <c r="I4998" s="7"/>
      <c r="J4998" s="12"/>
      <c r="K4998" s="13"/>
      <c r="L4998" s="14"/>
      <c r="M4998" s="15"/>
      <c r="N4998" s="15"/>
      <c r="O4998" s="16"/>
      <c r="Q4998" s="16"/>
    </row>
    <row r="4999" spans="1:17" x14ac:dyDescent="0.3">
      <c r="A4999" s="5"/>
      <c r="B4999" s="6"/>
      <c r="C4999" s="7"/>
      <c r="D4999" s="10"/>
      <c r="F4999" s="1"/>
      <c r="G4999" s="1"/>
      <c r="H4999" s="1"/>
      <c r="I4999" s="7"/>
      <c r="J4999" s="12"/>
      <c r="K4999" s="13"/>
      <c r="L4999" s="14"/>
      <c r="M4999" s="15"/>
      <c r="N4999" s="15"/>
      <c r="O4999" s="16"/>
      <c r="Q4999" s="16"/>
    </row>
    <row r="5000" spans="1:17" x14ac:dyDescent="0.3">
      <c r="A5000" s="5"/>
      <c r="B5000" s="6"/>
      <c r="C5000" s="7"/>
      <c r="D5000" s="10"/>
      <c r="F5000" s="1"/>
      <c r="G5000" s="1"/>
      <c r="H5000" s="1"/>
      <c r="I5000" s="7"/>
      <c r="J5000" s="12"/>
      <c r="K5000" s="13"/>
      <c r="L5000" s="14"/>
      <c r="M5000" s="15"/>
      <c r="N5000" s="15"/>
      <c r="O5000" s="16"/>
      <c r="Q5000" s="16"/>
    </row>
    <row r="5001" spans="1:17" x14ac:dyDescent="0.3">
      <c r="A5001" s="5"/>
      <c r="B5001" s="6"/>
      <c r="C5001" s="7"/>
      <c r="D5001" s="10"/>
      <c r="F5001" s="1"/>
      <c r="G5001" s="1"/>
      <c r="H5001" s="1"/>
      <c r="I5001" s="7"/>
      <c r="J5001" s="12"/>
      <c r="K5001" s="13"/>
      <c r="L5001" s="14"/>
      <c r="M5001" s="15"/>
      <c r="N5001" s="15"/>
      <c r="O5001" s="16"/>
      <c r="Q5001" s="16"/>
    </row>
    <row r="5002" spans="1:17" x14ac:dyDescent="0.3">
      <c r="A5002" s="5"/>
      <c r="B5002" s="6"/>
      <c r="C5002" s="7"/>
      <c r="D5002" s="10"/>
      <c r="F5002" s="1"/>
      <c r="G5002" s="1"/>
      <c r="H5002" s="1"/>
      <c r="I5002" s="7"/>
      <c r="J5002" s="12"/>
      <c r="K5002" s="13"/>
      <c r="L5002" s="14"/>
      <c r="M5002" s="15"/>
      <c r="N5002" s="15"/>
      <c r="O5002" s="16"/>
      <c r="Q5002" s="16"/>
    </row>
    <row r="5003" spans="1:17" x14ac:dyDescent="0.3">
      <c r="A5003" s="5"/>
      <c r="B5003" s="6"/>
      <c r="C5003" s="7"/>
      <c r="D5003" s="10"/>
      <c r="F5003" s="1"/>
      <c r="G5003" s="1"/>
      <c r="H5003" s="1"/>
      <c r="I5003" s="7"/>
      <c r="J5003" s="12"/>
      <c r="K5003" s="13"/>
      <c r="L5003" s="14"/>
      <c r="M5003" s="15"/>
      <c r="N5003" s="15"/>
      <c r="O5003" s="16"/>
      <c r="Q5003" s="16"/>
    </row>
    <row r="5004" spans="1:17" x14ac:dyDescent="0.3">
      <c r="A5004" s="5"/>
      <c r="B5004" s="6"/>
      <c r="C5004" s="7"/>
      <c r="D5004" s="10"/>
      <c r="F5004" s="1"/>
      <c r="G5004" s="1"/>
      <c r="H5004" s="1"/>
      <c r="I5004" s="7"/>
      <c r="J5004" s="12"/>
      <c r="K5004" s="13"/>
      <c r="L5004" s="14"/>
      <c r="M5004" s="15"/>
      <c r="N5004" s="15"/>
      <c r="O5004" s="16"/>
      <c r="Q5004" s="16"/>
    </row>
    <row r="5005" spans="1:17" x14ac:dyDescent="0.3">
      <c r="A5005" s="5"/>
      <c r="B5005" s="6"/>
      <c r="C5005" s="7"/>
      <c r="D5005" s="10"/>
      <c r="F5005" s="1"/>
      <c r="G5005" s="1"/>
      <c r="H5005" s="1"/>
      <c r="I5005" s="7"/>
      <c r="J5005" s="12"/>
      <c r="K5005" s="13"/>
      <c r="L5005" s="14"/>
      <c r="M5005" s="15"/>
      <c r="N5005" s="15"/>
      <c r="O5005" s="16"/>
      <c r="Q5005" s="16"/>
    </row>
    <row r="5006" spans="1:17" x14ac:dyDescent="0.3">
      <c r="A5006" s="5"/>
      <c r="B5006" s="6"/>
      <c r="C5006" s="7"/>
      <c r="D5006" s="10"/>
      <c r="F5006" s="1"/>
      <c r="G5006" s="1"/>
      <c r="H5006" s="1"/>
      <c r="I5006" s="7"/>
      <c r="J5006" s="12"/>
      <c r="K5006" s="13"/>
      <c r="L5006" s="14"/>
      <c r="M5006" s="15"/>
      <c r="N5006" s="15"/>
      <c r="O5006" s="16"/>
      <c r="Q5006" s="16"/>
    </row>
    <row r="5007" spans="1:17" x14ac:dyDescent="0.3">
      <c r="A5007" s="5"/>
      <c r="B5007" s="6"/>
      <c r="C5007" s="7"/>
      <c r="D5007" s="10"/>
      <c r="F5007" s="1"/>
      <c r="G5007" s="1"/>
      <c r="H5007" s="1"/>
      <c r="I5007" s="7"/>
      <c r="J5007" s="12"/>
      <c r="K5007" s="13"/>
      <c r="L5007" s="14"/>
      <c r="M5007" s="15"/>
      <c r="N5007" s="15"/>
      <c r="O5007" s="16"/>
      <c r="Q5007" s="16"/>
    </row>
    <row r="5008" spans="1:17" x14ac:dyDescent="0.3">
      <c r="A5008" s="5"/>
      <c r="B5008" s="6"/>
      <c r="C5008" s="7"/>
      <c r="D5008" s="10"/>
      <c r="F5008" s="1"/>
      <c r="G5008" s="1"/>
      <c r="H5008" s="1"/>
      <c r="I5008" s="7"/>
      <c r="J5008" s="12"/>
      <c r="K5008" s="13"/>
      <c r="L5008" s="14"/>
      <c r="M5008" s="15"/>
      <c r="N5008" s="15"/>
      <c r="O5008" s="16"/>
      <c r="Q5008" s="16"/>
    </row>
    <row r="5009" spans="1:17" x14ac:dyDescent="0.3">
      <c r="A5009" s="5"/>
      <c r="B5009" s="6"/>
      <c r="C5009" s="7"/>
      <c r="D5009" s="10"/>
      <c r="F5009" s="1"/>
      <c r="G5009" s="1"/>
      <c r="H5009" s="1"/>
      <c r="I5009" s="7"/>
      <c r="J5009" s="12"/>
      <c r="K5009" s="13"/>
      <c r="L5009" s="14"/>
      <c r="M5009" s="15"/>
      <c r="N5009" s="15"/>
      <c r="O5009" s="16"/>
      <c r="Q5009" s="16"/>
    </row>
    <row r="5010" spans="1:17" x14ac:dyDescent="0.3">
      <c r="A5010" s="5"/>
      <c r="B5010" s="6"/>
      <c r="C5010" s="7"/>
      <c r="D5010" s="10"/>
      <c r="F5010" s="1"/>
      <c r="G5010" s="1"/>
      <c r="H5010" s="1"/>
      <c r="I5010" s="7"/>
      <c r="J5010" s="12"/>
      <c r="K5010" s="13"/>
      <c r="L5010" s="14"/>
      <c r="M5010" s="15"/>
      <c r="N5010" s="15"/>
      <c r="O5010" s="16"/>
      <c r="Q5010" s="16"/>
    </row>
    <row r="5011" spans="1:17" x14ac:dyDescent="0.3">
      <c r="A5011" s="5"/>
      <c r="B5011" s="6"/>
      <c r="C5011" s="7"/>
      <c r="D5011" s="10"/>
      <c r="F5011" s="1"/>
      <c r="G5011" s="1"/>
      <c r="H5011" s="1"/>
      <c r="I5011" s="7"/>
      <c r="J5011" s="12"/>
      <c r="K5011" s="13"/>
      <c r="L5011" s="14"/>
      <c r="M5011" s="15"/>
      <c r="N5011" s="15"/>
      <c r="O5011" s="16"/>
      <c r="Q5011" s="16"/>
    </row>
    <row r="5012" spans="1:17" x14ac:dyDescent="0.3">
      <c r="A5012" s="5"/>
      <c r="B5012" s="6"/>
      <c r="C5012" s="7"/>
      <c r="D5012" s="10"/>
      <c r="F5012" s="1"/>
      <c r="G5012" s="1"/>
      <c r="H5012" s="1"/>
      <c r="I5012" s="7"/>
      <c r="J5012" s="12"/>
      <c r="K5012" s="13"/>
      <c r="L5012" s="14"/>
      <c r="M5012" s="15"/>
      <c r="N5012" s="15"/>
      <c r="O5012" s="16"/>
      <c r="Q5012" s="16"/>
    </row>
    <row r="5013" spans="1:17" x14ac:dyDescent="0.3">
      <c r="A5013" s="5"/>
      <c r="B5013" s="6"/>
      <c r="C5013" s="7"/>
      <c r="D5013" s="10"/>
      <c r="F5013" s="1"/>
      <c r="G5013" s="1"/>
      <c r="H5013" s="1"/>
      <c r="I5013" s="7"/>
      <c r="J5013" s="12"/>
      <c r="K5013" s="13"/>
      <c r="L5013" s="14"/>
      <c r="M5013" s="15"/>
      <c r="N5013" s="15"/>
      <c r="O5013" s="16"/>
      <c r="Q5013" s="16"/>
    </row>
    <row r="5014" spans="1:17" x14ac:dyDescent="0.3">
      <c r="A5014" s="5"/>
      <c r="B5014" s="6"/>
      <c r="C5014" s="7"/>
      <c r="D5014" s="10"/>
      <c r="F5014" s="1"/>
      <c r="G5014" s="1"/>
      <c r="H5014" s="1"/>
      <c r="I5014" s="7"/>
      <c r="J5014" s="12"/>
      <c r="K5014" s="13"/>
      <c r="L5014" s="14"/>
      <c r="M5014" s="15"/>
      <c r="N5014" s="15"/>
      <c r="O5014" s="16"/>
      <c r="Q5014" s="16"/>
    </row>
    <row r="5015" spans="1:17" x14ac:dyDescent="0.3">
      <c r="A5015" s="5"/>
      <c r="B5015" s="6"/>
      <c r="C5015" s="7"/>
      <c r="D5015" s="10"/>
      <c r="F5015" s="1"/>
      <c r="G5015" s="1"/>
      <c r="H5015" s="1"/>
      <c r="I5015" s="7"/>
      <c r="J5015" s="12"/>
      <c r="K5015" s="13"/>
      <c r="L5015" s="14"/>
      <c r="M5015" s="15"/>
      <c r="N5015" s="15"/>
      <c r="O5015" s="16"/>
      <c r="Q5015" s="16"/>
    </row>
    <row r="5016" spans="1:17" x14ac:dyDescent="0.3">
      <c r="A5016" s="5"/>
      <c r="B5016" s="6"/>
      <c r="C5016" s="7"/>
      <c r="D5016" s="10"/>
      <c r="F5016" s="1"/>
      <c r="G5016" s="1"/>
      <c r="H5016" s="1"/>
      <c r="I5016" s="7"/>
      <c r="J5016" s="12"/>
      <c r="K5016" s="13"/>
      <c r="L5016" s="14"/>
      <c r="M5016" s="15"/>
      <c r="N5016" s="15"/>
      <c r="O5016" s="16"/>
      <c r="Q5016" s="16"/>
    </row>
    <row r="5017" spans="1:17" x14ac:dyDescent="0.3">
      <c r="A5017" s="5"/>
      <c r="B5017" s="6"/>
      <c r="C5017" s="7"/>
      <c r="D5017" s="10"/>
      <c r="F5017" s="1"/>
      <c r="G5017" s="1"/>
      <c r="H5017" s="1"/>
      <c r="I5017" s="7"/>
      <c r="J5017" s="12"/>
      <c r="K5017" s="13"/>
      <c r="L5017" s="14"/>
      <c r="M5017" s="15"/>
      <c r="N5017" s="15"/>
      <c r="O5017" s="16"/>
      <c r="Q5017" s="16"/>
    </row>
    <row r="5018" spans="1:17" x14ac:dyDescent="0.3">
      <c r="A5018" s="5"/>
      <c r="B5018" s="6"/>
      <c r="C5018" s="7"/>
      <c r="D5018" s="10"/>
      <c r="F5018" s="1"/>
      <c r="G5018" s="1"/>
      <c r="H5018" s="1"/>
      <c r="I5018" s="7"/>
      <c r="J5018" s="12"/>
      <c r="K5018" s="13"/>
      <c r="L5018" s="14"/>
      <c r="M5018" s="15"/>
      <c r="N5018" s="15"/>
      <c r="O5018" s="16"/>
      <c r="Q5018" s="16"/>
    </row>
    <row r="5019" spans="1:17" x14ac:dyDescent="0.3">
      <c r="A5019" s="5"/>
      <c r="B5019" s="6"/>
      <c r="C5019" s="7"/>
      <c r="D5019" s="10"/>
      <c r="F5019" s="1"/>
      <c r="G5019" s="1"/>
      <c r="H5019" s="1"/>
      <c r="I5019" s="7"/>
      <c r="J5019" s="12"/>
      <c r="K5019" s="13"/>
      <c r="L5019" s="14"/>
      <c r="M5019" s="15"/>
      <c r="N5019" s="15"/>
      <c r="O5019" s="16"/>
      <c r="Q5019" s="16"/>
    </row>
    <row r="5020" spans="1:17" x14ac:dyDescent="0.3">
      <c r="A5020" s="5"/>
      <c r="B5020" s="6"/>
      <c r="C5020" s="7"/>
      <c r="D5020" s="10"/>
      <c r="F5020" s="1"/>
      <c r="G5020" s="1"/>
      <c r="H5020" s="1"/>
      <c r="I5020" s="7"/>
      <c r="J5020" s="12"/>
      <c r="K5020" s="13"/>
      <c r="L5020" s="14"/>
      <c r="M5020" s="15"/>
      <c r="N5020" s="15"/>
      <c r="O5020" s="16"/>
      <c r="Q5020" s="16"/>
    </row>
    <row r="5021" spans="1:17" x14ac:dyDescent="0.3">
      <c r="A5021" s="5"/>
      <c r="B5021" s="6"/>
      <c r="C5021" s="7"/>
      <c r="D5021" s="10"/>
      <c r="F5021" s="1"/>
      <c r="G5021" s="1"/>
      <c r="H5021" s="1"/>
      <c r="I5021" s="7"/>
      <c r="J5021" s="12"/>
      <c r="K5021" s="13"/>
      <c r="L5021" s="14"/>
      <c r="M5021" s="15"/>
      <c r="N5021" s="15"/>
      <c r="O5021" s="16"/>
      <c r="Q5021" s="16"/>
    </row>
    <row r="5022" spans="1:17" x14ac:dyDescent="0.3">
      <c r="A5022" s="5"/>
      <c r="B5022" s="6"/>
      <c r="C5022" s="7"/>
      <c r="D5022" s="10"/>
      <c r="F5022" s="1"/>
      <c r="G5022" s="1"/>
      <c r="H5022" s="1"/>
      <c r="I5022" s="7"/>
      <c r="J5022" s="12"/>
      <c r="K5022" s="13"/>
      <c r="L5022" s="14"/>
      <c r="M5022" s="15"/>
      <c r="N5022" s="15"/>
      <c r="O5022" s="16"/>
      <c r="Q5022" s="16"/>
    </row>
    <row r="5023" spans="1:17" x14ac:dyDescent="0.3">
      <c r="A5023" s="5"/>
      <c r="B5023" s="6"/>
      <c r="C5023" s="7"/>
      <c r="D5023" s="10"/>
      <c r="F5023" s="1"/>
      <c r="G5023" s="1"/>
      <c r="H5023" s="1"/>
      <c r="I5023" s="7"/>
      <c r="J5023" s="12"/>
      <c r="K5023" s="13"/>
      <c r="L5023" s="14"/>
      <c r="M5023" s="15"/>
      <c r="N5023" s="15"/>
      <c r="O5023" s="16"/>
      <c r="Q5023" s="16"/>
    </row>
    <row r="5024" spans="1:17" x14ac:dyDescent="0.3">
      <c r="A5024" s="5"/>
      <c r="B5024" s="6"/>
      <c r="C5024" s="7"/>
      <c r="D5024" s="10"/>
      <c r="F5024" s="1"/>
      <c r="G5024" s="1"/>
      <c r="H5024" s="1"/>
      <c r="I5024" s="7"/>
      <c r="J5024" s="12"/>
      <c r="K5024" s="13"/>
      <c r="L5024" s="14"/>
      <c r="M5024" s="15"/>
      <c r="N5024" s="15"/>
      <c r="O5024" s="16"/>
      <c r="Q5024" s="16"/>
    </row>
    <row r="5025" spans="1:17" x14ac:dyDescent="0.3">
      <c r="A5025" s="5"/>
      <c r="B5025" s="6"/>
      <c r="C5025" s="7"/>
      <c r="D5025" s="10"/>
      <c r="F5025" s="1"/>
      <c r="G5025" s="1"/>
      <c r="H5025" s="1"/>
      <c r="I5025" s="7"/>
      <c r="J5025" s="12"/>
      <c r="K5025" s="13"/>
      <c r="L5025" s="14"/>
      <c r="M5025" s="15"/>
      <c r="N5025" s="15"/>
      <c r="O5025" s="16"/>
      <c r="Q5025" s="16"/>
    </row>
    <row r="5026" spans="1:17" x14ac:dyDescent="0.3">
      <c r="A5026" s="5"/>
      <c r="B5026" s="6"/>
      <c r="C5026" s="7"/>
      <c r="D5026" s="10"/>
      <c r="F5026" s="1"/>
      <c r="G5026" s="1"/>
      <c r="H5026" s="1"/>
      <c r="I5026" s="7"/>
      <c r="J5026" s="12"/>
      <c r="K5026" s="13"/>
      <c r="L5026" s="14"/>
      <c r="M5026" s="15"/>
      <c r="N5026" s="15"/>
      <c r="O5026" s="16"/>
      <c r="Q5026" s="16"/>
    </row>
    <row r="5027" spans="1:17" x14ac:dyDescent="0.3">
      <c r="A5027" s="5"/>
      <c r="B5027" s="6"/>
      <c r="C5027" s="7"/>
      <c r="D5027" s="10"/>
      <c r="F5027" s="1"/>
      <c r="G5027" s="1"/>
      <c r="H5027" s="1"/>
      <c r="I5027" s="7"/>
      <c r="J5027" s="12"/>
      <c r="K5027" s="13"/>
      <c r="L5027" s="14"/>
      <c r="M5027" s="15"/>
      <c r="N5027" s="15"/>
      <c r="O5027" s="16"/>
      <c r="Q5027" s="16"/>
    </row>
    <row r="5028" spans="1:17" x14ac:dyDescent="0.3">
      <c r="A5028" s="5"/>
      <c r="B5028" s="6"/>
      <c r="C5028" s="7"/>
      <c r="D5028" s="10"/>
      <c r="F5028" s="1"/>
      <c r="G5028" s="1"/>
      <c r="H5028" s="1"/>
      <c r="I5028" s="7"/>
      <c r="J5028" s="12"/>
      <c r="K5028" s="13"/>
      <c r="L5028" s="14"/>
      <c r="M5028" s="15"/>
      <c r="N5028" s="15"/>
      <c r="O5028" s="16"/>
      <c r="Q5028" s="16"/>
    </row>
    <row r="5029" spans="1:17" x14ac:dyDescent="0.3">
      <c r="A5029" s="5"/>
      <c r="B5029" s="6"/>
      <c r="C5029" s="7"/>
      <c r="D5029" s="10"/>
      <c r="F5029" s="1"/>
      <c r="G5029" s="1"/>
      <c r="H5029" s="1"/>
      <c r="I5029" s="7"/>
      <c r="J5029" s="12"/>
      <c r="K5029" s="13"/>
      <c r="L5029" s="14"/>
      <c r="M5029" s="15"/>
      <c r="N5029" s="15"/>
      <c r="O5029" s="16"/>
      <c r="Q5029" s="16"/>
    </row>
    <row r="5030" spans="1:17" x14ac:dyDescent="0.3">
      <c r="A5030" s="5"/>
      <c r="B5030" s="6"/>
      <c r="C5030" s="7"/>
      <c r="D5030" s="10"/>
      <c r="F5030" s="1"/>
      <c r="G5030" s="1"/>
      <c r="H5030" s="1"/>
      <c r="I5030" s="7"/>
      <c r="J5030" s="12"/>
      <c r="K5030" s="13"/>
      <c r="L5030" s="14"/>
      <c r="M5030" s="15"/>
      <c r="N5030" s="15"/>
      <c r="O5030" s="16"/>
      <c r="Q5030" s="16"/>
    </row>
    <row r="5031" spans="1:17" x14ac:dyDescent="0.3">
      <c r="A5031" s="5"/>
      <c r="B5031" s="6"/>
      <c r="C5031" s="7"/>
      <c r="D5031" s="10"/>
      <c r="F5031" s="1"/>
      <c r="G5031" s="1"/>
      <c r="H5031" s="1"/>
      <c r="I5031" s="7"/>
      <c r="J5031" s="12"/>
      <c r="K5031" s="13"/>
      <c r="L5031" s="14"/>
      <c r="M5031" s="15"/>
      <c r="N5031" s="15"/>
      <c r="O5031" s="16"/>
      <c r="Q5031" s="16"/>
    </row>
    <row r="5032" spans="1:17" x14ac:dyDescent="0.3">
      <c r="A5032" s="5"/>
      <c r="B5032" s="6"/>
      <c r="C5032" s="7"/>
      <c r="D5032" s="10"/>
      <c r="F5032" s="1"/>
      <c r="G5032" s="1"/>
      <c r="H5032" s="1"/>
      <c r="I5032" s="7"/>
      <c r="J5032" s="12"/>
      <c r="K5032" s="13"/>
      <c r="L5032" s="14"/>
      <c r="M5032" s="15"/>
      <c r="N5032" s="15"/>
      <c r="O5032" s="16"/>
      <c r="Q5032" s="16"/>
    </row>
    <row r="5033" spans="1:17" x14ac:dyDescent="0.3">
      <c r="A5033" s="5"/>
      <c r="B5033" s="6"/>
      <c r="C5033" s="7"/>
      <c r="D5033" s="10"/>
      <c r="F5033" s="1"/>
      <c r="G5033" s="1"/>
      <c r="H5033" s="1"/>
      <c r="I5033" s="7"/>
      <c r="J5033" s="12"/>
      <c r="K5033" s="13"/>
      <c r="L5033" s="14"/>
      <c r="M5033" s="15"/>
      <c r="N5033" s="15"/>
      <c r="O5033" s="16"/>
      <c r="Q5033" s="16"/>
    </row>
    <row r="5034" spans="1:17" x14ac:dyDescent="0.3">
      <c r="A5034" s="5"/>
      <c r="B5034" s="6"/>
      <c r="C5034" s="7"/>
      <c r="D5034" s="10"/>
      <c r="F5034" s="1"/>
      <c r="G5034" s="1"/>
      <c r="H5034" s="1"/>
      <c r="I5034" s="7"/>
      <c r="J5034" s="12"/>
      <c r="K5034" s="13"/>
      <c r="L5034" s="14"/>
      <c r="M5034" s="15"/>
      <c r="N5034" s="15"/>
      <c r="O5034" s="16"/>
      <c r="Q5034" s="16"/>
    </row>
    <row r="5035" spans="1:17" x14ac:dyDescent="0.3">
      <c r="A5035" s="5"/>
      <c r="B5035" s="6"/>
      <c r="C5035" s="7"/>
      <c r="D5035" s="10"/>
      <c r="F5035" s="1"/>
      <c r="G5035" s="1"/>
      <c r="H5035" s="1"/>
      <c r="I5035" s="7"/>
      <c r="J5035" s="12"/>
      <c r="K5035" s="13"/>
      <c r="L5035" s="14"/>
      <c r="M5035" s="15"/>
      <c r="N5035" s="15"/>
      <c r="O5035" s="16"/>
      <c r="Q5035" s="16"/>
    </row>
    <row r="5036" spans="1:17" x14ac:dyDescent="0.3">
      <c r="A5036" s="5"/>
      <c r="B5036" s="6"/>
      <c r="C5036" s="7"/>
      <c r="D5036" s="10"/>
      <c r="F5036" s="1"/>
      <c r="G5036" s="1"/>
      <c r="H5036" s="1"/>
      <c r="I5036" s="7"/>
      <c r="J5036" s="12"/>
      <c r="K5036" s="13"/>
      <c r="L5036" s="14"/>
      <c r="M5036" s="15"/>
      <c r="N5036" s="15"/>
      <c r="O5036" s="16"/>
      <c r="Q5036" s="16"/>
    </row>
    <row r="5037" spans="1:17" x14ac:dyDescent="0.3">
      <c r="A5037" s="5"/>
      <c r="B5037" s="6"/>
      <c r="C5037" s="7"/>
      <c r="D5037" s="10"/>
      <c r="F5037" s="1"/>
      <c r="G5037" s="1"/>
      <c r="H5037" s="1"/>
      <c r="I5037" s="7"/>
      <c r="J5037" s="12"/>
      <c r="K5037" s="13"/>
      <c r="L5037" s="14"/>
      <c r="M5037" s="15"/>
      <c r="N5037" s="15"/>
      <c r="O5037" s="16"/>
      <c r="Q5037" s="16"/>
    </row>
    <row r="5038" spans="1:17" x14ac:dyDescent="0.3">
      <c r="A5038" s="5"/>
      <c r="B5038" s="6"/>
      <c r="C5038" s="7"/>
      <c r="D5038" s="10"/>
      <c r="F5038" s="1"/>
      <c r="G5038" s="1"/>
      <c r="H5038" s="1"/>
      <c r="I5038" s="7"/>
      <c r="J5038" s="12"/>
      <c r="K5038" s="13"/>
      <c r="L5038" s="14"/>
      <c r="M5038" s="15"/>
      <c r="N5038" s="15"/>
      <c r="O5038" s="16"/>
      <c r="Q5038" s="16"/>
    </row>
    <row r="5039" spans="1:17" x14ac:dyDescent="0.3">
      <c r="A5039" s="5"/>
      <c r="B5039" s="6"/>
      <c r="C5039" s="7"/>
      <c r="D5039" s="10"/>
      <c r="F5039" s="1"/>
      <c r="G5039" s="1"/>
      <c r="H5039" s="1"/>
      <c r="I5039" s="7"/>
      <c r="J5039" s="12"/>
      <c r="K5039" s="13"/>
      <c r="L5039" s="14"/>
      <c r="M5039" s="15"/>
      <c r="N5039" s="15"/>
      <c r="O5039" s="16"/>
      <c r="Q5039" s="16"/>
    </row>
    <row r="5040" spans="1:17" x14ac:dyDescent="0.3">
      <c r="A5040" s="5"/>
      <c r="B5040" s="6"/>
      <c r="C5040" s="7"/>
      <c r="D5040" s="10"/>
      <c r="F5040" s="1"/>
      <c r="G5040" s="1"/>
      <c r="H5040" s="1"/>
      <c r="I5040" s="7"/>
      <c r="J5040" s="12"/>
      <c r="K5040" s="13"/>
      <c r="L5040" s="14"/>
      <c r="M5040" s="15"/>
      <c r="N5040" s="15"/>
      <c r="O5040" s="16"/>
      <c r="Q5040" s="16"/>
    </row>
    <row r="5041" spans="1:17" x14ac:dyDescent="0.3">
      <c r="A5041" s="5"/>
      <c r="B5041" s="6"/>
      <c r="C5041" s="7"/>
      <c r="D5041" s="10"/>
      <c r="F5041" s="1"/>
      <c r="G5041" s="1"/>
      <c r="H5041" s="1"/>
      <c r="I5041" s="7"/>
      <c r="J5041" s="12"/>
      <c r="K5041" s="13"/>
      <c r="L5041" s="14"/>
      <c r="M5041" s="15"/>
      <c r="N5041" s="15"/>
      <c r="O5041" s="16"/>
      <c r="Q5041" s="16"/>
    </row>
    <row r="5042" spans="1:17" x14ac:dyDescent="0.3">
      <c r="A5042" s="5"/>
      <c r="B5042" s="6"/>
      <c r="C5042" s="7"/>
      <c r="D5042" s="10"/>
      <c r="F5042" s="1"/>
      <c r="G5042" s="1"/>
      <c r="H5042" s="1"/>
      <c r="I5042" s="7"/>
      <c r="J5042" s="12"/>
      <c r="K5042" s="13"/>
      <c r="L5042" s="14"/>
      <c r="M5042" s="15"/>
      <c r="N5042" s="15"/>
      <c r="O5042" s="16"/>
      <c r="Q5042" s="16"/>
    </row>
    <row r="5043" spans="1:17" x14ac:dyDescent="0.3">
      <c r="A5043" s="5"/>
      <c r="B5043" s="6"/>
      <c r="C5043" s="7"/>
      <c r="D5043" s="10"/>
      <c r="F5043" s="1"/>
      <c r="G5043" s="1"/>
      <c r="H5043" s="1"/>
      <c r="I5043" s="7"/>
      <c r="J5043" s="12"/>
      <c r="K5043" s="13"/>
      <c r="L5043" s="14"/>
      <c r="M5043" s="15"/>
      <c r="N5043" s="15"/>
      <c r="O5043" s="16"/>
      <c r="Q5043" s="16"/>
    </row>
    <row r="5044" spans="1:17" x14ac:dyDescent="0.3">
      <c r="A5044" s="5"/>
      <c r="B5044" s="6"/>
      <c r="C5044" s="7"/>
      <c r="D5044" s="10"/>
      <c r="F5044" s="1"/>
      <c r="G5044" s="1"/>
      <c r="H5044" s="1"/>
      <c r="I5044" s="7"/>
      <c r="J5044" s="12"/>
      <c r="K5044" s="13"/>
      <c r="L5044" s="14"/>
      <c r="M5044" s="15"/>
      <c r="N5044" s="15"/>
      <c r="O5044" s="16"/>
      <c r="Q5044" s="16"/>
    </row>
    <row r="5045" spans="1:17" x14ac:dyDescent="0.3">
      <c r="A5045" s="5"/>
      <c r="B5045" s="6"/>
      <c r="C5045" s="7"/>
      <c r="D5045" s="10"/>
      <c r="F5045" s="1"/>
      <c r="G5045" s="1"/>
      <c r="H5045" s="1"/>
      <c r="I5045" s="7"/>
      <c r="J5045" s="12"/>
      <c r="K5045" s="13"/>
      <c r="L5045" s="14"/>
      <c r="M5045" s="15"/>
      <c r="N5045" s="15"/>
      <c r="O5045" s="16"/>
      <c r="Q5045" s="16"/>
    </row>
    <row r="5046" spans="1:17" x14ac:dyDescent="0.3">
      <c r="A5046" s="5"/>
      <c r="B5046" s="6"/>
      <c r="C5046" s="7"/>
      <c r="D5046" s="10"/>
      <c r="F5046" s="1"/>
      <c r="G5046" s="1"/>
      <c r="H5046" s="1"/>
      <c r="I5046" s="7"/>
      <c r="J5046" s="12"/>
      <c r="K5046" s="13"/>
      <c r="L5046" s="14"/>
      <c r="M5046" s="15"/>
      <c r="N5046" s="15"/>
      <c r="O5046" s="16"/>
      <c r="Q5046" s="16"/>
    </row>
    <row r="5047" spans="1:17" x14ac:dyDescent="0.3">
      <c r="A5047" s="5"/>
      <c r="B5047" s="6"/>
      <c r="C5047" s="7"/>
      <c r="D5047" s="10"/>
      <c r="F5047" s="1"/>
      <c r="G5047" s="1"/>
      <c r="H5047" s="1"/>
      <c r="I5047" s="7"/>
      <c r="J5047" s="12"/>
      <c r="K5047" s="13"/>
      <c r="L5047" s="14"/>
      <c r="M5047" s="15"/>
      <c r="N5047" s="15"/>
      <c r="O5047" s="16"/>
      <c r="Q5047" s="16"/>
    </row>
    <row r="5048" spans="1:17" x14ac:dyDescent="0.3">
      <c r="A5048" s="5"/>
      <c r="B5048" s="6"/>
      <c r="C5048" s="7"/>
      <c r="D5048" s="10"/>
      <c r="F5048" s="1"/>
      <c r="G5048" s="1"/>
      <c r="H5048" s="1"/>
      <c r="I5048" s="7"/>
      <c r="J5048" s="12"/>
      <c r="K5048" s="13"/>
      <c r="L5048" s="14"/>
      <c r="M5048" s="15"/>
      <c r="N5048" s="15"/>
      <c r="O5048" s="16"/>
      <c r="Q5048" s="16"/>
    </row>
    <row r="5049" spans="1:17" x14ac:dyDescent="0.3">
      <c r="A5049" s="5"/>
      <c r="B5049" s="6"/>
      <c r="C5049" s="7"/>
      <c r="D5049" s="10"/>
      <c r="F5049" s="1"/>
      <c r="G5049" s="1"/>
      <c r="H5049" s="1"/>
      <c r="I5049" s="7"/>
      <c r="J5049" s="12"/>
      <c r="K5049" s="13"/>
      <c r="L5049" s="14"/>
      <c r="M5049" s="15"/>
      <c r="N5049" s="15"/>
      <c r="O5049" s="16"/>
      <c r="Q5049" s="16"/>
    </row>
    <row r="5050" spans="1:17" x14ac:dyDescent="0.3">
      <c r="A5050" s="5"/>
      <c r="B5050" s="6"/>
      <c r="C5050" s="7"/>
      <c r="D5050" s="10"/>
      <c r="F5050" s="1"/>
      <c r="G5050" s="1"/>
      <c r="H5050" s="1"/>
      <c r="I5050" s="7"/>
      <c r="J5050" s="12"/>
      <c r="K5050" s="13"/>
      <c r="L5050" s="14"/>
      <c r="M5050" s="15"/>
      <c r="N5050" s="15"/>
      <c r="O5050" s="16"/>
      <c r="Q5050" s="16"/>
    </row>
    <row r="5051" spans="1:17" x14ac:dyDescent="0.3">
      <c r="A5051" s="5"/>
      <c r="B5051" s="6"/>
      <c r="C5051" s="7"/>
      <c r="D5051" s="10"/>
      <c r="F5051" s="1"/>
      <c r="G5051" s="1"/>
      <c r="H5051" s="1"/>
      <c r="I5051" s="7"/>
      <c r="J5051" s="12"/>
      <c r="K5051" s="13"/>
      <c r="L5051" s="14"/>
      <c r="M5051" s="15"/>
      <c r="N5051" s="15"/>
      <c r="O5051" s="16"/>
      <c r="Q5051" s="16"/>
    </row>
    <row r="5052" spans="1:17" x14ac:dyDescent="0.3">
      <c r="A5052" s="5"/>
      <c r="B5052" s="6"/>
      <c r="C5052" s="7"/>
      <c r="D5052" s="10"/>
      <c r="F5052" s="1"/>
      <c r="G5052" s="1"/>
      <c r="H5052" s="1"/>
      <c r="I5052" s="7"/>
      <c r="J5052" s="12"/>
      <c r="K5052" s="13"/>
      <c r="L5052" s="14"/>
      <c r="M5052" s="15"/>
      <c r="N5052" s="15"/>
      <c r="O5052" s="16"/>
      <c r="Q5052" s="16"/>
    </row>
    <row r="5053" spans="1:17" x14ac:dyDescent="0.3">
      <c r="A5053" s="5"/>
      <c r="B5053" s="6"/>
      <c r="C5053" s="7"/>
      <c r="D5053" s="10"/>
      <c r="F5053" s="1"/>
      <c r="G5053" s="1"/>
      <c r="H5053" s="1"/>
      <c r="I5053" s="7"/>
      <c r="J5053" s="12"/>
      <c r="K5053" s="13"/>
      <c r="L5053" s="14"/>
      <c r="M5053" s="15"/>
      <c r="N5053" s="15"/>
      <c r="O5053" s="16"/>
      <c r="Q5053" s="16"/>
    </row>
    <row r="5054" spans="1:17" x14ac:dyDescent="0.3">
      <c r="A5054" s="5"/>
      <c r="B5054" s="6"/>
      <c r="C5054" s="7"/>
      <c r="D5054" s="10"/>
      <c r="F5054" s="1"/>
      <c r="G5054" s="1"/>
      <c r="H5054" s="1"/>
      <c r="I5054" s="7"/>
      <c r="J5054" s="12"/>
      <c r="K5054" s="13"/>
      <c r="L5054" s="14"/>
      <c r="M5054" s="15"/>
      <c r="N5054" s="15"/>
      <c r="O5054" s="16"/>
      <c r="Q5054" s="16"/>
    </row>
    <row r="5055" spans="1:17" x14ac:dyDescent="0.3">
      <c r="A5055" s="5"/>
      <c r="B5055" s="6"/>
      <c r="C5055" s="7"/>
      <c r="D5055" s="10"/>
      <c r="F5055" s="1"/>
      <c r="G5055" s="1"/>
      <c r="H5055" s="1"/>
      <c r="I5055" s="7"/>
      <c r="J5055" s="12"/>
      <c r="K5055" s="13"/>
      <c r="L5055" s="14"/>
      <c r="M5055" s="15"/>
      <c r="N5055" s="15"/>
      <c r="O5055" s="16"/>
      <c r="Q5055" s="16"/>
    </row>
    <row r="5056" spans="1:17" x14ac:dyDescent="0.3">
      <c r="A5056" s="5"/>
      <c r="B5056" s="6"/>
      <c r="C5056" s="7"/>
      <c r="D5056" s="10"/>
      <c r="F5056" s="1"/>
      <c r="G5056" s="1"/>
      <c r="H5056" s="1"/>
      <c r="I5056" s="7"/>
      <c r="J5056" s="12"/>
      <c r="K5056" s="13"/>
      <c r="L5056" s="14"/>
      <c r="M5056" s="15"/>
      <c r="N5056" s="15"/>
      <c r="O5056" s="16"/>
      <c r="Q5056" s="16"/>
    </row>
    <row r="5057" spans="1:17" x14ac:dyDescent="0.3">
      <c r="A5057" s="5"/>
      <c r="B5057" s="6"/>
      <c r="C5057" s="7"/>
      <c r="D5057" s="10"/>
      <c r="F5057" s="1"/>
      <c r="G5057" s="1"/>
      <c r="H5057" s="1"/>
      <c r="I5057" s="7"/>
      <c r="J5057" s="12"/>
      <c r="K5057" s="13"/>
      <c r="L5057" s="14"/>
      <c r="M5057" s="15"/>
      <c r="N5057" s="15"/>
      <c r="O5057" s="16"/>
      <c r="Q5057" s="16"/>
    </row>
    <row r="5058" spans="1:17" x14ac:dyDescent="0.3">
      <c r="A5058" s="5"/>
      <c r="B5058" s="6"/>
      <c r="C5058" s="7"/>
      <c r="D5058" s="10"/>
      <c r="F5058" s="1"/>
      <c r="G5058" s="1"/>
      <c r="H5058" s="1"/>
      <c r="I5058" s="7"/>
      <c r="J5058" s="12"/>
      <c r="K5058" s="13"/>
      <c r="L5058" s="14"/>
      <c r="M5058" s="15"/>
      <c r="N5058" s="15"/>
      <c r="O5058" s="16"/>
      <c r="Q5058" s="16"/>
    </row>
    <row r="5059" spans="1:17" x14ac:dyDescent="0.3">
      <c r="A5059" s="5"/>
      <c r="B5059" s="6"/>
      <c r="C5059" s="7"/>
      <c r="D5059" s="10"/>
      <c r="F5059" s="1"/>
      <c r="G5059" s="1"/>
      <c r="H5059" s="1"/>
      <c r="I5059" s="7"/>
      <c r="J5059" s="12"/>
      <c r="K5059" s="13"/>
      <c r="L5059" s="14"/>
      <c r="M5059" s="15"/>
      <c r="N5059" s="15"/>
      <c r="O5059" s="16"/>
      <c r="Q5059" s="16"/>
    </row>
    <row r="5060" spans="1:17" x14ac:dyDescent="0.3">
      <c r="A5060" s="5"/>
      <c r="B5060" s="6"/>
      <c r="C5060" s="7"/>
      <c r="D5060" s="10"/>
      <c r="F5060" s="1"/>
      <c r="G5060" s="1"/>
      <c r="H5060" s="1"/>
      <c r="I5060" s="7"/>
      <c r="J5060" s="12"/>
      <c r="K5060" s="13"/>
      <c r="L5060" s="14"/>
      <c r="M5060" s="15"/>
      <c r="N5060" s="15"/>
      <c r="O5060" s="16"/>
      <c r="Q5060" s="16"/>
    </row>
    <row r="5061" spans="1:17" x14ac:dyDescent="0.3">
      <c r="A5061" s="5"/>
      <c r="B5061" s="6"/>
      <c r="C5061" s="7"/>
      <c r="D5061" s="10"/>
      <c r="F5061" s="1"/>
      <c r="G5061" s="1"/>
      <c r="H5061" s="1"/>
      <c r="I5061" s="7"/>
      <c r="J5061" s="12"/>
      <c r="K5061" s="13"/>
      <c r="L5061" s="14"/>
      <c r="M5061" s="15"/>
      <c r="N5061" s="15"/>
      <c r="O5061" s="16"/>
      <c r="Q5061" s="16"/>
    </row>
    <row r="5062" spans="1:17" x14ac:dyDescent="0.3">
      <c r="A5062" s="5"/>
      <c r="B5062" s="6"/>
      <c r="C5062" s="7"/>
      <c r="D5062" s="10"/>
      <c r="F5062" s="1"/>
      <c r="G5062" s="1"/>
      <c r="H5062" s="1"/>
      <c r="I5062" s="7"/>
      <c r="J5062" s="12"/>
      <c r="K5062" s="13"/>
      <c r="L5062" s="14"/>
      <c r="M5062" s="15"/>
      <c r="N5062" s="15"/>
      <c r="O5062" s="16"/>
      <c r="Q5062" s="16"/>
    </row>
    <row r="5063" spans="1:17" x14ac:dyDescent="0.3">
      <c r="A5063" s="5"/>
      <c r="B5063" s="6"/>
      <c r="C5063" s="7"/>
      <c r="D5063" s="10"/>
      <c r="F5063" s="1"/>
      <c r="G5063" s="1"/>
      <c r="H5063" s="1"/>
      <c r="I5063" s="7"/>
      <c r="J5063" s="12"/>
      <c r="K5063" s="13"/>
      <c r="L5063" s="14"/>
      <c r="M5063" s="15"/>
      <c r="N5063" s="15"/>
      <c r="O5063" s="16"/>
      <c r="Q5063" s="16"/>
    </row>
    <row r="5064" spans="1:17" x14ac:dyDescent="0.3">
      <c r="A5064" s="5"/>
      <c r="B5064" s="6"/>
      <c r="C5064" s="7"/>
      <c r="D5064" s="10"/>
      <c r="F5064" s="1"/>
      <c r="G5064" s="1"/>
      <c r="H5064" s="1"/>
      <c r="I5064" s="7"/>
      <c r="J5064" s="12"/>
      <c r="K5064" s="13"/>
      <c r="L5064" s="14"/>
      <c r="M5064" s="15"/>
      <c r="N5064" s="15"/>
      <c r="O5064" s="16"/>
      <c r="Q5064" s="16"/>
    </row>
    <row r="5065" spans="1:17" x14ac:dyDescent="0.3">
      <c r="A5065" s="5"/>
      <c r="B5065" s="6"/>
      <c r="C5065" s="7"/>
      <c r="D5065" s="10"/>
      <c r="F5065" s="1"/>
      <c r="G5065" s="1"/>
      <c r="H5065" s="1"/>
      <c r="I5065" s="7"/>
      <c r="J5065" s="12"/>
      <c r="K5065" s="13"/>
      <c r="L5065" s="14"/>
      <c r="M5065" s="15"/>
      <c r="N5065" s="15"/>
      <c r="O5065" s="16"/>
      <c r="Q5065" s="16"/>
    </row>
    <row r="5066" spans="1:17" x14ac:dyDescent="0.3">
      <c r="A5066" s="5"/>
      <c r="B5066" s="6"/>
      <c r="C5066" s="7"/>
      <c r="D5066" s="10"/>
      <c r="F5066" s="1"/>
      <c r="G5066" s="1"/>
      <c r="H5066" s="1"/>
      <c r="I5066" s="7"/>
      <c r="J5066" s="12"/>
      <c r="K5066" s="13"/>
      <c r="L5066" s="14"/>
      <c r="M5066" s="15"/>
      <c r="N5066" s="15"/>
      <c r="O5066" s="16"/>
      <c r="Q5066" s="16"/>
    </row>
    <row r="5067" spans="1:17" x14ac:dyDescent="0.3">
      <c r="A5067" s="5"/>
      <c r="B5067" s="6"/>
      <c r="C5067" s="7"/>
      <c r="D5067" s="10"/>
      <c r="F5067" s="1"/>
      <c r="G5067" s="1"/>
      <c r="H5067" s="1"/>
      <c r="I5067" s="7"/>
      <c r="J5067" s="12"/>
      <c r="K5067" s="13"/>
      <c r="L5067" s="14"/>
      <c r="M5067" s="15"/>
      <c r="N5067" s="15"/>
      <c r="O5067" s="16"/>
      <c r="Q5067" s="16"/>
    </row>
    <row r="5068" spans="1:17" x14ac:dyDescent="0.3">
      <c r="A5068" s="5"/>
      <c r="B5068" s="6"/>
      <c r="C5068" s="7"/>
      <c r="D5068" s="10"/>
      <c r="F5068" s="1"/>
      <c r="G5068" s="1"/>
      <c r="H5068" s="1"/>
      <c r="I5068" s="7"/>
      <c r="J5068" s="12"/>
      <c r="K5068" s="13"/>
      <c r="L5068" s="14"/>
      <c r="M5068" s="15"/>
      <c r="N5068" s="15"/>
      <c r="O5068" s="16"/>
      <c r="Q5068" s="16"/>
    </row>
    <row r="5069" spans="1:17" x14ac:dyDescent="0.3">
      <c r="A5069" s="5"/>
      <c r="B5069" s="6"/>
      <c r="C5069" s="7"/>
      <c r="D5069" s="10"/>
      <c r="F5069" s="1"/>
      <c r="G5069" s="1"/>
      <c r="H5069" s="1"/>
      <c r="I5069" s="7"/>
      <c r="J5069" s="12"/>
      <c r="K5069" s="13"/>
      <c r="L5069" s="14"/>
      <c r="M5069" s="15"/>
      <c r="N5069" s="15"/>
      <c r="O5069" s="16"/>
      <c r="Q5069" s="16"/>
    </row>
    <row r="5070" spans="1:17" x14ac:dyDescent="0.3">
      <c r="A5070" s="5"/>
      <c r="B5070" s="6"/>
      <c r="C5070" s="7"/>
      <c r="D5070" s="10"/>
      <c r="F5070" s="1"/>
      <c r="G5070" s="1"/>
      <c r="H5070" s="1"/>
      <c r="I5070" s="7"/>
      <c r="J5070" s="12"/>
      <c r="K5070" s="13"/>
      <c r="L5070" s="14"/>
      <c r="M5070" s="15"/>
      <c r="N5070" s="15"/>
      <c r="O5070" s="16"/>
      <c r="Q5070" s="16"/>
    </row>
    <row r="5071" spans="1:17" x14ac:dyDescent="0.3">
      <c r="A5071" s="5"/>
      <c r="B5071" s="6"/>
      <c r="C5071" s="7"/>
      <c r="D5071" s="10"/>
      <c r="F5071" s="1"/>
      <c r="G5071" s="1"/>
      <c r="H5071" s="1"/>
      <c r="I5071" s="7"/>
      <c r="J5071" s="12"/>
      <c r="K5071" s="13"/>
      <c r="L5071" s="14"/>
      <c r="M5071" s="15"/>
      <c r="N5071" s="15"/>
      <c r="O5071" s="16"/>
      <c r="Q5071" s="16"/>
    </row>
    <row r="5072" spans="1:17" x14ac:dyDescent="0.3">
      <c r="A5072" s="5"/>
      <c r="B5072" s="6"/>
      <c r="C5072" s="7"/>
      <c r="D5072" s="10"/>
      <c r="F5072" s="1"/>
      <c r="G5072" s="1"/>
      <c r="H5072" s="1"/>
      <c r="I5072" s="7"/>
      <c r="J5072" s="12"/>
      <c r="K5072" s="13"/>
      <c r="L5072" s="14"/>
      <c r="M5072" s="15"/>
      <c r="N5072" s="15"/>
      <c r="O5072" s="16"/>
      <c r="Q5072" s="16"/>
    </row>
    <row r="5073" spans="1:17" x14ac:dyDescent="0.3">
      <c r="A5073" s="5"/>
      <c r="B5073" s="6"/>
      <c r="C5073" s="7"/>
      <c r="D5073" s="10"/>
      <c r="F5073" s="1"/>
      <c r="G5073" s="1"/>
      <c r="H5073" s="1"/>
      <c r="I5073" s="7"/>
      <c r="J5073" s="12"/>
      <c r="K5073" s="13"/>
      <c r="L5073" s="14"/>
      <c r="M5073" s="15"/>
      <c r="N5073" s="15"/>
      <c r="O5073" s="16"/>
      <c r="Q5073" s="16"/>
    </row>
    <row r="5074" spans="1:17" x14ac:dyDescent="0.3">
      <c r="A5074" s="5"/>
      <c r="B5074" s="6"/>
      <c r="C5074" s="7"/>
      <c r="D5074" s="10"/>
      <c r="F5074" s="1"/>
      <c r="G5074" s="1"/>
      <c r="H5074" s="1"/>
      <c r="I5074" s="7"/>
      <c r="J5074" s="12"/>
      <c r="K5074" s="13"/>
      <c r="L5074" s="14"/>
      <c r="M5074" s="15"/>
      <c r="N5074" s="15"/>
      <c r="O5074" s="16"/>
      <c r="Q5074" s="16"/>
    </row>
    <row r="5075" spans="1:17" x14ac:dyDescent="0.3">
      <c r="A5075" s="5"/>
      <c r="B5075" s="6"/>
      <c r="C5075" s="7"/>
      <c r="D5075" s="10"/>
      <c r="F5075" s="1"/>
      <c r="G5075" s="1"/>
      <c r="H5075" s="1"/>
      <c r="I5075" s="7"/>
      <c r="J5075" s="12"/>
      <c r="K5075" s="13"/>
      <c r="L5075" s="14"/>
      <c r="M5075" s="15"/>
      <c r="N5075" s="15"/>
      <c r="O5075" s="16"/>
      <c r="Q5075" s="16"/>
    </row>
    <row r="5076" spans="1:17" x14ac:dyDescent="0.3">
      <c r="A5076" s="5"/>
      <c r="B5076" s="6"/>
      <c r="C5076" s="7"/>
      <c r="D5076" s="10"/>
      <c r="F5076" s="1"/>
      <c r="G5076" s="1"/>
      <c r="H5076" s="1"/>
      <c r="I5076" s="7"/>
      <c r="J5076" s="12"/>
      <c r="K5076" s="13"/>
      <c r="L5076" s="14"/>
      <c r="M5076" s="15"/>
      <c r="N5076" s="15"/>
      <c r="O5076" s="16"/>
      <c r="Q5076" s="16"/>
    </row>
    <row r="5077" spans="1:17" x14ac:dyDescent="0.3">
      <c r="A5077" s="5"/>
      <c r="B5077" s="6"/>
      <c r="C5077" s="7"/>
      <c r="D5077" s="10"/>
      <c r="F5077" s="1"/>
      <c r="G5077" s="1"/>
      <c r="H5077" s="1"/>
      <c r="I5077" s="7"/>
      <c r="J5077" s="12"/>
      <c r="K5077" s="13"/>
      <c r="L5077" s="14"/>
      <c r="M5077" s="15"/>
      <c r="N5077" s="15"/>
      <c r="O5077" s="16"/>
      <c r="Q5077" s="16"/>
    </row>
    <row r="5078" spans="1:17" x14ac:dyDescent="0.3">
      <c r="A5078" s="5"/>
      <c r="B5078" s="6"/>
      <c r="C5078" s="7"/>
      <c r="D5078" s="10"/>
      <c r="F5078" s="1"/>
      <c r="G5078" s="1"/>
      <c r="H5078" s="1"/>
      <c r="I5078" s="7"/>
      <c r="J5078" s="12"/>
      <c r="K5078" s="13"/>
      <c r="L5078" s="14"/>
      <c r="M5078" s="15"/>
      <c r="N5078" s="15"/>
      <c r="O5078" s="16"/>
      <c r="Q5078" s="16"/>
    </row>
    <row r="5079" spans="1:17" x14ac:dyDescent="0.3">
      <c r="A5079" s="5"/>
      <c r="B5079" s="6"/>
      <c r="C5079" s="7"/>
      <c r="D5079" s="10"/>
      <c r="F5079" s="1"/>
      <c r="G5079" s="1"/>
      <c r="H5079" s="1"/>
      <c r="I5079" s="7"/>
      <c r="J5079" s="12"/>
      <c r="K5079" s="13"/>
      <c r="L5079" s="14"/>
      <c r="M5079" s="15"/>
      <c r="N5079" s="15"/>
      <c r="O5079" s="16"/>
      <c r="Q5079" s="16"/>
    </row>
    <row r="5080" spans="1:17" x14ac:dyDescent="0.3">
      <c r="A5080" s="5"/>
      <c r="B5080" s="6"/>
      <c r="C5080" s="7"/>
      <c r="D5080" s="10"/>
      <c r="F5080" s="1"/>
      <c r="G5080" s="1"/>
      <c r="H5080" s="1"/>
      <c r="I5080" s="7"/>
      <c r="J5080" s="12"/>
      <c r="K5080" s="13"/>
      <c r="L5080" s="14"/>
      <c r="M5080" s="15"/>
      <c r="N5080" s="15"/>
      <c r="O5080" s="16"/>
      <c r="Q5080" s="16"/>
    </row>
    <row r="5081" spans="1:17" x14ac:dyDescent="0.3">
      <c r="A5081" s="5"/>
      <c r="B5081" s="6"/>
      <c r="C5081" s="7"/>
      <c r="D5081" s="10"/>
      <c r="F5081" s="1"/>
      <c r="G5081" s="1"/>
      <c r="H5081" s="1"/>
      <c r="I5081" s="7"/>
      <c r="J5081" s="12"/>
      <c r="K5081" s="13"/>
      <c r="L5081" s="14"/>
      <c r="M5081" s="15"/>
      <c r="N5081" s="15"/>
      <c r="O5081" s="16"/>
      <c r="Q5081" s="16"/>
    </row>
    <row r="5082" spans="1:17" x14ac:dyDescent="0.3">
      <c r="A5082" s="5"/>
      <c r="B5082" s="6"/>
      <c r="C5082" s="7"/>
      <c r="D5082" s="10"/>
      <c r="F5082" s="1"/>
      <c r="G5082" s="1"/>
      <c r="H5082" s="1"/>
      <c r="I5082" s="7"/>
      <c r="J5082" s="12"/>
      <c r="K5082" s="13"/>
      <c r="L5082" s="14"/>
      <c r="M5082" s="15"/>
      <c r="N5082" s="15"/>
      <c r="O5082" s="16"/>
      <c r="Q5082" s="16"/>
    </row>
    <row r="5083" spans="1:17" x14ac:dyDescent="0.3">
      <c r="A5083" s="5"/>
      <c r="B5083" s="6"/>
      <c r="C5083" s="7"/>
      <c r="D5083" s="10"/>
      <c r="F5083" s="1"/>
      <c r="G5083" s="1"/>
      <c r="H5083" s="1"/>
      <c r="I5083" s="7"/>
      <c r="J5083" s="12"/>
      <c r="K5083" s="13"/>
      <c r="L5083" s="14"/>
      <c r="M5083" s="15"/>
      <c r="N5083" s="15"/>
      <c r="O5083" s="16"/>
      <c r="Q5083" s="16"/>
    </row>
    <row r="5084" spans="1:17" x14ac:dyDescent="0.3">
      <c r="A5084" s="5"/>
      <c r="B5084" s="6"/>
      <c r="C5084" s="7"/>
      <c r="D5084" s="10"/>
      <c r="F5084" s="1"/>
      <c r="G5084" s="1"/>
      <c r="H5084" s="1"/>
      <c r="I5084" s="7"/>
      <c r="J5084" s="12"/>
      <c r="K5084" s="13"/>
      <c r="L5084" s="14"/>
      <c r="M5084" s="15"/>
      <c r="N5084" s="15"/>
      <c r="O5084" s="16"/>
      <c r="Q5084" s="16"/>
    </row>
    <row r="5085" spans="1:17" x14ac:dyDescent="0.3">
      <c r="A5085" s="5"/>
      <c r="B5085" s="6"/>
      <c r="C5085" s="7"/>
      <c r="D5085" s="10"/>
      <c r="F5085" s="1"/>
      <c r="G5085" s="1"/>
      <c r="H5085" s="1"/>
      <c r="I5085" s="7"/>
      <c r="J5085" s="12"/>
      <c r="K5085" s="13"/>
      <c r="L5085" s="14"/>
      <c r="M5085" s="15"/>
      <c r="N5085" s="15"/>
      <c r="O5085" s="16"/>
      <c r="Q5085" s="16"/>
    </row>
    <row r="5086" spans="1:17" x14ac:dyDescent="0.3">
      <c r="A5086" s="5"/>
      <c r="B5086" s="6"/>
      <c r="C5086" s="7"/>
      <c r="D5086" s="10"/>
      <c r="F5086" s="1"/>
      <c r="G5086" s="1"/>
      <c r="H5086" s="1"/>
      <c r="I5086" s="7"/>
      <c r="J5086" s="12"/>
      <c r="K5086" s="13"/>
      <c r="L5086" s="14"/>
      <c r="M5086" s="15"/>
      <c r="N5086" s="15"/>
      <c r="O5086" s="16"/>
      <c r="Q5086" s="16"/>
    </row>
    <row r="5087" spans="1:17" x14ac:dyDescent="0.3">
      <c r="A5087" s="5"/>
      <c r="B5087" s="6"/>
      <c r="C5087" s="7"/>
      <c r="D5087" s="10"/>
      <c r="F5087" s="1"/>
      <c r="G5087" s="1"/>
      <c r="H5087" s="1"/>
      <c r="I5087" s="7"/>
      <c r="J5087" s="12"/>
      <c r="K5087" s="13"/>
      <c r="L5087" s="14"/>
      <c r="M5087" s="15"/>
      <c r="N5087" s="15"/>
      <c r="O5087" s="16"/>
      <c r="Q5087" s="16"/>
    </row>
    <row r="5088" spans="1:17" x14ac:dyDescent="0.3">
      <c r="A5088" s="5"/>
      <c r="B5088" s="6"/>
      <c r="C5088" s="7"/>
      <c r="D5088" s="10"/>
      <c r="F5088" s="1"/>
      <c r="G5088" s="1"/>
      <c r="H5088" s="1"/>
      <c r="I5088" s="7"/>
      <c r="J5088" s="12"/>
      <c r="K5088" s="13"/>
      <c r="L5088" s="14"/>
      <c r="M5088" s="15"/>
      <c r="N5088" s="15"/>
      <c r="O5088" s="16"/>
      <c r="Q5088" s="16"/>
    </row>
    <row r="5089" spans="1:17" x14ac:dyDescent="0.3">
      <c r="A5089" s="5"/>
      <c r="B5089" s="6"/>
      <c r="C5089" s="7"/>
      <c r="D5089" s="10"/>
      <c r="F5089" s="1"/>
      <c r="G5089" s="1"/>
      <c r="H5089" s="1"/>
      <c r="I5089" s="7"/>
      <c r="J5089" s="12"/>
      <c r="K5089" s="13"/>
      <c r="L5089" s="14"/>
      <c r="M5089" s="15"/>
      <c r="N5089" s="15"/>
      <c r="O5089" s="16"/>
      <c r="Q5089" s="16"/>
    </row>
    <row r="5090" spans="1:17" x14ac:dyDescent="0.3">
      <c r="A5090" s="5"/>
      <c r="B5090" s="6"/>
      <c r="C5090" s="7"/>
      <c r="D5090" s="10"/>
      <c r="F5090" s="1"/>
      <c r="G5090" s="1"/>
      <c r="H5090" s="1"/>
      <c r="I5090" s="7"/>
      <c r="J5090" s="12"/>
      <c r="K5090" s="13"/>
      <c r="L5090" s="14"/>
      <c r="M5090" s="15"/>
      <c r="N5090" s="15"/>
      <c r="O5090" s="16"/>
      <c r="Q5090" s="16"/>
    </row>
    <row r="5091" spans="1:17" x14ac:dyDescent="0.3">
      <c r="A5091" s="5"/>
      <c r="B5091" s="6"/>
      <c r="C5091" s="7"/>
      <c r="D5091" s="10"/>
      <c r="F5091" s="1"/>
      <c r="G5091" s="1"/>
      <c r="H5091" s="1"/>
      <c r="I5091" s="7"/>
      <c r="J5091" s="12"/>
      <c r="K5091" s="13"/>
      <c r="L5091" s="14"/>
      <c r="M5091" s="15"/>
      <c r="N5091" s="15"/>
      <c r="O5091" s="16"/>
      <c r="Q5091" s="16"/>
    </row>
    <row r="5092" spans="1:17" x14ac:dyDescent="0.3">
      <c r="A5092" s="5"/>
      <c r="B5092" s="6"/>
      <c r="C5092" s="7"/>
      <c r="D5092" s="10"/>
      <c r="F5092" s="1"/>
      <c r="G5092" s="1"/>
      <c r="H5092" s="1"/>
      <c r="I5092" s="7"/>
      <c r="J5092" s="12"/>
      <c r="K5092" s="13"/>
      <c r="L5092" s="14"/>
      <c r="M5092" s="15"/>
      <c r="N5092" s="15"/>
      <c r="O5092" s="16"/>
      <c r="Q5092" s="16"/>
    </row>
    <row r="5093" spans="1:17" x14ac:dyDescent="0.3">
      <c r="A5093" s="5"/>
      <c r="B5093" s="6"/>
      <c r="C5093" s="7"/>
      <c r="D5093" s="10"/>
      <c r="F5093" s="1"/>
      <c r="G5093" s="1"/>
      <c r="H5093" s="1"/>
      <c r="I5093" s="7"/>
      <c r="J5093" s="12"/>
      <c r="K5093" s="13"/>
      <c r="L5093" s="14"/>
      <c r="M5093" s="15"/>
      <c r="N5093" s="15"/>
      <c r="O5093" s="16"/>
      <c r="Q5093" s="16"/>
    </row>
    <row r="5094" spans="1:17" x14ac:dyDescent="0.3">
      <c r="A5094" s="5"/>
      <c r="B5094" s="6"/>
      <c r="C5094" s="7"/>
      <c r="D5094" s="10"/>
      <c r="F5094" s="1"/>
      <c r="G5094" s="1"/>
      <c r="H5094" s="1"/>
      <c r="I5094" s="7"/>
      <c r="J5094" s="12"/>
      <c r="K5094" s="13"/>
      <c r="L5094" s="14"/>
      <c r="M5094" s="15"/>
      <c r="N5094" s="15"/>
      <c r="O5094" s="16"/>
      <c r="Q5094" s="16"/>
    </row>
    <row r="5095" spans="1:17" x14ac:dyDescent="0.3">
      <c r="A5095" s="5"/>
      <c r="B5095" s="6"/>
      <c r="C5095" s="7"/>
      <c r="D5095" s="10"/>
      <c r="F5095" s="1"/>
      <c r="G5095" s="1"/>
      <c r="H5095" s="1"/>
      <c r="I5095" s="7"/>
      <c r="J5095" s="12"/>
      <c r="K5095" s="13"/>
      <c r="L5095" s="14"/>
      <c r="M5095" s="15"/>
      <c r="N5095" s="15"/>
      <c r="O5095" s="16"/>
      <c r="Q5095" s="16"/>
    </row>
    <row r="5096" spans="1:17" x14ac:dyDescent="0.3">
      <c r="A5096" s="5"/>
      <c r="B5096" s="6"/>
      <c r="C5096" s="7"/>
      <c r="D5096" s="10"/>
      <c r="F5096" s="1"/>
      <c r="G5096" s="1"/>
      <c r="H5096" s="1"/>
      <c r="I5096" s="7"/>
      <c r="J5096" s="12"/>
      <c r="K5096" s="13"/>
      <c r="L5096" s="14"/>
      <c r="M5096" s="15"/>
      <c r="N5096" s="15"/>
      <c r="O5096" s="16"/>
      <c r="Q5096" s="16"/>
    </row>
    <row r="5097" spans="1:17" x14ac:dyDescent="0.3">
      <c r="A5097" s="5"/>
      <c r="B5097" s="6"/>
      <c r="C5097" s="7"/>
      <c r="D5097" s="10"/>
      <c r="F5097" s="1"/>
      <c r="G5097" s="1"/>
      <c r="H5097" s="1"/>
      <c r="I5097" s="7"/>
      <c r="J5097" s="12"/>
      <c r="K5097" s="13"/>
      <c r="L5097" s="14"/>
      <c r="M5097" s="15"/>
      <c r="N5097" s="15"/>
      <c r="O5097" s="16"/>
      <c r="Q5097" s="16"/>
    </row>
    <row r="5098" spans="1:17" x14ac:dyDescent="0.3">
      <c r="A5098" s="5"/>
      <c r="B5098" s="6"/>
      <c r="C5098" s="7"/>
      <c r="D5098" s="10"/>
      <c r="F5098" s="1"/>
      <c r="G5098" s="1"/>
      <c r="H5098" s="1"/>
      <c r="I5098" s="7"/>
      <c r="J5098" s="12"/>
      <c r="K5098" s="13"/>
      <c r="L5098" s="14"/>
      <c r="M5098" s="15"/>
      <c r="N5098" s="15"/>
      <c r="O5098" s="16"/>
      <c r="Q5098" s="16"/>
    </row>
    <row r="5099" spans="1:17" x14ac:dyDescent="0.3">
      <c r="A5099" s="5"/>
      <c r="B5099" s="6"/>
      <c r="C5099" s="7"/>
      <c r="D5099" s="10"/>
      <c r="F5099" s="1"/>
      <c r="G5099" s="1"/>
      <c r="H5099" s="1"/>
      <c r="I5099" s="7"/>
      <c r="J5099" s="12"/>
      <c r="K5099" s="13"/>
      <c r="L5099" s="14"/>
      <c r="M5099" s="15"/>
      <c r="N5099" s="15"/>
      <c r="O5099" s="16"/>
      <c r="Q5099" s="16"/>
    </row>
    <row r="5100" spans="1:17" x14ac:dyDescent="0.3">
      <c r="A5100" s="5"/>
      <c r="B5100" s="6"/>
      <c r="C5100" s="7"/>
      <c r="D5100" s="10"/>
      <c r="F5100" s="1"/>
      <c r="G5100" s="1"/>
      <c r="H5100" s="1"/>
      <c r="I5100" s="7"/>
      <c r="J5100" s="12"/>
      <c r="K5100" s="13"/>
      <c r="L5100" s="14"/>
      <c r="M5100" s="15"/>
      <c r="N5100" s="15"/>
      <c r="O5100" s="16"/>
      <c r="Q5100" s="16"/>
    </row>
    <row r="5101" spans="1:17" x14ac:dyDescent="0.3">
      <c r="A5101" s="5"/>
      <c r="B5101" s="6"/>
      <c r="C5101" s="7"/>
      <c r="D5101" s="10"/>
      <c r="F5101" s="1"/>
      <c r="G5101" s="1"/>
      <c r="H5101" s="1"/>
      <c r="I5101" s="7"/>
      <c r="J5101" s="12"/>
      <c r="K5101" s="13"/>
      <c r="L5101" s="14"/>
      <c r="M5101" s="15"/>
      <c r="N5101" s="15"/>
      <c r="O5101" s="16"/>
      <c r="Q5101" s="16"/>
    </row>
    <row r="5102" spans="1:17" x14ac:dyDescent="0.3">
      <c r="A5102" s="5"/>
      <c r="B5102" s="6"/>
      <c r="C5102" s="7"/>
      <c r="D5102" s="10"/>
      <c r="F5102" s="1"/>
      <c r="G5102" s="1"/>
      <c r="H5102" s="1"/>
      <c r="I5102" s="7"/>
      <c r="J5102" s="12"/>
      <c r="K5102" s="13"/>
      <c r="L5102" s="14"/>
      <c r="M5102" s="15"/>
      <c r="N5102" s="15"/>
      <c r="O5102" s="16"/>
      <c r="Q5102" s="16"/>
    </row>
    <row r="5103" spans="1:17" x14ac:dyDescent="0.3">
      <c r="A5103" s="5"/>
      <c r="B5103" s="6"/>
      <c r="C5103" s="7"/>
      <c r="D5103" s="10"/>
      <c r="F5103" s="1"/>
      <c r="G5103" s="1"/>
      <c r="H5103" s="1"/>
      <c r="I5103" s="7"/>
      <c r="J5103" s="12"/>
      <c r="K5103" s="13"/>
      <c r="L5103" s="14"/>
      <c r="M5103" s="15"/>
      <c r="N5103" s="15"/>
      <c r="O5103" s="16"/>
      <c r="Q5103" s="16"/>
    </row>
    <row r="5104" spans="1:17" x14ac:dyDescent="0.3">
      <c r="A5104" s="5"/>
      <c r="B5104" s="6"/>
      <c r="C5104" s="7"/>
      <c r="D5104" s="10"/>
      <c r="F5104" s="1"/>
      <c r="G5104" s="1"/>
      <c r="H5104" s="1"/>
      <c r="I5104" s="7"/>
      <c r="J5104" s="12"/>
      <c r="K5104" s="13"/>
      <c r="L5104" s="14"/>
      <c r="M5104" s="15"/>
      <c r="N5104" s="15"/>
      <c r="O5104" s="16"/>
      <c r="Q5104" s="16"/>
    </row>
    <row r="5105" spans="1:17" x14ac:dyDescent="0.3">
      <c r="A5105" s="5"/>
      <c r="B5105" s="6"/>
      <c r="C5105" s="7"/>
      <c r="D5105" s="10"/>
      <c r="F5105" s="1"/>
      <c r="G5105" s="1"/>
      <c r="H5105" s="1"/>
      <c r="I5105" s="7"/>
      <c r="J5105" s="12"/>
      <c r="K5105" s="13"/>
      <c r="L5105" s="14"/>
      <c r="M5105" s="15"/>
      <c r="N5105" s="15"/>
      <c r="O5105" s="16"/>
      <c r="Q5105" s="16"/>
    </row>
    <row r="5106" spans="1:17" x14ac:dyDescent="0.3">
      <c r="A5106" s="5"/>
      <c r="B5106" s="6"/>
      <c r="C5106" s="7"/>
      <c r="D5106" s="10"/>
      <c r="F5106" s="1"/>
      <c r="G5106" s="1"/>
      <c r="H5106" s="1"/>
      <c r="I5106" s="7"/>
      <c r="J5106" s="12"/>
      <c r="K5106" s="13"/>
      <c r="L5106" s="14"/>
      <c r="M5106" s="15"/>
      <c r="N5106" s="15"/>
      <c r="O5106" s="16"/>
      <c r="Q5106" s="16"/>
    </row>
    <row r="5107" spans="1:17" x14ac:dyDescent="0.3">
      <c r="A5107" s="5"/>
      <c r="B5107" s="6"/>
      <c r="C5107" s="7"/>
      <c r="D5107" s="10"/>
      <c r="F5107" s="1"/>
      <c r="G5107" s="1"/>
      <c r="H5107" s="1"/>
      <c r="I5107" s="7"/>
      <c r="J5107" s="12"/>
      <c r="K5107" s="13"/>
      <c r="L5107" s="14"/>
      <c r="M5107" s="15"/>
      <c r="N5107" s="15"/>
      <c r="O5107" s="16"/>
      <c r="Q5107" s="16"/>
    </row>
    <row r="5108" spans="1:17" x14ac:dyDescent="0.3">
      <c r="A5108" s="5"/>
      <c r="B5108" s="6"/>
      <c r="C5108" s="7"/>
      <c r="D5108" s="10"/>
      <c r="F5108" s="1"/>
      <c r="G5108" s="1"/>
      <c r="H5108" s="1"/>
      <c r="I5108" s="7"/>
      <c r="J5108" s="12"/>
      <c r="K5108" s="13"/>
      <c r="L5108" s="14"/>
      <c r="M5108" s="15"/>
      <c r="N5108" s="15"/>
      <c r="O5108" s="16"/>
      <c r="Q5108" s="16"/>
    </row>
    <row r="5109" spans="1:17" x14ac:dyDescent="0.3">
      <c r="A5109" s="5"/>
      <c r="B5109" s="6"/>
      <c r="C5109" s="7"/>
      <c r="D5109" s="10"/>
      <c r="F5109" s="1"/>
      <c r="G5109" s="1"/>
      <c r="H5109" s="1"/>
      <c r="I5109" s="7"/>
      <c r="J5109" s="12"/>
      <c r="K5109" s="13"/>
      <c r="L5109" s="14"/>
      <c r="M5109" s="15"/>
      <c r="N5109" s="15"/>
      <c r="O5109" s="16"/>
      <c r="Q5109" s="16"/>
    </row>
    <row r="5110" spans="1:17" x14ac:dyDescent="0.3">
      <c r="A5110" s="5"/>
      <c r="B5110" s="6"/>
      <c r="C5110" s="7"/>
      <c r="D5110" s="10"/>
      <c r="F5110" s="1"/>
      <c r="G5110" s="1"/>
      <c r="H5110" s="1"/>
      <c r="I5110" s="7"/>
      <c r="J5110" s="12"/>
      <c r="K5110" s="13"/>
      <c r="L5110" s="14"/>
      <c r="M5110" s="15"/>
      <c r="N5110" s="15"/>
      <c r="O5110" s="16"/>
      <c r="Q5110" s="16"/>
    </row>
    <row r="5111" spans="1:17" x14ac:dyDescent="0.3">
      <c r="A5111" s="5"/>
      <c r="B5111" s="6"/>
      <c r="C5111" s="7"/>
      <c r="D5111" s="10"/>
      <c r="F5111" s="1"/>
      <c r="G5111" s="1"/>
      <c r="H5111" s="1"/>
      <c r="I5111" s="7"/>
      <c r="J5111" s="12"/>
      <c r="K5111" s="13"/>
      <c r="L5111" s="14"/>
      <c r="M5111" s="15"/>
      <c r="N5111" s="15"/>
      <c r="O5111" s="16"/>
      <c r="Q5111" s="16"/>
    </row>
    <row r="5112" spans="1:17" x14ac:dyDescent="0.3">
      <c r="A5112" s="5"/>
      <c r="B5112" s="6"/>
      <c r="C5112" s="7"/>
      <c r="D5112" s="10"/>
      <c r="F5112" s="1"/>
      <c r="G5112" s="1"/>
      <c r="H5112" s="1"/>
      <c r="I5112" s="7"/>
      <c r="J5112" s="12"/>
      <c r="K5112" s="13"/>
      <c r="L5112" s="14"/>
      <c r="M5112" s="15"/>
      <c r="N5112" s="15"/>
      <c r="O5112" s="16"/>
      <c r="Q5112" s="16"/>
    </row>
    <row r="5113" spans="1:17" x14ac:dyDescent="0.3">
      <c r="A5113" s="5"/>
      <c r="B5113" s="6"/>
      <c r="C5113" s="7"/>
      <c r="D5113" s="10"/>
      <c r="F5113" s="1"/>
      <c r="G5113" s="1"/>
      <c r="H5113" s="1"/>
      <c r="I5113" s="7"/>
      <c r="J5113" s="12"/>
      <c r="K5113" s="13"/>
      <c r="L5113" s="14"/>
      <c r="M5113" s="15"/>
      <c r="N5113" s="15"/>
      <c r="O5113" s="16"/>
      <c r="Q5113" s="16"/>
    </row>
    <row r="5114" spans="1:17" x14ac:dyDescent="0.3">
      <c r="A5114" s="5"/>
      <c r="B5114" s="6"/>
      <c r="C5114" s="7"/>
      <c r="D5114" s="10"/>
      <c r="F5114" s="1"/>
      <c r="G5114" s="1"/>
      <c r="H5114" s="1"/>
      <c r="I5114" s="7"/>
      <c r="J5114" s="12"/>
      <c r="K5114" s="13"/>
      <c r="L5114" s="14"/>
      <c r="M5114" s="15"/>
      <c r="N5114" s="15"/>
      <c r="O5114" s="16"/>
      <c r="Q5114" s="16"/>
    </row>
    <row r="5115" spans="1:17" x14ac:dyDescent="0.3">
      <c r="A5115" s="5"/>
      <c r="B5115" s="6"/>
      <c r="C5115" s="7"/>
      <c r="D5115" s="10"/>
      <c r="F5115" s="1"/>
      <c r="G5115" s="1"/>
      <c r="H5115" s="1"/>
      <c r="I5115" s="7"/>
      <c r="J5115" s="12"/>
      <c r="K5115" s="13"/>
      <c r="L5115" s="14"/>
      <c r="M5115" s="15"/>
      <c r="N5115" s="15"/>
      <c r="O5115" s="16"/>
      <c r="Q5115" s="16"/>
    </row>
    <row r="5116" spans="1:17" x14ac:dyDescent="0.3">
      <c r="A5116" s="5"/>
      <c r="B5116" s="6"/>
      <c r="C5116" s="7"/>
      <c r="D5116" s="10"/>
      <c r="F5116" s="1"/>
      <c r="G5116" s="1"/>
      <c r="H5116" s="1"/>
      <c r="I5116" s="7"/>
      <c r="J5116" s="12"/>
      <c r="K5116" s="13"/>
      <c r="L5116" s="14"/>
      <c r="M5116" s="15"/>
      <c r="N5116" s="15"/>
      <c r="O5116" s="16"/>
      <c r="Q5116" s="16"/>
    </row>
    <row r="5117" spans="1:17" x14ac:dyDescent="0.3">
      <c r="A5117" s="5"/>
      <c r="B5117" s="6"/>
      <c r="C5117" s="7"/>
      <c r="D5117" s="10"/>
      <c r="F5117" s="1"/>
      <c r="G5117" s="1"/>
      <c r="H5117" s="1"/>
      <c r="I5117" s="7"/>
      <c r="J5117" s="12"/>
      <c r="K5117" s="13"/>
      <c r="L5117" s="14"/>
      <c r="M5117" s="15"/>
      <c r="N5117" s="15"/>
      <c r="O5117" s="16"/>
      <c r="Q5117" s="16"/>
    </row>
    <row r="5118" spans="1:17" x14ac:dyDescent="0.3">
      <c r="A5118" s="5"/>
      <c r="B5118" s="6"/>
      <c r="C5118" s="7"/>
      <c r="D5118" s="10"/>
      <c r="F5118" s="1"/>
      <c r="G5118" s="1"/>
      <c r="H5118" s="1"/>
      <c r="I5118" s="7"/>
      <c r="J5118" s="12"/>
      <c r="K5118" s="13"/>
      <c r="L5118" s="14"/>
      <c r="M5118" s="15"/>
      <c r="N5118" s="15"/>
      <c r="O5118" s="16"/>
      <c r="Q5118" s="16"/>
    </row>
    <row r="5119" spans="1:17" x14ac:dyDescent="0.3">
      <c r="A5119" s="5"/>
      <c r="B5119" s="6"/>
      <c r="C5119" s="7"/>
      <c r="D5119" s="10"/>
      <c r="F5119" s="1"/>
      <c r="G5119" s="1"/>
      <c r="H5119" s="1"/>
      <c r="I5119" s="7"/>
      <c r="J5119" s="12"/>
      <c r="K5119" s="13"/>
      <c r="L5119" s="14"/>
      <c r="M5119" s="15"/>
      <c r="N5119" s="15"/>
      <c r="O5119" s="16"/>
      <c r="Q5119" s="16"/>
    </row>
    <row r="5120" spans="1:17" x14ac:dyDescent="0.3">
      <c r="A5120" s="5"/>
      <c r="B5120" s="6"/>
      <c r="C5120" s="7"/>
      <c r="D5120" s="10"/>
      <c r="F5120" s="1"/>
      <c r="G5120" s="1"/>
      <c r="H5120" s="1"/>
      <c r="I5120" s="7"/>
      <c r="J5120" s="12"/>
      <c r="K5120" s="13"/>
      <c r="L5120" s="14"/>
      <c r="M5120" s="15"/>
      <c r="N5120" s="15"/>
      <c r="O5120" s="16"/>
      <c r="Q5120" s="16"/>
    </row>
    <row r="5121" spans="1:17" x14ac:dyDescent="0.3">
      <c r="A5121" s="5"/>
      <c r="B5121" s="6"/>
      <c r="C5121" s="7"/>
      <c r="D5121" s="10"/>
      <c r="F5121" s="1"/>
      <c r="G5121" s="1"/>
      <c r="H5121" s="1"/>
      <c r="I5121" s="7"/>
      <c r="J5121" s="12"/>
      <c r="K5121" s="13"/>
      <c r="L5121" s="14"/>
      <c r="M5121" s="15"/>
      <c r="N5121" s="15"/>
      <c r="O5121" s="16"/>
      <c r="Q5121" s="16"/>
    </row>
    <row r="5122" spans="1:17" x14ac:dyDescent="0.3">
      <c r="A5122" s="5"/>
      <c r="B5122" s="6"/>
      <c r="C5122" s="7"/>
      <c r="D5122" s="10"/>
      <c r="F5122" s="1"/>
      <c r="G5122" s="1"/>
      <c r="H5122" s="1"/>
      <c r="I5122" s="7"/>
      <c r="J5122" s="12"/>
      <c r="K5122" s="13"/>
      <c r="L5122" s="14"/>
      <c r="M5122" s="15"/>
      <c r="N5122" s="15"/>
      <c r="O5122" s="16"/>
      <c r="Q5122" s="16"/>
    </row>
    <row r="5123" spans="1:17" x14ac:dyDescent="0.3">
      <c r="A5123" s="5"/>
      <c r="B5123" s="6"/>
      <c r="C5123" s="7"/>
      <c r="D5123" s="10"/>
      <c r="F5123" s="1"/>
      <c r="G5123" s="1"/>
      <c r="H5123" s="1"/>
      <c r="I5123" s="7"/>
      <c r="J5123" s="12"/>
      <c r="K5123" s="13"/>
      <c r="L5123" s="14"/>
      <c r="M5123" s="15"/>
      <c r="N5123" s="15"/>
      <c r="O5123" s="16"/>
      <c r="Q5123" s="16"/>
    </row>
    <row r="5124" spans="1:17" x14ac:dyDescent="0.3">
      <c r="A5124" s="5"/>
      <c r="B5124" s="6"/>
      <c r="C5124" s="7"/>
      <c r="D5124" s="10"/>
      <c r="F5124" s="1"/>
      <c r="G5124" s="1"/>
      <c r="H5124" s="1"/>
      <c r="I5124" s="7"/>
      <c r="J5124" s="12"/>
      <c r="K5124" s="13"/>
      <c r="L5124" s="14"/>
      <c r="M5124" s="15"/>
      <c r="N5124" s="15"/>
      <c r="O5124" s="16"/>
      <c r="Q5124" s="16"/>
    </row>
    <row r="5125" spans="1:17" x14ac:dyDescent="0.3">
      <c r="A5125" s="5"/>
      <c r="B5125" s="6"/>
      <c r="C5125" s="7"/>
      <c r="D5125" s="10"/>
      <c r="F5125" s="1"/>
      <c r="G5125" s="1"/>
      <c r="H5125" s="1"/>
      <c r="I5125" s="7"/>
      <c r="J5125" s="12"/>
      <c r="K5125" s="13"/>
      <c r="L5125" s="14"/>
      <c r="M5125" s="15"/>
      <c r="N5125" s="15"/>
      <c r="O5125" s="16"/>
      <c r="Q5125" s="16"/>
    </row>
    <row r="5126" spans="1:17" x14ac:dyDescent="0.3">
      <c r="A5126" s="5"/>
      <c r="B5126" s="6"/>
      <c r="C5126" s="7"/>
      <c r="D5126" s="10"/>
      <c r="F5126" s="1"/>
      <c r="G5126" s="1"/>
      <c r="H5126" s="1"/>
      <c r="I5126" s="7"/>
      <c r="J5126" s="12"/>
      <c r="K5126" s="13"/>
      <c r="L5126" s="14"/>
      <c r="M5126" s="15"/>
      <c r="N5126" s="15"/>
      <c r="O5126" s="16"/>
      <c r="Q5126" s="16"/>
    </row>
    <row r="5127" spans="1:17" x14ac:dyDescent="0.3">
      <c r="A5127" s="5"/>
      <c r="B5127" s="6"/>
      <c r="C5127" s="7"/>
      <c r="D5127" s="10"/>
      <c r="F5127" s="1"/>
      <c r="G5127" s="1"/>
      <c r="H5127" s="1"/>
      <c r="I5127" s="7"/>
      <c r="J5127" s="12"/>
      <c r="K5127" s="13"/>
      <c r="L5127" s="14"/>
      <c r="M5127" s="15"/>
      <c r="N5127" s="15"/>
      <c r="O5127" s="16"/>
      <c r="Q5127" s="16"/>
    </row>
    <row r="5128" spans="1:17" x14ac:dyDescent="0.3">
      <c r="A5128" s="5"/>
      <c r="B5128" s="6"/>
      <c r="C5128" s="7"/>
      <c r="D5128" s="10"/>
      <c r="F5128" s="1"/>
      <c r="G5128" s="1"/>
      <c r="H5128" s="1"/>
      <c r="I5128" s="7"/>
      <c r="J5128" s="12"/>
      <c r="K5128" s="13"/>
      <c r="L5128" s="14"/>
      <c r="M5128" s="15"/>
      <c r="N5128" s="15"/>
      <c r="O5128" s="16"/>
      <c r="Q5128" s="16"/>
    </row>
    <row r="5129" spans="1:17" x14ac:dyDescent="0.3">
      <c r="A5129" s="5"/>
      <c r="B5129" s="6"/>
      <c r="C5129" s="7"/>
      <c r="D5129" s="10"/>
      <c r="F5129" s="1"/>
      <c r="G5129" s="1"/>
      <c r="H5129" s="1"/>
      <c r="I5129" s="7"/>
      <c r="J5129" s="12"/>
      <c r="K5129" s="13"/>
      <c r="L5129" s="14"/>
      <c r="M5129" s="15"/>
      <c r="N5129" s="15"/>
      <c r="O5129" s="16"/>
      <c r="Q5129" s="16"/>
    </row>
    <row r="5130" spans="1:17" x14ac:dyDescent="0.3">
      <c r="A5130" s="5"/>
      <c r="B5130" s="6"/>
      <c r="C5130" s="7"/>
      <c r="D5130" s="10"/>
      <c r="F5130" s="1"/>
      <c r="G5130" s="1"/>
      <c r="H5130" s="1"/>
      <c r="I5130" s="7"/>
      <c r="J5130" s="12"/>
      <c r="K5130" s="13"/>
      <c r="L5130" s="14"/>
      <c r="M5130" s="15"/>
      <c r="N5130" s="15"/>
      <c r="O5130" s="16"/>
      <c r="Q5130" s="16"/>
    </row>
    <row r="5131" spans="1:17" x14ac:dyDescent="0.3">
      <c r="A5131" s="5"/>
      <c r="B5131" s="6"/>
      <c r="C5131" s="7"/>
      <c r="D5131" s="10"/>
      <c r="F5131" s="1"/>
      <c r="G5131" s="1"/>
      <c r="H5131" s="1"/>
      <c r="I5131" s="7"/>
      <c r="J5131" s="12"/>
      <c r="K5131" s="13"/>
      <c r="L5131" s="14"/>
      <c r="M5131" s="15"/>
      <c r="N5131" s="15"/>
      <c r="O5131" s="16"/>
      <c r="Q5131" s="16"/>
    </row>
    <row r="5132" spans="1:17" x14ac:dyDescent="0.3">
      <c r="A5132" s="5"/>
      <c r="B5132" s="6"/>
      <c r="C5132" s="7"/>
      <c r="D5132" s="10"/>
      <c r="F5132" s="1"/>
      <c r="G5132" s="1"/>
      <c r="H5132" s="1"/>
      <c r="I5132" s="7"/>
      <c r="J5132" s="12"/>
      <c r="K5132" s="13"/>
      <c r="L5132" s="14"/>
      <c r="M5132" s="15"/>
      <c r="N5132" s="15"/>
      <c r="O5132" s="16"/>
      <c r="Q5132" s="16"/>
    </row>
    <row r="5133" spans="1:17" x14ac:dyDescent="0.3">
      <c r="A5133" s="5"/>
      <c r="B5133" s="6"/>
      <c r="C5133" s="7"/>
      <c r="D5133" s="10"/>
      <c r="F5133" s="1"/>
      <c r="G5133" s="1"/>
      <c r="H5133" s="1"/>
      <c r="I5133" s="7"/>
      <c r="J5133" s="12"/>
      <c r="K5133" s="13"/>
      <c r="L5133" s="14"/>
      <c r="M5133" s="15"/>
      <c r="N5133" s="15"/>
      <c r="O5133" s="16"/>
      <c r="Q5133" s="16"/>
    </row>
    <row r="5134" spans="1:17" x14ac:dyDescent="0.3">
      <c r="A5134" s="5"/>
      <c r="B5134" s="6"/>
      <c r="C5134" s="7"/>
      <c r="D5134" s="10"/>
      <c r="F5134" s="1"/>
      <c r="G5134" s="1"/>
      <c r="H5134" s="1"/>
      <c r="I5134" s="7"/>
      <c r="J5134" s="12"/>
      <c r="K5134" s="13"/>
      <c r="L5134" s="14"/>
      <c r="M5134" s="15"/>
      <c r="N5134" s="15"/>
      <c r="O5134" s="16"/>
      <c r="Q5134" s="16"/>
    </row>
    <row r="5135" spans="1:17" x14ac:dyDescent="0.3">
      <c r="A5135" s="5"/>
      <c r="B5135" s="6"/>
      <c r="C5135" s="7"/>
      <c r="D5135" s="10"/>
      <c r="F5135" s="1"/>
      <c r="G5135" s="1"/>
      <c r="H5135" s="1"/>
      <c r="I5135" s="7"/>
      <c r="J5135" s="12"/>
      <c r="K5135" s="13"/>
      <c r="L5135" s="14"/>
      <c r="M5135" s="15"/>
      <c r="N5135" s="15"/>
      <c r="O5135" s="16"/>
      <c r="Q5135" s="16"/>
    </row>
    <row r="5136" spans="1:17" x14ac:dyDescent="0.3">
      <c r="A5136" s="5"/>
      <c r="B5136" s="6"/>
      <c r="C5136" s="7"/>
      <c r="D5136" s="10"/>
      <c r="F5136" s="1"/>
      <c r="G5136" s="1"/>
      <c r="H5136" s="1"/>
      <c r="I5136" s="7"/>
      <c r="J5136" s="12"/>
      <c r="K5136" s="13"/>
      <c r="L5136" s="14"/>
      <c r="M5136" s="15"/>
      <c r="N5136" s="15"/>
      <c r="O5136" s="16"/>
      <c r="Q5136" s="16"/>
    </row>
    <row r="5137" spans="1:17" x14ac:dyDescent="0.3">
      <c r="A5137" s="5"/>
      <c r="B5137" s="6"/>
      <c r="C5137" s="7"/>
      <c r="D5137" s="10"/>
      <c r="F5137" s="1"/>
      <c r="G5137" s="1"/>
      <c r="H5137" s="1"/>
      <c r="I5137" s="7"/>
      <c r="J5137" s="12"/>
      <c r="K5137" s="13"/>
      <c r="L5137" s="14"/>
      <c r="M5137" s="15"/>
      <c r="N5137" s="15"/>
      <c r="O5137" s="16"/>
      <c r="Q5137" s="16"/>
    </row>
    <row r="5138" spans="1:17" x14ac:dyDescent="0.3">
      <c r="A5138" s="5"/>
      <c r="B5138" s="6"/>
      <c r="C5138" s="7"/>
      <c r="D5138" s="10"/>
      <c r="F5138" s="1"/>
      <c r="G5138" s="1"/>
      <c r="H5138" s="1"/>
      <c r="I5138" s="7"/>
      <c r="J5138" s="12"/>
      <c r="K5138" s="13"/>
      <c r="L5138" s="14"/>
      <c r="M5138" s="15"/>
      <c r="N5138" s="15"/>
      <c r="O5138" s="16"/>
      <c r="Q5138" s="16"/>
    </row>
    <row r="5139" spans="1:17" x14ac:dyDescent="0.3">
      <c r="A5139" s="5"/>
      <c r="B5139" s="6"/>
      <c r="C5139" s="7"/>
      <c r="D5139" s="10"/>
      <c r="F5139" s="1"/>
      <c r="G5139" s="1"/>
      <c r="H5139" s="1"/>
      <c r="I5139" s="7"/>
      <c r="J5139" s="12"/>
      <c r="K5139" s="13"/>
      <c r="L5139" s="14"/>
      <c r="M5139" s="15"/>
      <c r="N5139" s="15"/>
      <c r="O5139" s="16"/>
      <c r="Q5139" s="16"/>
    </row>
    <row r="5140" spans="1:17" x14ac:dyDescent="0.3">
      <c r="A5140" s="5"/>
      <c r="B5140" s="6"/>
      <c r="C5140" s="7"/>
      <c r="D5140" s="10"/>
      <c r="F5140" s="1"/>
      <c r="G5140" s="1"/>
      <c r="H5140" s="1"/>
      <c r="I5140" s="7"/>
      <c r="J5140" s="12"/>
      <c r="K5140" s="13"/>
      <c r="L5140" s="14"/>
      <c r="M5140" s="15"/>
      <c r="N5140" s="15"/>
      <c r="O5140" s="16"/>
      <c r="Q5140" s="16"/>
    </row>
    <row r="5141" spans="1:17" x14ac:dyDescent="0.3">
      <c r="A5141" s="5"/>
      <c r="B5141" s="6"/>
      <c r="C5141" s="7"/>
      <c r="D5141" s="10"/>
      <c r="F5141" s="1"/>
      <c r="G5141" s="1"/>
      <c r="H5141" s="1"/>
      <c r="I5141" s="7"/>
      <c r="J5141" s="12"/>
      <c r="K5141" s="13"/>
      <c r="L5141" s="14"/>
      <c r="M5141" s="15"/>
      <c r="N5141" s="15"/>
      <c r="O5141" s="16"/>
      <c r="Q5141" s="16"/>
    </row>
    <row r="5142" spans="1:17" x14ac:dyDescent="0.3">
      <c r="A5142" s="5"/>
      <c r="B5142" s="6"/>
      <c r="C5142" s="7"/>
      <c r="D5142" s="10"/>
      <c r="F5142" s="1"/>
      <c r="G5142" s="1"/>
      <c r="H5142" s="1"/>
      <c r="I5142" s="7"/>
      <c r="J5142" s="12"/>
      <c r="K5142" s="13"/>
      <c r="L5142" s="14"/>
      <c r="M5142" s="15"/>
      <c r="N5142" s="15"/>
      <c r="O5142" s="16"/>
      <c r="Q5142" s="16"/>
    </row>
    <row r="5143" spans="1:17" x14ac:dyDescent="0.3">
      <c r="A5143" s="5"/>
      <c r="B5143" s="6"/>
      <c r="C5143" s="7"/>
      <c r="D5143" s="10"/>
      <c r="F5143" s="1"/>
      <c r="G5143" s="1"/>
      <c r="H5143" s="1"/>
      <c r="I5143" s="7"/>
      <c r="J5143" s="12"/>
      <c r="K5143" s="13"/>
      <c r="L5143" s="14"/>
      <c r="M5143" s="15"/>
      <c r="N5143" s="15"/>
      <c r="O5143" s="16"/>
      <c r="Q5143" s="16"/>
    </row>
    <row r="5144" spans="1:17" x14ac:dyDescent="0.3">
      <c r="A5144" s="5"/>
      <c r="B5144" s="6"/>
      <c r="C5144" s="7"/>
      <c r="D5144" s="10"/>
      <c r="F5144" s="1"/>
      <c r="G5144" s="1"/>
      <c r="H5144" s="1"/>
      <c r="I5144" s="7"/>
      <c r="J5144" s="12"/>
      <c r="K5144" s="13"/>
      <c r="L5144" s="14"/>
      <c r="M5144" s="15"/>
      <c r="N5144" s="15"/>
      <c r="O5144" s="16"/>
      <c r="Q5144" s="16"/>
    </row>
    <row r="5145" spans="1:17" x14ac:dyDescent="0.3">
      <c r="A5145" s="5"/>
      <c r="B5145" s="6"/>
      <c r="C5145" s="7"/>
      <c r="D5145" s="10"/>
      <c r="F5145" s="1"/>
      <c r="G5145" s="1"/>
      <c r="H5145" s="1"/>
      <c r="I5145" s="7"/>
      <c r="J5145" s="12"/>
      <c r="K5145" s="13"/>
      <c r="L5145" s="14"/>
      <c r="M5145" s="15"/>
      <c r="N5145" s="15"/>
      <c r="O5145" s="16"/>
      <c r="Q5145" s="16"/>
    </row>
    <row r="5146" spans="1:17" x14ac:dyDescent="0.3">
      <c r="A5146" s="5"/>
      <c r="B5146" s="6"/>
      <c r="C5146" s="7"/>
      <c r="D5146" s="10"/>
      <c r="F5146" s="1"/>
      <c r="G5146" s="1"/>
      <c r="H5146" s="1"/>
      <c r="I5146" s="7"/>
      <c r="J5146" s="12"/>
      <c r="K5146" s="13"/>
      <c r="L5146" s="14"/>
      <c r="M5146" s="15"/>
      <c r="N5146" s="15"/>
      <c r="O5146" s="16"/>
      <c r="Q5146" s="16"/>
    </row>
    <row r="5147" spans="1:17" x14ac:dyDescent="0.3">
      <c r="A5147" s="5"/>
      <c r="B5147" s="6"/>
      <c r="C5147" s="7"/>
      <c r="D5147" s="10"/>
      <c r="F5147" s="1"/>
      <c r="G5147" s="1"/>
      <c r="H5147" s="1"/>
      <c r="I5147" s="7"/>
      <c r="J5147" s="12"/>
      <c r="K5147" s="13"/>
      <c r="L5147" s="14"/>
      <c r="M5147" s="15"/>
      <c r="N5147" s="15"/>
      <c r="O5147" s="16"/>
      <c r="Q5147" s="16"/>
    </row>
    <row r="5148" spans="1:17" x14ac:dyDescent="0.3">
      <c r="A5148" s="5"/>
      <c r="B5148" s="6"/>
      <c r="C5148" s="7"/>
      <c r="D5148" s="10"/>
      <c r="F5148" s="1"/>
      <c r="G5148" s="1"/>
      <c r="H5148" s="1"/>
      <c r="I5148" s="7"/>
      <c r="J5148" s="12"/>
      <c r="K5148" s="13"/>
      <c r="L5148" s="14"/>
      <c r="M5148" s="15"/>
      <c r="N5148" s="15"/>
      <c r="O5148" s="16"/>
      <c r="Q5148" s="16"/>
    </row>
    <row r="5149" spans="1:17" x14ac:dyDescent="0.3">
      <c r="A5149" s="5"/>
      <c r="B5149" s="6"/>
      <c r="C5149" s="7"/>
      <c r="D5149" s="10"/>
      <c r="F5149" s="1"/>
      <c r="G5149" s="1"/>
      <c r="H5149" s="1"/>
      <c r="I5149" s="7"/>
      <c r="J5149" s="12"/>
      <c r="K5149" s="13"/>
      <c r="L5149" s="14"/>
      <c r="M5149" s="15"/>
      <c r="N5149" s="15"/>
      <c r="O5149" s="16"/>
      <c r="Q5149" s="16"/>
    </row>
    <row r="5150" spans="1:17" x14ac:dyDescent="0.3">
      <c r="A5150" s="5"/>
      <c r="B5150" s="6"/>
      <c r="C5150" s="7"/>
      <c r="D5150" s="10"/>
      <c r="F5150" s="1"/>
      <c r="G5150" s="1"/>
      <c r="H5150" s="1"/>
      <c r="I5150" s="7"/>
      <c r="J5150" s="12"/>
      <c r="K5150" s="13"/>
      <c r="L5150" s="14"/>
      <c r="M5150" s="15"/>
      <c r="N5150" s="15"/>
      <c r="O5150" s="16"/>
      <c r="Q5150" s="16"/>
    </row>
    <row r="5151" spans="1:17" x14ac:dyDescent="0.3">
      <c r="A5151" s="5"/>
      <c r="B5151" s="6"/>
      <c r="C5151" s="7"/>
      <c r="D5151" s="10"/>
      <c r="F5151" s="1"/>
      <c r="G5151" s="1"/>
      <c r="H5151" s="1"/>
      <c r="I5151" s="7"/>
      <c r="J5151" s="12"/>
      <c r="K5151" s="13"/>
      <c r="L5151" s="14"/>
      <c r="M5151" s="15"/>
      <c r="N5151" s="15"/>
      <c r="O5151" s="16"/>
      <c r="Q5151" s="16"/>
    </row>
    <row r="5152" spans="1:17" x14ac:dyDescent="0.3">
      <c r="A5152" s="5"/>
      <c r="B5152" s="6"/>
      <c r="C5152" s="7"/>
      <c r="D5152" s="10"/>
      <c r="F5152" s="1"/>
      <c r="G5152" s="1"/>
      <c r="H5152" s="1"/>
      <c r="I5152" s="7"/>
      <c r="J5152" s="12"/>
      <c r="K5152" s="13"/>
      <c r="L5152" s="14"/>
      <c r="M5152" s="15"/>
      <c r="N5152" s="15"/>
      <c r="O5152" s="16"/>
      <c r="Q5152" s="16"/>
    </row>
    <row r="5153" spans="1:17" x14ac:dyDescent="0.3">
      <c r="A5153" s="5"/>
      <c r="B5153" s="6"/>
      <c r="C5153" s="7"/>
      <c r="D5153" s="10"/>
      <c r="F5153" s="1"/>
      <c r="G5153" s="1"/>
      <c r="H5153" s="1"/>
      <c r="I5153" s="7"/>
      <c r="J5153" s="12"/>
      <c r="K5153" s="13"/>
      <c r="L5153" s="14"/>
      <c r="M5153" s="15"/>
      <c r="N5153" s="15"/>
      <c r="O5153" s="16"/>
      <c r="Q5153" s="16"/>
    </row>
    <row r="5154" spans="1:17" x14ac:dyDescent="0.3">
      <c r="A5154" s="5"/>
      <c r="B5154" s="6"/>
      <c r="C5154" s="7"/>
      <c r="D5154" s="10"/>
      <c r="F5154" s="1"/>
      <c r="G5154" s="1"/>
      <c r="H5154" s="1"/>
      <c r="I5154" s="7"/>
      <c r="J5154" s="12"/>
      <c r="K5154" s="13"/>
      <c r="L5154" s="14"/>
      <c r="M5154" s="15"/>
      <c r="N5154" s="15"/>
      <c r="O5154" s="16"/>
      <c r="Q5154" s="16"/>
    </row>
    <row r="5155" spans="1:17" x14ac:dyDescent="0.3">
      <c r="A5155" s="5"/>
      <c r="B5155" s="6"/>
      <c r="C5155" s="7"/>
      <c r="D5155" s="10"/>
      <c r="F5155" s="1"/>
      <c r="G5155" s="1"/>
      <c r="H5155" s="1"/>
      <c r="I5155" s="7"/>
      <c r="J5155" s="12"/>
      <c r="K5155" s="13"/>
      <c r="L5155" s="14"/>
      <c r="M5155" s="15"/>
      <c r="N5155" s="15"/>
      <c r="O5155" s="16"/>
      <c r="Q5155" s="16"/>
    </row>
    <row r="5156" spans="1:17" x14ac:dyDescent="0.3">
      <c r="A5156" s="5"/>
      <c r="B5156" s="6"/>
      <c r="C5156" s="7"/>
      <c r="D5156" s="10"/>
      <c r="F5156" s="1"/>
      <c r="G5156" s="1"/>
      <c r="H5156" s="1"/>
      <c r="I5156" s="7"/>
      <c r="J5156" s="12"/>
      <c r="K5156" s="13"/>
      <c r="L5156" s="14"/>
      <c r="M5156" s="15"/>
      <c r="N5156" s="15"/>
      <c r="O5156" s="16"/>
      <c r="Q5156" s="16"/>
    </row>
    <row r="5157" spans="1:17" x14ac:dyDescent="0.3">
      <c r="A5157" s="5"/>
      <c r="B5157" s="6"/>
      <c r="C5157" s="7"/>
      <c r="D5157" s="10"/>
      <c r="F5157" s="1"/>
      <c r="G5157" s="1"/>
      <c r="H5157" s="1"/>
      <c r="I5157" s="7"/>
      <c r="J5157" s="12"/>
      <c r="K5157" s="13"/>
      <c r="L5157" s="14"/>
      <c r="M5157" s="15"/>
      <c r="N5157" s="15"/>
      <c r="O5157" s="16"/>
      <c r="Q5157" s="16"/>
    </row>
    <row r="5158" spans="1:17" x14ac:dyDescent="0.3">
      <c r="A5158" s="5"/>
      <c r="B5158" s="6"/>
      <c r="C5158" s="7"/>
      <c r="D5158" s="10"/>
      <c r="F5158" s="1"/>
      <c r="G5158" s="1"/>
      <c r="H5158" s="1"/>
      <c r="I5158" s="7"/>
      <c r="J5158" s="12"/>
      <c r="K5158" s="13"/>
      <c r="L5158" s="14"/>
      <c r="M5158" s="15"/>
      <c r="N5158" s="15"/>
      <c r="O5158" s="16"/>
      <c r="Q5158" s="16"/>
    </row>
    <row r="5159" spans="1:17" x14ac:dyDescent="0.3">
      <c r="A5159" s="5"/>
      <c r="B5159" s="6"/>
      <c r="C5159" s="7"/>
      <c r="D5159" s="10"/>
      <c r="F5159" s="1"/>
      <c r="G5159" s="1"/>
      <c r="H5159" s="1"/>
      <c r="I5159" s="7"/>
      <c r="J5159" s="12"/>
      <c r="K5159" s="13"/>
      <c r="L5159" s="14"/>
      <c r="M5159" s="15"/>
      <c r="N5159" s="15"/>
      <c r="O5159" s="16"/>
      <c r="Q5159" s="16"/>
    </row>
    <row r="5160" spans="1:17" x14ac:dyDescent="0.3">
      <c r="A5160" s="5"/>
      <c r="B5160" s="6"/>
      <c r="C5160" s="7"/>
      <c r="D5160" s="10"/>
      <c r="F5160" s="1"/>
      <c r="G5160" s="1"/>
      <c r="H5160" s="1"/>
      <c r="I5160" s="7"/>
      <c r="J5160" s="12"/>
      <c r="K5160" s="13"/>
      <c r="L5160" s="14"/>
      <c r="M5160" s="15"/>
      <c r="N5160" s="15"/>
      <c r="O5160" s="16"/>
      <c r="Q5160" s="16"/>
    </row>
    <row r="5161" spans="1:17" x14ac:dyDescent="0.3">
      <c r="A5161" s="5"/>
      <c r="B5161" s="6"/>
      <c r="C5161" s="7"/>
      <c r="D5161" s="10"/>
      <c r="F5161" s="1"/>
      <c r="G5161" s="1"/>
      <c r="H5161" s="1"/>
      <c r="I5161" s="7"/>
      <c r="J5161" s="12"/>
      <c r="K5161" s="13"/>
      <c r="L5161" s="14"/>
      <c r="M5161" s="15"/>
      <c r="N5161" s="15"/>
      <c r="O5161" s="16"/>
      <c r="Q5161" s="16"/>
    </row>
    <row r="5162" spans="1:17" x14ac:dyDescent="0.3">
      <c r="A5162" s="5"/>
      <c r="B5162" s="6"/>
      <c r="C5162" s="7"/>
      <c r="D5162" s="10"/>
      <c r="F5162" s="1"/>
      <c r="G5162" s="1"/>
      <c r="H5162" s="1"/>
      <c r="I5162" s="7"/>
      <c r="J5162" s="12"/>
      <c r="K5162" s="13"/>
      <c r="L5162" s="14"/>
      <c r="M5162" s="15"/>
      <c r="N5162" s="15"/>
      <c r="O5162" s="16"/>
      <c r="Q5162" s="16"/>
    </row>
    <row r="5163" spans="1:17" x14ac:dyDescent="0.3">
      <c r="A5163" s="5"/>
      <c r="B5163" s="6"/>
      <c r="C5163" s="7"/>
      <c r="D5163" s="10"/>
      <c r="F5163" s="1"/>
      <c r="G5163" s="1"/>
      <c r="H5163" s="1"/>
      <c r="I5163" s="7"/>
      <c r="J5163" s="12"/>
      <c r="K5163" s="13"/>
      <c r="L5163" s="14"/>
      <c r="M5163" s="15"/>
      <c r="N5163" s="15"/>
      <c r="O5163" s="16"/>
      <c r="Q5163" s="16"/>
    </row>
    <row r="5164" spans="1:17" x14ac:dyDescent="0.3">
      <c r="A5164" s="5"/>
      <c r="B5164" s="6"/>
      <c r="C5164" s="7"/>
      <c r="D5164" s="10"/>
      <c r="F5164" s="1"/>
      <c r="G5164" s="1"/>
      <c r="H5164" s="1"/>
      <c r="I5164" s="7"/>
      <c r="J5164" s="12"/>
      <c r="K5164" s="13"/>
      <c r="L5164" s="14"/>
      <c r="M5164" s="15"/>
      <c r="N5164" s="15"/>
      <c r="O5164" s="16"/>
      <c r="Q5164" s="16"/>
    </row>
    <row r="5165" spans="1:17" x14ac:dyDescent="0.3">
      <c r="A5165" s="5"/>
      <c r="B5165" s="6"/>
      <c r="C5165" s="7"/>
      <c r="D5165" s="10"/>
      <c r="F5165" s="1"/>
      <c r="G5165" s="1"/>
      <c r="H5165" s="1"/>
      <c r="I5165" s="7"/>
      <c r="J5165" s="12"/>
      <c r="K5165" s="13"/>
      <c r="L5165" s="14"/>
      <c r="M5165" s="15"/>
      <c r="N5165" s="15"/>
      <c r="O5165" s="16"/>
      <c r="Q5165" s="16"/>
    </row>
    <row r="5166" spans="1:17" x14ac:dyDescent="0.3">
      <c r="A5166" s="5"/>
      <c r="B5166" s="6"/>
      <c r="C5166" s="7"/>
      <c r="D5166" s="10"/>
      <c r="F5166" s="1"/>
      <c r="G5166" s="1"/>
      <c r="H5166" s="1"/>
      <c r="I5166" s="7"/>
      <c r="J5166" s="12"/>
      <c r="K5166" s="13"/>
      <c r="L5166" s="14"/>
      <c r="M5166" s="15"/>
      <c r="N5166" s="15"/>
      <c r="O5166" s="16"/>
      <c r="Q5166" s="16"/>
    </row>
    <row r="5167" spans="1:17" x14ac:dyDescent="0.3">
      <c r="A5167" s="5"/>
      <c r="B5167" s="6"/>
      <c r="C5167" s="7"/>
      <c r="D5167" s="10"/>
      <c r="F5167" s="1"/>
      <c r="G5167" s="1"/>
      <c r="H5167" s="1"/>
      <c r="I5167" s="7"/>
      <c r="J5167" s="12"/>
      <c r="K5167" s="13"/>
      <c r="L5167" s="14"/>
      <c r="M5167" s="15"/>
      <c r="N5167" s="15"/>
      <c r="O5167" s="16"/>
      <c r="Q5167" s="16"/>
    </row>
    <row r="5168" spans="1:17" x14ac:dyDescent="0.3">
      <c r="A5168" s="5"/>
      <c r="B5168" s="6"/>
      <c r="C5168" s="7"/>
      <c r="D5168" s="10"/>
      <c r="F5168" s="1"/>
      <c r="G5168" s="1"/>
      <c r="H5168" s="1"/>
      <c r="I5168" s="7"/>
      <c r="J5168" s="12"/>
      <c r="K5168" s="13"/>
      <c r="L5168" s="14"/>
      <c r="M5168" s="15"/>
      <c r="N5168" s="15"/>
      <c r="O5168" s="16"/>
      <c r="Q5168" s="16"/>
    </row>
    <row r="5169" spans="1:17" x14ac:dyDescent="0.3">
      <c r="A5169" s="5"/>
      <c r="B5169" s="6"/>
      <c r="C5169" s="7"/>
      <c r="D5169" s="10"/>
      <c r="F5169" s="1"/>
      <c r="G5169" s="1"/>
      <c r="H5169" s="1"/>
      <c r="I5169" s="7"/>
      <c r="J5169" s="12"/>
      <c r="K5169" s="13"/>
      <c r="L5169" s="14"/>
      <c r="M5169" s="15"/>
      <c r="N5169" s="15"/>
      <c r="O5169" s="16"/>
      <c r="Q5169" s="16"/>
    </row>
    <row r="5170" spans="1:17" x14ac:dyDescent="0.3">
      <c r="A5170" s="5"/>
      <c r="B5170" s="6"/>
      <c r="C5170" s="7"/>
      <c r="D5170" s="10"/>
      <c r="F5170" s="1"/>
      <c r="G5170" s="1"/>
      <c r="H5170" s="1"/>
      <c r="I5170" s="7"/>
      <c r="J5170" s="12"/>
      <c r="K5170" s="13"/>
      <c r="L5170" s="14"/>
      <c r="M5170" s="15"/>
      <c r="N5170" s="15"/>
      <c r="O5170" s="16"/>
      <c r="Q5170" s="16"/>
    </row>
    <row r="5171" spans="1:17" x14ac:dyDescent="0.3">
      <c r="A5171" s="5"/>
      <c r="B5171" s="6"/>
      <c r="C5171" s="7"/>
      <c r="D5171" s="10"/>
      <c r="F5171" s="1"/>
      <c r="G5171" s="1"/>
      <c r="H5171" s="1"/>
      <c r="I5171" s="7"/>
      <c r="J5171" s="12"/>
      <c r="K5171" s="13"/>
      <c r="L5171" s="14"/>
      <c r="M5171" s="15"/>
      <c r="N5171" s="15"/>
      <c r="O5171" s="16"/>
      <c r="Q5171" s="16"/>
    </row>
    <row r="5172" spans="1:17" x14ac:dyDescent="0.3">
      <c r="A5172" s="5"/>
      <c r="B5172" s="6"/>
      <c r="C5172" s="7"/>
      <c r="D5172" s="10"/>
      <c r="F5172" s="1"/>
      <c r="G5172" s="1"/>
      <c r="H5172" s="1"/>
      <c r="I5172" s="7"/>
      <c r="J5172" s="12"/>
      <c r="K5172" s="13"/>
      <c r="L5172" s="14"/>
      <c r="M5172" s="15"/>
      <c r="N5172" s="15"/>
      <c r="O5172" s="16"/>
      <c r="Q5172" s="16"/>
    </row>
    <row r="5173" spans="1:17" x14ac:dyDescent="0.3">
      <c r="A5173" s="5"/>
      <c r="B5173" s="6"/>
      <c r="C5173" s="7"/>
      <c r="D5173" s="10"/>
      <c r="F5173" s="1"/>
      <c r="G5173" s="1"/>
      <c r="H5173" s="1"/>
      <c r="I5173" s="7"/>
      <c r="J5173" s="12"/>
      <c r="K5173" s="13"/>
      <c r="L5173" s="14"/>
      <c r="M5173" s="15"/>
      <c r="N5173" s="15"/>
      <c r="O5173" s="16"/>
      <c r="Q5173" s="16"/>
    </row>
    <row r="5174" spans="1:17" x14ac:dyDescent="0.3">
      <c r="A5174" s="5"/>
      <c r="B5174" s="6"/>
      <c r="C5174" s="7"/>
      <c r="D5174" s="10"/>
      <c r="F5174" s="1"/>
      <c r="G5174" s="1"/>
      <c r="H5174" s="1"/>
      <c r="I5174" s="7"/>
      <c r="J5174" s="12"/>
      <c r="K5174" s="13"/>
      <c r="L5174" s="14"/>
      <c r="M5174" s="15"/>
      <c r="N5174" s="15"/>
      <c r="O5174" s="16"/>
      <c r="Q5174" s="16"/>
    </row>
    <row r="5175" spans="1:17" x14ac:dyDescent="0.3">
      <c r="A5175" s="5"/>
      <c r="B5175" s="6"/>
      <c r="C5175" s="7"/>
      <c r="D5175" s="10"/>
      <c r="F5175" s="1"/>
      <c r="G5175" s="1"/>
      <c r="H5175" s="1"/>
      <c r="I5175" s="7"/>
      <c r="J5175" s="12"/>
      <c r="K5175" s="13"/>
      <c r="L5175" s="14"/>
      <c r="M5175" s="15"/>
      <c r="N5175" s="15"/>
      <c r="O5175" s="16"/>
      <c r="Q5175" s="16"/>
    </row>
    <row r="5176" spans="1:17" x14ac:dyDescent="0.3">
      <c r="A5176" s="5"/>
      <c r="B5176" s="6"/>
      <c r="C5176" s="7"/>
      <c r="D5176" s="10"/>
      <c r="F5176" s="1"/>
      <c r="G5176" s="1"/>
      <c r="H5176" s="1"/>
      <c r="I5176" s="7"/>
      <c r="J5176" s="12"/>
      <c r="K5176" s="13"/>
      <c r="L5176" s="14"/>
      <c r="M5176" s="15"/>
      <c r="N5176" s="15"/>
      <c r="O5176" s="16"/>
      <c r="Q5176" s="16"/>
    </row>
    <row r="5177" spans="1:17" x14ac:dyDescent="0.3">
      <c r="A5177" s="5"/>
      <c r="B5177" s="6"/>
      <c r="C5177" s="7"/>
      <c r="D5177" s="10"/>
      <c r="F5177" s="1"/>
      <c r="G5177" s="1"/>
      <c r="H5177" s="1"/>
      <c r="I5177" s="7"/>
      <c r="J5177" s="12"/>
      <c r="K5177" s="13"/>
      <c r="L5177" s="14"/>
      <c r="M5177" s="15"/>
      <c r="N5177" s="15"/>
      <c r="O5177" s="16"/>
      <c r="Q5177" s="16"/>
    </row>
    <row r="5178" spans="1:17" x14ac:dyDescent="0.3">
      <c r="A5178" s="5"/>
      <c r="B5178" s="6"/>
      <c r="C5178" s="7"/>
      <c r="D5178" s="10"/>
      <c r="F5178" s="1"/>
      <c r="G5178" s="1"/>
      <c r="H5178" s="1"/>
      <c r="I5178" s="7"/>
      <c r="J5178" s="12"/>
      <c r="K5178" s="13"/>
      <c r="L5178" s="14"/>
      <c r="M5178" s="15"/>
      <c r="N5178" s="15"/>
      <c r="O5178" s="16"/>
      <c r="Q5178" s="16"/>
    </row>
    <row r="5179" spans="1:17" x14ac:dyDescent="0.3">
      <c r="A5179" s="5"/>
      <c r="B5179" s="6"/>
      <c r="C5179" s="7"/>
      <c r="D5179" s="10"/>
      <c r="F5179" s="1"/>
      <c r="G5179" s="1"/>
      <c r="H5179" s="1"/>
      <c r="I5179" s="7"/>
      <c r="J5179" s="12"/>
      <c r="K5179" s="13"/>
      <c r="L5179" s="14"/>
      <c r="M5179" s="15"/>
      <c r="N5179" s="15"/>
      <c r="O5179" s="16"/>
      <c r="Q5179" s="16"/>
    </row>
    <row r="5180" spans="1:17" x14ac:dyDescent="0.3">
      <c r="A5180" s="5"/>
      <c r="B5180" s="6"/>
      <c r="C5180" s="7"/>
      <c r="D5180" s="10"/>
      <c r="F5180" s="1"/>
      <c r="G5180" s="1"/>
      <c r="H5180" s="1"/>
      <c r="I5180" s="7"/>
      <c r="J5180" s="12"/>
      <c r="K5180" s="13"/>
      <c r="L5180" s="14"/>
      <c r="M5180" s="15"/>
      <c r="N5180" s="15"/>
      <c r="O5180" s="16"/>
      <c r="Q5180" s="16"/>
    </row>
    <row r="5181" spans="1:17" x14ac:dyDescent="0.3">
      <c r="A5181" s="5"/>
      <c r="B5181" s="6"/>
      <c r="C5181" s="7"/>
      <c r="D5181" s="10"/>
      <c r="F5181" s="1"/>
      <c r="G5181" s="1"/>
      <c r="H5181" s="1"/>
      <c r="I5181" s="7"/>
      <c r="J5181" s="12"/>
      <c r="K5181" s="13"/>
      <c r="L5181" s="14"/>
      <c r="M5181" s="15"/>
      <c r="N5181" s="15"/>
      <c r="O5181" s="16"/>
      <c r="Q5181" s="16"/>
    </row>
    <row r="5182" spans="1:17" x14ac:dyDescent="0.3">
      <c r="A5182" s="5"/>
      <c r="B5182" s="6"/>
      <c r="C5182" s="7"/>
      <c r="D5182" s="10"/>
      <c r="F5182" s="1"/>
      <c r="G5182" s="1"/>
      <c r="H5182" s="1"/>
      <c r="I5182" s="7"/>
      <c r="J5182" s="12"/>
      <c r="K5182" s="13"/>
      <c r="L5182" s="14"/>
      <c r="M5182" s="15"/>
      <c r="N5182" s="15"/>
      <c r="O5182" s="16"/>
      <c r="Q5182" s="16"/>
    </row>
    <row r="5183" spans="1:17" x14ac:dyDescent="0.3">
      <c r="A5183" s="5"/>
      <c r="B5183" s="6"/>
      <c r="C5183" s="7"/>
      <c r="D5183" s="10"/>
      <c r="F5183" s="1"/>
      <c r="G5183" s="1"/>
      <c r="H5183" s="1"/>
      <c r="I5183" s="7"/>
      <c r="J5183" s="12"/>
      <c r="K5183" s="13"/>
      <c r="L5183" s="14"/>
      <c r="M5183" s="15"/>
      <c r="N5183" s="15"/>
      <c r="O5183" s="16"/>
      <c r="Q5183" s="16"/>
    </row>
    <row r="5184" spans="1:17" x14ac:dyDescent="0.3">
      <c r="A5184" s="5"/>
      <c r="B5184" s="6"/>
      <c r="C5184" s="7"/>
      <c r="D5184" s="10"/>
      <c r="F5184" s="1"/>
      <c r="G5184" s="1"/>
      <c r="H5184" s="1"/>
      <c r="I5184" s="7"/>
      <c r="J5184" s="12"/>
      <c r="K5184" s="13"/>
      <c r="L5184" s="14"/>
      <c r="M5184" s="15"/>
      <c r="N5184" s="15"/>
      <c r="O5184" s="16"/>
      <c r="Q5184" s="16"/>
    </row>
    <row r="5185" spans="1:17" x14ac:dyDescent="0.3">
      <c r="A5185" s="5"/>
      <c r="B5185" s="6"/>
      <c r="C5185" s="7"/>
      <c r="D5185" s="10"/>
      <c r="F5185" s="1"/>
      <c r="G5185" s="1"/>
      <c r="H5185" s="1"/>
      <c r="I5185" s="7"/>
      <c r="J5185" s="12"/>
      <c r="K5185" s="13"/>
      <c r="L5185" s="14"/>
      <c r="M5185" s="15"/>
      <c r="N5185" s="15"/>
      <c r="O5185" s="16"/>
      <c r="Q5185" s="16"/>
    </row>
    <row r="5186" spans="1:17" x14ac:dyDescent="0.3">
      <c r="A5186" s="5"/>
      <c r="B5186" s="6"/>
      <c r="C5186" s="7"/>
      <c r="D5186" s="10"/>
      <c r="F5186" s="1"/>
      <c r="G5186" s="1"/>
      <c r="H5186" s="1"/>
      <c r="I5186" s="7"/>
      <c r="J5186" s="12"/>
      <c r="K5186" s="13"/>
      <c r="L5186" s="14"/>
      <c r="M5186" s="15"/>
      <c r="N5186" s="15"/>
      <c r="O5186" s="16"/>
      <c r="Q5186" s="16"/>
    </row>
    <row r="5187" spans="1:17" x14ac:dyDescent="0.3">
      <c r="A5187" s="5"/>
      <c r="B5187" s="6"/>
      <c r="C5187" s="7"/>
      <c r="D5187" s="10"/>
      <c r="F5187" s="1"/>
      <c r="G5187" s="1"/>
      <c r="H5187" s="1"/>
      <c r="I5187" s="7"/>
      <c r="J5187" s="12"/>
      <c r="K5187" s="13"/>
      <c r="L5187" s="14"/>
      <c r="M5187" s="15"/>
      <c r="N5187" s="15"/>
      <c r="O5187" s="16"/>
      <c r="Q5187" s="16"/>
    </row>
    <row r="5188" spans="1:17" x14ac:dyDescent="0.3">
      <c r="A5188" s="5"/>
      <c r="B5188" s="6"/>
      <c r="C5188" s="7"/>
      <c r="D5188" s="10"/>
      <c r="F5188" s="1"/>
      <c r="G5188" s="1"/>
      <c r="H5188" s="1"/>
      <c r="I5188" s="7"/>
      <c r="J5188" s="12"/>
      <c r="K5188" s="13"/>
      <c r="L5188" s="14"/>
      <c r="M5188" s="15"/>
      <c r="N5188" s="15"/>
      <c r="O5188" s="16"/>
      <c r="Q5188" s="16"/>
    </row>
    <row r="5189" spans="1:17" x14ac:dyDescent="0.3">
      <c r="A5189" s="5"/>
      <c r="B5189" s="6"/>
      <c r="C5189" s="7"/>
      <c r="D5189" s="10"/>
      <c r="F5189" s="1"/>
      <c r="G5189" s="1"/>
      <c r="H5189" s="1"/>
      <c r="I5189" s="7"/>
      <c r="J5189" s="12"/>
      <c r="K5189" s="13"/>
      <c r="L5189" s="14"/>
      <c r="M5189" s="15"/>
      <c r="N5189" s="15"/>
      <c r="O5189" s="16"/>
      <c r="Q5189" s="16"/>
    </row>
    <row r="5190" spans="1:17" x14ac:dyDescent="0.3">
      <c r="A5190" s="5"/>
      <c r="B5190" s="6"/>
      <c r="C5190" s="7"/>
      <c r="D5190" s="10"/>
      <c r="F5190" s="1"/>
      <c r="G5190" s="1"/>
      <c r="H5190" s="1"/>
      <c r="I5190" s="7"/>
      <c r="J5190" s="12"/>
      <c r="K5190" s="13"/>
      <c r="L5190" s="14"/>
      <c r="M5190" s="15"/>
      <c r="N5190" s="15"/>
      <c r="O5190" s="16"/>
      <c r="Q5190" s="16"/>
    </row>
    <row r="5191" spans="1:17" x14ac:dyDescent="0.3">
      <c r="A5191" s="5"/>
      <c r="B5191" s="6"/>
      <c r="C5191" s="7"/>
      <c r="D5191" s="10"/>
      <c r="F5191" s="1"/>
      <c r="G5191" s="1"/>
      <c r="H5191" s="1"/>
      <c r="I5191" s="7"/>
      <c r="J5191" s="12"/>
      <c r="K5191" s="13"/>
      <c r="L5191" s="14"/>
      <c r="M5191" s="15"/>
      <c r="N5191" s="15"/>
      <c r="O5191" s="16"/>
      <c r="Q5191" s="16"/>
    </row>
    <row r="5192" spans="1:17" x14ac:dyDescent="0.3">
      <c r="A5192" s="5"/>
      <c r="B5192" s="6"/>
      <c r="C5192" s="7"/>
      <c r="D5192" s="10"/>
      <c r="F5192" s="1"/>
      <c r="G5192" s="1"/>
      <c r="H5192" s="1"/>
      <c r="I5192" s="7"/>
      <c r="J5192" s="12"/>
      <c r="K5192" s="13"/>
      <c r="L5192" s="14"/>
      <c r="M5192" s="15"/>
      <c r="N5192" s="15"/>
      <c r="O5192" s="16"/>
      <c r="Q5192" s="16"/>
    </row>
    <row r="5193" spans="1:17" x14ac:dyDescent="0.3">
      <c r="A5193" s="5"/>
      <c r="B5193" s="6"/>
      <c r="C5193" s="7"/>
      <c r="D5193" s="10"/>
      <c r="F5193" s="1"/>
      <c r="G5193" s="1"/>
      <c r="H5193" s="1"/>
      <c r="I5193" s="7"/>
      <c r="J5193" s="12"/>
      <c r="K5193" s="13"/>
      <c r="L5193" s="14"/>
      <c r="M5193" s="15"/>
      <c r="N5193" s="15"/>
      <c r="O5193" s="16"/>
      <c r="Q5193" s="16"/>
    </row>
    <row r="5194" spans="1:17" x14ac:dyDescent="0.3">
      <c r="A5194" s="5"/>
      <c r="B5194" s="6"/>
      <c r="C5194" s="7"/>
      <c r="D5194" s="10"/>
      <c r="F5194" s="1"/>
      <c r="G5194" s="1"/>
      <c r="H5194" s="1"/>
      <c r="I5194" s="7"/>
      <c r="J5194" s="12"/>
      <c r="K5194" s="13"/>
      <c r="L5194" s="14"/>
      <c r="M5194" s="15"/>
      <c r="N5194" s="15"/>
      <c r="O5194" s="16"/>
      <c r="Q5194" s="16"/>
    </row>
    <row r="5195" spans="1:17" x14ac:dyDescent="0.3">
      <c r="A5195" s="5"/>
      <c r="B5195" s="6"/>
      <c r="C5195" s="7"/>
      <c r="D5195" s="10"/>
      <c r="F5195" s="1"/>
      <c r="G5195" s="1"/>
      <c r="H5195" s="1"/>
      <c r="I5195" s="7"/>
      <c r="J5195" s="12"/>
      <c r="K5195" s="13"/>
      <c r="L5195" s="14"/>
      <c r="M5195" s="15"/>
      <c r="N5195" s="15"/>
      <c r="O5195" s="16"/>
      <c r="Q5195" s="16"/>
    </row>
    <row r="5196" spans="1:17" x14ac:dyDescent="0.3">
      <c r="A5196" s="5"/>
      <c r="B5196" s="6"/>
      <c r="C5196" s="7"/>
      <c r="D5196" s="10"/>
      <c r="F5196" s="1"/>
      <c r="G5196" s="1"/>
      <c r="H5196" s="1"/>
      <c r="I5196" s="7"/>
      <c r="J5196" s="12"/>
      <c r="K5196" s="13"/>
      <c r="L5196" s="14"/>
      <c r="M5196" s="15"/>
      <c r="N5196" s="15"/>
      <c r="O5196" s="16"/>
      <c r="Q5196" s="16"/>
    </row>
    <row r="5197" spans="1:17" x14ac:dyDescent="0.3">
      <c r="A5197" s="5"/>
      <c r="B5197" s="6"/>
      <c r="C5197" s="7"/>
      <c r="D5197" s="10"/>
      <c r="F5197" s="1"/>
      <c r="G5197" s="1"/>
      <c r="H5197" s="1"/>
      <c r="I5197" s="7"/>
      <c r="J5197" s="12"/>
      <c r="K5197" s="13"/>
      <c r="L5197" s="14"/>
      <c r="M5197" s="15"/>
      <c r="N5197" s="15"/>
      <c r="O5197" s="16"/>
      <c r="Q5197" s="16"/>
    </row>
    <row r="5198" spans="1:17" x14ac:dyDescent="0.3">
      <c r="A5198" s="5"/>
      <c r="B5198" s="6"/>
      <c r="C5198" s="7"/>
      <c r="D5198" s="10"/>
      <c r="F5198" s="1"/>
      <c r="G5198" s="1"/>
      <c r="H5198" s="1"/>
      <c r="I5198" s="7"/>
      <c r="J5198" s="12"/>
      <c r="K5198" s="13"/>
      <c r="L5198" s="14"/>
      <c r="M5198" s="15"/>
      <c r="N5198" s="15"/>
      <c r="O5198" s="16"/>
      <c r="Q5198" s="16"/>
    </row>
    <row r="5199" spans="1:17" x14ac:dyDescent="0.3">
      <c r="A5199" s="5"/>
      <c r="B5199" s="6"/>
      <c r="C5199" s="7"/>
      <c r="D5199" s="10"/>
      <c r="F5199" s="1"/>
      <c r="G5199" s="1"/>
      <c r="H5199" s="1"/>
      <c r="I5199" s="7"/>
      <c r="J5199" s="12"/>
      <c r="K5199" s="13"/>
      <c r="L5199" s="14"/>
      <c r="M5199" s="15"/>
      <c r="N5199" s="15"/>
      <c r="O5199" s="16"/>
      <c r="Q5199" s="16"/>
    </row>
    <row r="5200" spans="1:17" x14ac:dyDescent="0.3">
      <c r="A5200" s="5"/>
      <c r="B5200" s="6"/>
      <c r="C5200" s="7"/>
      <c r="D5200" s="10"/>
      <c r="F5200" s="1"/>
      <c r="G5200" s="1"/>
      <c r="H5200" s="1"/>
      <c r="I5200" s="7"/>
      <c r="J5200" s="12"/>
      <c r="K5200" s="13"/>
      <c r="L5200" s="14"/>
      <c r="M5200" s="15"/>
      <c r="N5200" s="15"/>
      <c r="O5200" s="16"/>
      <c r="Q5200" s="16"/>
    </row>
    <row r="5201" spans="1:17" x14ac:dyDescent="0.3">
      <c r="A5201" s="5"/>
      <c r="B5201" s="6"/>
      <c r="C5201" s="7"/>
      <c r="D5201" s="10"/>
      <c r="F5201" s="1"/>
      <c r="G5201" s="1"/>
      <c r="H5201" s="1"/>
      <c r="I5201" s="7"/>
      <c r="J5201" s="12"/>
      <c r="K5201" s="13"/>
      <c r="L5201" s="14"/>
      <c r="M5201" s="15"/>
      <c r="N5201" s="15"/>
      <c r="O5201" s="16"/>
      <c r="Q5201" s="16"/>
    </row>
    <row r="5202" spans="1:17" x14ac:dyDescent="0.3">
      <c r="A5202" s="5"/>
      <c r="B5202" s="6"/>
      <c r="C5202" s="7"/>
      <c r="D5202" s="10"/>
      <c r="F5202" s="1"/>
      <c r="G5202" s="1"/>
      <c r="H5202" s="1"/>
      <c r="I5202" s="7"/>
      <c r="J5202" s="12"/>
      <c r="K5202" s="13"/>
      <c r="L5202" s="14"/>
      <c r="M5202" s="15"/>
      <c r="N5202" s="15"/>
      <c r="O5202" s="16"/>
      <c r="Q5202" s="16"/>
    </row>
    <row r="5203" spans="1:17" x14ac:dyDescent="0.3">
      <c r="A5203" s="5"/>
      <c r="B5203" s="6"/>
      <c r="C5203" s="7"/>
      <c r="D5203" s="10"/>
      <c r="F5203" s="1"/>
      <c r="G5203" s="1"/>
      <c r="H5203" s="1"/>
      <c r="I5203" s="7"/>
      <c r="J5203" s="12"/>
      <c r="K5203" s="13"/>
      <c r="L5203" s="14"/>
      <c r="M5203" s="15"/>
      <c r="N5203" s="15"/>
      <c r="O5203" s="16"/>
      <c r="Q5203" s="16"/>
    </row>
    <row r="5204" spans="1:17" x14ac:dyDescent="0.3">
      <c r="A5204" s="5"/>
      <c r="B5204" s="6"/>
      <c r="C5204" s="7"/>
      <c r="D5204" s="10"/>
      <c r="F5204" s="1"/>
      <c r="G5204" s="1"/>
      <c r="H5204" s="1"/>
      <c r="I5204" s="7"/>
      <c r="J5204" s="12"/>
      <c r="K5204" s="13"/>
      <c r="L5204" s="14"/>
      <c r="M5204" s="15"/>
      <c r="N5204" s="15"/>
      <c r="O5204" s="16"/>
      <c r="Q5204" s="16"/>
    </row>
    <row r="5205" spans="1:17" x14ac:dyDescent="0.3">
      <c r="A5205" s="5"/>
      <c r="B5205" s="6"/>
      <c r="C5205" s="7"/>
      <c r="D5205" s="10"/>
      <c r="F5205" s="1"/>
      <c r="G5205" s="1"/>
      <c r="H5205" s="1"/>
      <c r="I5205" s="7"/>
      <c r="J5205" s="12"/>
      <c r="K5205" s="13"/>
      <c r="L5205" s="14"/>
      <c r="M5205" s="15"/>
      <c r="N5205" s="15"/>
      <c r="O5205" s="16"/>
      <c r="Q5205" s="16"/>
    </row>
    <row r="5206" spans="1:17" x14ac:dyDescent="0.3">
      <c r="A5206" s="5"/>
      <c r="B5206" s="6"/>
      <c r="C5206" s="7"/>
      <c r="D5206" s="10"/>
      <c r="F5206" s="1"/>
      <c r="G5206" s="1"/>
      <c r="H5206" s="1"/>
      <c r="I5206" s="7"/>
      <c r="J5206" s="12"/>
      <c r="K5206" s="13"/>
      <c r="L5206" s="14"/>
      <c r="M5206" s="15"/>
      <c r="N5206" s="15"/>
      <c r="O5206" s="16"/>
      <c r="Q5206" s="16"/>
    </row>
    <row r="5207" spans="1:17" x14ac:dyDescent="0.3">
      <c r="A5207" s="5"/>
      <c r="B5207" s="6"/>
      <c r="C5207" s="7"/>
      <c r="D5207" s="10"/>
      <c r="F5207" s="1"/>
      <c r="G5207" s="1"/>
      <c r="H5207" s="1"/>
      <c r="I5207" s="7"/>
      <c r="J5207" s="12"/>
      <c r="K5207" s="13"/>
      <c r="L5207" s="14"/>
      <c r="M5207" s="15"/>
      <c r="N5207" s="15"/>
      <c r="O5207" s="16"/>
      <c r="Q5207" s="16"/>
    </row>
    <row r="5208" spans="1:17" x14ac:dyDescent="0.3">
      <c r="A5208" s="5"/>
      <c r="B5208" s="6"/>
      <c r="C5208" s="7"/>
      <c r="D5208" s="10"/>
      <c r="F5208" s="1"/>
      <c r="G5208" s="1"/>
      <c r="H5208" s="1"/>
      <c r="I5208" s="7"/>
      <c r="J5208" s="12"/>
      <c r="K5208" s="13"/>
      <c r="L5208" s="14"/>
      <c r="M5208" s="15"/>
      <c r="N5208" s="15"/>
      <c r="O5208" s="16"/>
      <c r="Q5208" s="16"/>
    </row>
    <row r="5209" spans="1:17" x14ac:dyDescent="0.3">
      <c r="A5209" s="5"/>
      <c r="B5209" s="6"/>
      <c r="C5209" s="7"/>
      <c r="D5209" s="10"/>
      <c r="F5209" s="1"/>
      <c r="G5209" s="1"/>
      <c r="H5209" s="1"/>
      <c r="I5209" s="7"/>
      <c r="J5209" s="12"/>
      <c r="K5209" s="13"/>
      <c r="L5209" s="14"/>
      <c r="M5209" s="15"/>
      <c r="N5209" s="15"/>
      <c r="O5209" s="16"/>
      <c r="Q5209" s="16"/>
    </row>
    <row r="5210" spans="1:17" x14ac:dyDescent="0.3">
      <c r="A5210" s="5"/>
      <c r="B5210" s="6"/>
      <c r="C5210" s="7"/>
      <c r="D5210" s="10"/>
      <c r="F5210" s="1"/>
      <c r="G5210" s="1"/>
      <c r="H5210" s="1"/>
      <c r="I5210" s="7"/>
      <c r="J5210" s="12"/>
      <c r="K5210" s="13"/>
      <c r="L5210" s="14"/>
      <c r="M5210" s="15"/>
      <c r="N5210" s="15"/>
      <c r="O5210" s="16"/>
      <c r="Q5210" s="16"/>
    </row>
    <row r="5211" spans="1:17" x14ac:dyDescent="0.3">
      <c r="A5211" s="5"/>
      <c r="B5211" s="6"/>
      <c r="C5211" s="7"/>
      <c r="D5211" s="10"/>
      <c r="F5211" s="1"/>
      <c r="G5211" s="1"/>
      <c r="H5211" s="1"/>
      <c r="I5211" s="7"/>
      <c r="J5211" s="12"/>
      <c r="K5211" s="13"/>
      <c r="L5211" s="14"/>
      <c r="M5211" s="15"/>
      <c r="N5211" s="15"/>
      <c r="O5211" s="16"/>
      <c r="Q5211" s="16"/>
    </row>
    <row r="5212" spans="1:17" x14ac:dyDescent="0.3">
      <c r="A5212" s="5"/>
      <c r="B5212" s="6"/>
      <c r="C5212" s="7"/>
      <c r="D5212" s="10"/>
      <c r="F5212" s="1"/>
      <c r="G5212" s="1"/>
      <c r="H5212" s="1"/>
      <c r="I5212" s="7"/>
      <c r="J5212" s="12"/>
      <c r="K5212" s="13"/>
      <c r="L5212" s="14"/>
      <c r="M5212" s="15"/>
      <c r="N5212" s="15"/>
      <c r="O5212" s="16"/>
      <c r="Q5212" s="16"/>
    </row>
    <row r="5213" spans="1:17" x14ac:dyDescent="0.3">
      <c r="A5213" s="5"/>
      <c r="B5213" s="6"/>
      <c r="C5213" s="7"/>
      <c r="D5213" s="10"/>
      <c r="F5213" s="1"/>
      <c r="G5213" s="1"/>
      <c r="H5213" s="1"/>
      <c r="I5213" s="7"/>
      <c r="J5213" s="12"/>
      <c r="K5213" s="13"/>
      <c r="L5213" s="14"/>
      <c r="M5213" s="15"/>
      <c r="N5213" s="15"/>
      <c r="O5213" s="16"/>
      <c r="Q5213" s="16"/>
    </row>
    <row r="5214" spans="1:17" x14ac:dyDescent="0.3">
      <c r="A5214" s="5"/>
      <c r="B5214" s="6"/>
      <c r="C5214" s="7"/>
      <c r="D5214" s="10"/>
      <c r="F5214" s="1"/>
      <c r="G5214" s="1"/>
      <c r="H5214" s="1"/>
      <c r="I5214" s="7"/>
      <c r="J5214" s="12"/>
      <c r="K5214" s="13"/>
      <c r="L5214" s="14"/>
      <c r="M5214" s="15"/>
      <c r="N5214" s="15"/>
      <c r="O5214" s="16"/>
      <c r="Q5214" s="16"/>
    </row>
    <row r="5215" spans="1:17" x14ac:dyDescent="0.3">
      <c r="A5215" s="5"/>
      <c r="B5215" s="6"/>
      <c r="C5215" s="7"/>
      <c r="D5215" s="10"/>
      <c r="F5215" s="1"/>
      <c r="G5215" s="1"/>
      <c r="H5215" s="1"/>
      <c r="I5215" s="7"/>
      <c r="J5215" s="12"/>
      <c r="K5215" s="13"/>
      <c r="L5215" s="14"/>
      <c r="M5215" s="15"/>
      <c r="N5215" s="15"/>
      <c r="O5215" s="16"/>
      <c r="Q5215" s="16"/>
    </row>
    <row r="5216" spans="1:17" x14ac:dyDescent="0.3">
      <c r="A5216" s="5"/>
      <c r="B5216" s="6"/>
      <c r="C5216" s="7"/>
      <c r="D5216" s="10"/>
      <c r="F5216" s="1"/>
      <c r="G5216" s="1"/>
      <c r="H5216" s="1"/>
      <c r="I5216" s="7"/>
      <c r="J5216" s="12"/>
      <c r="K5216" s="13"/>
      <c r="L5216" s="14"/>
      <c r="M5216" s="15"/>
      <c r="N5216" s="15"/>
      <c r="O5216" s="16"/>
      <c r="Q5216" s="16"/>
    </row>
    <row r="5217" spans="1:17" x14ac:dyDescent="0.3">
      <c r="A5217" s="5"/>
      <c r="B5217" s="6"/>
      <c r="C5217" s="7"/>
      <c r="D5217" s="10"/>
      <c r="F5217" s="1"/>
      <c r="G5217" s="1"/>
      <c r="H5217" s="1"/>
      <c r="I5217" s="7"/>
      <c r="J5217" s="12"/>
      <c r="K5217" s="13"/>
      <c r="L5217" s="14"/>
      <c r="M5217" s="15"/>
      <c r="N5217" s="15"/>
      <c r="O5217" s="16"/>
      <c r="Q5217" s="16"/>
    </row>
    <row r="5218" spans="1:17" x14ac:dyDescent="0.3">
      <c r="A5218" s="5"/>
      <c r="B5218" s="6"/>
      <c r="C5218" s="7"/>
      <c r="D5218" s="10"/>
      <c r="F5218" s="1"/>
      <c r="G5218" s="1"/>
      <c r="H5218" s="1"/>
      <c r="I5218" s="7"/>
      <c r="J5218" s="12"/>
      <c r="K5218" s="13"/>
      <c r="L5218" s="14"/>
      <c r="M5218" s="15"/>
      <c r="N5218" s="15"/>
      <c r="O5218" s="16"/>
      <c r="Q5218" s="16"/>
    </row>
    <row r="5219" spans="1:17" x14ac:dyDescent="0.3">
      <c r="A5219" s="5"/>
      <c r="B5219" s="6"/>
      <c r="C5219" s="7"/>
      <c r="D5219" s="10"/>
      <c r="F5219" s="1"/>
      <c r="G5219" s="1"/>
      <c r="H5219" s="1"/>
      <c r="I5219" s="7"/>
      <c r="J5219" s="12"/>
      <c r="K5219" s="13"/>
      <c r="L5219" s="14"/>
      <c r="M5219" s="15"/>
      <c r="N5219" s="15"/>
      <c r="O5219" s="16"/>
      <c r="Q5219" s="16"/>
    </row>
    <row r="5220" spans="1:17" x14ac:dyDescent="0.3">
      <c r="A5220" s="5"/>
      <c r="B5220" s="6"/>
      <c r="C5220" s="7"/>
      <c r="D5220" s="10"/>
      <c r="F5220" s="1"/>
      <c r="G5220" s="1"/>
      <c r="H5220" s="1"/>
      <c r="I5220" s="7"/>
      <c r="J5220" s="12"/>
      <c r="K5220" s="13"/>
      <c r="L5220" s="14"/>
      <c r="M5220" s="15"/>
      <c r="N5220" s="15"/>
      <c r="O5220" s="16"/>
      <c r="Q5220" s="16"/>
    </row>
    <row r="5221" spans="1:17" x14ac:dyDescent="0.3">
      <c r="A5221" s="5"/>
      <c r="B5221" s="6"/>
      <c r="C5221" s="7"/>
      <c r="D5221" s="10"/>
      <c r="F5221" s="1"/>
      <c r="G5221" s="1"/>
      <c r="H5221" s="1"/>
      <c r="I5221" s="7"/>
      <c r="J5221" s="12"/>
      <c r="K5221" s="13"/>
      <c r="L5221" s="14"/>
      <c r="M5221" s="15"/>
      <c r="N5221" s="15"/>
      <c r="O5221" s="16"/>
      <c r="Q5221" s="16"/>
    </row>
    <row r="5222" spans="1:17" x14ac:dyDescent="0.3">
      <c r="A5222" s="5"/>
      <c r="B5222" s="6"/>
      <c r="C5222" s="7"/>
      <c r="D5222" s="10"/>
      <c r="F5222" s="1"/>
      <c r="G5222" s="1"/>
      <c r="H5222" s="1"/>
      <c r="I5222" s="7"/>
      <c r="J5222" s="12"/>
      <c r="K5222" s="13"/>
      <c r="L5222" s="14"/>
      <c r="M5222" s="15"/>
      <c r="N5222" s="15"/>
      <c r="O5222" s="16"/>
      <c r="Q5222" s="16"/>
    </row>
    <row r="5223" spans="1:17" x14ac:dyDescent="0.3">
      <c r="A5223" s="5"/>
      <c r="B5223" s="6"/>
      <c r="C5223" s="7"/>
      <c r="D5223" s="10"/>
      <c r="F5223" s="1"/>
      <c r="G5223" s="1"/>
      <c r="H5223" s="1"/>
      <c r="I5223" s="7"/>
      <c r="J5223" s="12"/>
      <c r="K5223" s="13"/>
      <c r="L5223" s="14"/>
      <c r="M5223" s="15"/>
      <c r="N5223" s="15"/>
      <c r="O5223" s="16"/>
      <c r="Q5223" s="16"/>
    </row>
    <row r="5224" spans="1:17" x14ac:dyDescent="0.3">
      <c r="A5224" s="5"/>
      <c r="B5224" s="6"/>
      <c r="C5224" s="7"/>
      <c r="D5224" s="10"/>
      <c r="F5224" s="1"/>
      <c r="G5224" s="1"/>
      <c r="H5224" s="1"/>
      <c r="I5224" s="7"/>
      <c r="J5224" s="12"/>
      <c r="K5224" s="13"/>
      <c r="L5224" s="14"/>
      <c r="M5224" s="15"/>
      <c r="N5224" s="15"/>
      <c r="O5224" s="16"/>
      <c r="Q5224" s="16"/>
    </row>
    <row r="5225" spans="1:17" x14ac:dyDescent="0.3">
      <c r="A5225" s="5"/>
      <c r="B5225" s="6"/>
      <c r="C5225" s="7"/>
      <c r="D5225" s="10"/>
      <c r="F5225" s="1"/>
      <c r="G5225" s="1"/>
      <c r="H5225" s="1"/>
      <c r="I5225" s="7"/>
      <c r="J5225" s="12"/>
      <c r="K5225" s="13"/>
      <c r="L5225" s="14"/>
      <c r="M5225" s="15"/>
      <c r="N5225" s="15"/>
      <c r="O5225" s="16"/>
      <c r="Q5225" s="16"/>
    </row>
    <row r="5226" spans="1:17" x14ac:dyDescent="0.3">
      <c r="A5226" s="5"/>
      <c r="B5226" s="6"/>
      <c r="C5226" s="7"/>
      <c r="D5226" s="10"/>
      <c r="F5226" s="1"/>
      <c r="G5226" s="1"/>
      <c r="H5226" s="1"/>
      <c r="I5226" s="7"/>
      <c r="J5226" s="12"/>
      <c r="K5226" s="13"/>
      <c r="L5226" s="14"/>
      <c r="M5226" s="15"/>
      <c r="N5226" s="15"/>
      <c r="O5226" s="16"/>
      <c r="Q5226" s="16"/>
    </row>
    <row r="5227" spans="1:17" x14ac:dyDescent="0.3">
      <c r="A5227" s="5"/>
      <c r="B5227" s="6"/>
      <c r="C5227" s="7"/>
      <c r="D5227" s="10"/>
      <c r="F5227" s="1"/>
      <c r="G5227" s="1"/>
      <c r="H5227" s="1"/>
      <c r="I5227" s="7"/>
      <c r="J5227" s="12"/>
      <c r="K5227" s="13"/>
      <c r="L5227" s="14"/>
      <c r="M5227" s="15"/>
      <c r="N5227" s="15"/>
      <c r="O5227" s="16"/>
      <c r="Q5227" s="16"/>
    </row>
    <row r="5228" spans="1:17" x14ac:dyDescent="0.3">
      <c r="A5228" s="5"/>
      <c r="B5228" s="6"/>
      <c r="C5228" s="7"/>
      <c r="D5228" s="10"/>
      <c r="F5228" s="1"/>
      <c r="G5228" s="1"/>
      <c r="H5228" s="1"/>
      <c r="I5228" s="7"/>
      <c r="J5228" s="12"/>
      <c r="K5228" s="13"/>
      <c r="L5228" s="14"/>
      <c r="M5228" s="15"/>
      <c r="N5228" s="15"/>
      <c r="O5228" s="16"/>
      <c r="Q5228" s="16"/>
    </row>
    <row r="5229" spans="1:17" x14ac:dyDescent="0.3">
      <c r="A5229" s="5"/>
      <c r="B5229" s="6"/>
      <c r="C5229" s="7"/>
      <c r="D5229" s="10"/>
      <c r="F5229" s="1"/>
      <c r="G5229" s="1"/>
      <c r="H5229" s="1"/>
      <c r="I5229" s="7"/>
      <c r="J5229" s="12"/>
      <c r="K5229" s="13"/>
      <c r="L5229" s="14"/>
      <c r="M5229" s="15"/>
      <c r="N5229" s="15"/>
      <c r="O5229" s="16"/>
      <c r="Q5229" s="16"/>
    </row>
    <row r="5230" spans="1:17" x14ac:dyDescent="0.3">
      <c r="A5230" s="5"/>
      <c r="B5230" s="6"/>
      <c r="C5230" s="7"/>
      <c r="D5230" s="10"/>
      <c r="F5230" s="1"/>
      <c r="G5230" s="1"/>
      <c r="H5230" s="1"/>
      <c r="I5230" s="7"/>
      <c r="J5230" s="12"/>
      <c r="K5230" s="13"/>
      <c r="L5230" s="14"/>
      <c r="M5230" s="15"/>
      <c r="N5230" s="15"/>
      <c r="O5230" s="16"/>
      <c r="Q5230" s="16"/>
    </row>
    <row r="5231" spans="1:17" x14ac:dyDescent="0.3">
      <c r="A5231" s="5"/>
      <c r="B5231" s="6"/>
      <c r="C5231" s="7"/>
      <c r="D5231" s="10"/>
      <c r="F5231" s="1"/>
      <c r="G5231" s="1"/>
      <c r="H5231" s="1"/>
      <c r="I5231" s="7"/>
      <c r="J5231" s="12"/>
      <c r="K5231" s="13"/>
      <c r="L5231" s="14"/>
      <c r="M5231" s="15"/>
      <c r="N5231" s="15"/>
      <c r="O5231" s="16"/>
      <c r="Q5231" s="16"/>
    </row>
    <row r="5232" spans="1:17" x14ac:dyDescent="0.3">
      <c r="A5232" s="5"/>
      <c r="B5232" s="6"/>
      <c r="C5232" s="7"/>
      <c r="D5232" s="10"/>
      <c r="F5232" s="1"/>
      <c r="G5232" s="1"/>
      <c r="H5232" s="1"/>
      <c r="I5232" s="7"/>
      <c r="J5232" s="12"/>
      <c r="K5232" s="13"/>
      <c r="L5232" s="14"/>
      <c r="M5232" s="15"/>
      <c r="N5232" s="15"/>
      <c r="O5232" s="16"/>
      <c r="Q5232" s="16"/>
    </row>
    <row r="5233" spans="1:17" x14ac:dyDescent="0.3">
      <c r="A5233" s="5"/>
      <c r="B5233" s="6"/>
      <c r="C5233" s="7"/>
      <c r="D5233" s="10"/>
      <c r="F5233" s="1"/>
      <c r="G5233" s="1"/>
      <c r="H5233" s="1"/>
      <c r="I5233" s="7"/>
      <c r="J5233" s="12"/>
      <c r="K5233" s="13"/>
      <c r="L5233" s="14"/>
      <c r="M5233" s="15"/>
      <c r="N5233" s="15"/>
      <c r="O5233" s="16"/>
      <c r="Q5233" s="16"/>
    </row>
    <row r="5234" spans="1:17" x14ac:dyDescent="0.3">
      <c r="A5234" s="5"/>
      <c r="B5234" s="6"/>
      <c r="C5234" s="7"/>
      <c r="D5234" s="10"/>
      <c r="F5234" s="1"/>
      <c r="G5234" s="1"/>
      <c r="H5234" s="1"/>
      <c r="I5234" s="7"/>
      <c r="J5234" s="12"/>
      <c r="K5234" s="13"/>
      <c r="L5234" s="14"/>
      <c r="M5234" s="15"/>
      <c r="N5234" s="15"/>
      <c r="O5234" s="16"/>
      <c r="Q5234" s="16"/>
    </row>
    <row r="5235" spans="1:17" x14ac:dyDescent="0.3">
      <c r="A5235" s="5"/>
      <c r="B5235" s="6"/>
      <c r="C5235" s="7"/>
      <c r="D5235" s="10"/>
      <c r="F5235" s="1"/>
      <c r="G5235" s="1"/>
      <c r="H5235" s="1"/>
      <c r="I5235" s="7"/>
      <c r="J5235" s="12"/>
      <c r="K5235" s="13"/>
      <c r="L5235" s="14"/>
      <c r="M5235" s="15"/>
      <c r="N5235" s="15"/>
      <c r="O5235" s="16"/>
      <c r="Q5235" s="16"/>
    </row>
    <row r="5236" spans="1:17" x14ac:dyDescent="0.3">
      <c r="A5236" s="5"/>
      <c r="B5236" s="6"/>
      <c r="C5236" s="7"/>
      <c r="D5236" s="10"/>
      <c r="F5236" s="1"/>
      <c r="G5236" s="1"/>
      <c r="H5236" s="1"/>
      <c r="I5236" s="7"/>
      <c r="J5236" s="12"/>
      <c r="K5236" s="13"/>
      <c r="L5236" s="14"/>
      <c r="M5236" s="15"/>
      <c r="N5236" s="15"/>
      <c r="O5236" s="16"/>
      <c r="Q5236" s="16"/>
    </row>
    <row r="5237" spans="1:17" x14ac:dyDescent="0.3">
      <c r="A5237" s="5"/>
      <c r="B5237" s="6"/>
      <c r="C5237" s="7"/>
      <c r="D5237" s="10"/>
      <c r="F5237" s="1"/>
      <c r="G5237" s="1"/>
      <c r="H5237" s="1"/>
      <c r="I5237" s="7"/>
      <c r="J5237" s="12"/>
      <c r="K5237" s="13"/>
      <c r="L5237" s="14"/>
      <c r="M5237" s="15"/>
      <c r="N5237" s="15"/>
      <c r="O5237" s="16"/>
      <c r="Q5237" s="16"/>
    </row>
    <row r="5238" spans="1:17" x14ac:dyDescent="0.3">
      <c r="A5238" s="5"/>
      <c r="B5238" s="6"/>
      <c r="C5238" s="7"/>
      <c r="D5238" s="10"/>
      <c r="F5238" s="1"/>
      <c r="G5238" s="1"/>
      <c r="H5238" s="1"/>
      <c r="I5238" s="7"/>
      <c r="J5238" s="12"/>
      <c r="K5238" s="13"/>
      <c r="L5238" s="14"/>
      <c r="M5238" s="15"/>
      <c r="N5238" s="15"/>
      <c r="O5238" s="16"/>
      <c r="Q5238" s="16"/>
    </row>
    <row r="5239" spans="1:17" x14ac:dyDescent="0.3">
      <c r="A5239" s="5"/>
      <c r="B5239" s="6"/>
      <c r="C5239" s="7"/>
      <c r="D5239" s="10"/>
      <c r="F5239" s="1"/>
      <c r="G5239" s="1"/>
      <c r="H5239" s="1"/>
      <c r="I5239" s="7"/>
      <c r="J5239" s="12"/>
      <c r="K5239" s="13"/>
      <c r="L5239" s="14"/>
      <c r="M5239" s="15"/>
      <c r="N5239" s="15"/>
      <c r="O5239" s="16"/>
      <c r="Q5239" s="16"/>
    </row>
    <row r="5240" spans="1:17" x14ac:dyDescent="0.3">
      <c r="A5240" s="5"/>
      <c r="B5240" s="6"/>
      <c r="C5240" s="7"/>
      <c r="D5240" s="10"/>
      <c r="F5240" s="1"/>
      <c r="G5240" s="1"/>
      <c r="H5240" s="1"/>
      <c r="I5240" s="7"/>
      <c r="J5240" s="12"/>
      <c r="K5240" s="13"/>
      <c r="L5240" s="14"/>
      <c r="M5240" s="15"/>
      <c r="N5240" s="15"/>
      <c r="O5240" s="16"/>
      <c r="Q5240" s="16"/>
    </row>
    <row r="5241" spans="1:17" x14ac:dyDescent="0.3">
      <c r="A5241" s="5"/>
      <c r="B5241" s="6"/>
      <c r="C5241" s="7"/>
      <c r="D5241" s="10"/>
      <c r="F5241" s="1"/>
      <c r="G5241" s="1"/>
      <c r="H5241" s="1"/>
      <c r="I5241" s="7"/>
      <c r="J5241" s="12"/>
      <c r="K5241" s="13"/>
      <c r="L5241" s="14"/>
      <c r="M5241" s="15"/>
      <c r="N5241" s="15"/>
      <c r="O5241" s="16"/>
      <c r="Q5241" s="16"/>
    </row>
    <row r="5242" spans="1:17" x14ac:dyDescent="0.3">
      <c r="A5242" s="5"/>
      <c r="B5242" s="6"/>
      <c r="C5242" s="7"/>
      <c r="D5242" s="10"/>
      <c r="F5242" s="1"/>
      <c r="G5242" s="1"/>
      <c r="H5242" s="1"/>
      <c r="I5242" s="7"/>
      <c r="J5242" s="12"/>
      <c r="K5242" s="13"/>
      <c r="L5242" s="14"/>
      <c r="M5242" s="15"/>
      <c r="N5242" s="15"/>
      <c r="O5242" s="16"/>
      <c r="Q5242" s="16"/>
    </row>
    <row r="5243" spans="1:17" x14ac:dyDescent="0.3">
      <c r="A5243" s="5"/>
      <c r="B5243" s="6"/>
      <c r="C5243" s="7"/>
      <c r="D5243" s="10"/>
      <c r="F5243" s="1"/>
      <c r="G5243" s="1"/>
      <c r="H5243" s="1"/>
      <c r="I5243" s="7"/>
      <c r="J5243" s="12"/>
      <c r="K5243" s="13"/>
      <c r="L5243" s="14"/>
      <c r="M5243" s="15"/>
      <c r="N5243" s="15"/>
      <c r="O5243" s="16"/>
      <c r="Q5243" s="16"/>
    </row>
    <row r="5244" spans="1:17" x14ac:dyDescent="0.3">
      <c r="A5244" s="5"/>
      <c r="B5244" s="6"/>
      <c r="C5244" s="7"/>
      <c r="D5244" s="10"/>
      <c r="F5244" s="1"/>
      <c r="G5244" s="1"/>
      <c r="H5244" s="1"/>
      <c r="I5244" s="7"/>
      <c r="J5244" s="12"/>
      <c r="K5244" s="13"/>
      <c r="L5244" s="14"/>
      <c r="M5244" s="15"/>
      <c r="N5244" s="15"/>
      <c r="O5244" s="16"/>
      <c r="Q5244" s="16"/>
    </row>
    <row r="5245" spans="1:17" x14ac:dyDescent="0.3">
      <c r="A5245" s="5"/>
      <c r="B5245" s="6"/>
      <c r="C5245" s="7"/>
      <c r="D5245" s="10"/>
      <c r="F5245" s="1"/>
      <c r="G5245" s="1"/>
      <c r="H5245" s="1"/>
      <c r="I5245" s="7"/>
      <c r="J5245" s="12"/>
      <c r="K5245" s="13"/>
      <c r="L5245" s="14"/>
      <c r="M5245" s="15"/>
      <c r="N5245" s="15"/>
      <c r="O5245" s="16"/>
      <c r="Q5245" s="16"/>
    </row>
    <row r="5246" spans="1:17" x14ac:dyDescent="0.3">
      <c r="A5246" s="5"/>
      <c r="B5246" s="6"/>
      <c r="C5246" s="7"/>
      <c r="D5246" s="10"/>
      <c r="F5246" s="1"/>
      <c r="G5246" s="1"/>
      <c r="H5246" s="1"/>
      <c r="I5246" s="7"/>
      <c r="J5246" s="12"/>
      <c r="K5246" s="13"/>
      <c r="L5246" s="14"/>
      <c r="M5246" s="15"/>
      <c r="N5246" s="15"/>
      <c r="O5246" s="16"/>
      <c r="Q5246" s="16"/>
    </row>
    <row r="5247" spans="1:17" x14ac:dyDescent="0.3">
      <c r="A5247" s="5"/>
      <c r="B5247" s="6"/>
      <c r="C5247" s="7"/>
      <c r="D5247" s="10"/>
      <c r="F5247" s="1"/>
      <c r="G5247" s="1"/>
      <c r="H5247" s="1"/>
      <c r="I5247" s="7"/>
      <c r="J5247" s="12"/>
      <c r="K5247" s="13"/>
      <c r="L5247" s="14"/>
      <c r="M5247" s="15"/>
      <c r="N5247" s="15"/>
      <c r="O5247" s="16"/>
      <c r="Q5247" s="16"/>
    </row>
    <row r="5248" spans="1:17" x14ac:dyDescent="0.3">
      <c r="A5248" s="5"/>
      <c r="B5248" s="6"/>
      <c r="C5248" s="7"/>
      <c r="D5248" s="10"/>
      <c r="F5248" s="1"/>
      <c r="G5248" s="1"/>
      <c r="H5248" s="1"/>
      <c r="I5248" s="7"/>
      <c r="J5248" s="12"/>
      <c r="K5248" s="13"/>
      <c r="L5248" s="14"/>
      <c r="M5248" s="15"/>
      <c r="N5248" s="15"/>
      <c r="O5248" s="16"/>
      <c r="Q5248" s="16"/>
    </row>
    <row r="5249" spans="1:17" x14ac:dyDescent="0.3">
      <c r="A5249" s="5"/>
      <c r="B5249" s="6"/>
      <c r="C5249" s="7"/>
      <c r="D5249" s="10"/>
      <c r="F5249" s="1"/>
      <c r="G5249" s="1"/>
      <c r="H5249" s="1"/>
      <c r="I5249" s="7"/>
      <c r="J5249" s="12"/>
      <c r="K5249" s="13"/>
      <c r="L5249" s="14"/>
      <c r="M5249" s="15"/>
      <c r="N5249" s="15"/>
      <c r="O5249" s="16"/>
      <c r="Q5249" s="16"/>
    </row>
    <row r="5250" spans="1:17" x14ac:dyDescent="0.3">
      <c r="A5250" s="5"/>
      <c r="B5250" s="6"/>
      <c r="C5250" s="7"/>
      <c r="D5250" s="10"/>
      <c r="F5250" s="1"/>
      <c r="G5250" s="1"/>
      <c r="H5250" s="1"/>
      <c r="I5250" s="7"/>
      <c r="J5250" s="12"/>
      <c r="K5250" s="13"/>
      <c r="L5250" s="14"/>
      <c r="M5250" s="15"/>
      <c r="N5250" s="15"/>
      <c r="O5250" s="16"/>
      <c r="Q5250" s="16"/>
    </row>
    <row r="5251" spans="1:17" x14ac:dyDescent="0.3">
      <c r="A5251" s="5"/>
      <c r="B5251" s="6"/>
      <c r="C5251" s="7"/>
      <c r="D5251" s="10"/>
      <c r="F5251" s="1"/>
      <c r="G5251" s="1"/>
      <c r="H5251" s="1"/>
      <c r="I5251" s="7"/>
      <c r="J5251" s="12"/>
      <c r="K5251" s="13"/>
      <c r="L5251" s="14"/>
      <c r="M5251" s="15"/>
      <c r="N5251" s="15"/>
      <c r="O5251" s="16"/>
      <c r="Q5251" s="16"/>
    </row>
    <row r="5252" spans="1:17" x14ac:dyDescent="0.3">
      <c r="A5252" s="5"/>
      <c r="B5252" s="6"/>
      <c r="C5252" s="7"/>
      <c r="D5252" s="10"/>
      <c r="F5252" s="1"/>
      <c r="G5252" s="1"/>
      <c r="H5252" s="1"/>
      <c r="I5252" s="7"/>
      <c r="J5252" s="12"/>
      <c r="K5252" s="13"/>
      <c r="L5252" s="14"/>
      <c r="M5252" s="15"/>
      <c r="N5252" s="15"/>
      <c r="O5252" s="16"/>
      <c r="Q5252" s="16"/>
    </row>
    <row r="5253" spans="1:17" x14ac:dyDescent="0.3">
      <c r="A5253" s="5"/>
      <c r="B5253" s="6"/>
      <c r="C5253" s="7"/>
      <c r="D5253" s="10"/>
      <c r="F5253" s="1"/>
      <c r="G5253" s="1"/>
      <c r="H5253" s="1"/>
      <c r="I5253" s="7"/>
      <c r="J5253" s="12"/>
      <c r="K5253" s="13"/>
      <c r="L5253" s="14"/>
      <c r="M5253" s="15"/>
      <c r="N5253" s="15"/>
      <c r="O5253" s="16"/>
      <c r="Q5253" s="16"/>
    </row>
    <row r="5254" spans="1:17" x14ac:dyDescent="0.3">
      <c r="A5254" s="5"/>
      <c r="B5254" s="6"/>
      <c r="C5254" s="7"/>
      <c r="D5254" s="10"/>
      <c r="F5254" s="1"/>
      <c r="G5254" s="1"/>
      <c r="H5254" s="1"/>
      <c r="I5254" s="7"/>
      <c r="J5254" s="12"/>
      <c r="K5254" s="13"/>
      <c r="L5254" s="14"/>
      <c r="M5254" s="15"/>
      <c r="N5254" s="15"/>
      <c r="O5254" s="16"/>
      <c r="Q5254" s="16"/>
    </row>
    <row r="5255" spans="1:17" x14ac:dyDescent="0.3">
      <c r="A5255" s="5"/>
      <c r="B5255" s="6"/>
      <c r="C5255" s="7"/>
      <c r="D5255" s="10"/>
      <c r="F5255" s="1"/>
      <c r="G5255" s="1"/>
      <c r="H5255" s="1"/>
      <c r="I5255" s="7"/>
      <c r="J5255" s="12"/>
      <c r="K5255" s="13"/>
      <c r="L5255" s="14"/>
      <c r="M5255" s="15"/>
      <c r="N5255" s="15"/>
      <c r="O5255" s="16"/>
      <c r="Q5255" s="16"/>
    </row>
    <row r="5256" spans="1:17" x14ac:dyDescent="0.3">
      <c r="A5256" s="5"/>
      <c r="B5256" s="6"/>
      <c r="C5256" s="7"/>
      <c r="D5256" s="10"/>
      <c r="F5256" s="1"/>
      <c r="G5256" s="1"/>
      <c r="H5256" s="1"/>
      <c r="I5256" s="7"/>
      <c r="J5256" s="12"/>
      <c r="K5256" s="13"/>
      <c r="L5256" s="14"/>
      <c r="M5256" s="15"/>
      <c r="N5256" s="15"/>
      <c r="O5256" s="16"/>
      <c r="Q5256" s="16"/>
    </row>
    <row r="5257" spans="1:17" x14ac:dyDescent="0.3">
      <c r="A5257" s="5"/>
      <c r="B5257" s="6"/>
      <c r="C5257" s="7"/>
      <c r="D5257" s="10"/>
      <c r="F5257" s="1"/>
      <c r="G5257" s="1"/>
      <c r="H5257" s="1"/>
      <c r="I5257" s="7"/>
      <c r="J5257" s="12"/>
      <c r="K5257" s="13"/>
      <c r="L5257" s="14"/>
      <c r="M5257" s="15"/>
      <c r="N5257" s="15"/>
      <c r="O5257" s="16"/>
      <c r="Q5257" s="16"/>
    </row>
    <row r="5258" spans="1:17" x14ac:dyDescent="0.3">
      <c r="A5258" s="5"/>
      <c r="B5258" s="6"/>
      <c r="C5258" s="7"/>
      <c r="D5258" s="10"/>
      <c r="F5258" s="1"/>
      <c r="G5258" s="1"/>
      <c r="H5258" s="1"/>
      <c r="I5258" s="7"/>
      <c r="J5258" s="12"/>
      <c r="K5258" s="13"/>
      <c r="L5258" s="14"/>
      <c r="M5258" s="15"/>
      <c r="N5258" s="15"/>
      <c r="O5258" s="16"/>
      <c r="Q5258" s="16"/>
    </row>
    <row r="5259" spans="1:17" x14ac:dyDescent="0.3">
      <c r="A5259" s="5"/>
      <c r="B5259" s="6"/>
      <c r="C5259" s="7"/>
      <c r="D5259" s="10"/>
      <c r="F5259" s="1"/>
      <c r="G5259" s="1"/>
      <c r="H5259" s="1"/>
      <c r="I5259" s="7"/>
      <c r="J5259" s="12"/>
      <c r="K5259" s="13"/>
      <c r="L5259" s="14"/>
      <c r="M5259" s="15"/>
      <c r="N5259" s="15"/>
      <c r="O5259" s="16"/>
      <c r="Q5259" s="16"/>
    </row>
    <row r="5260" spans="1:17" x14ac:dyDescent="0.3">
      <c r="A5260" s="5"/>
      <c r="B5260" s="6"/>
      <c r="C5260" s="7"/>
      <c r="D5260" s="10"/>
      <c r="F5260" s="1"/>
      <c r="G5260" s="1"/>
      <c r="H5260" s="1"/>
      <c r="I5260" s="7"/>
      <c r="J5260" s="12"/>
      <c r="K5260" s="13"/>
      <c r="L5260" s="14"/>
      <c r="M5260" s="15"/>
      <c r="N5260" s="15"/>
      <c r="O5260" s="16"/>
      <c r="Q5260" s="16"/>
    </row>
    <row r="5261" spans="1:17" x14ac:dyDescent="0.3">
      <c r="A5261" s="5"/>
      <c r="B5261" s="6"/>
      <c r="C5261" s="7"/>
      <c r="D5261" s="10"/>
      <c r="F5261" s="1"/>
      <c r="G5261" s="1"/>
      <c r="H5261" s="1"/>
      <c r="I5261" s="7"/>
      <c r="J5261" s="12"/>
      <c r="K5261" s="13"/>
      <c r="L5261" s="14"/>
      <c r="M5261" s="15"/>
      <c r="N5261" s="15"/>
      <c r="O5261" s="16"/>
      <c r="Q5261" s="16"/>
    </row>
    <row r="5262" spans="1:17" x14ac:dyDescent="0.3">
      <c r="A5262" s="5"/>
      <c r="B5262" s="6"/>
      <c r="C5262" s="7"/>
      <c r="D5262" s="10"/>
      <c r="F5262" s="1"/>
      <c r="G5262" s="1"/>
      <c r="H5262" s="1"/>
      <c r="I5262" s="7"/>
      <c r="J5262" s="12"/>
      <c r="K5262" s="13"/>
      <c r="L5262" s="14"/>
      <c r="M5262" s="15"/>
      <c r="N5262" s="15"/>
      <c r="O5262" s="16"/>
      <c r="Q5262" s="16"/>
    </row>
    <row r="5263" spans="1:17" x14ac:dyDescent="0.3">
      <c r="A5263" s="5"/>
      <c r="B5263" s="6"/>
      <c r="C5263" s="7"/>
      <c r="D5263" s="10"/>
      <c r="F5263" s="1"/>
      <c r="G5263" s="1"/>
      <c r="H5263" s="1"/>
      <c r="I5263" s="7"/>
      <c r="J5263" s="12"/>
      <c r="K5263" s="13"/>
      <c r="L5263" s="14"/>
      <c r="M5263" s="15"/>
      <c r="N5263" s="15"/>
      <c r="O5263" s="16"/>
      <c r="Q5263" s="16"/>
    </row>
    <row r="5264" spans="1:17" x14ac:dyDescent="0.3">
      <c r="A5264" s="5"/>
      <c r="B5264" s="6"/>
      <c r="C5264" s="7"/>
      <c r="D5264" s="10"/>
      <c r="F5264" s="1"/>
      <c r="G5264" s="1"/>
      <c r="H5264" s="1"/>
      <c r="I5264" s="7"/>
      <c r="J5264" s="12"/>
      <c r="K5264" s="13"/>
      <c r="L5264" s="14"/>
      <c r="M5264" s="15"/>
      <c r="N5264" s="15"/>
      <c r="O5264" s="16"/>
      <c r="Q5264" s="16"/>
    </row>
    <row r="5265" spans="1:17" x14ac:dyDescent="0.3">
      <c r="A5265" s="5"/>
      <c r="B5265" s="6"/>
      <c r="C5265" s="7"/>
      <c r="D5265" s="10"/>
      <c r="F5265" s="1"/>
      <c r="G5265" s="1"/>
      <c r="H5265" s="1"/>
      <c r="I5265" s="7"/>
      <c r="J5265" s="12"/>
      <c r="K5265" s="13"/>
      <c r="L5265" s="14"/>
      <c r="M5265" s="15"/>
      <c r="N5265" s="15"/>
      <c r="O5265" s="16"/>
      <c r="Q5265" s="16"/>
    </row>
    <row r="5266" spans="1:17" x14ac:dyDescent="0.3">
      <c r="A5266" s="5"/>
      <c r="B5266" s="6"/>
      <c r="C5266" s="7"/>
      <c r="D5266" s="10"/>
      <c r="F5266" s="1"/>
      <c r="G5266" s="1"/>
      <c r="H5266" s="1"/>
      <c r="I5266" s="7"/>
      <c r="J5266" s="12"/>
      <c r="K5266" s="13"/>
      <c r="L5266" s="14"/>
      <c r="M5266" s="15"/>
      <c r="N5266" s="15"/>
      <c r="O5266" s="16"/>
      <c r="Q5266" s="16"/>
    </row>
    <row r="5267" spans="1:17" x14ac:dyDescent="0.3">
      <c r="A5267" s="5"/>
      <c r="B5267" s="6"/>
      <c r="C5267" s="7"/>
      <c r="D5267" s="10"/>
      <c r="F5267" s="1"/>
      <c r="G5267" s="1"/>
      <c r="H5267" s="1"/>
      <c r="I5267" s="7"/>
      <c r="J5267" s="12"/>
      <c r="K5267" s="13"/>
      <c r="L5267" s="14"/>
      <c r="M5267" s="15"/>
      <c r="N5267" s="15"/>
      <c r="O5267" s="16"/>
      <c r="Q5267" s="16"/>
    </row>
    <row r="5268" spans="1:17" x14ac:dyDescent="0.3">
      <c r="A5268" s="5"/>
      <c r="B5268" s="6"/>
      <c r="C5268" s="7"/>
      <c r="D5268" s="10"/>
      <c r="F5268" s="1"/>
      <c r="G5268" s="1"/>
      <c r="H5268" s="1"/>
      <c r="I5268" s="7"/>
      <c r="J5268" s="12"/>
      <c r="K5268" s="13"/>
      <c r="L5268" s="14"/>
      <c r="M5268" s="15"/>
      <c r="N5268" s="15"/>
      <c r="O5268" s="16"/>
      <c r="Q5268" s="16"/>
    </row>
    <row r="5269" spans="1:17" x14ac:dyDescent="0.3">
      <c r="A5269" s="5"/>
      <c r="B5269" s="6"/>
      <c r="C5269" s="7"/>
      <c r="D5269" s="10"/>
      <c r="F5269" s="1"/>
      <c r="G5269" s="1"/>
      <c r="H5269" s="1"/>
      <c r="I5269" s="7"/>
      <c r="J5269" s="12"/>
      <c r="K5269" s="13"/>
      <c r="L5269" s="14"/>
      <c r="M5269" s="15"/>
      <c r="N5269" s="15"/>
      <c r="O5269" s="16"/>
      <c r="Q5269" s="16"/>
    </row>
    <row r="5270" spans="1:17" x14ac:dyDescent="0.3">
      <c r="A5270" s="5"/>
      <c r="B5270" s="6"/>
      <c r="C5270" s="7"/>
      <c r="D5270" s="10"/>
      <c r="F5270" s="1"/>
      <c r="G5270" s="1"/>
      <c r="H5270" s="1"/>
      <c r="I5270" s="7"/>
      <c r="J5270" s="12"/>
      <c r="K5270" s="13"/>
      <c r="L5270" s="14"/>
      <c r="M5270" s="15"/>
      <c r="N5270" s="15"/>
      <c r="O5270" s="16"/>
      <c r="Q5270" s="16"/>
    </row>
    <row r="5271" spans="1:17" x14ac:dyDescent="0.3">
      <c r="A5271" s="5"/>
      <c r="B5271" s="6"/>
      <c r="C5271" s="7"/>
      <c r="D5271" s="10"/>
      <c r="F5271" s="1"/>
      <c r="G5271" s="1"/>
      <c r="H5271" s="1"/>
      <c r="I5271" s="7"/>
      <c r="J5271" s="12"/>
      <c r="K5271" s="13"/>
      <c r="L5271" s="14"/>
      <c r="M5271" s="15"/>
      <c r="N5271" s="15"/>
      <c r="O5271" s="16"/>
      <c r="Q5271" s="16"/>
    </row>
    <row r="5272" spans="1:17" x14ac:dyDescent="0.3">
      <c r="A5272" s="5"/>
      <c r="B5272" s="6"/>
      <c r="C5272" s="7"/>
      <c r="D5272" s="10"/>
      <c r="F5272" s="1"/>
      <c r="G5272" s="1"/>
      <c r="H5272" s="1"/>
      <c r="I5272" s="7"/>
      <c r="J5272" s="12"/>
      <c r="K5272" s="13"/>
      <c r="L5272" s="14"/>
      <c r="M5272" s="15"/>
      <c r="N5272" s="15"/>
      <c r="O5272" s="16"/>
      <c r="Q5272" s="16"/>
    </row>
    <row r="5273" spans="1:17" x14ac:dyDescent="0.3">
      <c r="A5273" s="5"/>
      <c r="B5273" s="6"/>
      <c r="C5273" s="7"/>
      <c r="D5273" s="10"/>
      <c r="F5273" s="1"/>
      <c r="G5273" s="1"/>
      <c r="H5273" s="1"/>
      <c r="I5273" s="7"/>
      <c r="J5273" s="12"/>
      <c r="K5273" s="13"/>
      <c r="L5273" s="14"/>
      <c r="M5273" s="15"/>
      <c r="N5273" s="15"/>
      <c r="O5273" s="16"/>
      <c r="Q5273" s="16"/>
    </row>
    <row r="5274" spans="1:17" x14ac:dyDescent="0.3">
      <c r="A5274" s="5"/>
      <c r="B5274" s="6"/>
      <c r="C5274" s="7"/>
      <c r="D5274" s="10"/>
      <c r="F5274" s="1"/>
      <c r="G5274" s="1"/>
      <c r="H5274" s="1"/>
      <c r="I5274" s="7"/>
      <c r="J5274" s="12"/>
      <c r="K5274" s="13"/>
      <c r="L5274" s="14"/>
      <c r="M5274" s="15"/>
      <c r="N5274" s="15"/>
      <c r="O5274" s="16"/>
      <c r="Q5274" s="16"/>
    </row>
    <row r="5275" spans="1:17" x14ac:dyDescent="0.3">
      <c r="A5275" s="5"/>
      <c r="B5275" s="6"/>
      <c r="C5275" s="7"/>
      <c r="D5275" s="10"/>
      <c r="F5275" s="1"/>
      <c r="G5275" s="1"/>
      <c r="H5275" s="1"/>
      <c r="I5275" s="7"/>
      <c r="J5275" s="12"/>
      <c r="K5275" s="13"/>
      <c r="L5275" s="14"/>
      <c r="M5275" s="15"/>
      <c r="N5275" s="15"/>
      <c r="O5275" s="16"/>
      <c r="Q5275" s="16"/>
    </row>
    <row r="5276" spans="1:17" x14ac:dyDescent="0.3">
      <c r="A5276" s="5"/>
      <c r="B5276" s="6"/>
      <c r="C5276" s="7"/>
      <c r="D5276" s="10"/>
      <c r="F5276" s="1"/>
      <c r="G5276" s="1"/>
      <c r="H5276" s="1"/>
      <c r="I5276" s="7"/>
      <c r="J5276" s="12"/>
      <c r="K5276" s="13"/>
      <c r="L5276" s="14"/>
      <c r="M5276" s="15"/>
      <c r="N5276" s="15"/>
      <c r="O5276" s="16"/>
      <c r="Q5276" s="16"/>
    </row>
    <row r="5277" spans="1:17" x14ac:dyDescent="0.3">
      <c r="A5277" s="5"/>
      <c r="B5277" s="6"/>
      <c r="C5277" s="7"/>
      <c r="D5277" s="10"/>
      <c r="F5277" s="1"/>
      <c r="G5277" s="1"/>
      <c r="H5277" s="1"/>
      <c r="I5277" s="7"/>
      <c r="J5277" s="12"/>
      <c r="K5277" s="13"/>
      <c r="L5277" s="14"/>
      <c r="M5277" s="15"/>
      <c r="N5277" s="15"/>
      <c r="O5277" s="16"/>
      <c r="Q5277" s="16"/>
    </row>
    <row r="5278" spans="1:17" x14ac:dyDescent="0.3">
      <c r="A5278" s="5"/>
      <c r="B5278" s="6"/>
      <c r="C5278" s="7"/>
      <c r="D5278" s="10"/>
      <c r="F5278" s="1"/>
      <c r="G5278" s="1"/>
      <c r="H5278" s="1"/>
      <c r="I5278" s="7"/>
      <c r="J5278" s="12"/>
      <c r="K5278" s="13"/>
      <c r="L5278" s="14"/>
      <c r="M5278" s="15"/>
      <c r="N5278" s="15"/>
      <c r="O5278" s="16"/>
      <c r="Q5278" s="16"/>
    </row>
    <row r="5279" spans="1:17" x14ac:dyDescent="0.3">
      <c r="A5279" s="5"/>
      <c r="B5279" s="6"/>
      <c r="C5279" s="7"/>
      <c r="D5279" s="10"/>
      <c r="F5279" s="1"/>
      <c r="G5279" s="1"/>
      <c r="H5279" s="1"/>
      <c r="I5279" s="7"/>
      <c r="J5279" s="12"/>
      <c r="K5279" s="13"/>
      <c r="L5279" s="14"/>
      <c r="M5279" s="15"/>
      <c r="N5279" s="15"/>
      <c r="O5279" s="16"/>
      <c r="Q5279" s="16"/>
    </row>
    <row r="5280" spans="1:17" x14ac:dyDescent="0.3">
      <c r="A5280" s="5"/>
      <c r="B5280" s="6"/>
      <c r="C5280" s="7"/>
      <c r="D5280" s="10"/>
      <c r="F5280" s="1"/>
      <c r="G5280" s="1"/>
      <c r="H5280" s="1"/>
      <c r="I5280" s="7"/>
      <c r="J5280" s="12"/>
      <c r="K5280" s="13"/>
      <c r="L5280" s="14"/>
      <c r="M5280" s="15"/>
      <c r="N5280" s="15"/>
      <c r="O5280" s="16"/>
      <c r="Q5280" s="16"/>
    </row>
    <row r="5281" spans="1:17" x14ac:dyDescent="0.3">
      <c r="A5281" s="5"/>
      <c r="B5281" s="6"/>
      <c r="C5281" s="7"/>
      <c r="D5281" s="10"/>
      <c r="F5281" s="1"/>
      <c r="G5281" s="1"/>
      <c r="H5281" s="1"/>
      <c r="I5281" s="7"/>
      <c r="J5281" s="12"/>
      <c r="K5281" s="13"/>
      <c r="L5281" s="14"/>
      <c r="M5281" s="15"/>
      <c r="N5281" s="15"/>
      <c r="O5281" s="16"/>
      <c r="Q5281" s="16"/>
    </row>
    <row r="5282" spans="1:17" x14ac:dyDescent="0.3">
      <c r="A5282" s="5"/>
      <c r="B5282" s="6"/>
      <c r="C5282" s="7"/>
      <c r="D5282" s="10"/>
      <c r="F5282" s="1"/>
      <c r="G5282" s="1"/>
      <c r="H5282" s="1"/>
      <c r="I5282" s="7"/>
      <c r="J5282" s="12"/>
      <c r="K5282" s="13"/>
      <c r="L5282" s="14"/>
      <c r="M5282" s="15"/>
      <c r="N5282" s="15"/>
      <c r="O5282" s="16"/>
      <c r="Q5282" s="16"/>
    </row>
    <row r="5283" spans="1:17" x14ac:dyDescent="0.3">
      <c r="A5283" s="5"/>
      <c r="B5283" s="6"/>
      <c r="C5283" s="7"/>
      <c r="D5283" s="10"/>
      <c r="F5283" s="1"/>
      <c r="G5283" s="1"/>
      <c r="H5283" s="1"/>
      <c r="I5283" s="7"/>
      <c r="J5283" s="12"/>
      <c r="K5283" s="13"/>
      <c r="L5283" s="14"/>
      <c r="M5283" s="15"/>
      <c r="N5283" s="15"/>
      <c r="O5283" s="16"/>
      <c r="Q5283" s="16"/>
    </row>
    <row r="5284" spans="1:17" x14ac:dyDescent="0.3">
      <c r="A5284" s="5"/>
      <c r="B5284" s="6"/>
      <c r="C5284" s="7"/>
      <c r="D5284" s="10"/>
      <c r="F5284" s="1"/>
      <c r="G5284" s="1"/>
      <c r="H5284" s="1"/>
      <c r="I5284" s="7"/>
      <c r="J5284" s="12"/>
      <c r="K5284" s="13"/>
      <c r="L5284" s="14"/>
      <c r="M5284" s="15"/>
      <c r="N5284" s="15"/>
      <c r="O5284" s="16"/>
      <c r="Q5284" s="16"/>
    </row>
    <row r="5285" spans="1:17" x14ac:dyDescent="0.3">
      <c r="A5285" s="5"/>
      <c r="B5285" s="6"/>
      <c r="C5285" s="7"/>
      <c r="D5285" s="10"/>
      <c r="F5285" s="1"/>
      <c r="G5285" s="1"/>
      <c r="H5285" s="1"/>
      <c r="I5285" s="7"/>
      <c r="J5285" s="12"/>
      <c r="K5285" s="13"/>
      <c r="L5285" s="14"/>
      <c r="M5285" s="15"/>
      <c r="N5285" s="15"/>
      <c r="O5285" s="16"/>
      <c r="Q5285" s="16"/>
    </row>
    <row r="5286" spans="1:17" x14ac:dyDescent="0.3">
      <c r="A5286" s="5"/>
      <c r="B5286" s="6"/>
      <c r="C5286" s="7"/>
      <c r="D5286" s="10"/>
      <c r="F5286" s="1"/>
      <c r="G5286" s="1"/>
      <c r="H5286" s="1"/>
      <c r="I5286" s="7"/>
      <c r="J5286" s="12"/>
      <c r="K5286" s="13"/>
      <c r="L5286" s="14"/>
      <c r="M5286" s="15"/>
      <c r="N5286" s="15"/>
      <c r="O5286" s="16"/>
      <c r="Q5286" s="16"/>
    </row>
    <row r="5287" spans="1:17" x14ac:dyDescent="0.3">
      <c r="A5287" s="5"/>
      <c r="B5287" s="6"/>
      <c r="C5287" s="7"/>
      <c r="D5287" s="10"/>
      <c r="F5287" s="1"/>
      <c r="G5287" s="1"/>
      <c r="H5287" s="1"/>
      <c r="I5287" s="7"/>
      <c r="J5287" s="12"/>
      <c r="K5287" s="13"/>
      <c r="L5287" s="14"/>
      <c r="M5287" s="15"/>
      <c r="N5287" s="15"/>
      <c r="O5287" s="16"/>
      <c r="Q5287" s="16"/>
    </row>
    <row r="5288" spans="1:17" x14ac:dyDescent="0.3">
      <c r="A5288" s="5"/>
      <c r="B5288" s="6"/>
      <c r="C5288" s="7"/>
      <c r="D5288" s="10"/>
      <c r="F5288" s="1"/>
      <c r="G5288" s="1"/>
      <c r="H5288" s="1"/>
      <c r="I5288" s="7"/>
      <c r="J5288" s="12"/>
      <c r="K5288" s="13"/>
      <c r="L5288" s="14"/>
      <c r="M5288" s="15"/>
      <c r="N5288" s="15"/>
      <c r="O5288" s="16"/>
      <c r="Q5288" s="16"/>
    </row>
    <row r="5289" spans="1:17" x14ac:dyDescent="0.3">
      <c r="A5289" s="5"/>
      <c r="B5289" s="6"/>
      <c r="C5289" s="7"/>
      <c r="D5289" s="10"/>
      <c r="F5289" s="1"/>
      <c r="G5289" s="1"/>
      <c r="H5289" s="1"/>
      <c r="I5289" s="7"/>
      <c r="J5289" s="12"/>
      <c r="K5289" s="13"/>
      <c r="L5289" s="14"/>
      <c r="M5289" s="15"/>
      <c r="N5289" s="15"/>
      <c r="O5289" s="16"/>
      <c r="Q5289" s="16"/>
    </row>
    <row r="5290" spans="1:17" x14ac:dyDescent="0.3">
      <c r="A5290" s="5"/>
      <c r="B5290" s="6"/>
      <c r="C5290" s="7"/>
      <c r="D5290" s="10"/>
      <c r="F5290" s="1"/>
      <c r="G5290" s="1"/>
      <c r="H5290" s="1"/>
      <c r="I5290" s="7"/>
      <c r="J5290" s="12"/>
      <c r="K5290" s="13"/>
      <c r="L5290" s="14"/>
      <c r="M5290" s="15"/>
      <c r="N5290" s="15"/>
      <c r="O5290" s="16"/>
      <c r="Q5290" s="16"/>
    </row>
    <row r="5291" spans="1:17" x14ac:dyDescent="0.3">
      <c r="A5291" s="5"/>
      <c r="B5291" s="6"/>
      <c r="C5291" s="7"/>
      <c r="D5291" s="10"/>
      <c r="F5291" s="1"/>
      <c r="G5291" s="1"/>
      <c r="H5291" s="1"/>
      <c r="I5291" s="7"/>
      <c r="J5291" s="12"/>
      <c r="K5291" s="13"/>
      <c r="L5291" s="14"/>
      <c r="M5291" s="15"/>
      <c r="N5291" s="15"/>
      <c r="O5291" s="16"/>
      <c r="Q5291" s="16"/>
    </row>
    <row r="5292" spans="1:17" x14ac:dyDescent="0.3">
      <c r="A5292" s="5"/>
      <c r="B5292" s="6"/>
      <c r="C5292" s="7"/>
      <c r="D5292" s="10"/>
      <c r="F5292" s="1"/>
      <c r="G5292" s="1"/>
      <c r="H5292" s="1"/>
      <c r="I5292" s="7"/>
      <c r="J5292" s="12"/>
      <c r="K5292" s="13"/>
      <c r="L5292" s="14"/>
      <c r="M5292" s="15"/>
      <c r="N5292" s="15"/>
      <c r="O5292" s="16"/>
      <c r="Q5292" s="16"/>
    </row>
    <row r="5293" spans="1:17" x14ac:dyDescent="0.3">
      <c r="A5293" s="5"/>
      <c r="B5293" s="6"/>
      <c r="C5293" s="7"/>
      <c r="D5293" s="10"/>
      <c r="F5293" s="1"/>
      <c r="G5293" s="1"/>
      <c r="H5293" s="1"/>
      <c r="I5293" s="7"/>
      <c r="J5293" s="12"/>
      <c r="K5293" s="13"/>
      <c r="L5293" s="14"/>
      <c r="M5293" s="15"/>
      <c r="N5293" s="15"/>
      <c r="O5293" s="16"/>
      <c r="Q5293" s="16"/>
    </row>
    <row r="5294" spans="1:17" x14ac:dyDescent="0.3">
      <c r="A5294" s="5"/>
      <c r="B5294" s="6"/>
      <c r="C5294" s="7"/>
      <c r="D5294" s="10"/>
      <c r="F5294" s="1"/>
      <c r="G5294" s="1"/>
      <c r="H5294" s="1"/>
      <c r="I5294" s="7"/>
      <c r="J5294" s="12"/>
      <c r="K5294" s="13"/>
      <c r="L5294" s="14"/>
      <c r="M5294" s="15"/>
      <c r="N5294" s="15"/>
      <c r="O5294" s="16"/>
      <c r="Q5294" s="16"/>
    </row>
    <row r="5295" spans="1:17" x14ac:dyDescent="0.3">
      <c r="A5295" s="5"/>
      <c r="B5295" s="6"/>
      <c r="C5295" s="7"/>
      <c r="D5295" s="10"/>
      <c r="F5295" s="1"/>
      <c r="G5295" s="1"/>
      <c r="H5295" s="1"/>
      <c r="I5295" s="7"/>
      <c r="J5295" s="12"/>
      <c r="K5295" s="13"/>
      <c r="L5295" s="14"/>
      <c r="M5295" s="15"/>
      <c r="N5295" s="15"/>
      <c r="O5295" s="16"/>
      <c r="Q5295" s="16"/>
    </row>
    <row r="5296" spans="1:17" x14ac:dyDescent="0.3">
      <c r="A5296" s="5"/>
      <c r="B5296" s="6"/>
      <c r="C5296" s="7"/>
      <c r="D5296" s="10"/>
      <c r="F5296" s="1"/>
      <c r="G5296" s="1"/>
      <c r="H5296" s="1"/>
      <c r="I5296" s="7"/>
      <c r="J5296" s="12"/>
      <c r="K5296" s="13"/>
      <c r="L5296" s="14"/>
      <c r="M5296" s="15"/>
      <c r="N5296" s="15"/>
      <c r="O5296" s="16"/>
      <c r="Q5296" s="16"/>
    </row>
    <row r="5297" spans="1:17" x14ac:dyDescent="0.3">
      <c r="A5297" s="5"/>
      <c r="B5297" s="6"/>
      <c r="C5297" s="7"/>
      <c r="D5297" s="10"/>
      <c r="F5297" s="1"/>
      <c r="G5297" s="1"/>
      <c r="H5297" s="1"/>
      <c r="I5297" s="7"/>
      <c r="J5297" s="12"/>
      <c r="K5297" s="13"/>
      <c r="L5297" s="14"/>
      <c r="M5297" s="15"/>
      <c r="N5297" s="15"/>
      <c r="O5297" s="16"/>
      <c r="Q5297" s="16"/>
    </row>
    <row r="5298" spans="1:17" x14ac:dyDescent="0.3">
      <c r="A5298" s="5"/>
      <c r="B5298" s="6"/>
      <c r="C5298" s="7"/>
      <c r="D5298" s="10"/>
      <c r="F5298" s="1"/>
      <c r="G5298" s="1"/>
      <c r="H5298" s="1"/>
      <c r="I5298" s="7"/>
      <c r="J5298" s="12"/>
      <c r="K5298" s="13"/>
      <c r="L5298" s="14"/>
      <c r="M5298" s="15"/>
      <c r="N5298" s="15"/>
      <c r="O5298" s="16"/>
      <c r="Q5298" s="16"/>
    </row>
    <row r="5299" spans="1:17" x14ac:dyDescent="0.3">
      <c r="A5299" s="5"/>
      <c r="B5299" s="6"/>
      <c r="C5299" s="7"/>
      <c r="D5299" s="10"/>
      <c r="F5299" s="1"/>
      <c r="G5299" s="1"/>
      <c r="H5299" s="1"/>
      <c r="I5299" s="7"/>
      <c r="J5299" s="12"/>
      <c r="K5299" s="13"/>
      <c r="L5299" s="14"/>
      <c r="M5299" s="15"/>
      <c r="N5299" s="15"/>
      <c r="O5299" s="16"/>
      <c r="Q5299" s="16"/>
    </row>
    <row r="5300" spans="1:17" x14ac:dyDescent="0.3">
      <c r="A5300" s="5"/>
      <c r="B5300" s="6"/>
      <c r="C5300" s="7"/>
      <c r="D5300" s="10"/>
      <c r="F5300" s="1"/>
      <c r="G5300" s="1"/>
      <c r="H5300" s="1"/>
      <c r="I5300" s="7"/>
      <c r="J5300" s="12"/>
      <c r="K5300" s="13"/>
      <c r="L5300" s="14"/>
      <c r="M5300" s="15"/>
      <c r="N5300" s="15"/>
      <c r="O5300" s="16"/>
      <c r="Q5300" s="16"/>
    </row>
    <row r="5301" spans="1:17" x14ac:dyDescent="0.3">
      <c r="A5301" s="5"/>
      <c r="B5301" s="6"/>
      <c r="C5301" s="7"/>
      <c r="D5301" s="10"/>
      <c r="F5301" s="1"/>
      <c r="G5301" s="1"/>
      <c r="H5301" s="1"/>
      <c r="I5301" s="7"/>
      <c r="J5301" s="12"/>
      <c r="K5301" s="13"/>
      <c r="L5301" s="14"/>
      <c r="M5301" s="15"/>
      <c r="N5301" s="15"/>
      <c r="O5301" s="16"/>
      <c r="Q5301" s="16"/>
    </row>
    <row r="5302" spans="1:17" x14ac:dyDescent="0.3">
      <c r="A5302" s="5"/>
      <c r="B5302" s="6"/>
      <c r="C5302" s="7"/>
      <c r="D5302" s="10"/>
      <c r="F5302" s="1"/>
      <c r="G5302" s="1"/>
      <c r="H5302" s="1"/>
      <c r="I5302" s="7"/>
      <c r="J5302" s="12"/>
      <c r="K5302" s="13"/>
      <c r="L5302" s="14"/>
      <c r="M5302" s="15"/>
      <c r="N5302" s="15"/>
      <c r="O5302" s="16"/>
      <c r="Q5302" s="16"/>
    </row>
    <row r="5303" spans="1:17" x14ac:dyDescent="0.3">
      <c r="A5303" s="5"/>
      <c r="B5303" s="6"/>
      <c r="C5303" s="7"/>
      <c r="D5303" s="10"/>
      <c r="F5303" s="1"/>
      <c r="G5303" s="1"/>
      <c r="H5303" s="1"/>
      <c r="I5303" s="7"/>
      <c r="J5303" s="12"/>
      <c r="K5303" s="13"/>
      <c r="L5303" s="14"/>
      <c r="M5303" s="15"/>
      <c r="N5303" s="15"/>
      <c r="O5303" s="16"/>
      <c r="Q5303" s="16"/>
    </row>
    <row r="5304" spans="1:17" x14ac:dyDescent="0.3">
      <c r="A5304" s="5"/>
      <c r="B5304" s="6"/>
      <c r="C5304" s="7"/>
      <c r="D5304" s="10"/>
      <c r="F5304" s="1"/>
      <c r="G5304" s="1"/>
      <c r="H5304" s="1"/>
      <c r="I5304" s="7"/>
      <c r="J5304" s="12"/>
      <c r="K5304" s="13"/>
      <c r="L5304" s="14"/>
      <c r="M5304" s="15"/>
      <c r="N5304" s="15"/>
      <c r="O5304" s="16"/>
      <c r="Q5304" s="16"/>
    </row>
    <row r="5305" spans="1:17" x14ac:dyDescent="0.3">
      <c r="A5305" s="5"/>
      <c r="B5305" s="6"/>
      <c r="C5305" s="7"/>
      <c r="D5305" s="10"/>
      <c r="F5305" s="1"/>
      <c r="G5305" s="1"/>
      <c r="H5305" s="1"/>
      <c r="I5305" s="7"/>
      <c r="J5305" s="12"/>
      <c r="K5305" s="13"/>
      <c r="L5305" s="14"/>
      <c r="M5305" s="15"/>
      <c r="N5305" s="15"/>
      <c r="O5305" s="16"/>
      <c r="Q5305" s="16"/>
    </row>
    <row r="5306" spans="1:17" x14ac:dyDescent="0.3">
      <c r="A5306" s="5"/>
      <c r="B5306" s="6"/>
      <c r="C5306" s="7"/>
      <c r="D5306" s="10"/>
      <c r="F5306" s="1"/>
      <c r="G5306" s="1"/>
      <c r="H5306" s="1"/>
      <c r="I5306" s="7"/>
      <c r="J5306" s="12"/>
      <c r="K5306" s="13"/>
      <c r="L5306" s="14"/>
      <c r="M5306" s="15"/>
      <c r="N5306" s="15"/>
      <c r="O5306" s="16"/>
      <c r="Q5306" s="16"/>
    </row>
    <row r="5307" spans="1:17" x14ac:dyDescent="0.3">
      <c r="A5307" s="5"/>
      <c r="B5307" s="6"/>
      <c r="C5307" s="7"/>
      <c r="D5307" s="10"/>
      <c r="F5307" s="1"/>
      <c r="G5307" s="1"/>
      <c r="H5307" s="1"/>
      <c r="I5307" s="7"/>
      <c r="J5307" s="12"/>
      <c r="K5307" s="13"/>
      <c r="L5307" s="14"/>
      <c r="M5307" s="15"/>
      <c r="N5307" s="15"/>
      <c r="O5307" s="16"/>
      <c r="Q5307" s="16"/>
    </row>
    <row r="5308" spans="1:17" x14ac:dyDescent="0.3">
      <c r="A5308" s="5"/>
      <c r="B5308" s="6"/>
      <c r="C5308" s="7"/>
      <c r="D5308" s="10"/>
      <c r="F5308" s="1"/>
      <c r="G5308" s="1"/>
      <c r="H5308" s="1"/>
      <c r="I5308" s="7"/>
      <c r="J5308" s="12"/>
      <c r="K5308" s="13"/>
      <c r="L5308" s="14"/>
      <c r="M5308" s="15"/>
      <c r="N5308" s="15"/>
      <c r="O5308" s="16"/>
      <c r="Q5308" s="16"/>
    </row>
    <row r="5309" spans="1:17" x14ac:dyDescent="0.3">
      <c r="A5309" s="5"/>
      <c r="B5309" s="6"/>
      <c r="C5309" s="7"/>
      <c r="D5309" s="10"/>
      <c r="F5309" s="1"/>
      <c r="G5309" s="1"/>
      <c r="H5309" s="1"/>
      <c r="I5309" s="7"/>
      <c r="J5309" s="12"/>
      <c r="K5309" s="13"/>
      <c r="L5309" s="14"/>
      <c r="M5309" s="15"/>
      <c r="N5309" s="15"/>
      <c r="O5309" s="16"/>
      <c r="Q5309" s="16"/>
    </row>
    <row r="5310" spans="1:17" x14ac:dyDescent="0.3">
      <c r="A5310" s="5"/>
      <c r="B5310" s="6"/>
      <c r="C5310" s="7"/>
      <c r="D5310" s="10"/>
      <c r="F5310" s="1"/>
      <c r="G5310" s="1"/>
      <c r="H5310" s="1"/>
      <c r="I5310" s="7"/>
      <c r="J5310" s="12"/>
      <c r="K5310" s="13"/>
      <c r="L5310" s="14"/>
      <c r="M5310" s="15"/>
      <c r="N5310" s="15"/>
      <c r="O5310" s="16"/>
      <c r="Q5310" s="16"/>
    </row>
    <row r="5311" spans="1:17" x14ac:dyDescent="0.3">
      <c r="A5311" s="5"/>
      <c r="B5311" s="6"/>
      <c r="C5311" s="7"/>
      <c r="D5311" s="10"/>
      <c r="F5311" s="1"/>
      <c r="G5311" s="1"/>
      <c r="H5311" s="1"/>
      <c r="I5311" s="7"/>
      <c r="J5311" s="12"/>
      <c r="K5311" s="13"/>
      <c r="L5311" s="14"/>
      <c r="M5311" s="15"/>
      <c r="N5311" s="15"/>
      <c r="O5311" s="16"/>
      <c r="Q5311" s="16"/>
    </row>
    <row r="5312" spans="1:17" x14ac:dyDescent="0.3">
      <c r="A5312" s="5"/>
      <c r="B5312" s="6"/>
      <c r="C5312" s="7"/>
      <c r="D5312" s="10"/>
      <c r="F5312" s="1"/>
      <c r="G5312" s="1"/>
      <c r="H5312" s="1"/>
      <c r="I5312" s="7"/>
      <c r="J5312" s="12"/>
      <c r="K5312" s="13"/>
      <c r="L5312" s="14"/>
      <c r="M5312" s="15"/>
      <c r="N5312" s="15"/>
      <c r="O5312" s="16"/>
      <c r="Q5312" s="16"/>
    </row>
    <row r="5313" spans="1:17" x14ac:dyDescent="0.3">
      <c r="A5313" s="5"/>
      <c r="B5313" s="6"/>
      <c r="C5313" s="7"/>
      <c r="D5313" s="10"/>
      <c r="F5313" s="1"/>
      <c r="G5313" s="1"/>
      <c r="H5313" s="1"/>
      <c r="I5313" s="7"/>
      <c r="J5313" s="12"/>
      <c r="K5313" s="13"/>
      <c r="L5313" s="14"/>
      <c r="M5313" s="15"/>
      <c r="N5313" s="15"/>
      <c r="O5313" s="16"/>
      <c r="Q5313" s="16"/>
    </row>
    <row r="5314" spans="1:17" x14ac:dyDescent="0.3">
      <c r="A5314" s="5"/>
      <c r="B5314" s="6"/>
      <c r="C5314" s="7"/>
      <c r="D5314" s="10"/>
      <c r="F5314" s="1"/>
      <c r="G5314" s="1"/>
      <c r="H5314" s="1"/>
      <c r="I5314" s="7"/>
      <c r="J5314" s="12"/>
      <c r="K5314" s="13"/>
      <c r="L5314" s="14"/>
      <c r="M5314" s="15"/>
      <c r="N5314" s="15"/>
      <c r="O5314" s="16"/>
      <c r="Q5314" s="16"/>
    </row>
    <row r="5315" spans="1:17" x14ac:dyDescent="0.3">
      <c r="A5315" s="5"/>
      <c r="B5315" s="6"/>
      <c r="C5315" s="7"/>
      <c r="D5315" s="10"/>
      <c r="F5315" s="1"/>
      <c r="G5315" s="1"/>
      <c r="H5315" s="1"/>
      <c r="I5315" s="7"/>
      <c r="J5315" s="12"/>
      <c r="K5315" s="13"/>
      <c r="L5315" s="14"/>
      <c r="M5315" s="15"/>
      <c r="N5315" s="15"/>
      <c r="O5315" s="16"/>
      <c r="Q5315" s="16"/>
    </row>
    <row r="5316" spans="1:17" x14ac:dyDescent="0.3">
      <c r="A5316" s="5"/>
      <c r="B5316" s="6"/>
      <c r="C5316" s="7"/>
      <c r="D5316" s="10"/>
      <c r="F5316" s="1"/>
      <c r="G5316" s="1"/>
      <c r="H5316" s="1"/>
      <c r="I5316" s="7"/>
      <c r="J5316" s="12"/>
      <c r="K5316" s="13"/>
      <c r="L5316" s="14"/>
      <c r="M5316" s="15"/>
      <c r="N5316" s="15"/>
      <c r="O5316" s="16"/>
      <c r="Q5316" s="16"/>
    </row>
    <row r="5317" spans="1:17" x14ac:dyDescent="0.3">
      <c r="A5317" s="5"/>
      <c r="B5317" s="6"/>
      <c r="C5317" s="7"/>
      <c r="D5317" s="10"/>
      <c r="F5317" s="1"/>
      <c r="G5317" s="1"/>
      <c r="H5317" s="1"/>
      <c r="I5317" s="7"/>
      <c r="J5317" s="12"/>
      <c r="K5317" s="13"/>
      <c r="L5317" s="14"/>
      <c r="M5317" s="15"/>
      <c r="N5317" s="15"/>
      <c r="O5317" s="16"/>
      <c r="Q5317" s="16"/>
    </row>
    <row r="5318" spans="1:17" x14ac:dyDescent="0.3">
      <c r="A5318" s="5"/>
      <c r="B5318" s="6"/>
      <c r="C5318" s="7"/>
      <c r="D5318" s="10"/>
      <c r="F5318" s="1"/>
      <c r="G5318" s="1"/>
      <c r="H5318" s="1"/>
      <c r="I5318" s="7"/>
      <c r="J5318" s="12"/>
      <c r="K5318" s="13"/>
      <c r="L5318" s="14"/>
      <c r="M5318" s="15"/>
      <c r="N5318" s="15"/>
      <c r="O5318" s="16"/>
      <c r="Q5318" s="16"/>
    </row>
    <row r="5319" spans="1:17" x14ac:dyDescent="0.3">
      <c r="A5319" s="5"/>
      <c r="B5319" s="6"/>
      <c r="C5319" s="7"/>
      <c r="D5319" s="10"/>
      <c r="F5319" s="1"/>
      <c r="G5319" s="1"/>
      <c r="H5319" s="1"/>
      <c r="I5319" s="7"/>
      <c r="J5319" s="12"/>
      <c r="K5319" s="13"/>
      <c r="L5319" s="14"/>
      <c r="M5319" s="15"/>
      <c r="N5319" s="15"/>
      <c r="O5319" s="16"/>
      <c r="Q5319" s="16"/>
    </row>
    <row r="5320" spans="1:17" x14ac:dyDescent="0.3">
      <c r="A5320" s="5"/>
      <c r="B5320" s="6"/>
      <c r="C5320" s="7"/>
      <c r="D5320" s="10"/>
      <c r="F5320" s="1"/>
      <c r="G5320" s="1"/>
      <c r="H5320" s="1"/>
      <c r="I5320" s="7"/>
      <c r="J5320" s="12"/>
      <c r="K5320" s="13"/>
      <c r="L5320" s="14"/>
      <c r="M5320" s="15"/>
      <c r="N5320" s="15"/>
      <c r="O5320" s="16"/>
      <c r="Q5320" s="16"/>
    </row>
    <row r="5321" spans="1:17" x14ac:dyDescent="0.3">
      <c r="A5321" s="5"/>
      <c r="B5321" s="6"/>
      <c r="C5321" s="7"/>
      <c r="D5321" s="10"/>
      <c r="F5321" s="1"/>
      <c r="G5321" s="1"/>
      <c r="H5321" s="1"/>
      <c r="I5321" s="7"/>
      <c r="J5321" s="12"/>
      <c r="K5321" s="13"/>
      <c r="L5321" s="14"/>
      <c r="M5321" s="15"/>
      <c r="N5321" s="15"/>
      <c r="O5321" s="16"/>
      <c r="Q5321" s="16"/>
    </row>
    <row r="5322" spans="1:17" x14ac:dyDescent="0.3">
      <c r="A5322" s="5"/>
      <c r="B5322" s="6"/>
      <c r="C5322" s="7"/>
      <c r="D5322" s="10"/>
      <c r="F5322" s="1"/>
      <c r="G5322" s="1"/>
      <c r="H5322" s="1"/>
      <c r="I5322" s="7"/>
      <c r="J5322" s="12"/>
      <c r="K5322" s="13"/>
      <c r="L5322" s="14"/>
      <c r="M5322" s="15"/>
      <c r="N5322" s="15"/>
      <c r="O5322" s="16"/>
      <c r="Q5322" s="16"/>
    </row>
    <row r="5323" spans="1:17" x14ac:dyDescent="0.3">
      <c r="A5323" s="5"/>
      <c r="B5323" s="6"/>
      <c r="C5323" s="7"/>
      <c r="D5323" s="10"/>
      <c r="F5323" s="1"/>
      <c r="G5323" s="1"/>
      <c r="H5323" s="1"/>
      <c r="I5323" s="7"/>
      <c r="J5323" s="12"/>
      <c r="K5323" s="13"/>
      <c r="L5323" s="14"/>
      <c r="M5323" s="15"/>
      <c r="N5323" s="15"/>
      <c r="O5323" s="16"/>
      <c r="Q5323" s="16"/>
    </row>
    <row r="5324" spans="1:17" x14ac:dyDescent="0.3">
      <c r="A5324" s="5"/>
      <c r="B5324" s="6"/>
      <c r="C5324" s="7"/>
      <c r="D5324" s="10"/>
      <c r="F5324" s="1"/>
      <c r="G5324" s="1"/>
      <c r="H5324" s="1"/>
      <c r="I5324" s="7"/>
      <c r="J5324" s="12"/>
      <c r="K5324" s="13"/>
      <c r="L5324" s="14"/>
      <c r="M5324" s="15"/>
      <c r="N5324" s="15"/>
      <c r="O5324" s="16"/>
      <c r="Q5324" s="16"/>
    </row>
    <row r="5325" spans="1:17" x14ac:dyDescent="0.3">
      <c r="A5325" s="5"/>
      <c r="B5325" s="6"/>
      <c r="C5325" s="7"/>
      <c r="D5325" s="10"/>
      <c r="F5325" s="1"/>
      <c r="G5325" s="1"/>
      <c r="H5325" s="1"/>
      <c r="I5325" s="7"/>
      <c r="J5325" s="12"/>
      <c r="K5325" s="13"/>
      <c r="L5325" s="14"/>
      <c r="M5325" s="15"/>
      <c r="N5325" s="15"/>
      <c r="O5325" s="16"/>
      <c r="Q5325" s="16"/>
    </row>
    <row r="5326" spans="1:17" x14ac:dyDescent="0.3">
      <c r="A5326" s="5"/>
      <c r="B5326" s="6"/>
      <c r="C5326" s="7"/>
      <c r="D5326" s="10"/>
      <c r="F5326" s="1"/>
      <c r="G5326" s="1"/>
      <c r="H5326" s="1"/>
      <c r="I5326" s="7"/>
      <c r="J5326" s="12"/>
      <c r="K5326" s="13"/>
      <c r="L5326" s="14"/>
      <c r="M5326" s="15"/>
      <c r="N5326" s="15"/>
      <c r="O5326" s="16"/>
      <c r="Q5326" s="16"/>
    </row>
    <row r="5327" spans="1:17" x14ac:dyDescent="0.3">
      <c r="A5327" s="5"/>
      <c r="B5327" s="6"/>
      <c r="C5327" s="7"/>
      <c r="D5327" s="10"/>
      <c r="F5327" s="1"/>
      <c r="G5327" s="1"/>
      <c r="H5327" s="1"/>
      <c r="I5327" s="7"/>
      <c r="J5327" s="12"/>
      <c r="K5327" s="13"/>
      <c r="L5327" s="14"/>
      <c r="M5327" s="15"/>
      <c r="N5327" s="15"/>
      <c r="O5327" s="16"/>
      <c r="Q5327" s="16"/>
    </row>
    <row r="5328" spans="1:17" x14ac:dyDescent="0.3">
      <c r="A5328" s="5"/>
      <c r="B5328" s="6"/>
      <c r="C5328" s="7"/>
      <c r="D5328" s="10"/>
      <c r="F5328" s="1"/>
      <c r="G5328" s="1"/>
      <c r="H5328" s="1"/>
      <c r="I5328" s="7"/>
      <c r="J5328" s="12"/>
      <c r="K5328" s="13"/>
      <c r="L5328" s="14"/>
      <c r="M5328" s="15"/>
      <c r="N5328" s="15"/>
      <c r="O5328" s="16"/>
      <c r="Q5328" s="16"/>
    </row>
    <row r="5329" spans="1:17" x14ac:dyDescent="0.3">
      <c r="A5329" s="5"/>
      <c r="B5329" s="6"/>
      <c r="C5329" s="7"/>
      <c r="D5329" s="10"/>
      <c r="F5329" s="1"/>
      <c r="G5329" s="1"/>
      <c r="H5329" s="1"/>
      <c r="I5329" s="7"/>
      <c r="J5329" s="12"/>
      <c r="K5329" s="13"/>
      <c r="L5329" s="14"/>
      <c r="M5329" s="15"/>
      <c r="N5329" s="15"/>
      <c r="O5329" s="16"/>
      <c r="Q5329" s="16"/>
    </row>
    <row r="5330" spans="1:17" x14ac:dyDescent="0.3">
      <c r="A5330" s="5"/>
      <c r="B5330" s="6"/>
      <c r="C5330" s="7"/>
      <c r="D5330" s="10"/>
      <c r="F5330" s="1"/>
      <c r="G5330" s="1"/>
      <c r="H5330" s="1"/>
      <c r="I5330" s="7"/>
      <c r="J5330" s="12"/>
      <c r="K5330" s="13"/>
      <c r="L5330" s="14"/>
      <c r="M5330" s="15"/>
      <c r="N5330" s="15"/>
      <c r="O5330" s="16"/>
      <c r="Q5330" s="16"/>
    </row>
    <row r="5331" spans="1:17" x14ac:dyDescent="0.3">
      <c r="A5331" s="5"/>
      <c r="B5331" s="6"/>
      <c r="C5331" s="7"/>
      <c r="D5331" s="10"/>
      <c r="F5331" s="1"/>
      <c r="G5331" s="1"/>
      <c r="H5331" s="1"/>
      <c r="I5331" s="7"/>
      <c r="J5331" s="12"/>
      <c r="K5331" s="13"/>
      <c r="L5331" s="14"/>
      <c r="M5331" s="15"/>
      <c r="N5331" s="15"/>
      <c r="O5331" s="16"/>
      <c r="Q5331" s="16"/>
    </row>
    <row r="5332" spans="1:17" x14ac:dyDescent="0.3">
      <c r="A5332" s="5"/>
      <c r="B5332" s="6"/>
      <c r="C5332" s="7"/>
      <c r="D5332" s="10"/>
      <c r="F5332" s="1"/>
      <c r="G5332" s="1"/>
      <c r="H5332" s="1"/>
      <c r="I5332" s="7"/>
      <c r="J5332" s="12"/>
      <c r="K5332" s="13"/>
      <c r="L5332" s="14"/>
      <c r="M5332" s="15"/>
      <c r="N5332" s="15"/>
      <c r="O5332" s="16"/>
      <c r="Q5332" s="16"/>
    </row>
    <row r="5333" spans="1:17" x14ac:dyDescent="0.3">
      <c r="A5333" s="5"/>
      <c r="B5333" s="6"/>
      <c r="C5333" s="7"/>
      <c r="D5333" s="10"/>
      <c r="F5333" s="1"/>
      <c r="G5333" s="1"/>
      <c r="H5333" s="1"/>
      <c r="I5333" s="7"/>
      <c r="J5333" s="12"/>
      <c r="K5333" s="13"/>
      <c r="L5333" s="14"/>
      <c r="M5333" s="15"/>
      <c r="N5333" s="15"/>
      <c r="O5333" s="16"/>
      <c r="Q5333" s="16"/>
    </row>
    <row r="5334" spans="1:17" x14ac:dyDescent="0.3">
      <c r="A5334" s="5"/>
      <c r="B5334" s="6"/>
      <c r="C5334" s="7"/>
      <c r="D5334" s="10"/>
      <c r="F5334" s="1"/>
      <c r="G5334" s="1"/>
      <c r="H5334" s="1"/>
      <c r="I5334" s="7"/>
      <c r="J5334" s="12"/>
      <c r="K5334" s="13"/>
      <c r="L5334" s="14"/>
      <c r="M5334" s="15"/>
      <c r="N5334" s="15"/>
      <c r="O5334" s="16"/>
      <c r="Q5334" s="16"/>
    </row>
    <row r="5335" spans="1:17" x14ac:dyDescent="0.3">
      <c r="A5335" s="5"/>
      <c r="B5335" s="6"/>
      <c r="C5335" s="7"/>
      <c r="D5335" s="10"/>
      <c r="F5335" s="1"/>
      <c r="G5335" s="1"/>
      <c r="H5335" s="1"/>
      <c r="I5335" s="7"/>
      <c r="J5335" s="12"/>
      <c r="K5335" s="13"/>
      <c r="L5335" s="14"/>
      <c r="M5335" s="15"/>
      <c r="N5335" s="15"/>
      <c r="O5335" s="16"/>
      <c r="Q5335" s="16"/>
    </row>
    <row r="5336" spans="1:17" x14ac:dyDescent="0.3">
      <c r="A5336" s="5"/>
      <c r="B5336" s="6"/>
      <c r="C5336" s="7"/>
      <c r="D5336" s="10"/>
      <c r="F5336" s="1"/>
      <c r="G5336" s="1"/>
      <c r="H5336" s="1"/>
      <c r="I5336" s="7"/>
      <c r="J5336" s="12"/>
      <c r="K5336" s="13"/>
      <c r="L5336" s="14"/>
      <c r="M5336" s="15"/>
      <c r="N5336" s="15"/>
      <c r="O5336" s="16"/>
      <c r="Q5336" s="16"/>
    </row>
    <row r="5337" spans="1:17" x14ac:dyDescent="0.3">
      <c r="A5337" s="5"/>
      <c r="B5337" s="6"/>
      <c r="C5337" s="7"/>
      <c r="D5337" s="10"/>
      <c r="F5337" s="1"/>
      <c r="G5337" s="1"/>
      <c r="H5337" s="1"/>
      <c r="I5337" s="7"/>
      <c r="J5337" s="12"/>
      <c r="K5337" s="13"/>
      <c r="L5337" s="14"/>
      <c r="M5337" s="15"/>
      <c r="N5337" s="15"/>
      <c r="O5337" s="16"/>
      <c r="Q5337" s="16"/>
    </row>
    <row r="5338" spans="1:17" x14ac:dyDescent="0.3">
      <c r="A5338" s="5"/>
      <c r="B5338" s="6"/>
      <c r="C5338" s="7"/>
      <c r="D5338" s="10"/>
      <c r="F5338" s="1"/>
      <c r="G5338" s="1"/>
      <c r="H5338" s="1"/>
      <c r="I5338" s="7"/>
      <c r="J5338" s="12"/>
      <c r="K5338" s="13"/>
      <c r="L5338" s="14"/>
      <c r="M5338" s="15"/>
      <c r="N5338" s="15"/>
      <c r="O5338" s="16"/>
      <c r="Q5338" s="16"/>
    </row>
    <row r="5339" spans="1:17" x14ac:dyDescent="0.3">
      <c r="A5339" s="5"/>
      <c r="B5339" s="6"/>
      <c r="C5339" s="7"/>
      <c r="D5339" s="10"/>
      <c r="F5339" s="1"/>
      <c r="G5339" s="1"/>
      <c r="H5339" s="1"/>
      <c r="I5339" s="7"/>
      <c r="J5339" s="12"/>
      <c r="K5339" s="13"/>
      <c r="L5339" s="14"/>
      <c r="M5339" s="15"/>
      <c r="N5339" s="15"/>
      <c r="O5339" s="16"/>
      <c r="Q5339" s="16"/>
    </row>
    <row r="5340" spans="1:17" x14ac:dyDescent="0.3">
      <c r="A5340" s="5"/>
      <c r="B5340" s="6"/>
      <c r="C5340" s="7"/>
      <c r="D5340" s="10"/>
      <c r="F5340" s="1"/>
      <c r="G5340" s="1"/>
      <c r="H5340" s="1"/>
      <c r="I5340" s="7"/>
      <c r="J5340" s="12"/>
      <c r="K5340" s="13"/>
      <c r="L5340" s="14"/>
      <c r="M5340" s="15"/>
      <c r="N5340" s="15"/>
      <c r="O5340" s="16"/>
      <c r="Q5340" s="16"/>
    </row>
    <row r="5341" spans="1:17" x14ac:dyDescent="0.3">
      <c r="A5341" s="5"/>
      <c r="B5341" s="6"/>
      <c r="C5341" s="7"/>
      <c r="D5341" s="10"/>
      <c r="F5341" s="1"/>
      <c r="G5341" s="1"/>
      <c r="H5341" s="1"/>
      <c r="I5341" s="7"/>
      <c r="J5341" s="12"/>
      <c r="K5341" s="13"/>
      <c r="L5341" s="14"/>
      <c r="M5341" s="15"/>
      <c r="N5341" s="15"/>
      <c r="O5341" s="16"/>
      <c r="Q5341" s="16"/>
    </row>
    <row r="5342" spans="1:17" x14ac:dyDescent="0.3">
      <c r="A5342" s="5"/>
      <c r="B5342" s="6"/>
      <c r="C5342" s="7"/>
      <c r="D5342" s="10"/>
      <c r="F5342" s="1"/>
      <c r="G5342" s="1"/>
      <c r="H5342" s="1"/>
      <c r="I5342" s="7"/>
      <c r="J5342" s="12"/>
      <c r="K5342" s="13"/>
      <c r="L5342" s="14"/>
      <c r="M5342" s="15"/>
      <c r="N5342" s="15"/>
      <c r="O5342" s="16"/>
      <c r="Q5342" s="16"/>
    </row>
    <row r="5343" spans="1:17" x14ac:dyDescent="0.3">
      <c r="A5343" s="5"/>
      <c r="B5343" s="6"/>
      <c r="C5343" s="7"/>
      <c r="D5343" s="10"/>
      <c r="F5343" s="1"/>
      <c r="G5343" s="1"/>
      <c r="H5343" s="1"/>
      <c r="I5343" s="7"/>
      <c r="J5343" s="12"/>
      <c r="K5343" s="13"/>
      <c r="L5343" s="14"/>
      <c r="M5343" s="15"/>
      <c r="N5343" s="15"/>
      <c r="O5343" s="16"/>
      <c r="Q5343" s="16"/>
    </row>
    <row r="5344" spans="1:17" x14ac:dyDescent="0.3">
      <c r="A5344" s="5"/>
      <c r="B5344" s="6"/>
      <c r="C5344" s="7"/>
      <c r="D5344" s="10"/>
      <c r="F5344" s="1"/>
      <c r="G5344" s="1"/>
      <c r="H5344" s="1"/>
      <c r="I5344" s="7"/>
      <c r="J5344" s="12"/>
      <c r="K5344" s="13"/>
      <c r="L5344" s="14"/>
      <c r="M5344" s="15"/>
      <c r="N5344" s="15"/>
      <c r="O5344" s="16"/>
      <c r="Q5344" s="16"/>
    </row>
    <row r="5345" spans="1:17" x14ac:dyDescent="0.3">
      <c r="A5345" s="5"/>
      <c r="B5345" s="6"/>
      <c r="C5345" s="7"/>
      <c r="D5345" s="10"/>
      <c r="F5345" s="1"/>
      <c r="G5345" s="1"/>
      <c r="H5345" s="1"/>
      <c r="I5345" s="7"/>
      <c r="J5345" s="12"/>
      <c r="K5345" s="13"/>
      <c r="L5345" s="14"/>
      <c r="M5345" s="15"/>
      <c r="N5345" s="15"/>
      <c r="O5345" s="16"/>
      <c r="Q5345" s="16"/>
    </row>
    <row r="5346" spans="1:17" x14ac:dyDescent="0.3">
      <c r="A5346" s="5"/>
      <c r="B5346" s="6"/>
      <c r="C5346" s="7"/>
      <c r="D5346" s="10"/>
      <c r="F5346" s="1"/>
      <c r="G5346" s="1"/>
      <c r="H5346" s="1"/>
      <c r="I5346" s="7"/>
      <c r="J5346" s="12"/>
      <c r="K5346" s="13"/>
      <c r="L5346" s="14"/>
      <c r="M5346" s="15"/>
      <c r="N5346" s="15"/>
      <c r="O5346" s="16"/>
      <c r="Q5346" s="16"/>
    </row>
    <row r="5347" spans="1:17" x14ac:dyDescent="0.3">
      <c r="A5347" s="5"/>
      <c r="B5347" s="6"/>
      <c r="C5347" s="7"/>
      <c r="D5347" s="10"/>
      <c r="F5347" s="1"/>
      <c r="G5347" s="1"/>
      <c r="H5347" s="1"/>
      <c r="I5347" s="7"/>
      <c r="J5347" s="12"/>
      <c r="K5347" s="13"/>
      <c r="L5347" s="14"/>
      <c r="M5347" s="15"/>
      <c r="N5347" s="15"/>
      <c r="O5347" s="16"/>
      <c r="Q5347" s="16"/>
    </row>
    <row r="5348" spans="1:17" x14ac:dyDescent="0.3">
      <c r="A5348" s="5"/>
      <c r="B5348" s="6"/>
      <c r="C5348" s="7"/>
      <c r="D5348" s="10"/>
      <c r="F5348" s="1"/>
      <c r="G5348" s="1"/>
      <c r="H5348" s="1"/>
      <c r="I5348" s="7"/>
      <c r="J5348" s="12"/>
      <c r="K5348" s="13"/>
      <c r="L5348" s="14"/>
      <c r="M5348" s="15"/>
      <c r="N5348" s="15"/>
      <c r="O5348" s="16"/>
      <c r="Q5348" s="16"/>
    </row>
    <row r="5349" spans="1:17" x14ac:dyDescent="0.3">
      <c r="A5349" s="5"/>
      <c r="B5349" s="6"/>
      <c r="C5349" s="7"/>
      <c r="D5349" s="10"/>
      <c r="F5349" s="1"/>
      <c r="G5349" s="1"/>
      <c r="H5349" s="1"/>
      <c r="I5349" s="7"/>
      <c r="J5349" s="12"/>
      <c r="K5349" s="13"/>
      <c r="L5349" s="14"/>
      <c r="M5349" s="15"/>
      <c r="N5349" s="15"/>
      <c r="O5349" s="16"/>
      <c r="Q5349" s="16"/>
    </row>
    <row r="5350" spans="1:17" x14ac:dyDescent="0.3">
      <c r="A5350" s="5"/>
      <c r="B5350" s="6"/>
      <c r="C5350" s="7"/>
      <c r="D5350" s="10"/>
      <c r="F5350" s="1"/>
      <c r="G5350" s="1"/>
      <c r="H5350" s="1"/>
      <c r="I5350" s="7"/>
      <c r="J5350" s="12"/>
      <c r="K5350" s="13"/>
      <c r="L5350" s="14"/>
      <c r="M5350" s="15"/>
      <c r="N5350" s="15"/>
      <c r="O5350" s="16"/>
      <c r="Q5350" s="16"/>
    </row>
    <row r="5351" spans="1:17" x14ac:dyDescent="0.3">
      <c r="A5351" s="5"/>
      <c r="B5351" s="6"/>
      <c r="C5351" s="7"/>
      <c r="D5351" s="10"/>
      <c r="F5351" s="1"/>
      <c r="G5351" s="1"/>
      <c r="H5351" s="1"/>
      <c r="I5351" s="7"/>
      <c r="J5351" s="12"/>
      <c r="K5351" s="13"/>
      <c r="L5351" s="14"/>
      <c r="M5351" s="15"/>
      <c r="N5351" s="15"/>
      <c r="O5351" s="16"/>
      <c r="Q5351" s="16"/>
    </row>
    <row r="5352" spans="1:17" x14ac:dyDescent="0.3">
      <c r="A5352" s="5"/>
      <c r="B5352" s="6"/>
      <c r="C5352" s="7"/>
      <c r="D5352" s="10"/>
      <c r="F5352" s="1"/>
      <c r="G5352" s="1"/>
      <c r="H5352" s="1"/>
      <c r="I5352" s="7"/>
      <c r="J5352" s="12"/>
      <c r="K5352" s="13"/>
      <c r="L5352" s="14"/>
      <c r="M5352" s="15"/>
      <c r="N5352" s="15"/>
      <c r="O5352" s="16"/>
      <c r="Q5352" s="16"/>
    </row>
    <row r="5353" spans="1:17" x14ac:dyDescent="0.3">
      <c r="A5353" s="5"/>
      <c r="B5353" s="6"/>
      <c r="C5353" s="7"/>
      <c r="D5353" s="10"/>
      <c r="F5353" s="1"/>
      <c r="G5353" s="1"/>
      <c r="H5353" s="1"/>
      <c r="I5353" s="7"/>
      <c r="J5353" s="12"/>
      <c r="K5353" s="13"/>
      <c r="L5353" s="14"/>
      <c r="M5353" s="15"/>
      <c r="N5353" s="15"/>
      <c r="O5353" s="16"/>
      <c r="Q5353" s="16"/>
    </row>
    <row r="5354" spans="1:17" x14ac:dyDescent="0.3">
      <c r="A5354" s="5"/>
      <c r="B5354" s="6"/>
      <c r="C5354" s="7"/>
      <c r="D5354" s="10"/>
      <c r="F5354" s="1"/>
      <c r="G5354" s="1"/>
      <c r="H5354" s="1"/>
      <c r="I5354" s="7"/>
      <c r="J5354" s="12"/>
      <c r="K5354" s="13"/>
      <c r="L5354" s="14"/>
      <c r="M5354" s="15"/>
      <c r="N5354" s="15"/>
      <c r="O5354" s="16"/>
      <c r="Q5354" s="16"/>
    </row>
    <row r="5355" spans="1:17" x14ac:dyDescent="0.3">
      <c r="A5355" s="5"/>
      <c r="B5355" s="6"/>
      <c r="C5355" s="7"/>
      <c r="D5355" s="10"/>
      <c r="F5355" s="1"/>
      <c r="G5355" s="1"/>
      <c r="H5355" s="1"/>
      <c r="I5355" s="7"/>
      <c r="J5355" s="12"/>
      <c r="K5355" s="13"/>
      <c r="L5355" s="14"/>
      <c r="M5355" s="15"/>
      <c r="N5355" s="15"/>
      <c r="O5355" s="16"/>
      <c r="Q5355" s="16"/>
    </row>
    <row r="5356" spans="1:17" x14ac:dyDescent="0.3">
      <c r="A5356" s="5"/>
      <c r="B5356" s="6"/>
      <c r="C5356" s="7"/>
      <c r="D5356" s="10"/>
      <c r="F5356" s="1"/>
      <c r="G5356" s="1"/>
      <c r="H5356" s="1"/>
      <c r="I5356" s="7"/>
      <c r="J5356" s="12"/>
      <c r="K5356" s="13"/>
      <c r="L5356" s="14"/>
      <c r="M5356" s="15"/>
      <c r="N5356" s="15"/>
      <c r="O5356" s="16"/>
      <c r="Q5356" s="16"/>
    </row>
    <row r="5357" spans="1:17" x14ac:dyDescent="0.3">
      <c r="A5357" s="5"/>
      <c r="B5357" s="6"/>
      <c r="C5357" s="7"/>
      <c r="D5357" s="10"/>
      <c r="F5357" s="1"/>
      <c r="G5357" s="1"/>
      <c r="H5357" s="1"/>
      <c r="I5357" s="7"/>
      <c r="J5357" s="12"/>
      <c r="K5357" s="13"/>
      <c r="L5357" s="14"/>
      <c r="M5357" s="15"/>
      <c r="N5357" s="15"/>
      <c r="O5357" s="16"/>
      <c r="Q5357" s="16"/>
    </row>
    <row r="5358" spans="1:17" x14ac:dyDescent="0.3">
      <c r="A5358" s="5"/>
      <c r="B5358" s="6"/>
      <c r="C5358" s="7"/>
      <c r="D5358" s="10"/>
      <c r="F5358" s="1"/>
      <c r="G5358" s="1"/>
      <c r="H5358" s="1"/>
      <c r="I5358" s="7"/>
      <c r="J5358" s="12"/>
      <c r="K5358" s="13"/>
      <c r="L5358" s="14"/>
      <c r="M5358" s="15"/>
      <c r="N5358" s="15"/>
      <c r="O5358" s="16"/>
      <c r="Q5358" s="16"/>
    </row>
    <row r="5359" spans="1:17" x14ac:dyDescent="0.3">
      <c r="A5359" s="5"/>
      <c r="B5359" s="6"/>
      <c r="C5359" s="7"/>
      <c r="D5359" s="10"/>
      <c r="F5359" s="1"/>
      <c r="G5359" s="1"/>
      <c r="H5359" s="1"/>
      <c r="I5359" s="7"/>
      <c r="J5359" s="12"/>
      <c r="K5359" s="13"/>
      <c r="L5359" s="14"/>
      <c r="M5359" s="15"/>
      <c r="N5359" s="15"/>
      <c r="O5359" s="16"/>
      <c r="Q5359" s="16"/>
    </row>
    <row r="5360" spans="1:17" x14ac:dyDescent="0.3">
      <c r="A5360" s="5"/>
      <c r="B5360" s="6"/>
      <c r="C5360" s="7"/>
      <c r="D5360" s="10"/>
      <c r="F5360" s="1"/>
      <c r="G5360" s="1"/>
      <c r="H5360" s="1"/>
      <c r="I5360" s="7"/>
      <c r="J5360" s="12"/>
      <c r="K5360" s="13"/>
      <c r="L5360" s="14"/>
      <c r="M5360" s="15"/>
      <c r="N5360" s="15"/>
      <c r="O5360" s="16"/>
      <c r="Q5360" s="16"/>
    </row>
    <row r="5361" spans="1:17" x14ac:dyDescent="0.3">
      <c r="A5361" s="5"/>
      <c r="B5361" s="6"/>
      <c r="C5361" s="7"/>
      <c r="D5361" s="10"/>
      <c r="F5361" s="1"/>
      <c r="G5361" s="1"/>
      <c r="H5361" s="1"/>
      <c r="I5361" s="7"/>
      <c r="J5361" s="12"/>
      <c r="K5361" s="13"/>
      <c r="L5361" s="14"/>
      <c r="M5361" s="15"/>
      <c r="N5361" s="15"/>
      <c r="O5361" s="16"/>
      <c r="Q5361" s="16"/>
    </row>
    <row r="5362" spans="1:17" x14ac:dyDescent="0.3">
      <c r="A5362" s="5"/>
      <c r="B5362" s="6"/>
      <c r="C5362" s="7"/>
      <c r="D5362" s="10"/>
      <c r="F5362" s="1"/>
      <c r="G5362" s="1"/>
      <c r="H5362" s="1"/>
      <c r="I5362" s="7"/>
      <c r="J5362" s="12"/>
      <c r="K5362" s="13"/>
      <c r="L5362" s="14"/>
      <c r="M5362" s="15"/>
      <c r="N5362" s="15"/>
      <c r="O5362" s="16"/>
      <c r="Q5362" s="16"/>
    </row>
    <row r="5363" spans="1:17" x14ac:dyDescent="0.3">
      <c r="A5363" s="5"/>
      <c r="B5363" s="6"/>
      <c r="C5363" s="7"/>
      <c r="D5363" s="10"/>
      <c r="F5363" s="1"/>
      <c r="G5363" s="1"/>
      <c r="H5363" s="1"/>
      <c r="I5363" s="7"/>
      <c r="J5363" s="12"/>
      <c r="K5363" s="13"/>
      <c r="L5363" s="14"/>
      <c r="M5363" s="15"/>
      <c r="N5363" s="15"/>
      <c r="O5363" s="16"/>
      <c r="Q5363" s="16"/>
    </row>
    <row r="5364" spans="1:17" x14ac:dyDescent="0.3">
      <c r="A5364" s="5"/>
      <c r="B5364" s="6"/>
      <c r="C5364" s="7"/>
      <c r="D5364" s="10"/>
      <c r="F5364" s="1"/>
      <c r="G5364" s="1"/>
      <c r="H5364" s="1"/>
      <c r="I5364" s="7"/>
      <c r="J5364" s="12"/>
      <c r="K5364" s="13"/>
      <c r="L5364" s="14"/>
      <c r="M5364" s="15"/>
      <c r="N5364" s="15"/>
      <c r="O5364" s="16"/>
      <c r="Q5364" s="16"/>
    </row>
    <row r="5365" spans="1:17" x14ac:dyDescent="0.3">
      <c r="A5365" s="5"/>
      <c r="B5365" s="6"/>
      <c r="C5365" s="7"/>
      <c r="D5365" s="10"/>
      <c r="F5365" s="1"/>
      <c r="G5365" s="1"/>
      <c r="H5365" s="1"/>
      <c r="I5365" s="7"/>
      <c r="J5365" s="12"/>
      <c r="K5365" s="13"/>
      <c r="L5365" s="14"/>
      <c r="M5365" s="15"/>
      <c r="N5365" s="15"/>
      <c r="O5365" s="16"/>
      <c r="Q5365" s="16"/>
    </row>
    <row r="5366" spans="1:17" x14ac:dyDescent="0.3">
      <c r="A5366" s="5"/>
      <c r="B5366" s="6"/>
      <c r="C5366" s="7"/>
      <c r="D5366" s="10"/>
      <c r="F5366" s="1"/>
      <c r="G5366" s="1"/>
      <c r="H5366" s="1"/>
      <c r="I5366" s="7"/>
      <c r="J5366" s="12"/>
      <c r="K5366" s="13"/>
      <c r="L5366" s="14"/>
      <c r="M5366" s="15"/>
      <c r="N5366" s="15"/>
      <c r="O5366" s="16"/>
      <c r="Q5366" s="16"/>
    </row>
    <row r="5367" spans="1:17" x14ac:dyDescent="0.3">
      <c r="A5367" s="5"/>
      <c r="B5367" s="6"/>
      <c r="C5367" s="7"/>
      <c r="D5367" s="10"/>
      <c r="F5367" s="1"/>
      <c r="G5367" s="1"/>
      <c r="H5367" s="1"/>
      <c r="I5367" s="7"/>
      <c r="J5367" s="12"/>
      <c r="K5367" s="13"/>
      <c r="L5367" s="14"/>
      <c r="M5367" s="15"/>
      <c r="N5367" s="15"/>
      <c r="O5367" s="16"/>
      <c r="Q5367" s="16"/>
    </row>
    <row r="5368" spans="1:17" x14ac:dyDescent="0.3">
      <c r="A5368" s="5"/>
      <c r="B5368" s="6"/>
      <c r="C5368" s="7"/>
      <c r="D5368" s="10"/>
      <c r="F5368" s="1"/>
      <c r="G5368" s="1"/>
      <c r="H5368" s="1"/>
      <c r="I5368" s="7"/>
      <c r="J5368" s="12"/>
      <c r="K5368" s="13"/>
      <c r="L5368" s="14"/>
      <c r="M5368" s="15"/>
      <c r="N5368" s="15"/>
      <c r="O5368" s="16"/>
      <c r="Q5368" s="16"/>
    </row>
    <row r="5369" spans="1:17" x14ac:dyDescent="0.3">
      <c r="A5369" s="5"/>
      <c r="B5369" s="6"/>
      <c r="C5369" s="7"/>
      <c r="D5369" s="10"/>
      <c r="F5369" s="1"/>
      <c r="G5369" s="1"/>
      <c r="H5369" s="1"/>
      <c r="I5369" s="7"/>
      <c r="J5369" s="12"/>
      <c r="K5369" s="13"/>
      <c r="L5369" s="14"/>
      <c r="M5369" s="15"/>
      <c r="N5369" s="15"/>
      <c r="O5369" s="16"/>
      <c r="Q5369" s="16"/>
    </row>
    <row r="5370" spans="1:17" x14ac:dyDescent="0.3">
      <c r="A5370" s="5"/>
      <c r="B5370" s="6"/>
      <c r="C5370" s="7"/>
      <c r="D5370" s="10"/>
      <c r="F5370" s="1"/>
      <c r="G5370" s="1"/>
      <c r="H5370" s="1"/>
      <c r="I5370" s="7"/>
      <c r="J5370" s="12"/>
      <c r="K5370" s="13"/>
      <c r="L5370" s="14"/>
      <c r="M5370" s="15"/>
      <c r="N5370" s="15"/>
      <c r="O5370" s="16"/>
      <c r="Q5370" s="16"/>
    </row>
    <row r="5371" spans="1:17" x14ac:dyDescent="0.3">
      <c r="A5371" s="5"/>
      <c r="B5371" s="6"/>
      <c r="C5371" s="7"/>
      <c r="D5371" s="10"/>
      <c r="F5371" s="1"/>
      <c r="G5371" s="1"/>
      <c r="H5371" s="1"/>
      <c r="I5371" s="7"/>
      <c r="J5371" s="12"/>
      <c r="K5371" s="13"/>
      <c r="L5371" s="14"/>
      <c r="M5371" s="15"/>
      <c r="N5371" s="15"/>
      <c r="O5371" s="16"/>
      <c r="Q5371" s="16"/>
    </row>
    <row r="5372" spans="1:17" x14ac:dyDescent="0.3">
      <c r="A5372" s="5"/>
      <c r="B5372" s="6"/>
      <c r="C5372" s="7"/>
      <c r="D5372" s="10"/>
      <c r="F5372" s="1"/>
      <c r="G5372" s="1"/>
      <c r="H5372" s="1"/>
      <c r="I5372" s="7"/>
      <c r="J5372" s="12"/>
      <c r="K5372" s="13"/>
      <c r="L5372" s="14"/>
      <c r="M5372" s="15"/>
      <c r="N5372" s="15"/>
      <c r="O5372" s="16"/>
      <c r="Q5372" s="16"/>
    </row>
    <row r="5373" spans="1:17" x14ac:dyDescent="0.3">
      <c r="A5373" s="5"/>
      <c r="B5373" s="6"/>
      <c r="C5373" s="7"/>
      <c r="D5373" s="10"/>
      <c r="F5373" s="1"/>
      <c r="G5373" s="1"/>
      <c r="H5373" s="1"/>
      <c r="I5373" s="7"/>
      <c r="J5373" s="12"/>
      <c r="K5373" s="13"/>
      <c r="L5373" s="14"/>
      <c r="M5373" s="15"/>
      <c r="N5373" s="15"/>
      <c r="O5373" s="16"/>
      <c r="Q5373" s="16"/>
    </row>
    <row r="5374" spans="1:17" x14ac:dyDescent="0.3">
      <c r="A5374" s="5"/>
      <c r="B5374" s="6"/>
      <c r="C5374" s="7"/>
      <c r="D5374" s="10"/>
      <c r="F5374" s="1"/>
      <c r="G5374" s="1"/>
      <c r="H5374" s="1"/>
      <c r="I5374" s="7"/>
      <c r="J5374" s="12"/>
      <c r="K5374" s="13"/>
      <c r="L5374" s="14"/>
      <c r="M5374" s="15"/>
      <c r="N5374" s="15"/>
      <c r="O5374" s="16"/>
      <c r="Q5374" s="16"/>
    </row>
    <row r="5375" spans="1:17" x14ac:dyDescent="0.3">
      <c r="A5375" s="5"/>
      <c r="B5375" s="6"/>
      <c r="C5375" s="7"/>
      <c r="D5375" s="10"/>
      <c r="F5375" s="1"/>
      <c r="G5375" s="1"/>
      <c r="H5375" s="1"/>
      <c r="I5375" s="7"/>
      <c r="J5375" s="12"/>
      <c r="K5375" s="13"/>
      <c r="L5375" s="14"/>
      <c r="M5375" s="15"/>
      <c r="N5375" s="15"/>
      <c r="O5375" s="16"/>
      <c r="Q5375" s="16"/>
    </row>
    <row r="5376" spans="1:17" x14ac:dyDescent="0.3">
      <c r="A5376" s="5"/>
      <c r="B5376" s="6"/>
      <c r="C5376" s="7"/>
      <c r="D5376" s="10"/>
      <c r="F5376" s="1"/>
      <c r="G5376" s="1"/>
      <c r="H5376" s="1"/>
      <c r="I5376" s="7"/>
      <c r="J5376" s="12"/>
      <c r="K5376" s="13"/>
      <c r="L5376" s="14"/>
      <c r="M5376" s="15"/>
      <c r="N5376" s="15"/>
      <c r="O5376" s="16"/>
      <c r="Q5376" s="16"/>
    </row>
    <row r="5377" spans="1:17" x14ac:dyDescent="0.3">
      <c r="A5377" s="5"/>
      <c r="B5377" s="6"/>
      <c r="C5377" s="7"/>
      <c r="D5377" s="10"/>
      <c r="F5377" s="1"/>
      <c r="G5377" s="1"/>
      <c r="H5377" s="1"/>
      <c r="I5377" s="7"/>
      <c r="J5377" s="12"/>
      <c r="K5377" s="13"/>
      <c r="L5377" s="14"/>
      <c r="M5377" s="15"/>
      <c r="N5377" s="15"/>
      <c r="O5377" s="16"/>
      <c r="Q5377" s="16"/>
    </row>
    <row r="5378" spans="1:17" x14ac:dyDescent="0.3">
      <c r="A5378" s="5"/>
      <c r="B5378" s="6"/>
      <c r="C5378" s="7"/>
      <c r="D5378" s="10"/>
      <c r="F5378" s="1"/>
      <c r="G5378" s="1"/>
      <c r="H5378" s="1"/>
      <c r="I5378" s="7"/>
      <c r="J5378" s="12"/>
      <c r="K5378" s="13"/>
      <c r="L5378" s="14"/>
      <c r="M5378" s="15"/>
      <c r="N5378" s="15"/>
      <c r="O5378" s="16"/>
      <c r="Q5378" s="16"/>
    </row>
    <row r="5379" spans="1:17" x14ac:dyDescent="0.3">
      <c r="A5379" s="5"/>
      <c r="B5379" s="6"/>
      <c r="C5379" s="7"/>
      <c r="D5379" s="10"/>
      <c r="F5379" s="1"/>
      <c r="G5379" s="1"/>
      <c r="H5379" s="1"/>
      <c r="I5379" s="7"/>
      <c r="J5379" s="12"/>
      <c r="K5379" s="13"/>
      <c r="L5379" s="14"/>
      <c r="M5379" s="15"/>
      <c r="N5379" s="15"/>
      <c r="O5379" s="16"/>
      <c r="Q5379" s="16"/>
    </row>
    <row r="5380" spans="1:17" x14ac:dyDescent="0.3">
      <c r="A5380" s="5"/>
      <c r="B5380" s="6"/>
      <c r="C5380" s="7"/>
      <c r="D5380" s="10"/>
      <c r="F5380" s="1"/>
      <c r="G5380" s="1"/>
      <c r="H5380" s="1"/>
      <c r="I5380" s="7"/>
      <c r="J5380" s="12"/>
      <c r="K5380" s="13"/>
      <c r="L5380" s="14"/>
      <c r="M5380" s="15"/>
      <c r="N5380" s="15"/>
      <c r="O5380" s="16"/>
      <c r="Q5380" s="16"/>
    </row>
    <row r="5381" spans="1:17" x14ac:dyDescent="0.3">
      <c r="A5381" s="5"/>
      <c r="B5381" s="6"/>
      <c r="C5381" s="7"/>
      <c r="D5381" s="10"/>
      <c r="F5381" s="1"/>
      <c r="G5381" s="1"/>
      <c r="H5381" s="1"/>
      <c r="I5381" s="7"/>
      <c r="J5381" s="12"/>
      <c r="K5381" s="13"/>
      <c r="L5381" s="14"/>
      <c r="M5381" s="15"/>
      <c r="N5381" s="15"/>
      <c r="O5381" s="16"/>
      <c r="Q5381" s="16"/>
    </row>
    <row r="5382" spans="1:17" x14ac:dyDescent="0.3">
      <c r="A5382" s="5"/>
      <c r="B5382" s="6"/>
      <c r="C5382" s="7"/>
      <c r="D5382" s="10"/>
      <c r="F5382" s="1"/>
      <c r="G5382" s="1"/>
      <c r="H5382" s="1"/>
      <c r="I5382" s="7"/>
      <c r="J5382" s="12"/>
      <c r="K5382" s="13"/>
      <c r="L5382" s="14"/>
      <c r="M5382" s="15"/>
      <c r="N5382" s="15"/>
      <c r="O5382" s="16"/>
      <c r="Q5382" s="16"/>
    </row>
    <row r="5383" spans="1:17" x14ac:dyDescent="0.3">
      <c r="A5383" s="5"/>
      <c r="B5383" s="6"/>
      <c r="C5383" s="7"/>
      <c r="D5383" s="10"/>
      <c r="F5383" s="1"/>
      <c r="G5383" s="1"/>
      <c r="H5383" s="1"/>
      <c r="I5383" s="7"/>
      <c r="J5383" s="12"/>
      <c r="K5383" s="13"/>
      <c r="L5383" s="14"/>
      <c r="M5383" s="15"/>
      <c r="N5383" s="15"/>
      <c r="O5383" s="16"/>
      <c r="Q5383" s="16"/>
    </row>
    <row r="5384" spans="1:17" x14ac:dyDescent="0.3">
      <c r="A5384" s="5"/>
      <c r="B5384" s="6"/>
      <c r="C5384" s="7"/>
      <c r="D5384" s="10"/>
      <c r="F5384" s="1"/>
      <c r="G5384" s="1"/>
      <c r="H5384" s="1"/>
      <c r="I5384" s="7"/>
      <c r="J5384" s="12"/>
      <c r="K5384" s="13"/>
      <c r="L5384" s="14"/>
      <c r="M5384" s="15"/>
      <c r="N5384" s="15"/>
      <c r="O5384" s="16"/>
      <c r="Q5384" s="16"/>
    </row>
    <row r="5385" spans="1:17" x14ac:dyDescent="0.3">
      <c r="A5385" s="5"/>
      <c r="B5385" s="6"/>
      <c r="C5385" s="7"/>
      <c r="D5385" s="10"/>
      <c r="F5385" s="1"/>
      <c r="G5385" s="1"/>
      <c r="H5385" s="1"/>
      <c r="I5385" s="7"/>
      <c r="J5385" s="12"/>
      <c r="K5385" s="13"/>
      <c r="L5385" s="14"/>
      <c r="M5385" s="15"/>
      <c r="N5385" s="15"/>
      <c r="O5385" s="16"/>
      <c r="Q5385" s="16"/>
    </row>
    <row r="5386" spans="1:17" x14ac:dyDescent="0.3">
      <c r="A5386" s="5"/>
      <c r="B5386" s="6"/>
      <c r="C5386" s="7"/>
      <c r="D5386" s="10"/>
      <c r="F5386" s="1"/>
      <c r="G5386" s="1"/>
      <c r="H5386" s="1"/>
      <c r="I5386" s="7"/>
      <c r="J5386" s="12"/>
      <c r="K5386" s="13"/>
      <c r="L5386" s="14"/>
      <c r="M5386" s="15"/>
      <c r="N5386" s="15"/>
      <c r="O5386" s="16"/>
      <c r="Q5386" s="16"/>
    </row>
    <row r="5387" spans="1:17" x14ac:dyDescent="0.3">
      <c r="A5387" s="5"/>
      <c r="B5387" s="6"/>
      <c r="C5387" s="7"/>
      <c r="D5387" s="10"/>
      <c r="F5387" s="1"/>
      <c r="G5387" s="1"/>
      <c r="H5387" s="1"/>
      <c r="I5387" s="7"/>
      <c r="J5387" s="12"/>
      <c r="K5387" s="13"/>
      <c r="L5387" s="14"/>
      <c r="M5387" s="15"/>
      <c r="N5387" s="15"/>
      <c r="O5387" s="16"/>
      <c r="Q5387" s="16"/>
    </row>
    <row r="5388" spans="1:17" x14ac:dyDescent="0.3">
      <c r="A5388" s="5"/>
      <c r="B5388" s="6"/>
      <c r="C5388" s="7"/>
      <c r="D5388" s="10"/>
      <c r="F5388" s="1"/>
      <c r="G5388" s="1"/>
      <c r="H5388" s="1"/>
      <c r="I5388" s="7"/>
      <c r="J5388" s="12"/>
      <c r="K5388" s="13"/>
      <c r="L5388" s="14"/>
      <c r="M5388" s="15"/>
      <c r="N5388" s="15"/>
      <c r="O5388" s="16"/>
      <c r="Q5388" s="16"/>
    </row>
    <row r="5389" spans="1:17" x14ac:dyDescent="0.3">
      <c r="A5389" s="5"/>
      <c r="B5389" s="6"/>
      <c r="C5389" s="7"/>
      <c r="D5389" s="10"/>
      <c r="F5389" s="1"/>
      <c r="G5389" s="1"/>
      <c r="H5389" s="1"/>
      <c r="I5389" s="7"/>
      <c r="J5389" s="12"/>
      <c r="K5389" s="13"/>
      <c r="L5389" s="14"/>
      <c r="M5389" s="15"/>
      <c r="N5389" s="15"/>
      <c r="O5389" s="16"/>
      <c r="Q5389" s="16"/>
    </row>
    <row r="5390" spans="1:17" x14ac:dyDescent="0.3">
      <c r="A5390" s="5"/>
      <c r="B5390" s="6"/>
      <c r="C5390" s="7"/>
      <c r="D5390" s="10"/>
      <c r="F5390" s="1"/>
      <c r="G5390" s="1"/>
      <c r="H5390" s="1"/>
      <c r="I5390" s="7"/>
      <c r="J5390" s="12"/>
      <c r="K5390" s="13"/>
      <c r="L5390" s="14"/>
      <c r="M5390" s="15"/>
      <c r="N5390" s="15"/>
      <c r="O5390" s="16"/>
      <c r="Q5390" s="16"/>
    </row>
    <row r="5391" spans="1:17" x14ac:dyDescent="0.3">
      <c r="A5391" s="5"/>
      <c r="B5391" s="6"/>
      <c r="C5391" s="7"/>
      <c r="D5391" s="10"/>
      <c r="F5391" s="1"/>
      <c r="G5391" s="1"/>
      <c r="H5391" s="1"/>
      <c r="I5391" s="7"/>
      <c r="J5391" s="12"/>
      <c r="K5391" s="13"/>
      <c r="L5391" s="14"/>
      <c r="M5391" s="15"/>
      <c r="N5391" s="15"/>
      <c r="O5391" s="16"/>
      <c r="Q5391" s="16"/>
    </row>
    <row r="5392" spans="1:17" x14ac:dyDescent="0.3">
      <c r="A5392" s="5"/>
      <c r="B5392" s="6"/>
      <c r="C5392" s="7"/>
      <c r="D5392" s="10"/>
      <c r="F5392" s="1"/>
      <c r="G5392" s="1"/>
      <c r="H5392" s="1"/>
      <c r="I5392" s="7"/>
      <c r="J5392" s="12"/>
      <c r="K5392" s="13"/>
      <c r="L5392" s="14"/>
      <c r="M5392" s="15"/>
      <c r="N5392" s="15"/>
      <c r="O5392" s="16"/>
      <c r="Q5392" s="16"/>
    </row>
    <row r="5393" spans="1:17" x14ac:dyDescent="0.3">
      <c r="A5393" s="5"/>
      <c r="B5393" s="6"/>
      <c r="C5393" s="7"/>
      <c r="D5393" s="10"/>
      <c r="F5393" s="1"/>
      <c r="G5393" s="1"/>
      <c r="H5393" s="1"/>
      <c r="I5393" s="7"/>
      <c r="J5393" s="12"/>
      <c r="K5393" s="13"/>
      <c r="L5393" s="14"/>
      <c r="M5393" s="15"/>
      <c r="N5393" s="15"/>
      <c r="O5393" s="16"/>
      <c r="Q5393" s="16"/>
    </row>
    <row r="5394" spans="1:17" x14ac:dyDescent="0.3">
      <c r="A5394" s="5"/>
      <c r="B5394" s="6"/>
      <c r="C5394" s="7"/>
      <c r="D5394" s="10"/>
      <c r="F5394" s="1"/>
      <c r="G5394" s="1"/>
      <c r="H5394" s="1"/>
      <c r="I5394" s="7"/>
      <c r="J5394" s="12"/>
      <c r="K5394" s="13"/>
      <c r="L5394" s="14"/>
      <c r="M5394" s="15"/>
      <c r="N5394" s="15"/>
      <c r="O5394" s="16"/>
      <c r="Q5394" s="16"/>
    </row>
    <row r="5395" spans="1:17" x14ac:dyDescent="0.3">
      <c r="A5395" s="5"/>
      <c r="B5395" s="6"/>
      <c r="C5395" s="7"/>
      <c r="D5395" s="10"/>
      <c r="F5395" s="1"/>
      <c r="G5395" s="1"/>
      <c r="H5395" s="1"/>
      <c r="I5395" s="7"/>
      <c r="J5395" s="12"/>
      <c r="K5395" s="13"/>
      <c r="L5395" s="14"/>
      <c r="M5395" s="15"/>
      <c r="N5395" s="15"/>
      <c r="O5395" s="16"/>
      <c r="Q5395" s="16"/>
    </row>
    <row r="5396" spans="1:17" x14ac:dyDescent="0.3">
      <c r="A5396" s="5"/>
      <c r="B5396" s="6"/>
      <c r="C5396" s="7"/>
      <c r="D5396" s="10"/>
      <c r="F5396" s="1"/>
      <c r="G5396" s="1"/>
      <c r="H5396" s="1"/>
      <c r="I5396" s="7"/>
      <c r="J5396" s="12"/>
      <c r="K5396" s="13"/>
      <c r="L5396" s="14"/>
      <c r="M5396" s="15"/>
      <c r="N5396" s="15"/>
      <c r="O5396" s="16"/>
      <c r="Q5396" s="16"/>
    </row>
    <row r="5397" spans="1:17" x14ac:dyDescent="0.3">
      <c r="A5397" s="5"/>
      <c r="B5397" s="6"/>
      <c r="C5397" s="7"/>
      <c r="D5397" s="10"/>
      <c r="F5397" s="1"/>
      <c r="G5397" s="1"/>
      <c r="H5397" s="1"/>
      <c r="I5397" s="7"/>
      <c r="J5397" s="12"/>
      <c r="K5397" s="13"/>
      <c r="L5397" s="14"/>
      <c r="M5397" s="15"/>
      <c r="N5397" s="15"/>
      <c r="O5397" s="16"/>
      <c r="Q5397" s="16"/>
    </row>
    <row r="5398" spans="1:17" x14ac:dyDescent="0.3">
      <c r="A5398" s="5"/>
      <c r="B5398" s="6"/>
      <c r="C5398" s="7"/>
      <c r="D5398" s="10"/>
      <c r="F5398" s="1"/>
      <c r="G5398" s="1"/>
      <c r="H5398" s="1"/>
      <c r="I5398" s="7"/>
      <c r="J5398" s="12"/>
      <c r="K5398" s="13"/>
      <c r="L5398" s="14"/>
      <c r="M5398" s="15"/>
      <c r="N5398" s="15"/>
      <c r="O5398" s="16"/>
      <c r="Q5398" s="16"/>
    </row>
    <row r="5399" spans="1:17" x14ac:dyDescent="0.3">
      <c r="A5399" s="5"/>
      <c r="B5399" s="6"/>
      <c r="C5399" s="7"/>
      <c r="D5399" s="10"/>
      <c r="F5399" s="1"/>
      <c r="G5399" s="1"/>
      <c r="H5399" s="1"/>
      <c r="I5399" s="7"/>
      <c r="J5399" s="12"/>
      <c r="K5399" s="13"/>
      <c r="L5399" s="14"/>
      <c r="M5399" s="15"/>
      <c r="N5399" s="15"/>
      <c r="O5399" s="16"/>
      <c r="Q5399" s="16"/>
    </row>
    <row r="5400" spans="1:17" x14ac:dyDescent="0.3">
      <c r="A5400" s="5"/>
      <c r="B5400" s="6"/>
      <c r="C5400" s="7"/>
      <c r="D5400" s="10"/>
      <c r="F5400" s="1"/>
      <c r="G5400" s="1"/>
      <c r="H5400" s="1"/>
      <c r="I5400" s="7"/>
      <c r="J5400" s="12"/>
      <c r="K5400" s="13"/>
      <c r="L5400" s="14"/>
      <c r="M5400" s="15"/>
      <c r="N5400" s="15"/>
      <c r="O5400" s="16"/>
      <c r="Q5400" s="16"/>
    </row>
    <row r="5401" spans="1:17" x14ac:dyDescent="0.3">
      <c r="A5401" s="5"/>
      <c r="B5401" s="6"/>
      <c r="C5401" s="7"/>
      <c r="D5401" s="10"/>
      <c r="F5401" s="1"/>
      <c r="G5401" s="1"/>
      <c r="H5401" s="1"/>
      <c r="I5401" s="7"/>
      <c r="J5401" s="12"/>
      <c r="K5401" s="13"/>
      <c r="L5401" s="14"/>
      <c r="M5401" s="15"/>
      <c r="N5401" s="15"/>
      <c r="O5401" s="16"/>
      <c r="Q5401" s="16"/>
    </row>
    <row r="5402" spans="1:17" x14ac:dyDescent="0.3">
      <c r="A5402" s="5"/>
      <c r="B5402" s="6"/>
      <c r="C5402" s="7"/>
      <c r="D5402" s="10"/>
      <c r="F5402" s="1"/>
      <c r="G5402" s="1"/>
      <c r="H5402" s="1"/>
      <c r="I5402" s="7"/>
      <c r="J5402" s="12"/>
      <c r="K5402" s="13"/>
      <c r="L5402" s="14"/>
      <c r="M5402" s="15"/>
      <c r="N5402" s="15"/>
      <c r="O5402" s="16"/>
      <c r="Q5402" s="16"/>
    </row>
    <row r="5403" spans="1:17" x14ac:dyDescent="0.3">
      <c r="A5403" s="5"/>
      <c r="B5403" s="6"/>
      <c r="C5403" s="7"/>
      <c r="D5403" s="10"/>
      <c r="F5403" s="1"/>
      <c r="G5403" s="1"/>
      <c r="H5403" s="1"/>
      <c r="I5403" s="7"/>
      <c r="J5403" s="12"/>
      <c r="K5403" s="13"/>
      <c r="L5403" s="14"/>
      <c r="M5403" s="15"/>
      <c r="N5403" s="15"/>
      <c r="O5403" s="16"/>
      <c r="Q5403" s="16"/>
    </row>
    <row r="5404" spans="1:17" x14ac:dyDescent="0.3">
      <c r="A5404" s="5"/>
      <c r="B5404" s="6"/>
      <c r="C5404" s="7"/>
      <c r="D5404" s="10"/>
      <c r="F5404" s="1"/>
      <c r="G5404" s="1"/>
      <c r="H5404" s="1"/>
      <c r="I5404" s="7"/>
      <c r="J5404" s="12"/>
      <c r="K5404" s="13"/>
      <c r="L5404" s="14"/>
      <c r="M5404" s="15"/>
      <c r="N5404" s="15"/>
      <c r="O5404" s="16"/>
      <c r="Q5404" s="16"/>
    </row>
    <row r="5405" spans="1:17" x14ac:dyDescent="0.3">
      <c r="A5405" s="5"/>
      <c r="B5405" s="6"/>
      <c r="C5405" s="7"/>
      <c r="D5405" s="10"/>
      <c r="F5405" s="1"/>
      <c r="G5405" s="1"/>
      <c r="H5405" s="1"/>
      <c r="I5405" s="7"/>
      <c r="J5405" s="12"/>
      <c r="K5405" s="13"/>
      <c r="L5405" s="14"/>
      <c r="M5405" s="15"/>
      <c r="N5405" s="15"/>
      <c r="O5405" s="16"/>
      <c r="Q5405" s="16"/>
    </row>
    <row r="5406" spans="1:17" x14ac:dyDescent="0.3">
      <c r="A5406" s="5"/>
      <c r="B5406" s="6"/>
      <c r="C5406" s="7"/>
      <c r="D5406" s="10"/>
      <c r="F5406" s="1"/>
      <c r="G5406" s="1"/>
      <c r="H5406" s="1"/>
      <c r="I5406" s="7"/>
      <c r="J5406" s="12"/>
      <c r="K5406" s="13"/>
      <c r="L5406" s="14"/>
      <c r="M5406" s="15"/>
      <c r="N5406" s="15"/>
      <c r="O5406" s="16"/>
      <c r="Q5406" s="16"/>
    </row>
    <row r="5407" spans="1:17" x14ac:dyDescent="0.3">
      <c r="A5407" s="5"/>
      <c r="B5407" s="6"/>
      <c r="C5407" s="7"/>
      <c r="D5407" s="10"/>
      <c r="F5407" s="1"/>
      <c r="G5407" s="1"/>
      <c r="H5407" s="1"/>
      <c r="I5407" s="7"/>
      <c r="J5407" s="12"/>
      <c r="K5407" s="13"/>
      <c r="L5407" s="14"/>
      <c r="M5407" s="15"/>
      <c r="N5407" s="15"/>
      <c r="O5407" s="16"/>
      <c r="Q5407" s="16"/>
    </row>
    <row r="5408" spans="1:17" x14ac:dyDescent="0.3">
      <c r="A5408" s="5"/>
      <c r="B5408" s="6"/>
      <c r="C5408" s="7"/>
      <c r="D5408" s="10"/>
      <c r="F5408" s="1"/>
      <c r="G5408" s="1"/>
      <c r="H5408" s="1"/>
      <c r="I5408" s="7"/>
      <c r="J5408" s="12"/>
      <c r="K5408" s="13"/>
      <c r="L5408" s="14"/>
      <c r="M5408" s="15"/>
      <c r="N5408" s="15"/>
      <c r="O5408" s="16"/>
      <c r="Q5408" s="16"/>
    </row>
    <row r="5409" spans="1:17" x14ac:dyDescent="0.3">
      <c r="A5409" s="5"/>
      <c r="B5409" s="6"/>
      <c r="C5409" s="7"/>
      <c r="D5409" s="10"/>
      <c r="F5409" s="1"/>
      <c r="G5409" s="1"/>
      <c r="H5409" s="1"/>
      <c r="I5409" s="7"/>
      <c r="J5409" s="12"/>
      <c r="K5409" s="13"/>
      <c r="L5409" s="14"/>
      <c r="M5409" s="15"/>
      <c r="N5409" s="15"/>
      <c r="O5409" s="16"/>
      <c r="Q5409" s="16"/>
    </row>
    <row r="5410" spans="1:17" x14ac:dyDescent="0.3">
      <c r="A5410" s="5"/>
      <c r="B5410" s="6"/>
      <c r="C5410" s="7"/>
      <c r="D5410" s="10"/>
      <c r="F5410" s="1"/>
      <c r="G5410" s="1"/>
      <c r="H5410" s="1"/>
      <c r="I5410" s="7"/>
      <c r="J5410" s="12"/>
      <c r="K5410" s="13"/>
      <c r="L5410" s="14"/>
      <c r="M5410" s="15"/>
      <c r="N5410" s="15"/>
      <c r="O5410" s="16"/>
      <c r="Q5410" s="16"/>
    </row>
    <row r="5411" spans="1:17" x14ac:dyDescent="0.3">
      <c r="A5411" s="5"/>
      <c r="B5411" s="6"/>
      <c r="C5411" s="7"/>
      <c r="D5411" s="10"/>
      <c r="F5411" s="1"/>
      <c r="G5411" s="1"/>
      <c r="H5411" s="1"/>
      <c r="I5411" s="7"/>
      <c r="J5411" s="12"/>
      <c r="K5411" s="13"/>
      <c r="L5411" s="14"/>
      <c r="M5411" s="15"/>
      <c r="N5411" s="15"/>
      <c r="O5411" s="16"/>
      <c r="Q5411" s="16"/>
    </row>
    <row r="5412" spans="1:17" x14ac:dyDescent="0.3">
      <c r="A5412" s="5"/>
      <c r="B5412" s="6"/>
      <c r="C5412" s="7"/>
      <c r="D5412" s="10"/>
      <c r="F5412" s="1"/>
      <c r="G5412" s="1"/>
      <c r="H5412" s="1"/>
      <c r="I5412" s="7"/>
      <c r="J5412" s="12"/>
      <c r="K5412" s="13"/>
      <c r="L5412" s="14"/>
      <c r="M5412" s="15"/>
      <c r="N5412" s="15"/>
      <c r="O5412" s="16"/>
      <c r="Q5412" s="16"/>
    </row>
    <row r="5413" spans="1:17" x14ac:dyDescent="0.3">
      <c r="A5413" s="5"/>
      <c r="B5413" s="6"/>
      <c r="C5413" s="7"/>
      <c r="D5413" s="10"/>
      <c r="F5413" s="1"/>
      <c r="G5413" s="1"/>
      <c r="H5413" s="1"/>
      <c r="I5413" s="7"/>
      <c r="J5413" s="12"/>
      <c r="K5413" s="13"/>
      <c r="L5413" s="14"/>
      <c r="M5413" s="15"/>
      <c r="N5413" s="15"/>
      <c r="O5413" s="16"/>
      <c r="Q5413" s="16"/>
    </row>
    <row r="5414" spans="1:17" x14ac:dyDescent="0.3">
      <c r="A5414" s="5"/>
      <c r="B5414" s="6"/>
      <c r="C5414" s="7"/>
      <c r="D5414" s="10"/>
      <c r="F5414" s="1"/>
      <c r="G5414" s="1"/>
      <c r="H5414" s="1"/>
      <c r="I5414" s="7"/>
      <c r="J5414" s="12"/>
      <c r="K5414" s="13"/>
      <c r="L5414" s="14"/>
      <c r="M5414" s="15"/>
      <c r="N5414" s="15"/>
      <c r="O5414" s="16"/>
      <c r="Q5414" s="16"/>
    </row>
    <row r="5415" spans="1:17" x14ac:dyDescent="0.3">
      <c r="A5415" s="5"/>
      <c r="B5415" s="6"/>
      <c r="C5415" s="7"/>
      <c r="D5415" s="10"/>
      <c r="F5415" s="1"/>
      <c r="G5415" s="1"/>
      <c r="H5415" s="1"/>
      <c r="I5415" s="7"/>
      <c r="J5415" s="12"/>
      <c r="K5415" s="13"/>
      <c r="L5415" s="14"/>
      <c r="M5415" s="15"/>
      <c r="N5415" s="15"/>
      <c r="O5415" s="16"/>
      <c r="Q5415" s="16"/>
    </row>
    <row r="5416" spans="1:17" x14ac:dyDescent="0.3">
      <c r="A5416" s="5"/>
      <c r="B5416" s="6"/>
      <c r="C5416" s="7"/>
      <c r="D5416" s="10"/>
      <c r="F5416" s="1"/>
      <c r="G5416" s="1"/>
      <c r="H5416" s="1"/>
      <c r="I5416" s="7"/>
      <c r="J5416" s="12"/>
      <c r="K5416" s="13"/>
      <c r="L5416" s="14"/>
      <c r="M5416" s="15"/>
      <c r="N5416" s="15"/>
      <c r="O5416" s="16"/>
      <c r="Q5416" s="16"/>
    </row>
    <row r="5417" spans="1:17" x14ac:dyDescent="0.3">
      <c r="A5417" s="5"/>
      <c r="B5417" s="6"/>
      <c r="C5417" s="7"/>
      <c r="D5417" s="10"/>
      <c r="F5417" s="1"/>
      <c r="G5417" s="1"/>
      <c r="H5417" s="1"/>
      <c r="I5417" s="7"/>
      <c r="J5417" s="12"/>
      <c r="K5417" s="13"/>
      <c r="L5417" s="14"/>
      <c r="M5417" s="15"/>
      <c r="N5417" s="15"/>
      <c r="O5417" s="16"/>
      <c r="Q5417" s="16"/>
    </row>
    <row r="5418" spans="1:17" x14ac:dyDescent="0.3">
      <c r="A5418" s="5"/>
      <c r="B5418" s="6"/>
      <c r="C5418" s="7"/>
      <c r="D5418" s="10"/>
      <c r="F5418" s="1"/>
      <c r="G5418" s="1"/>
      <c r="H5418" s="1"/>
      <c r="I5418" s="7"/>
      <c r="J5418" s="12"/>
      <c r="K5418" s="13"/>
      <c r="L5418" s="14"/>
      <c r="M5418" s="15"/>
      <c r="N5418" s="15"/>
      <c r="O5418" s="16"/>
      <c r="Q5418" s="16"/>
    </row>
    <row r="5419" spans="1:17" x14ac:dyDescent="0.3">
      <c r="A5419" s="5"/>
      <c r="B5419" s="6"/>
      <c r="C5419" s="7"/>
      <c r="D5419" s="10"/>
      <c r="F5419" s="1"/>
      <c r="G5419" s="1"/>
      <c r="H5419" s="1"/>
      <c r="I5419" s="7"/>
      <c r="J5419" s="12"/>
      <c r="K5419" s="13"/>
      <c r="L5419" s="14"/>
      <c r="M5419" s="15"/>
      <c r="N5419" s="15"/>
      <c r="O5419" s="16"/>
      <c r="Q5419" s="16"/>
    </row>
    <row r="5420" spans="1:17" x14ac:dyDescent="0.3">
      <c r="A5420" s="5"/>
      <c r="B5420" s="6"/>
      <c r="C5420" s="7"/>
      <c r="D5420" s="10"/>
      <c r="F5420" s="1"/>
      <c r="G5420" s="1"/>
      <c r="H5420" s="1"/>
      <c r="I5420" s="7"/>
      <c r="J5420" s="12"/>
      <c r="K5420" s="13"/>
      <c r="L5420" s="14"/>
      <c r="M5420" s="15"/>
      <c r="N5420" s="15"/>
      <c r="O5420" s="16"/>
      <c r="Q5420" s="16"/>
    </row>
    <row r="5421" spans="1:17" x14ac:dyDescent="0.3">
      <c r="A5421" s="5"/>
      <c r="B5421" s="6"/>
      <c r="C5421" s="7"/>
      <c r="D5421" s="10"/>
      <c r="F5421" s="1"/>
      <c r="G5421" s="1"/>
      <c r="H5421" s="1"/>
      <c r="I5421" s="7"/>
      <c r="J5421" s="12"/>
      <c r="K5421" s="13"/>
      <c r="L5421" s="14"/>
      <c r="M5421" s="15"/>
      <c r="N5421" s="15"/>
      <c r="O5421" s="16"/>
      <c r="Q5421" s="16"/>
    </row>
    <row r="5422" spans="1:17" x14ac:dyDescent="0.3">
      <c r="A5422" s="5"/>
      <c r="B5422" s="6"/>
      <c r="C5422" s="7"/>
      <c r="D5422" s="10"/>
      <c r="F5422" s="1"/>
      <c r="G5422" s="1"/>
      <c r="H5422" s="1"/>
      <c r="I5422" s="7"/>
      <c r="J5422" s="12"/>
      <c r="K5422" s="13"/>
      <c r="L5422" s="14"/>
      <c r="M5422" s="15"/>
      <c r="N5422" s="15"/>
      <c r="O5422" s="16"/>
      <c r="Q5422" s="16"/>
    </row>
    <row r="5423" spans="1:17" x14ac:dyDescent="0.3">
      <c r="A5423" s="5"/>
      <c r="B5423" s="6"/>
      <c r="C5423" s="7"/>
      <c r="D5423" s="10"/>
      <c r="F5423" s="1"/>
      <c r="G5423" s="1"/>
      <c r="H5423" s="1"/>
      <c r="I5423" s="7"/>
      <c r="J5423" s="12"/>
      <c r="K5423" s="13"/>
      <c r="L5423" s="14"/>
      <c r="M5423" s="15"/>
      <c r="N5423" s="15"/>
      <c r="O5423" s="16"/>
      <c r="Q5423" s="16"/>
    </row>
    <row r="5424" spans="1:17" x14ac:dyDescent="0.3">
      <c r="A5424" s="5"/>
      <c r="B5424" s="6"/>
      <c r="C5424" s="7"/>
      <c r="D5424" s="10"/>
      <c r="F5424" s="1"/>
      <c r="G5424" s="1"/>
      <c r="H5424" s="1"/>
      <c r="I5424" s="7"/>
      <c r="J5424" s="12"/>
      <c r="K5424" s="13"/>
      <c r="L5424" s="14"/>
      <c r="M5424" s="15"/>
      <c r="N5424" s="15"/>
      <c r="O5424" s="16"/>
      <c r="Q5424" s="16"/>
    </row>
    <row r="5425" spans="1:17" x14ac:dyDescent="0.3">
      <c r="A5425" s="5"/>
      <c r="B5425" s="6"/>
      <c r="C5425" s="7"/>
      <c r="D5425" s="10"/>
      <c r="F5425" s="1"/>
      <c r="G5425" s="1"/>
      <c r="H5425" s="1"/>
      <c r="I5425" s="7"/>
      <c r="J5425" s="12"/>
      <c r="K5425" s="13"/>
      <c r="L5425" s="14"/>
      <c r="M5425" s="15"/>
      <c r="N5425" s="15"/>
      <c r="O5425" s="16"/>
      <c r="Q5425" s="16"/>
    </row>
    <row r="5426" spans="1:17" x14ac:dyDescent="0.3">
      <c r="A5426" s="5"/>
      <c r="B5426" s="6"/>
      <c r="C5426" s="7"/>
      <c r="D5426" s="10"/>
      <c r="F5426" s="1"/>
      <c r="G5426" s="1"/>
      <c r="H5426" s="1"/>
      <c r="I5426" s="7"/>
      <c r="J5426" s="12"/>
      <c r="K5426" s="13"/>
      <c r="L5426" s="14"/>
      <c r="M5426" s="15"/>
      <c r="N5426" s="15"/>
      <c r="O5426" s="16"/>
      <c r="Q5426" s="16"/>
    </row>
    <row r="5427" spans="1:17" x14ac:dyDescent="0.3">
      <c r="A5427" s="5"/>
      <c r="B5427" s="6"/>
      <c r="C5427" s="7"/>
      <c r="D5427" s="10"/>
      <c r="F5427" s="1"/>
      <c r="G5427" s="1"/>
      <c r="H5427" s="1"/>
      <c r="I5427" s="7"/>
      <c r="J5427" s="12"/>
      <c r="K5427" s="13"/>
      <c r="L5427" s="14"/>
      <c r="M5427" s="15"/>
      <c r="N5427" s="15"/>
      <c r="O5427" s="16"/>
      <c r="Q5427" s="16"/>
    </row>
    <row r="5428" spans="1:17" x14ac:dyDescent="0.3">
      <c r="A5428" s="5"/>
      <c r="B5428" s="6"/>
      <c r="C5428" s="7"/>
      <c r="D5428" s="10"/>
      <c r="F5428" s="1"/>
      <c r="G5428" s="1"/>
      <c r="H5428" s="1"/>
      <c r="I5428" s="7"/>
      <c r="J5428" s="12"/>
      <c r="K5428" s="13"/>
      <c r="L5428" s="14"/>
      <c r="M5428" s="15"/>
      <c r="N5428" s="15"/>
      <c r="O5428" s="16"/>
      <c r="Q5428" s="16"/>
    </row>
    <row r="5429" spans="1:17" x14ac:dyDescent="0.3">
      <c r="A5429" s="5"/>
      <c r="B5429" s="6"/>
      <c r="C5429" s="7"/>
      <c r="D5429" s="10"/>
      <c r="F5429" s="1"/>
      <c r="G5429" s="1"/>
      <c r="H5429" s="1"/>
      <c r="I5429" s="7"/>
      <c r="J5429" s="12"/>
      <c r="K5429" s="13"/>
      <c r="L5429" s="14"/>
      <c r="M5429" s="15"/>
      <c r="N5429" s="15"/>
      <c r="O5429" s="16"/>
      <c r="Q5429" s="16"/>
    </row>
    <row r="5430" spans="1:17" x14ac:dyDescent="0.3">
      <c r="A5430" s="5"/>
      <c r="B5430" s="6"/>
      <c r="C5430" s="7"/>
      <c r="D5430" s="10"/>
      <c r="F5430" s="1"/>
      <c r="G5430" s="1"/>
      <c r="H5430" s="1"/>
      <c r="I5430" s="7"/>
      <c r="J5430" s="12"/>
      <c r="K5430" s="13"/>
      <c r="L5430" s="14"/>
      <c r="M5430" s="15"/>
      <c r="N5430" s="15"/>
      <c r="O5430" s="16"/>
      <c r="Q5430" s="16"/>
    </row>
    <row r="5431" spans="1:17" x14ac:dyDescent="0.3">
      <c r="A5431" s="5"/>
      <c r="B5431" s="6"/>
      <c r="C5431" s="7"/>
      <c r="D5431" s="10"/>
      <c r="F5431" s="1"/>
      <c r="G5431" s="1"/>
      <c r="H5431" s="1"/>
      <c r="I5431" s="7"/>
      <c r="J5431" s="12"/>
      <c r="K5431" s="13"/>
      <c r="L5431" s="14"/>
      <c r="M5431" s="15"/>
      <c r="N5431" s="15"/>
      <c r="O5431" s="16"/>
      <c r="Q5431" s="16"/>
    </row>
    <row r="5432" spans="1:17" x14ac:dyDescent="0.3">
      <c r="A5432" s="5"/>
      <c r="B5432" s="6"/>
      <c r="C5432" s="7"/>
      <c r="D5432" s="10"/>
      <c r="F5432" s="1"/>
      <c r="G5432" s="1"/>
      <c r="H5432" s="1"/>
      <c r="I5432" s="7"/>
      <c r="J5432" s="12"/>
      <c r="K5432" s="13"/>
      <c r="L5432" s="14"/>
      <c r="M5432" s="15"/>
      <c r="N5432" s="15"/>
      <c r="O5432" s="16"/>
      <c r="Q5432" s="16"/>
    </row>
    <row r="5433" spans="1:17" x14ac:dyDescent="0.3">
      <c r="A5433" s="5"/>
      <c r="B5433" s="6"/>
      <c r="C5433" s="7"/>
      <c r="D5433" s="10"/>
      <c r="F5433" s="1"/>
      <c r="G5433" s="1"/>
      <c r="H5433" s="1"/>
      <c r="I5433" s="7"/>
      <c r="J5433" s="12"/>
      <c r="K5433" s="13"/>
      <c r="L5433" s="14"/>
      <c r="M5433" s="15"/>
      <c r="N5433" s="15"/>
      <c r="O5433" s="16"/>
      <c r="Q5433" s="16"/>
    </row>
    <row r="5434" spans="1:17" x14ac:dyDescent="0.3">
      <c r="A5434" s="5"/>
      <c r="B5434" s="6"/>
      <c r="C5434" s="7"/>
      <c r="D5434" s="10"/>
      <c r="F5434" s="1"/>
      <c r="G5434" s="1"/>
      <c r="H5434" s="1"/>
      <c r="I5434" s="7"/>
      <c r="J5434" s="12"/>
      <c r="K5434" s="13"/>
      <c r="L5434" s="14"/>
      <c r="M5434" s="15"/>
      <c r="N5434" s="15"/>
      <c r="O5434" s="16"/>
      <c r="Q5434" s="16"/>
    </row>
    <row r="5435" spans="1:17" x14ac:dyDescent="0.3">
      <c r="A5435" s="5"/>
      <c r="B5435" s="6"/>
      <c r="C5435" s="7"/>
      <c r="D5435" s="10"/>
      <c r="F5435" s="1"/>
      <c r="G5435" s="1"/>
      <c r="H5435" s="1"/>
      <c r="I5435" s="7"/>
      <c r="J5435" s="12"/>
      <c r="K5435" s="13"/>
      <c r="L5435" s="14"/>
      <c r="M5435" s="15"/>
      <c r="N5435" s="15"/>
      <c r="O5435" s="16"/>
      <c r="Q5435" s="16"/>
    </row>
    <row r="5436" spans="1:17" x14ac:dyDescent="0.3">
      <c r="A5436" s="5"/>
      <c r="B5436" s="6"/>
      <c r="C5436" s="7"/>
      <c r="D5436" s="10"/>
      <c r="F5436" s="1"/>
      <c r="G5436" s="1"/>
      <c r="H5436" s="1"/>
      <c r="I5436" s="7"/>
      <c r="J5436" s="12"/>
      <c r="K5436" s="13"/>
      <c r="L5436" s="14"/>
      <c r="M5436" s="15"/>
      <c r="N5436" s="15"/>
      <c r="O5436" s="16"/>
      <c r="Q5436" s="16"/>
    </row>
    <row r="5437" spans="1:17" x14ac:dyDescent="0.3">
      <c r="A5437" s="5"/>
      <c r="B5437" s="6"/>
      <c r="C5437" s="7"/>
      <c r="D5437" s="10"/>
      <c r="F5437" s="1"/>
      <c r="G5437" s="1"/>
      <c r="H5437" s="1"/>
      <c r="I5437" s="7"/>
      <c r="J5437" s="12"/>
      <c r="K5437" s="13"/>
      <c r="L5437" s="14"/>
      <c r="M5437" s="15"/>
      <c r="N5437" s="15"/>
      <c r="O5437" s="16"/>
      <c r="Q5437" s="16"/>
    </row>
    <row r="5438" spans="1:17" x14ac:dyDescent="0.3">
      <c r="A5438" s="5"/>
      <c r="B5438" s="6"/>
      <c r="C5438" s="7"/>
      <c r="D5438" s="10"/>
      <c r="F5438" s="1"/>
      <c r="G5438" s="1"/>
      <c r="H5438" s="1"/>
      <c r="I5438" s="7"/>
      <c r="J5438" s="12"/>
      <c r="K5438" s="13"/>
      <c r="L5438" s="14"/>
      <c r="M5438" s="15"/>
      <c r="N5438" s="15"/>
      <c r="O5438" s="16"/>
      <c r="Q5438" s="16"/>
    </row>
    <row r="5439" spans="1:17" x14ac:dyDescent="0.3">
      <c r="A5439" s="5"/>
      <c r="B5439" s="6"/>
      <c r="C5439" s="7"/>
      <c r="D5439" s="10"/>
      <c r="F5439" s="1"/>
      <c r="G5439" s="1"/>
      <c r="H5439" s="1"/>
      <c r="I5439" s="7"/>
      <c r="J5439" s="12"/>
      <c r="K5439" s="13"/>
      <c r="L5439" s="14"/>
      <c r="M5439" s="15"/>
      <c r="N5439" s="15"/>
      <c r="O5439" s="16"/>
      <c r="Q5439" s="16"/>
    </row>
    <row r="5440" spans="1:17" x14ac:dyDescent="0.3">
      <c r="A5440" s="5"/>
      <c r="B5440" s="6"/>
      <c r="C5440" s="7"/>
      <c r="D5440" s="10"/>
      <c r="F5440" s="1"/>
      <c r="G5440" s="1"/>
      <c r="H5440" s="1"/>
      <c r="I5440" s="7"/>
      <c r="J5440" s="12"/>
      <c r="K5440" s="13"/>
      <c r="L5440" s="14"/>
      <c r="M5440" s="15"/>
      <c r="N5440" s="15"/>
      <c r="O5440" s="16"/>
      <c r="Q5440" s="16"/>
    </row>
    <row r="5441" spans="1:17" x14ac:dyDescent="0.3">
      <c r="A5441" s="5"/>
      <c r="B5441" s="6"/>
      <c r="C5441" s="7"/>
      <c r="D5441" s="10"/>
      <c r="F5441" s="1"/>
      <c r="G5441" s="1"/>
      <c r="H5441" s="1"/>
      <c r="I5441" s="7"/>
      <c r="J5441" s="12"/>
      <c r="K5441" s="13"/>
      <c r="L5441" s="14"/>
      <c r="M5441" s="15"/>
      <c r="N5441" s="15"/>
      <c r="O5441" s="16"/>
      <c r="Q5441" s="16"/>
    </row>
    <row r="5442" spans="1:17" x14ac:dyDescent="0.3">
      <c r="A5442" s="5"/>
      <c r="B5442" s="6"/>
      <c r="C5442" s="7"/>
      <c r="D5442" s="10"/>
      <c r="F5442" s="1"/>
      <c r="G5442" s="1"/>
      <c r="H5442" s="1"/>
      <c r="I5442" s="7"/>
      <c r="J5442" s="12"/>
      <c r="K5442" s="13"/>
      <c r="L5442" s="14"/>
      <c r="M5442" s="15"/>
      <c r="N5442" s="15"/>
      <c r="O5442" s="16"/>
      <c r="Q5442" s="16"/>
    </row>
    <row r="5443" spans="1:17" x14ac:dyDescent="0.3">
      <c r="A5443" s="5"/>
      <c r="B5443" s="6"/>
      <c r="C5443" s="7"/>
      <c r="D5443" s="10"/>
      <c r="F5443" s="1"/>
      <c r="G5443" s="1"/>
      <c r="H5443" s="1"/>
      <c r="I5443" s="7"/>
      <c r="J5443" s="12"/>
      <c r="K5443" s="13"/>
      <c r="L5443" s="14"/>
      <c r="M5443" s="15"/>
      <c r="N5443" s="15"/>
      <c r="O5443" s="16"/>
      <c r="Q5443" s="16"/>
    </row>
    <row r="5444" spans="1:17" x14ac:dyDescent="0.3">
      <c r="A5444" s="5"/>
      <c r="B5444" s="6"/>
      <c r="C5444" s="7"/>
      <c r="D5444" s="10"/>
      <c r="F5444" s="1"/>
      <c r="G5444" s="1"/>
      <c r="H5444" s="1"/>
      <c r="I5444" s="7"/>
      <c r="J5444" s="12"/>
      <c r="K5444" s="13"/>
      <c r="L5444" s="14"/>
      <c r="M5444" s="15"/>
      <c r="N5444" s="15"/>
      <c r="O5444" s="16"/>
      <c r="Q5444" s="16"/>
    </row>
    <row r="5445" spans="1:17" x14ac:dyDescent="0.3">
      <c r="A5445" s="5"/>
      <c r="B5445" s="6"/>
      <c r="C5445" s="7"/>
      <c r="D5445" s="10"/>
      <c r="F5445" s="1"/>
      <c r="G5445" s="1"/>
      <c r="H5445" s="1"/>
      <c r="I5445" s="7"/>
      <c r="J5445" s="12"/>
      <c r="K5445" s="13"/>
      <c r="L5445" s="14"/>
      <c r="M5445" s="15"/>
      <c r="N5445" s="15"/>
      <c r="O5445" s="16"/>
      <c r="Q5445" s="16"/>
    </row>
    <row r="5446" spans="1:17" x14ac:dyDescent="0.3">
      <c r="A5446" s="5"/>
      <c r="B5446" s="6"/>
      <c r="C5446" s="7"/>
      <c r="D5446" s="10"/>
      <c r="F5446" s="1"/>
      <c r="G5446" s="1"/>
      <c r="H5446" s="1"/>
      <c r="I5446" s="7"/>
      <c r="J5446" s="12"/>
      <c r="K5446" s="13"/>
      <c r="L5446" s="14"/>
      <c r="M5446" s="15"/>
      <c r="N5446" s="15"/>
      <c r="O5446" s="16"/>
      <c r="Q5446" s="16"/>
    </row>
    <row r="5447" spans="1:17" x14ac:dyDescent="0.3">
      <c r="A5447" s="5"/>
      <c r="B5447" s="6"/>
      <c r="C5447" s="7"/>
      <c r="D5447" s="10"/>
      <c r="F5447" s="1"/>
      <c r="G5447" s="1"/>
      <c r="H5447" s="1"/>
      <c r="I5447" s="7"/>
      <c r="J5447" s="12"/>
      <c r="K5447" s="13"/>
      <c r="L5447" s="14"/>
      <c r="M5447" s="15"/>
      <c r="N5447" s="15"/>
      <c r="O5447" s="16"/>
      <c r="Q5447" s="16"/>
    </row>
    <row r="5448" spans="1:17" x14ac:dyDescent="0.3">
      <c r="A5448" s="5"/>
      <c r="B5448" s="6"/>
      <c r="C5448" s="7"/>
      <c r="D5448" s="10"/>
      <c r="F5448" s="1"/>
      <c r="G5448" s="1"/>
      <c r="H5448" s="1"/>
      <c r="I5448" s="7"/>
      <c r="J5448" s="12"/>
      <c r="K5448" s="13"/>
      <c r="L5448" s="14"/>
      <c r="M5448" s="15"/>
      <c r="N5448" s="15"/>
      <c r="O5448" s="16"/>
      <c r="Q5448" s="16"/>
    </row>
    <row r="5449" spans="1:17" x14ac:dyDescent="0.3">
      <c r="A5449" s="5"/>
      <c r="B5449" s="6"/>
      <c r="C5449" s="7"/>
      <c r="D5449" s="10"/>
      <c r="F5449" s="1"/>
      <c r="G5449" s="1"/>
      <c r="H5449" s="1"/>
      <c r="I5449" s="7"/>
      <c r="J5449" s="12"/>
      <c r="K5449" s="13"/>
      <c r="L5449" s="14"/>
      <c r="M5449" s="15"/>
      <c r="N5449" s="15"/>
      <c r="O5449" s="16"/>
      <c r="Q5449" s="16"/>
    </row>
    <row r="5450" spans="1:17" x14ac:dyDescent="0.3">
      <c r="A5450" s="5"/>
      <c r="B5450" s="6"/>
      <c r="C5450" s="7"/>
      <c r="D5450" s="10"/>
      <c r="F5450" s="1"/>
      <c r="G5450" s="1"/>
      <c r="H5450" s="1"/>
      <c r="I5450" s="7"/>
      <c r="J5450" s="12"/>
      <c r="K5450" s="13"/>
      <c r="L5450" s="14"/>
      <c r="M5450" s="15"/>
      <c r="N5450" s="15"/>
      <c r="O5450" s="16"/>
      <c r="Q5450" s="16"/>
    </row>
    <row r="5451" spans="1:17" x14ac:dyDescent="0.3">
      <c r="A5451" s="5"/>
      <c r="B5451" s="6"/>
      <c r="C5451" s="7"/>
      <c r="D5451" s="10"/>
      <c r="F5451" s="1"/>
      <c r="G5451" s="1"/>
      <c r="H5451" s="1"/>
      <c r="I5451" s="7"/>
      <c r="J5451" s="12"/>
      <c r="K5451" s="13"/>
      <c r="L5451" s="14"/>
      <c r="M5451" s="15"/>
      <c r="N5451" s="15"/>
      <c r="O5451" s="16"/>
      <c r="Q5451" s="16"/>
    </row>
    <row r="5452" spans="1:17" x14ac:dyDescent="0.3">
      <c r="A5452" s="5"/>
      <c r="B5452" s="6"/>
      <c r="C5452" s="7"/>
      <c r="D5452" s="10"/>
      <c r="F5452" s="1"/>
      <c r="G5452" s="1"/>
      <c r="H5452" s="1"/>
      <c r="I5452" s="7"/>
      <c r="J5452" s="12"/>
      <c r="K5452" s="13"/>
      <c r="L5452" s="14"/>
      <c r="M5452" s="15"/>
      <c r="N5452" s="15"/>
      <c r="O5452" s="16"/>
      <c r="Q5452" s="16"/>
    </row>
    <row r="5453" spans="1:17" x14ac:dyDescent="0.3">
      <c r="A5453" s="5"/>
      <c r="B5453" s="6"/>
      <c r="C5453" s="7"/>
      <c r="D5453" s="10"/>
      <c r="F5453" s="1"/>
      <c r="G5453" s="1"/>
      <c r="H5453" s="1"/>
      <c r="I5453" s="7"/>
      <c r="J5453" s="12"/>
      <c r="K5453" s="13"/>
      <c r="L5453" s="14"/>
      <c r="M5453" s="15"/>
      <c r="N5453" s="15"/>
      <c r="O5453" s="16"/>
      <c r="Q5453" s="16"/>
    </row>
    <row r="5454" spans="1:17" x14ac:dyDescent="0.3">
      <c r="A5454" s="5"/>
      <c r="B5454" s="6"/>
      <c r="C5454" s="7"/>
      <c r="D5454" s="10"/>
      <c r="F5454" s="1"/>
      <c r="G5454" s="1"/>
      <c r="H5454" s="1"/>
      <c r="I5454" s="7"/>
      <c r="J5454" s="12"/>
      <c r="K5454" s="13"/>
      <c r="L5454" s="14"/>
      <c r="M5454" s="15"/>
      <c r="N5454" s="15"/>
      <c r="O5454" s="16"/>
      <c r="Q5454" s="16"/>
    </row>
    <row r="5455" spans="1:17" x14ac:dyDescent="0.3">
      <c r="A5455" s="5"/>
      <c r="B5455" s="6"/>
      <c r="C5455" s="7"/>
      <c r="D5455" s="10"/>
      <c r="F5455" s="1"/>
      <c r="G5455" s="1"/>
      <c r="H5455" s="1"/>
      <c r="I5455" s="7"/>
      <c r="J5455" s="12"/>
      <c r="K5455" s="13"/>
      <c r="L5455" s="14"/>
      <c r="M5455" s="15"/>
      <c r="N5455" s="15"/>
      <c r="O5455" s="16"/>
      <c r="Q5455" s="16"/>
    </row>
    <row r="5456" spans="1:17" x14ac:dyDescent="0.3">
      <c r="A5456" s="5"/>
      <c r="B5456" s="6"/>
      <c r="C5456" s="7"/>
      <c r="D5456" s="10"/>
      <c r="F5456" s="1"/>
      <c r="G5456" s="1"/>
      <c r="H5456" s="1"/>
      <c r="I5456" s="7"/>
      <c r="J5456" s="12"/>
      <c r="K5456" s="13"/>
      <c r="L5456" s="14"/>
      <c r="M5456" s="15"/>
      <c r="N5456" s="15"/>
      <c r="O5456" s="16"/>
      <c r="Q5456" s="16"/>
    </row>
    <row r="5457" spans="1:17" x14ac:dyDescent="0.3">
      <c r="A5457" s="5"/>
      <c r="B5457" s="6"/>
      <c r="C5457" s="7"/>
      <c r="D5457" s="10"/>
      <c r="F5457" s="1"/>
      <c r="G5457" s="1"/>
      <c r="H5457" s="1"/>
      <c r="I5457" s="7"/>
      <c r="J5457" s="12"/>
      <c r="K5457" s="13"/>
      <c r="L5457" s="14"/>
      <c r="M5457" s="15"/>
      <c r="N5457" s="15"/>
      <c r="O5457" s="16"/>
      <c r="Q5457" s="16"/>
    </row>
    <row r="5458" spans="1:17" x14ac:dyDescent="0.3">
      <c r="A5458" s="5"/>
      <c r="B5458" s="6"/>
      <c r="C5458" s="7"/>
      <c r="D5458" s="10"/>
      <c r="F5458" s="1"/>
      <c r="G5458" s="1"/>
      <c r="H5458" s="1"/>
      <c r="I5458" s="7"/>
      <c r="J5458" s="12"/>
      <c r="K5458" s="13"/>
      <c r="L5458" s="14"/>
      <c r="M5458" s="15"/>
      <c r="N5458" s="15"/>
      <c r="O5458" s="16"/>
      <c r="Q5458" s="16"/>
    </row>
    <row r="5459" spans="1:17" x14ac:dyDescent="0.3">
      <c r="A5459" s="5"/>
      <c r="B5459" s="6"/>
      <c r="C5459" s="7"/>
      <c r="D5459" s="10"/>
      <c r="F5459" s="1"/>
      <c r="G5459" s="1"/>
      <c r="H5459" s="1"/>
      <c r="I5459" s="7"/>
      <c r="J5459" s="12"/>
      <c r="K5459" s="13"/>
      <c r="L5459" s="14"/>
      <c r="M5459" s="15"/>
      <c r="N5459" s="15"/>
      <c r="O5459" s="16"/>
      <c r="Q5459" s="16"/>
    </row>
    <row r="5460" spans="1:17" x14ac:dyDescent="0.3">
      <c r="A5460" s="5"/>
      <c r="B5460" s="6"/>
      <c r="C5460" s="7"/>
      <c r="D5460" s="10"/>
      <c r="F5460" s="1"/>
      <c r="G5460" s="1"/>
      <c r="H5460" s="1"/>
      <c r="I5460" s="7"/>
      <c r="J5460" s="12"/>
      <c r="K5460" s="13"/>
      <c r="L5460" s="14"/>
      <c r="M5460" s="15"/>
      <c r="N5460" s="15"/>
      <c r="O5460" s="16"/>
      <c r="Q5460" s="16"/>
    </row>
    <row r="5461" spans="1:17" x14ac:dyDescent="0.3">
      <c r="A5461" s="5"/>
      <c r="B5461" s="6"/>
      <c r="C5461" s="7"/>
      <c r="D5461" s="10"/>
      <c r="F5461" s="1"/>
      <c r="G5461" s="1"/>
      <c r="H5461" s="1"/>
      <c r="I5461" s="7"/>
      <c r="J5461" s="12"/>
      <c r="K5461" s="13"/>
      <c r="L5461" s="14"/>
      <c r="M5461" s="15"/>
      <c r="N5461" s="15"/>
      <c r="O5461" s="16"/>
      <c r="Q5461" s="16"/>
    </row>
    <row r="5462" spans="1:17" x14ac:dyDescent="0.3">
      <c r="A5462" s="5"/>
      <c r="B5462" s="6"/>
      <c r="C5462" s="7"/>
      <c r="D5462" s="10"/>
      <c r="F5462" s="1"/>
      <c r="G5462" s="1"/>
      <c r="H5462" s="1"/>
      <c r="I5462" s="7"/>
      <c r="J5462" s="12"/>
      <c r="K5462" s="13"/>
      <c r="L5462" s="14"/>
      <c r="M5462" s="15"/>
      <c r="N5462" s="15"/>
      <c r="O5462" s="16"/>
      <c r="Q5462" s="16"/>
    </row>
    <row r="5463" spans="1:17" x14ac:dyDescent="0.3">
      <c r="A5463" s="5"/>
      <c r="B5463" s="6"/>
      <c r="C5463" s="7"/>
      <c r="D5463" s="10"/>
      <c r="F5463" s="1"/>
      <c r="G5463" s="1"/>
      <c r="H5463" s="1"/>
      <c r="I5463" s="7"/>
      <c r="J5463" s="12"/>
      <c r="K5463" s="13"/>
      <c r="L5463" s="14"/>
      <c r="M5463" s="15"/>
      <c r="N5463" s="15"/>
      <c r="O5463" s="16"/>
      <c r="Q5463" s="16"/>
    </row>
    <row r="5464" spans="1:17" x14ac:dyDescent="0.3">
      <c r="A5464" s="5"/>
      <c r="B5464" s="6"/>
      <c r="C5464" s="7"/>
      <c r="D5464" s="10"/>
      <c r="F5464" s="1"/>
      <c r="G5464" s="1"/>
      <c r="H5464" s="1"/>
      <c r="I5464" s="7"/>
      <c r="J5464" s="12"/>
      <c r="K5464" s="13"/>
      <c r="L5464" s="14"/>
      <c r="M5464" s="15"/>
      <c r="N5464" s="15"/>
      <c r="O5464" s="16"/>
      <c r="Q5464" s="16"/>
    </row>
    <row r="5465" spans="1:17" x14ac:dyDescent="0.3">
      <c r="A5465" s="5"/>
      <c r="B5465" s="6"/>
      <c r="C5465" s="7"/>
      <c r="D5465" s="10"/>
      <c r="F5465" s="1"/>
      <c r="G5465" s="1"/>
      <c r="H5465" s="1"/>
      <c r="I5465" s="7"/>
      <c r="J5465" s="12"/>
      <c r="K5465" s="13"/>
      <c r="L5465" s="14"/>
      <c r="M5465" s="15"/>
      <c r="N5465" s="15"/>
      <c r="O5465" s="16"/>
      <c r="Q5465" s="16"/>
    </row>
    <row r="5466" spans="1:17" x14ac:dyDescent="0.3">
      <c r="A5466" s="5"/>
      <c r="B5466" s="6"/>
      <c r="C5466" s="7"/>
      <c r="D5466" s="10"/>
      <c r="F5466" s="1"/>
      <c r="G5466" s="1"/>
      <c r="H5466" s="1"/>
      <c r="I5466" s="7"/>
      <c r="J5466" s="12"/>
      <c r="K5466" s="13"/>
      <c r="L5466" s="14"/>
      <c r="M5466" s="15"/>
      <c r="N5466" s="15"/>
      <c r="O5466" s="16"/>
      <c r="Q5466" s="16"/>
    </row>
    <row r="5467" spans="1:17" x14ac:dyDescent="0.3">
      <c r="A5467" s="5"/>
      <c r="B5467" s="6"/>
      <c r="C5467" s="7"/>
      <c r="D5467" s="10"/>
      <c r="F5467" s="1"/>
      <c r="G5467" s="1"/>
      <c r="H5467" s="1"/>
      <c r="I5467" s="7"/>
      <c r="J5467" s="12"/>
      <c r="K5467" s="13"/>
      <c r="L5467" s="14"/>
      <c r="M5467" s="15"/>
      <c r="N5467" s="15"/>
      <c r="O5467" s="16"/>
      <c r="Q5467" s="16"/>
    </row>
    <row r="5468" spans="1:17" x14ac:dyDescent="0.3">
      <c r="A5468" s="5"/>
      <c r="B5468" s="6"/>
      <c r="C5468" s="7"/>
      <c r="D5468" s="10"/>
      <c r="F5468" s="1"/>
      <c r="G5468" s="1"/>
      <c r="H5468" s="1"/>
      <c r="I5468" s="7"/>
      <c r="J5468" s="12"/>
      <c r="K5468" s="13"/>
      <c r="L5468" s="14"/>
      <c r="M5468" s="15"/>
      <c r="N5468" s="15"/>
      <c r="O5468" s="16"/>
      <c r="Q5468" s="16"/>
    </row>
    <row r="5469" spans="1:17" x14ac:dyDescent="0.3">
      <c r="A5469" s="5"/>
      <c r="B5469" s="6"/>
      <c r="C5469" s="7"/>
      <c r="D5469" s="10"/>
      <c r="F5469" s="1"/>
      <c r="G5469" s="1"/>
      <c r="H5469" s="1"/>
      <c r="I5469" s="7"/>
      <c r="J5469" s="12"/>
      <c r="K5469" s="13"/>
      <c r="L5469" s="14"/>
      <c r="M5469" s="15"/>
      <c r="N5469" s="15"/>
      <c r="O5469" s="16"/>
      <c r="Q5469" s="16"/>
    </row>
    <row r="5470" spans="1:17" x14ac:dyDescent="0.3">
      <c r="A5470" s="5"/>
      <c r="B5470" s="6"/>
      <c r="C5470" s="7"/>
      <c r="D5470" s="10"/>
      <c r="F5470" s="1"/>
      <c r="G5470" s="1"/>
      <c r="H5470" s="1"/>
      <c r="I5470" s="7"/>
      <c r="J5470" s="12"/>
      <c r="K5470" s="13"/>
      <c r="L5470" s="14"/>
      <c r="M5470" s="15"/>
      <c r="N5470" s="15"/>
      <c r="O5470" s="16"/>
      <c r="Q5470" s="16"/>
    </row>
    <row r="5471" spans="1:17" x14ac:dyDescent="0.3">
      <c r="A5471" s="5"/>
      <c r="B5471" s="6"/>
      <c r="C5471" s="7"/>
      <c r="D5471" s="10"/>
      <c r="F5471" s="1"/>
      <c r="G5471" s="1"/>
      <c r="H5471" s="1"/>
      <c r="I5471" s="7"/>
      <c r="J5471" s="12"/>
      <c r="K5471" s="13"/>
      <c r="L5471" s="14"/>
      <c r="M5471" s="15"/>
      <c r="N5471" s="15"/>
      <c r="O5471" s="16"/>
      <c r="Q5471" s="16"/>
    </row>
    <row r="5472" spans="1:17" x14ac:dyDescent="0.3">
      <c r="A5472" s="5"/>
      <c r="B5472" s="6"/>
      <c r="C5472" s="7"/>
      <c r="D5472" s="10"/>
      <c r="F5472" s="1"/>
      <c r="G5472" s="1"/>
      <c r="H5472" s="1"/>
      <c r="I5472" s="7"/>
      <c r="J5472" s="12"/>
      <c r="K5472" s="13"/>
      <c r="L5472" s="14"/>
      <c r="M5472" s="15"/>
      <c r="N5472" s="15"/>
      <c r="O5472" s="16"/>
      <c r="Q5472" s="16"/>
    </row>
    <row r="5473" spans="1:17" x14ac:dyDescent="0.3">
      <c r="A5473" s="5"/>
      <c r="B5473" s="6"/>
      <c r="C5473" s="7"/>
      <c r="D5473" s="10"/>
      <c r="F5473" s="1"/>
      <c r="G5473" s="1"/>
      <c r="H5473" s="1"/>
      <c r="I5473" s="7"/>
      <c r="J5473" s="12"/>
      <c r="K5473" s="13"/>
      <c r="L5473" s="14"/>
      <c r="M5473" s="15"/>
      <c r="N5473" s="15"/>
      <c r="O5473" s="16"/>
      <c r="Q5473" s="16"/>
    </row>
    <row r="5474" spans="1:17" x14ac:dyDescent="0.3">
      <c r="A5474" s="5"/>
      <c r="B5474" s="6"/>
      <c r="C5474" s="7"/>
      <c r="D5474" s="10"/>
      <c r="F5474" s="1"/>
      <c r="G5474" s="1"/>
      <c r="H5474" s="1"/>
      <c r="I5474" s="7"/>
      <c r="J5474" s="12"/>
      <c r="K5474" s="13"/>
      <c r="L5474" s="14"/>
      <c r="M5474" s="15"/>
      <c r="N5474" s="15"/>
      <c r="O5474" s="16"/>
      <c r="Q5474" s="16"/>
    </row>
    <row r="5475" spans="1:17" x14ac:dyDescent="0.3">
      <c r="A5475" s="5"/>
      <c r="B5475" s="6"/>
      <c r="C5475" s="7"/>
      <c r="D5475" s="10"/>
      <c r="F5475" s="1"/>
      <c r="G5475" s="1"/>
      <c r="H5475" s="1"/>
      <c r="I5475" s="7"/>
      <c r="J5475" s="12"/>
      <c r="K5475" s="13"/>
      <c r="L5475" s="14"/>
      <c r="M5475" s="15"/>
      <c r="N5475" s="15"/>
      <c r="O5475" s="16"/>
      <c r="Q5475" s="16"/>
    </row>
    <row r="5476" spans="1:17" x14ac:dyDescent="0.3">
      <c r="A5476" s="5"/>
      <c r="B5476" s="6"/>
      <c r="C5476" s="7"/>
      <c r="D5476" s="10"/>
      <c r="F5476" s="1"/>
      <c r="G5476" s="1"/>
      <c r="H5476" s="1"/>
      <c r="I5476" s="7"/>
      <c r="J5476" s="12"/>
      <c r="K5476" s="13"/>
      <c r="L5476" s="14"/>
      <c r="M5476" s="15"/>
      <c r="N5476" s="15"/>
      <c r="O5476" s="16"/>
      <c r="Q5476" s="16"/>
    </row>
    <row r="5477" spans="1:17" x14ac:dyDescent="0.3">
      <c r="A5477" s="5"/>
      <c r="B5477" s="6"/>
      <c r="C5477" s="7"/>
      <c r="D5477" s="10"/>
      <c r="F5477" s="1"/>
      <c r="G5477" s="1"/>
      <c r="H5477" s="1"/>
      <c r="I5477" s="7"/>
      <c r="J5477" s="12"/>
      <c r="K5477" s="13"/>
      <c r="L5477" s="14"/>
      <c r="M5477" s="15"/>
      <c r="N5477" s="15"/>
      <c r="O5477" s="16"/>
      <c r="Q5477" s="16"/>
    </row>
    <row r="5478" spans="1:17" x14ac:dyDescent="0.3">
      <c r="A5478" s="5"/>
      <c r="B5478" s="6"/>
      <c r="C5478" s="7"/>
      <c r="D5478" s="10"/>
      <c r="F5478" s="1"/>
      <c r="G5478" s="1"/>
      <c r="H5478" s="1"/>
      <c r="I5478" s="7"/>
      <c r="J5478" s="12"/>
      <c r="K5478" s="13"/>
      <c r="L5478" s="14"/>
      <c r="M5478" s="15"/>
      <c r="N5478" s="15"/>
      <c r="O5478" s="16"/>
      <c r="Q5478" s="16"/>
    </row>
    <row r="5479" spans="1:17" x14ac:dyDescent="0.3">
      <c r="A5479" s="5"/>
      <c r="B5479" s="6"/>
      <c r="C5479" s="7"/>
      <c r="D5479" s="10"/>
      <c r="F5479" s="1"/>
      <c r="G5479" s="1"/>
      <c r="H5479" s="1"/>
      <c r="I5479" s="7"/>
      <c r="J5479" s="12"/>
      <c r="K5479" s="13"/>
      <c r="L5479" s="14"/>
      <c r="M5479" s="15"/>
      <c r="N5479" s="15"/>
      <c r="O5479" s="16"/>
      <c r="Q5479" s="16"/>
    </row>
    <row r="5480" spans="1:17" x14ac:dyDescent="0.3">
      <c r="A5480" s="5"/>
      <c r="B5480" s="6"/>
      <c r="C5480" s="7"/>
      <c r="D5480" s="10"/>
      <c r="F5480" s="1"/>
      <c r="G5480" s="1"/>
      <c r="H5480" s="1"/>
      <c r="I5480" s="7"/>
      <c r="J5480" s="12"/>
      <c r="K5480" s="13"/>
      <c r="L5480" s="14"/>
      <c r="M5480" s="15"/>
      <c r="N5480" s="15"/>
      <c r="O5480" s="16"/>
      <c r="Q5480" s="16"/>
    </row>
    <row r="5481" spans="1:17" x14ac:dyDescent="0.3">
      <c r="A5481" s="5"/>
      <c r="B5481" s="6"/>
      <c r="C5481" s="7"/>
      <c r="D5481" s="10"/>
      <c r="F5481" s="1"/>
      <c r="G5481" s="1"/>
      <c r="H5481" s="1"/>
      <c r="I5481" s="7"/>
      <c r="J5481" s="12"/>
      <c r="K5481" s="13"/>
      <c r="L5481" s="14"/>
      <c r="M5481" s="15"/>
      <c r="N5481" s="15"/>
      <c r="O5481" s="16"/>
      <c r="Q5481" s="16"/>
    </row>
    <row r="5482" spans="1:17" x14ac:dyDescent="0.3">
      <c r="A5482" s="5"/>
      <c r="B5482" s="6"/>
      <c r="C5482" s="7"/>
      <c r="D5482" s="10"/>
      <c r="F5482" s="1"/>
      <c r="G5482" s="1"/>
      <c r="H5482" s="1"/>
      <c r="I5482" s="7"/>
      <c r="J5482" s="12"/>
      <c r="K5482" s="13"/>
      <c r="L5482" s="14"/>
      <c r="M5482" s="15"/>
      <c r="N5482" s="15"/>
      <c r="O5482" s="16"/>
      <c r="Q5482" s="16"/>
    </row>
    <row r="5483" spans="1:17" x14ac:dyDescent="0.3">
      <c r="A5483" s="5"/>
      <c r="B5483" s="6"/>
      <c r="C5483" s="7"/>
      <c r="D5483" s="10"/>
      <c r="F5483" s="1"/>
      <c r="G5483" s="1"/>
      <c r="H5483" s="1"/>
      <c r="I5483" s="7"/>
      <c r="J5483" s="12"/>
      <c r="K5483" s="13"/>
      <c r="L5483" s="14"/>
      <c r="M5483" s="15"/>
      <c r="N5483" s="15"/>
      <c r="O5483" s="16"/>
      <c r="Q5483" s="16"/>
    </row>
    <row r="5484" spans="1:17" x14ac:dyDescent="0.3">
      <c r="A5484" s="5"/>
      <c r="B5484" s="6"/>
      <c r="C5484" s="7"/>
      <c r="D5484" s="10"/>
      <c r="F5484" s="1"/>
      <c r="G5484" s="1"/>
      <c r="H5484" s="1"/>
      <c r="I5484" s="7"/>
      <c r="J5484" s="12"/>
      <c r="K5484" s="13"/>
      <c r="L5484" s="14"/>
      <c r="M5484" s="15"/>
      <c r="N5484" s="15"/>
      <c r="O5484" s="16"/>
      <c r="Q5484" s="16"/>
    </row>
    <row r="5485" spans="1:17" x14ac:dyDescent="0.3">
      <c r="A5485" s="5"/>
      <c r="B5485" s="6"/>
      <c r="C5485" s="7"/>
      <c r="D5485" s="10"/>
      <c r="F5485" s="1"/>
      <c r="G5485" s="1"/>
      <c r="H5485" s="1"/>
      <c r="I5485" s="7"/>
      <c r="J5485" s="12"/>
      <c r="K5485" s="13"/>
      <c r="L5485" s="14"/>
      <c r="M5485" s="15"/>
      <c r="N5485" s="15"/>
      <c r="O5485" s="16"/>
      <c r="Q5485" s="16"/>
    </row>
    <row r="5486" spans="1:17" x14ac:dyDescent="0.3">
      <c r="A5486" s="5"/>
      <c r="B5486" s="6"/>
      <c r="C5486" s="7"/>
      <c r="D5486" s="10"/>
      <c r="F5486" s="1"/>
      <c r="G5486" s="1"/>
      <c r="H5486" s="1"/>
      <c r="I5486" s="7"/>
      <c r="J5486" s="12"/>
      <c r="K5486" s="13"/>
      <c r="L5486" s="14"/>
      <c r="M5486" s="15"/>
      <c r="N5486" s="15"/>
      <c r="O5486" s="16"/>
      <c r="Q5486" s="16"/>
    </row>
    <row r="5487" spans="1:17" x14ac:dyDescent="0.3">
      <c r="A5487" s="5"/>
      <c r="B5487" s="6"/>
      <c r="C5487" s="7"/>
      <c r="D5487" s="10"/>
      <c r="F5487" s="1"/>
      <c r="G5487" s="1"/>
      <c r="H5487" s="1"/>
      <c r="I5487" s="7"/>
      <c r="J5487" s="12"/>
      <c r="K5487" s="13"/>
      <c r="L5487" s="14"/>
      <c r="M5487" s="15"/>
      <c r="N5487" s="15"/>
      <c r="O5487" s="16"/>
      <c r="Q5487" s="16"/>
    </row>
    <row r="5488" spans="1:17" x14ac:dyDescent="0.3">
      <c r="A5488" s="5"/>
      <c r="B5488" s="6"/>
      <c r="C5488" s="7"/>
      <c r="D5488" s="10"/>
      <c r="F5488" s="1"/>
      <c r="G5488" s="1"/>
      <c r="H5488" s="1"/>
      <c r="I5488" s="7"/>
      <c r="J5488" s="12"/>
      <c r="K5488" s="13"/>
      <c r="L5488" s="14"/>
      <c r="M5488" s="15"/>
      <c r="N5488" s="15"/>
      <c r="O5488" s="16"/>
      <c r="Q5488" s="16"/>
    </row>
    <row r="5489" spans="1:17" x14ac:dyDescent="0.3">
      <c r="A5489" s="5"/>
      <c r="B5489" s="6"/>
      <c r="C5489" s="7"/>
      <c r="D5489" s="10"/>
      <c r="F5489" s="1"/>
      <c r="G5489" s="1"/>
      <c r="H5489" s="1"/>
      <c r="I5489" s="7"/>
      <c r="J5489" s="12"/>
      <c r="K5489" s="13"/>
      <c r="L5489" s="14"/>
      <c r="M5489" s="15"/>
      <c r="N5489" s="15"/>
      <c r="O5489" s="16"/>
      <c r="Q5489" s="16"/>
    </row>
    <row r="5490" spans="1:17" x14ac:dyDescent="0.3">
      <c r="A5490" s="5"/>
      <c r="B5490" s="6"/>
      <c r="C5490" s="7"/>
      <c r="D5490" s="10"/>
      <c r="F5490" s="1"/>
      <c r="G5490" s="1"/>
      <c r="H5490" s="1"/>
      <c r="I5490" s="7"/>
      <c r="J5490" s="12"/>
      <c r="K5490" s="13"/>
      <c r="L5490" s="14"/>
      <c r="M5490" s="15"/>
      <c r="N5490" s="15"/>
      <c r="O5490" s="16"/>
      <c r="Q5490" s="16"/>
    </row>
    <row r="5491" spans="1:17" x14ac:dyDescent="0.3">
      <c r="A5491" s="5"/>
      <c r="B5491" s="6"/>
      <c r="C5491" s="7"/>
      <c r="D5491" s="10"/>
      <c r="F5491" s="1"/>
      <c r="G5491" s="1"/>
      <c r="H5491" s="1"/>
      <c r="I5491" s="7"/>
      <c r="J5491" s="12"/>
      <c r="K5491" s="13"/>
      <c r="L5491" s="14"/>
      <c r="M5491" s="15"/>
      <c r="N5491" s="15"/>
      <c r="O5491" s="16"/>
      <c r="Q5491" s="16"/>
    </row>
    <row r="5492" spans="1:17" x14ac:dyDescent="0.3">
      <c r="A5492" s="5"/>
      <c r="B5492" s="6"/>
      <c r="C5492" s="7"/>
      <c r="D5492" s="10"/>
      <c r="F5492" s="1"/>
      <c r="G5492" s="1"/>
      <c r="H5492" s="1"/>
      <c r="I5492" s="7"/>
      <c r="J5492" s="12"/>
      <c r="K5492" s="13"/>
      <c r="L5492" s="14"/>
      <c r="M5492" s="15"/>
      <c r="N5492" s="15"/>
      <c r="O5492" s="16"/>
      <c r="Q5492" s="16"/>
    </row>
    <row r="5493" spans="1:17" x14ac:dyDescent="0.3">
      <c r="A5493" s="5"/>
      <c r="B5493" s="6"/>
      <c r="C5493" s="7"/>
      <c r="D5493" s="10"/>
      <c r="F5493" s="1"/>
      <c r="G5493" s="1"/>
      <c r="H5493" s="1"/>
      <c r="I5493" s="7"/>
      <c r="J5493" s="12"/>
      <c r="K5493" s="13"/>
      <c r="L5493" s="14"/>
      <c r="M5493" s="15"/>
      <c r="N5493" s="15"/>
      <c r="O5493" s="16"/>
      <c r="Q5493" s="16"/>
    </row>
    <row r="5494" spans="1:17" x14ac:dyDescent="0.3">
      <c r="A5494" s="5"/>
      <c r="B5494" s="6"/>
      <c r="C5494" s="7"/>
      <c r="D5494" s="10"/>
      <c r="F5494" s="1"/>
      <c r="G5494" s="1"/>
      <c r="H5494" s="1"/>
      <c r="I5494" s="7"/>
      <c r="J5494" s="12"/>
      <c r="K5494" s="13"/>
      <c r="L5494" s="14"/>
      <c r="M5494" s="15"/>
      <c r="N5494" s="15"/>
      <c r="O5494" s="16"/>
      <c r="Q5494" s="16"/>
    </row>
    <row r="5495" spans="1:17" x14ac:dyDescent="0.3">
      <c r="A5495" s="5"/>
      <c r="B5495" s="6"/>
      <c r="C5495" s="7"/>
      <c r="D5495" s="10"/>
      <c r="F5495" s="1"/>
      <c r="G5495" s="1"/>
      <c r="H5495" s="1"/>
      <c r="I5495" s="7"/>
      <c r="J5495" s="12"/>
      <c r="K5495" s="13"/>
      <c r="L5495" s="14"/>
      <c r="M5495" s="15"/>
      <c r="N5495" s="15"/>
      <c r="O5495" s="16"/>
      <c r="Q5495" s="16"/>
    </row>
    <row r="5496" spans="1:17" x14ac:dyDescent="0.3">
      <c r="A5496" s="5"/>
      <c r="B5496" s="6"/>
      <c r="C5496" s="7"/>
      <c r="D5496" s="10"/>
      <c r="F5496" s="1"/>
      <c r="G5496" s="1"/>
      <c r="H5496" s="1"/>
      <c r="I5496" s="7"/>
      <c r="J5496" s="12"/>
      <c r="K5496" s="13"/>
      <c r="L5496" s="14"/>
      <c r="M5496" s="15"/>
      <c r="N5496" s="15"/>
      <c r="O5496" s="16"/>
      <c r="Q5496" s="16"/>
    </row>
    <row r="5497" spans="1:17" x14ac:dyDescent="0.3">
      <c r="A5497" s="5"/>
      <c r="B5497" s="6"/>
      <c r="C5497" s="7"/>
      <c r="D5497" s="10"/>
      <c r="F5497" s="1"/>
      <c r="G5497" s="1"/>
      <c r="H5497" s="1"/>
      <c r="I5497" s="7"/>
      <c r="J5497" s="12"/>
      <c r="K5497" s="13"/>
      <c r="L5497" s="14"/>
      <c r="M5497" s="15"/>
      <c r="N5497" s="15"/>
      <c r="O5497" s="16"/>
      <c r="Q5497" s="16"/>
    </row>
    <row r="5498" spans="1:17" x14ac:dyDescent="0.3">
      <c r="A5498" s="5"/>
      <c r="B5498" s="6"/>
      <c r="C5498" s="7"/>
      <c r="D5498" s="10"/>
      <c r="F5498" s="1"/>
      <c r="G5498" s="1"/>
      <c r="H5498" s="1"/>
      <c r="I5498" s="7"/>
      <c r="J5498" s="12"/>
      <c r="K5498" s="13"/>
      <c r="L5498" s="14"/>
      <c r="M5498" s="15"/>
      <c r="N5498" s="15"/>
      <c r="O5498" s="16"/>
      <c r="Q5498" s="16"/>
    </row>
    <row r="5499" spans="1:17" x14ac:dyDescent="0.3">
      <c r="A5499" s="5"/>
      <c r="B5499" s="6"/>
      <c r="C5499" s="7"/>
      <c r="D5499" s="10"/>
      <c r="F5499" s="1"/>
      <c r="G5499" s="1"/>
      <c r="H5499" s="1"/>
      <c r="I5499" s="7"/>
      <c r="J5499" s="12"/>
      <c r="K5499" s="13"/>
      <c r="L5499" s="14"/>
      <c r="M5499" s="15"/>
      <c r="N5499" s="15"/>
      <c r="O5499" s="16"/>
      <c r="Q5499" s="16"/>
    </row>
    <row r="5500" spans="1:17" x14ac:dyDescent="0.3">
      <c r="A5500" s="5"/>
      <c r="B5500" s="6"/>
      <c r="C5500" s="7"/>
      <c r="D5500" s="10"/>
      <c r="F5500" s="1"/>
      <c r="G5500" s="1"/>
      <c r="H5500" s="1"/>
      <c r="I5500" s="7"/>
      <c r="J5500" s="12"/>
      <c r="K5500" s="13"/>
      <c r="L5500" s="14"/>
      <c r="M5500" s="15"/>
      <c r="N5500" s="15"/>
      <c r="O5500" s="16"/>
      <c r="Q5500" s="16"/>
    </row>
    <row r="5501" spans="1:17" x14ac:dyDescent="0.3">
      <c r="A5501" s="5"/>
      <c r="B5501" s="6"/>
      <c r="C5501" s="7"/>
      <c r="D5501" s="10"/>
      <c r="F5501" s="1"/>
      <c r="G5501" s="1"/>
      <c r="H5501" s="1"/>
      <c r="I5501" s="7"/>
      <c r="J5501" s="12"/>
      <c r="K5501" s="13"/>
      <c r="L5501" s="14"/>
      <c r="M5501" s="15"/>
      <c r="N5501" s="15"/>
      <c r="O5501" s="16"/>
      <c r="Q5501" s="16"/>
    </row>
    <row r="5502" spans="1:17" x14ac:dyDescent="0.3">
      <c r="A5502" s="5"/>
      <c r="B5502" s="6"/>
      <c r="C5502" s="7"/>
      <c r="D5502" s="10"/>
      <c r="F5502" s="1"/>
      <c r="G5502" s="1"/>
      <c r="H5502" s="1"/>
      <c r="I5502" s="7"/>
      <c r="J5502" s="12"/>
      <c r="K5502" s="13"/>
      <c r="L5502" s="14"/>
      <c r="M5502" s="15"/>
      <c r="N5502" s="15"/>
      <c r="O5502" s="16"/>
      <c r="Q5502" s="16"/>
    </row>
    <row r="5503" spans="1:17" x14ac:dyDescent="0.3">
      <c r="A5503" s="5"/>
      <c r="B5503" s="6"/>
      <c r="C5503" s="7"/>
      <c r="D5503" s="10"/>
      <c r="F5503" s="1"/>
      <c r="G5503" s="1"/>
      <c r="H5503" s="1"/>
      <c r="I5503" s="7"/>
      <c r="J5503" s="12"/>
      <c r="K5503" s="13"/>
      <c r="L5503" s="14"/>
      <c r="M5503" s="15"/>
      <c r="N5503" s="15"/>
      <c r="O5503" s="16"/>
      <c r="Q5503" s="16"/>
    </row>
    <row r="5504" spans="1:17" x14ac:dyDescent="0.3">
      <c r="A5504" s="5"/>
      <c r="B5504" s="6"/>
      <c r="C5504" s="7"/>
      <c r="D5504" s="10"/>
      <c r="F5504" s="1"/>
      <c r="G5504" s="1"/>
      <c r="H5504" s="1"/>
      <c r="I5504" s="7"/>
      <c r="J5504" s="12"/>
      <c r="K5504" s="13"/>
      <c r="L5504" s="14"/>
      <c r="M5504" s="15"/>
      <c r="N5504" s="15"/>
      <c r="O5504" s="16"/>
      <c r="Q5504" s="16"/>
    </row>
    <row r="5505" spans="1:17" x14ac:dyDescent="0.3">
      <c r="A5505" s="5"/>
      <c r="B5505" s="6"/>
      <c r="C5505" s="7"/>
      <c r="D5505" s="10"/>
      <c r="F5505" s="1"/>
      <c r="G5505" s="1"/>
      <c r="H5505" s="1"/>
      <c r="I5505" s="7"/>
      <c r="J5505" s="12"/>
      <c r="K5505" s="13"/>
      <c r="L5505" s="14"/>
      <c r="M5505" s="15"/>
      <c r="N5505" s="15"/>
      <c r="O5505" s="16"/>
      <c r="Q5505" s="16"/>
    </row>
    <row r="5506" spans="1:17" x14ac:dyDescent="0.3">
      <c r="A5506" s="5"/>
      <c r="B5506" s="6"/>
      <c r="C5506" s="7"/>
      <c r="D5506" s="10"/>
      <c r="F5506" s="1"/>
      <c r="G5506" s="1"/>
      <c r="H5506" s="1"/>
      <c r="I5506" s="7"/>
      <c r="J5506" s="12"/>
      <c r="K5506" s="13"/>
      <c r="L5506" s="14"/>
      <c r="M5506" s="15"/>
      <c r="N5506" s="15"/>
      <c r="O5506" s="16"/>
      <c r="Q5506" s="16"/>
    </row>
    <row r="5507" spans="1:17" x14ac:dyDescent="0.3">
      <c r="A5507" s="5"/>
      <c r="B5507" s="6"/>
      <c r="C5507" s="7"/>
      <c r="D5507" s="10"/>
      <c r="F5507" s="1"/>
      <c r="G5507" s="1"/>
      <c r="H5507" s="1"/>
      <c r="I5507" s="7"/>
      <c r="J5507" s="12"/>
      <c r="K5507" s="13"/>
      <c r="L5507" s="14"/>
      <c r="M5507" s="15"/>
      <c r="N5507" s="15"/>
      <c r="O5507" s="16"/>
      <c r="Q5507" s="16"/>
    </row>
    <row r="5508" spans="1:17" x14ac:dyDescent="0.3">
      <c r="A5508" s="5"/>
      <c r="B5508" s="6"/>
      <c r="C5508" s="7"/>
      <c r="D5508" s="10"/>
      <c r="F5508" s="1"/>
      <c r="G5508" s="1"/>
      <c r="H5508" s="1"/>
      <c r="I5508" s="7"/>
      <c r="J5508" s="12"/>
      <c r="K5508" s="13"/>
      <c r="L5508" s="14"/>
      <c r="M5508" s="15"/>
      <c r="N5508" s="15"/>
      <c r="O5508" s="16"/>
      <c r="Q5508" s="16"/>
    </row>
    <row r="5509" spans="1:17" x14ac:dyDescent="0.3">
      <c r="A5509" s="5"/>
      <c r="B5509" s="6"/>
      <c r="C5509" s="7"/>
      <c r="D5509" s="10"/>
      <c r="F5509" s="1"/>
      <c r="G5509" s="1"/>
      <c r="H5509" s="1"/>
      <c r="I5509" s="7"/>
      <c r="J5509" s="12"/>
      <c r="K5509" s="13"/>
      <c r="L5509" s="14"/>
      <c r="M5509" s="15"/>
      <c r="N5509" s="15"/>
      <c r="O5509" s="16"/>
      <c r="Q5509" s="16"/>
    </row>
    <row r="5510" spans="1:17" x14ac:dyDescent="0.3">
      <c r="A5510" s="5"/>
      <c r="B5510" s="6"/>
      <c r="C5510" s="7"/>
      <c r="D5510" s="10"/>
      <c r="F5510" s="1"/>
      <c r="G5510" s="1"/>
      <c r="H5510" s="1"/>
      <c r="I5510" s="7"/>
      <c r="J5510" s="12"/>
      <c r="K5510" s="13"/>
      <c r="L5510" s="14"/>
      <c r="M5510" s="15"/>
      <c r="N5510" s="15"/>
      <c r="O5510" s="16"/>
      <c r="Q5510" s="16"/>
    </row>
    <row r="5511" spans="1:17" x14ac:dyDescent="0.3">
      <c r="A5511" s="5"/>
      <c r="B5511" s="6"/>
      <c r="C5511" s="7"/>
      <c r="D5511" s="10"/>
      <c r="F5511" s="1"/>
      <c r="G5511" s="1"/>
      <c r="H5511" s="1"/>
      <c r="I5511" s="7"/>
      <c r="J5511" s="12"/>
      <c r="K5511" s="13"/>
      <c r="L5511" s="14"/>
      <c r="M5511" s="15"/>
      <c r="N5511" s="15"/>
      <c r="O5511" s="16"/>
      <c r="Q5511" s="16"/>
    </row>
    <row r="5512" spans="1:17" x14ac:dyDescent="0.3">
      <c r="A5512" s="5"/>
      <c r="B5512" s="6"/>
      <c r="C5512" s="7"/>
      <c r="D5512" s="10"/>
      <c r="F5512" s="1"/>
      <c r="G5512" s="1"/>
      <c r="H5512" s="1"/>
      <c r="I5512" s="7"/>
      <c r="J5512" s="12"/>
      <c r="K5512" s="13"/>
      <c r="L5512" s="14"/>
      <c r="M5512" s="15"/>
      <c r="N5512" s="15"/>
      <c r="O5512" s="16"/>
      <c r="Q5512" s="16"/>
    </row>
    <row r="5513" spans="1:17" x14ac:dyDescent="0.3">
      <c r="A5513" s="5"/>
      <c r="B5513" s="6"/>
      <c r="C5513" s="7"/>
      <c r="D5513" s="10"/>
      <c r="F5513" s="1"/>
      <c r="G5513" s="1"/>
      <c r="H5513" s="1"/>
      <c r="I5513" s="7"/>
      <c r="J5513" s="12"/>
      <c r="K5513" s="13"/>
      <c r="L5513" s="14"/>
      <c r="M5513" s="15"/>
      <c r="N5513" s="15"/>
      <c r="O5513" s="16"/>
      <c r="Q5513" s="16"/>
    </row>
    <row r="5514" spans="1:17" x14ac:dyDescent="0.3">
      <c r="A5514" s="5"/>
      <c r="B5514" s="6"/>
      <c r="C5514" s="7"/>
      <c r="D5514" s="10"/>
      <c r="F5514" s="1"/>
      <c r="G5514" s="1"/>
      <c r="H5514" s="1"/>
      <c r="I5514" s="7"/>
      <c r="J5514" s="12"/>
      <c r="K5514" s="13"/>
      <c r="L5514" s="14"/>
      <c r="M5514" s="15"/>
      <c r="N5514" s="15"/>
      <c r="O5514" s="16"/>
      <c r="Q5514" s="16"/>
    </row>
    <row r="5515" spans="1:17" x14ac:dyDescent="0.3">
      <c r="A5515" s="5"/>
      <c r="B5515" s="6"/>
      <c r="C5515" s="7"/>
      <c r="D5515" s="10"/>
      <c r="F5515" s="1"/>
      <c r="G5515" s="1"/>
      <c r="H5515" s="1"/>
      <c r="I5515" s="7"/>
      <c r="J5515" s="12"/>
      <c r="K5515" s="13"/>
      <c r="L5515" s="14"/>
      <c r="M5515" s="15"/>
      <c r="N5515" s="15"/>
      <c r="O5515" s="16"/>
      <c r="Q5515" s="16"/>
    </row>
    <row r="5516" spans="1:17" x14ac:dyDescent="0.3">
      <c r="A5516" s="5"/>
      <c r="B5516" s="6"/>
      <c r="C5516" s="7"/>
      <c r="D5516" s="10"/>
      <c r="F5516" s="1"/>
      <c r="G5516" s="1"/>
      <c r="H5516" s="1"/>
      <c r="I5516" s="7"/>
      <c r="J5516" s="12"/>
      <c r="K5516" s="13"/>
      <c r="L5516" s="14"/>
      <c r="M5516" s="15"/>
      <c r="N5516" s="15"/>
      <c r="O5516" s="16"/>
      <c r="Q5516" s="16"/>
    </row>
    <row r="5517" spans="1:17" x14ac:dyDescent="0.3">
      <c r="A5517" s="5"/>
      <c r="B5517" s="6"/>
      <c r="C5517" s="7"/>
      <c r="D5517" s="10"/>
      <c r="F5517" s="1"/>
      <c r="G5517" s="1"/>
      <c r="H5517" s="1"/>
      <c r="I5517" s="7"/>
      <c r="J5517" s="12"/>
      <c r="K5517" s="13"/>
      <c r="L5517" s="14"/>
      <c r="M5517" s="15"/>
      <c r="N5517" s="15"/>
      <c r="O5517" s="16"/>
      <c r="Q5517" s="16"/>
    </row>
    <row r="5518" spans="1:17" x14ac:dyDescent="0.3">
      <c r="A5518" s="5"/>
      <c r="B5518" s="6"/>
      <c r="C5518" s="7"/>
      <c r="D5518" s="10"/>
      <c r="F5518" s="1"/>
      <c r="G5518" s="1"/>
      <c r="H5518" s="1"/>
      <c r="I5518" s="7"/>
      <c r="J5518" s="12"/>
      <c r="K5518" s="13"/>
      <c r="L5518" s="14"/>
      <c r="M5518" s="15"/>
      <c r="N5518" s="15"/>
      <c r="O5518" s="16"/>
      <c r="Q5518" s="16"/>
    </row>
    <row r="5519" spans="1:17" x14ac:dyDescent="0.3">
      <c r="A5519" s="5"/>
      <c r="B5519" s="6"/>
      <c r="C5519" s="7"/>
      <c r="D5519" s="10"/>
      <c r="F5519" s="1"/>
      <c r="G5519" s="1"/>
      <c r="H5519" s="1"/>
      <c r="I5519" s="7"/>
      <c r="J5519" s="12"/>
      <c r="K5519" s="13"/>
      <c r="L5519" s="14"/>
      <c r="M5519" s="15"/>
      <c r="N5519" s="15"/>
      <c r="O5519" s="16"/>
      <c r="Q5519" s="16"/>
    </row>
    <row r="5520" spans="1:17" x14ac:dyDescent="0.3">
      <c r="A5520" s="5"/>
      <c r="B5520" s="6"/>
      <c r="C5520" s="7"/>
      <c r="D5520" s="10"/>
      <c r="F5520" s="1"/>
      <c r="G5520" s="1"/>
      <c r="H5520" s="1"/>
      <c r="I5520" s="7"/>
      <c r="J5520" s="12"/>
      <c r="K5520" s="13"/>
      <c r="L5520" s="14"/>
      <c r="M5520" s="15"/>
      <c r="N5520" s="15"/>
      <c r="O5520" s="16"/>
      <c r="Q5520" s="16"/>
    </row>
    <row r="5521" spans="1:17" x14ac:dyDescent="0.3">
      <c r="A5521" s="5"/>
      <c r="B5521" s="6"/>
      <c r="C5521" s="7"/>
      <c r="D5521" s="10"/>
      <c r="F5521" s="1"/>
      <c r="G5521" s="1"/>
      <c r="H5521" s="1"/>
      <c r="I5521" s="7"/>
      <c r="J5521" s="12"/>
      <c r="K5521" s="13"/>
      <c r="L5521" s="14"/>
      <c r="M5521" s="15"/>
      <c r="N5521" s="15"/>
      <c r="O5521" s="16"/>
      <c r="Q5521" s="16"/>
    </row>
    <row r="5522" spans="1:17" x14ac:dyDescent="0.3">
      <c r="A5522" s="5"/>
      <c r="B5522" s="6"/>
      <c r="C5522" s="7"/>
      <c r="D5522" s="10"/>
      <c r="F5522" s="1"/>
      <c r="G5522" s="1"/>
      <c r="H5522" s="1"/>
      <c r="I5522" s="7"/>
      <c r="J5522" s="12"/>
      <c r="K5522" s="13"/>
      <c r="L5522" s="14"/>
      <c r="M5522" s="15"/>
      <c r="N5522" s="15"/>
      <c r="O5522" s="16"/>
      <c r="Q5522" s="16"/>
    </row>
    <row r="5523" spans="1:17" x14ac:dyDescent="0.3">
      <c r="A5523" s="5"/>
      <c r="B5523" s="6"/>
      <c r="C5523" s="7"/>
      <c r="D5523" s="10"/>
      <c r="F5523" s="1"/>
      <c r="G5523" s="1"/>
      <c r="H5523" s="1"/>
      <c r="I5523" s="7"/>
      <c r="J5523" s="12"/>
      <c r="K5523" s="13"/>
      <c r="L5523" s="14"/>
      <c r="M5523" s="15"/>
      <c r="N5523" s="15"/>
      <c r="O5523" s="16"/>
      <c r="Q5523" s="16"/>
    </row>
    <row r="5524" spans="1:17" x14ac:dyDescent="0.3">
      <c r="A5524" s="5"/>
      <c r="B5524" s="6"/>
      <c r="C5524" s="7"/>
      <c r="D5524" s="10"/>
      <c r="F5524" s="1"/>
      <c r="G5524" s="1"/>
      <c r="H5524" s="1"/>
      <c r="I5524" s="7"/>
      <c r="J5524" s="12"/>
      <c r="K5524" s="13"/>
      <c r="L5524" s="14"/>
      <c r="M5524" s="15"/>
      <c r="N5524" s="15"/>
      <c r="O5524" s="16"/>
      <c r="Q5524" s="16"/>
    </row>
    <row r="5525" spans="1:17" x14ac:dyDescent="0.3">
      <c r="A5525" s="5"/>
      <c r="B5525" s="6"/>
      <c r="C5525" s="7"/>
      <c r="D5525" s="10"/>
      <c r="F5525" s="1"/>
      <c r="G5525" s="1"/>
      <c r="H5525" s="1"/>
      <c r="I5525" s="7"/>
      <c r="J5525" s="12"/>
      <c r="K5525" s="13"/>
      <c r="L5525" s="14"/>
      <c r="M5525" s="15"/>
      <c r="N5525" s="15"/>
      <c r="O5525" s="16"/>
      <c r="Q5525" s="16"/>
    </row>
    <row r="5526" spans="1:17" x14ac:dyDescent="0.3">
      <c r="A5526" s="5"/>
      <c r="B5526" s="6"/>
      <c r="C5526" s="7"/>
      <c r="D5526" s="10"/>
      <c r="F5526" s="1"/>
      <c r="G5526" s="1"/>
      <c r="H5526" s="1"/>
      <c r="I5526" s="7"/>
      <c r="J5526" s="12"/>
      <c r="K5526" s="13"/>
      <c r="L5526" s="14"/>
      <c r="M5526" s="15"/>
      <c r="N5526" s="15"/>
      <c r="O5526" s="16"/>
      <c r="Q5526" s="16"/>
    </row>
    <row r="5527" spans="1:17" x14ac:dyDescent="0.3">
      <c r="A5527" s="5"/>
      <c r="B5527" s="6"/>
      <c r="C5527" s="7"/>
      <c r="D5527" s="10"/>
      <c r="F5527" s="1"/>
      <c r="G5527" s="1"/>
      <c r="H5527" s="1"/>
      <c r="I5527" s="7"/>
      <c r="J5527" s="12"/>
      <c r="K5527" s="13"/>
      <c r="L5527" s="14"/>
      <c r="M5527" s="15"/>
      <c r="N5527" s="15"/>
      <c r="O5527" s="16"/>
      <c r="Q5527" s="16"/>
    </row>
    <row r="5528" spans="1:17" x14ac:dyDescent="0.3">
      <c r="A5528" s="5"/>
      <c r="B5528" s="6"/>
      <c r="C5528" s="7"/>
      <c r="D5528" s="10"/>
      <c r="F5528" s="1"/>
      <c r="G5528" s="1"/>
      <c r="H5528" s="1"/>
      <c r="I5528" s="7"/>
      <c r="J5528" s="12"/>
      <c r="K5528" s="13"/>
      <c r="L5528" s="14"/>
      <c r="M5528" s="15"/>
      <c r="N5528" s="15"/>
      <c r="O5528" s="16"/>
      <c r="Q5528" s="16"/>
    </row>
    <row r="5529" spans="1:17" x14ac:dyDescent="0.3">
      <c r="A5529" s="5"/>
      <c r="B5529" s="6"/>
      <c r="C5529" s="7"/>
      <c r="D5529" s="10"/>
      <c r="F5529" s="1"/>
      <c r="G5529" s="1"/>
      <c r="H5529" s="1"/>
      <c r="I5529" s="7"/>
      <c r="J5529" s="12"/>
      <c r="K5529" s="13"/>
      <c r="L5529" s="14"/>
      <c r="M5529" s="15"/>
      <c r="N5529" s="15"/>
      <c r="O5529" s="16"/>
      <c r="Q5529" s="16"/>
    </row>
    <row r="5530" spans="1:17" x14ac:dyDescent="0.3">
      <c r="A5530" s="5"/>
      <c r="B5530" s="6"/>
      <c r="C5530" s="7"/>
      <c r="D5530" s="10"/>
      <c r="F5530" s="1"/>
      <c r="G5530" s="1"/>
      <c r="H5530" s="1"/>
      <c r="I5530" s="7"/>
      <c r="J5530" s="12"/>
      <c r="K5530" s="13"/>
      <c r="L5530" s="14"/>
      <c r="M5530" s="15"/>
      <c r="N5530" s="15"/>
      <c r="O5530" s="16"/>
      <c r="Q5530" s="16"/>
    </row>
    <row r="5531" spans="1:17" x14ac:dyDescent="0.3">
      <c r="A5531" s="5"/>
      <c r="B5531" s="6"/>
      <c r="C5531" s="7"/>
      <c r="D5531" s="10"/>
      <c r="F5531" s="1"/>
      <c r="G5531" s="1"/>
      <c r="H5531" s="1"/>
      <c r="I5531" s="7"/>
      <c r="J5531" s="12"/>
      <c r="K5531" s="13"/>
      <c r="L5531" s="14"/>
      <c r="M5531" s="15"/>
      <c r="N5531" s="15"/>
      <c r="O5531" s="16"/>
      <c r="Q5531" s="16"/>
    </row>
    <row r="5532" spans="1:17" x14ac:dyDescent="0.3">
      <c r="A5532" s="5"/>
      <c r="B5532" s="6"/>
      <c r="C5532" s="7"/>
      <c r="D5532" s="10"/>
      <c r="F5532" s="1"/>
      <c r="G5532" s="1"/>
      <c r="H5532" s="1"/>
      <c r="I5532" s="7"/>
      <c r="J5532" s="12"/>
      <c r="K5532" s="13"/>
      <c r="L5532" s="14"/>
      <c r="M5532" s="15"/>
      <c r="N5532" s="15"/>
      <c r="O5532" s="16"/>
      <c r="Q5532" s="16"/>
    </row>
    <row r="5533" spans="1:17" x14ac:dyDescent="0.3">
      <c r="A5533" s="5"/>
      <c r="B5533" s="6"/>
      <c r="C5533" s="7"/>
      <c r="D5533" s="10"/>
      <c r="F5533" s="1"/>
      <c r="G5533" s="1"/>
      <c r="H5533" s="1"/>
      <c r="I5533" s="7"/>
      <c r="J5533" s="12"/>
      <c r="K5533" s="13"/>
      <c r="L5533" s="14"/>
      <c r="M5533" s="15"/>
      <c r="N5533" s="15"/>
      <c r="O5533" s="16"/>
      <c r="Q5533" s="16"/>
    </row>
    <row r="5534" spans="1:17" x14ac:dyDescent="0.3">
      <c r="A5534" s="5"/>
      <c r="B5534" s="6"/>
      <c r="C5534" s="7"/>
      <c r="D5534" s="10"/>
      <c r="F5534" s="1"/>
      <c r="G5534" s="1"/>
      <c r="H5534" s="1"/>
      <c r="I5534" s="7"/>
      <c r="J5534" s="12"/>
      <c r="K5534" s="13"/>
      <c r="L5534" s="14"/>
      <c r="M5534" s="15"/>
      <c r="N5534" s="15"/>
      <c r="O5534" s="16"/>
      <c r="Q5534" s="16"/>
    </row>
    <row r="5535" spans="1:17" x14ac:dyDescent="0.3">
      <c r="A5535" s="5"/>
      <c r="B5535" s="6"/>
      <c r="C5535" s="7"/>
      <c r="D5535" s="10"/>
      <c r="F5535" s="1"/>
      <c r="G5535" s="1"/>
      <c r="H5535" s="1"/>
      <c r="I5535" s="7"/>
      <c r="J5535" s="12"/>
      <c r="K5535" s="13"/>
      <c r="L5535" s="14"/>
      <c r="M5535" s="15"/>
      <c r="N5535" s="15"/>
      <c r="O5535" s="16"/>
      <c r="Q5535" s="16"/>
    </row>
    <row r="5536" spans="1:17" x14ac:dyDescent="0.3">
      <c r="A5536" s="5"/>
      <c r="B5536" s="6"/>
      <c r="C5536" s="7"/>
      <c r="D5536" s="10"/>
      <c r="F5536" s="1"/>
      <c r="G5536" s="1"/>
      <c r="H5536" s="1"/>
      <c r="I5536" s="7"/>
      <c r="J5536" s="12"/>
      <c r="K5536" s="13"/>
      <c r="L5536" s="14"/>
      <c r="M5536" s="15"/>
      <c r="N5536" s="15"/>
      <c r="O5536" s="16"/>
      <c r="Q5536" s="16"/>
    </row>
    <row r="5537" spans="1:17" x14ac:dyDescent="0.3">
      <c r="A5537" s="5"/>
      <c r="B5537" s="6"/>
      <c r="C5537" s="7"/>
      <c r="D5537" s="10"/>
      <c r="F5537" s="1"/>
      <c r="G5537" s="1"/>
      <c r="H5537" s="1"/>
      <c r="I5537" s="7"/>
      <c r="J5537" s="12"/>
      <c r="K5537" s="13"/>
      <c r="L5537" s="14"/>
      <c r="M5537" s="15"/>
      <c r="N5537" s="15"/>
      <c r="O5537" s="16"/>
      <c r="Q5537" s="16"/>
    </row>
    <row r="5538" spans="1:17" x14ac:dyDescent="0.3">
      <c r="A5538" s="5"/>
      <c r="B5538" s="6"/>
      <c r="C5538" s="7"/>
      <c r="D5538" s="10"/>
      <c r="F5538" s="1"/>
      <c r="G5538" s="1"/>
      <c r="H5538" s="1"/>
      <c r="I5538" s="7"/>
      <c r="J5538" s="12"/>
      <c r="K5538" s="13"/>
      <c r="L5538" s="14"/>
      <c r="M5538" s="15"/>
      <c r="N5538" s="15"/>
      <c r="O5538" s="16"/>
      <c r="Q5538" s="16"/>
    </row>
    <row r="5539" spans="1:17" x14ac:dyDescent="0.3">
      <c r="A5539" s="5"/>
      <c r="B5539" s="6"/>
      <c r="C5539" s="7"/>
      <c r="D5539" s="10"/>
      <c r="F5539" s="1"/>
      <c r="G5539" s="1"/>
      <c r="H5539" s="1"/>
      <c r="I5539" s="7"/>
      <c r="J5539" s="12"/>
      <c r="K5539" s="13"/>
      <c r="L5539" s="14"/>
      <c r="M5539" s="15"/>
      <c r="N5539" s="15"/>
      <c r="O5539" s="16"/>
      <c r="Q5539" s="16"/>
    </row>
    <row r="5540" spans="1:17" x14ac:dyDescent="0.3">
      <c r="A5540" s="5"/>
      <c r="B5540" s="6"/>
      <c r="C5540" s="7"/>
      <c r="D5540" s="10"/>
      <c r="F5540" s="1"/>
      <c r="G5540" s="1"/>
      <c r="H5540" s="1"/>
      <c r="I5540" s="7"/>
      <c r="J5540" s="12"/>
      <c r="K5540" s="13"/>
      <c r="L5540" s="14"/>
      <c r="M5540" s="15"/>
      <c r="N5540" s="15"/>
      <c r="O5540" s="16"/>
      <c r="Q5540" s="16"/>
    </row>
    <row r="5541" spans="1:17" x14ac:dyDescent="0.3">
      <c r="A5541" s="5"/>
      <c r="B5541" s="6"/>
      <c r="C5541" s="7"/>
      <c r="D5541" s="10"/>
      <c r="F5541" s="1"/>
      <c r="G5541" s="1"/>
      <c r="H5541" s="1"/>
      <c r="I5541" s="7"/>
      <c r="J5541" s="12"/>
      <c r="K5541" s="13"/>
      <c r="L5541" s="14"/>
      <c r="M5541" s="15"/>
      <c r="N5541" s="15"/>
      <c r="O5541" s="16"/>
      <c r="Q5541" s="16"/>
    </row>
    <row r="5542" spans="1:17" x14ac:dyDescent="0.3">
      <c r="A5542" s="5"/>
      <c r="B5542" s="6"/>
      <c r="C5542" s="7"/>
      <c r="D5542" s="10"/>
      <c r="F5542" s="1"/>
      <c r="G5542" s="1"/>
      <c r="H5542" s="1"/>
      <c r="I5542" s="7"/>
      <c r="J5542" s="12"/>
      <c r="K5542" s="13"/>
      <c r="L5542" s="14"/>
      <c r="M5542" s="15"/>
      <c r="N5542" s="15"/>
      <c r="O5542" s="16"/>
      <c r="Q5542" s="16"/>
    </row>
    <row r="5543" spans="1:17" x14ac:dyDescent="0.3">
      <c r="A5543" s="5"/>
      <c r="B5543" s="6"/>
      <c r="C5543" s="7"/>
      <c r="D5543" s="10"/>
      <c r="F5543" s="1"/>
      <c r="G5543" s="1"/>
      <c r="H5543" s="1"/>
      <c r="I5543" s="7"/>
      <c r="J5543" s="12"/>
      <c r="K5543" s="13"/>
      <c r="L5543" s="14"/>
      <c r="M5543" s="15"/>
      <c r="N5543" s="15"/>
      <c r="O5543" s="16"/>
      <c r="Q5543" s="16"/>
    </row>
    <row r="5544" spans="1:17" x14ac:dyDescent="0.3">
      <c r="A5544" s="5"/>
      <c r="B5544" s="6"/>
      <c r="C5544" s="7"/>
      <c r="D5544" s="10"/>
      <c r="F5544" s="1"/>
      <c r="G5544" s="1"/>
      <c r="H5544" s="1"/>
      <c r="I5544" s="7"/>
      <c r="J5544" s="12"/>
      <c r="K5544" s="13"/>
      <c r="L5544" s="14"/>
      <c r="M5544" s="15"/>
      <c r="N5544" s="15"/>
      <c r="O5544" s="16"/>
      <c r="Q5544" s="16"/>
    </row>
    <row r="5545" spans="1:17" x14ac:dyDescent="0.3">
      <c r="A5545" s="5"/>
      <c r="B5545" s="6"/>
      <c r="C5545" s="7"/>
      <c r="D5545" s="10"/>
      <c r="F5545" s="1"/>
      <c r="G5545" s="1"/>
      <c r="H5545" s="1"/>
      <c r="I5545" s="7"/>
      <c r="J5545" s="12"/>
      <c r="K5545" s="13"/>
      <c r="L5545" s="14"/>
      <c r="M5545" s="15"/>
      <c r="N5545" s="15"/>
      <c r="O5545" s="16"/>
      <c r="Q5545" s="16"/>
    </row>
    <row r="5546" spans="1:17" x14ac:dyDescent="0.3">
      <c r="A5546" s="5"/>
      <c r="B5546" s="6"/>
      <c r="C5546" s="7"/>
      <c r="D5546" s="10"/>
      <c r="F5546" s="1"/>
      <c r="G5546" s="1"/>
      <c r="H5546" s="1"/>
      <c r="I5546" s="7"/>
      <c r="J5546" s="12"/>
      <c r="K5546" s="13"/>
      <c r="L5546" s="14"/>
      <c r="M5546" s="15"/>
      <c r="N5546" s="15"/>
      <c r="O5546" s="16"/>
      <c r="Q5546" s="16"/>
    </row>
    <row r="5547" spans="1:17" x14ac:dyDescent="0.3">
      <c r="A5547" s="5"/>
      <c r="B5547" s="6"/>
      <c r="C5547" s="7"/>
      <c r="D5547" s="10"/>
      <c r="F5547" s="1"/>
      <c r="G5547" s="1"/>
      <c r="H5547" s="1"/>
      <c r="I5547" s="7"/>
      <c r="J5547" s="12"/>
      <c r="K5547" s="13"/>
      <c r="L5547" s="14"/>
      <c r="M5547" s="15"/>
      <c r="N5547" s="15"/>
      <c r="O5547" s="16"/>
      <c r="Q5547" s="16"/>
    </row>
    <row r="5548" spans="1:17" x14ac:dyDescent="0.3">
      <c r="A5548" s="5"/>
      <c r="B5548" s="6"/>
      <c r="C5548" s="7"/>
      <c r="D5548" s="10"/>
      <c r="F5548" s="1"/>
      <c r="G5548" s="1"/>
      <c r="H5548" s="1"/>
      <c r="I5548" s="7"/>
      <c r="J5548" s="12"/>
      <c r="K5548" s="13"/>
      <c r="L5548" s="14"/>
      <c r="M5548" s="15"/>
      <c r="N5548" s="15"/>
      <c r="O5548" s="16"/>
      <c r="Q5548" s="16"/>
    </row>
    <row r="5549" spans="1:17" x14ac:dyDescent="0.3">
      <c r="A5549" s="5"/>
      <c r="B5549" s="6"/>
      <c r="C5549" s="7"/>
      <c r="D5549" s="10"/>
      <c r="F5549" s="1"/>
      <c r="G5549" s="1"/>
      <c r="H5549" s="1"/>
      <c r="I5549" s="7"/>
      <c r="J5549" s="12"/>
      <c r="K5549" s="13"/>
      <c r="L5549" s="14"/>
      <c r="M5549" s="15"/>
      <c r="N5549" s="15"/>
      <c r="O5549" s="16"/>
      <c r="Q5549" s="16"/>
    </row>
    <row r="5550" spans="1:17" x14ac:dyDescent="0.3">
      <c r="A5550" s="5"/>
      <c r="B5550" s="6"/>
      <c r="C5550" s="7"/>
      <c r="D5550" s="10"/>
      <c r="F5550" s="1"/>
      <c r="G5550" s="1"/>
      <c r="H5550" s="1"/>
      <c r="I5550" s="7"/>
      <c r="J5550" s="12"/>
      <c r="K5550" s="13"/>
      <c r="L5550" s="14"/>
      <c r="M5550" s="15"/>
      <c r="N5550" s="15"/>
      <c r="O5550" s="16"/>
      <c r="Q5550" s="16"/>
    </row>
    <row r="5551" spans="1:17" x14ac:dyDescent="0.3">
      <c r="A5551" s="5"/>
      <c r="B5551" s="6"/>
      <c r="C5551" s="7"/>
      <c r="D5551" s="10"/>
      <c r="F5551" s="1"/>
      <c r="G5551" s="1"/>
      <c r="H5551" s="1"/>
      <c r="I5551" s="7"/>
      <c r="J5551" s="12"/>
      <c r="K5551" s="13"/>
      <c r="L5551" s="14"/>
      <c r="M5551" s="15"/>
      <c r="N5551" s="15"/>
      <c r="O5551" s="16"/>
      <c r="Q5551" s="16"/>
    </row>
    <row r="5552" spans="1:17" x14ac:dyDescent="0.3">
      <c r="A5552" s="5"/>
      <c r="B5552" s="6"/>
      <c r="C5552" s="7"/>
      <c r="D5552" s="10"/>
      <c r="F5552" s="1"/>
      <c r="G5552" s="1"/>
      <c r="H5552" s="1"/>
      <c r="I5552" s="7"/>
      <c r="J5552" s="12"/>
      <c r="K5552" s="13"/>
      <c r="L5552" s="14"/>
      <c r="M5552" s="15"/>
      <c r="N5552" s="15"/>
      <c r="O5552" s="16"/>
      <c r="Q5552" s="16"/>
    </row>
    <row r="5553" spans="1:17" x14ac:dyDescent="0.3">
      <c r="A5553" s="5"/>
      <c r="B5553" s="6"/>
      <c r="C5553" s="7"/>
      <c r="D5553" s="10"/>
      <c r="F5553" s="1"/>
      <c r="G5553" s="1"/>
      <c r="H5553" s="1"/>
      <c r="I5553" s="7"/>
      <c r="J5553" s="12"/>
      <c r="K5553" s="13"/>
      <c r="L5553" s="14"/>
      <c r="M5553" s="15"/>
      <c r="N5553" s="15"/>
      <c r="O5553" s="16"/>
      <c r="Q5553" s="16"/>
    </row>
    <row r="5554" spans="1:17" x14ac:dyDescent="0.3">
      <c r="A5554" s="5"/>
      <c r="B5554" s="6"/>
      <c r="C5554" s="7"/>
      <c r="D5554" s="10"/>
      <c r="F5554" s="1"/>
      <c r="G5554" s="1"/>
      <c r="H5554" s="1"/>
      <c r="I5554" s="7"/>
      <c r="J5554" s="12"/>
      <c r="K5554" s="13"/>
      <c r="L5554" s="14"/>
      <c r="M5554" s="15"/>
      <c r="N5554" s="15"/>
      <c r="O5554" s="16"/>
      <c r="Q5554" s="16"/>
    </row>
    <row r="5555" spans="1:17" x14ac:dyDescent="0.3">
      <c r="A5555" s="5"/>
      <c r="B5555" s="6"/>
      <c r="C5555" s="7"/>
      <c r="D5555" s="10"/>
      <c r="F5555" s="1"/>
      <c r="G5555" s="1"/>
      <c r="H5555" s="1"/>
      <c r="I5555" s="7"/>
      <c r="J5555" s="12"/>
      <c r="K5555" s="13"/>
      <c r="L5555" s="14"/>
      <c r="M5555" s="15"/>
      <c r="N5555" s="15"/>
      <c r="O5555" s="16"/>
      <c r="Q5555" s="16"/>
    </row>
    <row r="5556" spans="1:17" x14ac:dyDescent="0.3">
      <c r="A5556" s="5"/>
      <c r="B5556" s="6"/>
      <c r="C5556" s="7"/>
      <c r="D5556" s="10"/>
      <c r="F5556" s="1"/>
      <c r="G5556" s="1"/>
      <c r="H5556" s="1"/>
      <c r="I5556" s="7"/>
      <c r="J5556" s="12"/>
      <c r="K5556" s="13"/>
      <c r="L5556" s="14"/>
      <c r="M5556" s="15"/>
      <c r="N5556" s="15"/>
      <c r="O5556" s="16"/>
      <c r="Q5556" s="16"/>
    </row>
    <row r="5557" spans="1:17" x14ac:dyDescent="0.3">
      <c r="A5557" s="5"/>
      <c r="B5557" s="6"/>
      <c r="C5557" s="7"/>
      <c r="D5557" s="10"/>
      <c r="F5557" s="1"/>
      <c r="G5557" s="1"/>
      <c r="H5557" s="1"/>
      <c r="I5557" s="7"/>
      <c r="J5557" s="12"/>
      <c r="K5557" s="13"/>
      <c r="L5557" s="14"/>
      <c r="M5557" s="15"/>
      <c r="N5557" s="15"/>
      <c r="O5557" s="16"/>
      <c r="Q5557" s="16"/>
    </row>
    <row r="5558" spans="1:17" x14ac:dyDescent="0.3">
      <c r="A5558" s="5"/>
      <c r="B5558" s="6"/>
      <c r="C5558" s="7"/>
      <c r="D5558" s="10"/>
      <c r="F5558" s="1"/>
      <c r="G5558" s="1"/>
      <c r="H5558" s="1"/>
      <c r="I5558" s="7"/>
      <c r="J5558" s="12"/>
      <c r="K5558" s="13"/>
      <c r="L5558" s="14"/>
      <c r="M5558" s="15"/>
      <c r="N5558" s="15"/>
      <c r="O5558" s="16"/>
      <c r="Q5558" s="16"/>
    </row>
    <row r="5559" spans="1:17" x14ac:dyDescent="0.3">
      <c r="A5559" s="5"/>
      <c r="B5559" s="6"/>
      <c r="C5559" s="7"/>
      <c r="D5559" s="10"/>
      <c r="F5559" s="1"/>
      <c r="G5559" s="1"/>
      <c r="H5559" s="1"/>
      <c r="I5559" s="7"/>
      <c r="J5559" s="12"/>
      <c r="K5559" s="13"/>
      <c r="L5559" s="14"/>
      <c r="M5559" s="15"/>
      <c r="N5559" s="15"/>
      <c r="O5559" s="16"/>
      <c r="Q5559" s="16"/>
    </row>
    <row r="5560" spans="1:17" x14ac:dyDescent="0.3">
      <c r="A5560" s="5"/>
      <c r="B5560" s="6"/>
      <c r="C5560" s="7"/>
      <c r="D5560" s="10"/>
      <c r="F5560" s="1"/>
      <c r="G5560" s="1"/>
      <c r="H5560" s="1"/>
      <c r="I5560" s="7"/>
      <c r="J5560" s="12"/>
      <c r="K5560" s="13"/>
      <c r="L5560" s="14"/>
      <c r="M5560" s="15"/>
      <c r="N5560" s="15"/>
      <c r="O5560" s="16"/>
      <c r="Q5560" s="16"/>
    </row>
    <row r="5561" spans="1:17" x14ac:dyDescent="0.3">
      <c r="A5561" s="5"/>
      <c r="B5561" s="6"/>
      <c r="C5561" s="7"/>
      <c r="D5561" s="10"/>
      <c r="F5561" s="1"/>
      <c r="G5561" s="1"/>
      <c r="H5561" s="1"/>
      <c r="I5561" s="7"/>
      <c r="J5561" s="12"/>
      <c r="K5561" s="13"/>
      <c r="L5561" s="14"/>
      <c r="M5561" s="15"/>
      <c r="N5561" s="15"/>
      <c r="O5561" s="16"/>
      <c r="Q5561" s="16"/>
    </row>
    <row r="5562" spans="1:17" x14ac:dyDescent="0.3">
      <c r="A5562" s="5"/>
      <c r="B5562" s="6"/>
      <c r="C5562" s="7"/>
      <c r="D5562" s="10"/>
      <c r="F5562" s="1"/>
      <c r="G5562" s="1"/>
      <c r="H5562" s="1"/>
      <c r="I5562" s="7"/>
      <c r="J5562" s="12"/>
      <c r="K5562" s="13"/>
      <c r="L5562" s="14"/>
      <c r="M5562" s="15"/>
      <c r="N5562" s="15"/>
      <c r="O5562" s="16"/>
      <c r="Q5562" s="16"/>
    </row>
    <row r="5563" spans="1:17" x14ac:dyDescent="0.3">
      <c r="A5563" s="5"/>
      <c r="B5563" s="6"/>
      <c r="C5563" s="7"/>
      <c r="D5563" s="10"/>
      <c r="F5563" s="1"/>
      <c r="G5563" s="1"/>
      <c r="H5563" s="1"/>
      <c r="I5563" s="7"/>
      <c r="J5563" s="12"/>
      <c r="K5563" s="13"/>
      <c r="L5563" s="14"/>
      <c r="M5563" s="15"/>
      <c r="N5563" s="15"/>
      <c r="O5563" s="16"/>
      <c r="Q5563" s="16"/>
    </row>
    <row r="5564" spans="1:17" x14ac:dyDescent="0.3">
      <c r="A5564" s="5"/>
      <c r="B5564" s="6"/>
      <c r="C5564" s="7"/>
      <c r="D5564" s="10"/>
      <c r="F5564" s="1"/>
      <c r="G5564" s="1"/>
      <c r="H5564" s="1"/>
      <c r="I5564" s="7"/>
      <c r="J5564" s="12"/>
      <c r="K5564" s="13"/>
      <c r="L5564" s="14"/>
      <c r="M5564" s="15"/>
      <c r="N5564" s="15"/>
      <c r="O5564" s="16"/>
      <c r="Q5564" s="16"/>
    </row>
    <row r="5565" spans="1:17" x14ac:dyDescent="0.3">
      <c r="A5565" s="5"/>
      <c r="B5565" s="6"/>
      <c r="C5565" s="7"/>
      <c r="D5565" s="10"/>
      <c r="F5565" s="1"/>
      <c r="G5565" s="1"/>
      <c r="H5565" s="1"/>
      <c r="I5565" s="7"/>
      <c r="J5565" s="12"/>
      <c r="K5565" s="13"/>
      <c r="L5565" s="14"/>
      <c r="M5565" s="15"/>
      <c r="N5565" s="15"/>
      <c r="O5565" s="16"/>
      <c r="Q5565" s="16"/>
    </row>
    <row r="5566" spans="1:17" x14ac:dyDescent="0.3">
      <c r="A5566" s="5"/>
      <c r="B5566" s="6"/>
      <c r="C5566" s="7"/>
      <c r="D5566" s="10"/>
      <c r="F5566" s="1"/>
      <c r="G5566" s="1"/>
      <c r="H5566" s="1"/>
      <c r="I5566" s="7"/>
      <c r="J5566" s="12"/>
      <c r="K5566" s="13"/>
      <c r="L5566" s="14"/>
      <c r="M5566" s="15"/>
      <c r="N5566" s="15"/>
      <c r="O5566" s="16"/>
      <c r="Q5566" s="16"/>
    </row>
    <row r="5567" spans="1:17" x14ac:dyDescent="0.3">
      <c r="A5567" s="5"/>
      <c r="B5567" s="6"/>
      <c r="C5567" s="7"/>
      <c r="D5567" s="10"/>
      <c r="F5567" s="1"/>
      <c r="G5567" s="1"/>
      <c r="H5567" s="1"/>
      <c r="I5567" s="7"/>
      <c r="J5567" s="12"/>
      <c r="K5567" s="13"/>
      <c r="L5567" s="14"/>
      <c r="M5567" s="15"/>
      <c r="N5567" s="15"/>
      <c r="O5567" s="16"/>
      <c r="Q5567" s="16"/>
    </row>
    <row r="5568" spans="1:17" x14ac:dyDescent="0.3">
      <c r="A5568" s="5"/>
      <c r="B5568" s="6"/>
      <c r="C5568" s="7"/>
      <c r="D5568" s="10"/>
      <c r="F5568" s="1"/>
      <c r="G5568" s="1"/>
      <c r="H5568" s="1"/>
      <c r="I5568" s="7"/>
      <c r="J5568" s="12"/>
      <c r="K5568" s="13"/>
      <c r="L5568" s="14"/>
      <c r="M5568" s="15"/>
      <c r="N5568" s="15"/>
      <c r="O5568" s="16"/>
      <c r="Q5568" s="16"/>
    </row>
    <row r="5569" spans="1:17" x14ac:dyDescent="0.3">
      <c r="A5569" s="5"/>
      <c r="B5569" s="6"/>
      <c r="C5569" s="7"/>
      <c r="D5569" s="10"/>
      <c r="F5569" s="1"/>
      <c r="G5569" s="1"/>
      <c r="H5569" s="1"/>
      <c r="I5569" s="7"/>
      <c r="J5569" s="12"/>
      <c r="K5569" s="13"/>
      <c r="L5569" s="14"/>
      <c r="M5569" s="15"/>
      <c r="N5569" s="15"/>
      <c r="O5569" s="16"/>
      <c r="Q5569" s="16"/>
    </row>
    <row r="5570" spans="1:17" x14ac:dyDescent="0.3">
      <c r="A5570" s="5"/>
      <c r="B5570" s="6"/>
      <c r="C5570" s="7"/>
      <c r="D5570" s="10"/>
      <c r="F5570" s="1"/>
      <c r="G5570" s="1"/>
      <c r="H5570" s="1"/>
      <c r="I5570" s="7"/>
      <c r="J5570" s="12"/>
      <c r="K5570" s="13"/>
      <c r="L5570" s="14"/>
      <c r="M5570" s="15"/>
      <c r="N5570" s="15"/>
      <c r="O5570" s="16"/>
      <c r="Q5570" s="16"/>
    </row>
    <row r="5571" spans="1:17" x14ac:dyDescent="0.3">
      <c r="A5571" s="5"/>
      <c r="B5571" s="6"/>
      <c r="C5571" s="7"/>
      <c r="D5571" s="10"/>
      <c r="F5571" s="1"/>
      <c r="G5571" s="1"/>
      <c r="H5571" s="1"/>
      <c r="I5571" s="7"/>
      <c r="J5571" s="12"/>
      <c r="K5571" s="13"/>
      <c r="L5571" s="14"/>
      <c r="M5571" s="15"/>
      <c r="N5571" s="15"/>
      <c r="O5571" s="16"/>
      <c r="Q5571" s="16"/>
    </row>
    <row r="5572" spans="1:17" x14ac:dyDescent="0.3">
      <c r="A5572" s="5"/>
      <c r="B5572" s="6"/>
      <c r="C5572" s="7"/>
      <c r="D5572" s="10"/>
      <c r="F5572" s="1"/>
      <c r="G5572" s="1"/>
      <c r="H5572" s="1"/>
      <c r="I5572" s="7"/>
      <c r="J5572" s="12"/>
      <c r="K5572" s="13"/>
      <c r="L5572" s="14"/>
      <c r="M5572" s="15"/>
      <c r="N5572" s="15"/>
      <c r="O5572" s="16"/>
      <c r="Q5572" s="16"/>
    </row>
    <row r="5573" spans="1:17" x14ac:dyDescent="0.3">
      <c r="A5573" s="5"/>
      <c r="B5573" s="6"/>
      <c r="C5573" s="7"/>
      <c r="D5573" s="10"/>
      <c r="F5573" s="1"/>
      <c r="G5573" s="1"/>
      <c r="H5573" s="1"/>
      <c r="I5573" s="7"/>
      <c r="J5573" s="12"/>
      <c r="K5573" s="13"/>
      <c r="L5573" s="14"/>
      <c r="M5573" s="15"/>
      <c r="N5573" s="15"/>
      <c r="O5573" s="16"/>
      <c r="Q5573" s="16"/>
    </row>
    <row r="5574" spans="1:17" x14ac:dyDescent="0.3">
      <c r="A5574" s="5"/>
      <c r="B5574" s="6"/>
      <c r="C5574" s="7"/>
      <c r="D5574" s="10"/>
      <c r="F5574" s="1"/>
      <c r="G5574" s="1"/>
      <c r="H5574" s="1"/>
      <c r="I5574" s="7"/>
      <c r="J5574" s="12"/>
      <c r="K5574" s="13"/>
      <c r="L5574" s="14"/>
      <c r="M5574" s="15"/>
      <c r="N5574" s="15"/>
      <c r="O5574" s="16"/>
      <c r="Q5574" s="16"/>
    </row>
    <row r="5575" spans="1:17" x14ac:dyDescent="0.3">
      <c r="A5575" s="5"/>
      <c r="B5575" s="6"/>
      <c r="C5575" s="7"/>
      <c r="D5575" s="10"/>
      <c r="F5575" s="1"/>
      <c r="G5575" s="1"/>
      <c r="H5575" s="1"/>
      <c r="I5575" s="7"/>
      <c r="J5575" s="12"/>
      <c r="K5575" s="13"/>
      <c r="L5575" s="14"/>
      <c r="M5575" s="15"/>
      <c r="N5575" s="15"/>
      <c r="O5575" s="16"/>
      <c r="Q5575" s="16"/>
    </row>
    <row r="5576" spans="1:17" x14ac:dyDescent="0.3">
      <c r="A5576" s="5"/>
      <c r="B5576" s="6"/>
      <c r="C5576" s="7"/>
      <c r="D5576" s="10"/>
      <c r="F5576" s="1"/>
      <c r="G5576" s="1"/>
      <c r="H5576" s="1"/>
      <c r="I5576" s="7"/>
      <c r="J5576" s="12"/>
      <c r="K5576" s="13"/>
      <c r="L5576" s="14"/>
      <c r="M5576" s="15"/>
      <c r="N5576" s="15"/>
      <c r="O5576" s="16"/>
      <c r="Q5576" s="16"/>
    </row>
    <row r="5577" spans="1:17" x14ac:dyDescent="0.3">
      <c r="A5577" s="5"/>
      <c r="B5577" s="6"/>
      <c r="C5577" s="7"/>
      <c r="D5577" s="10"/>
      <c r="F5577" s="1"/>
      <c r="G5577" s="1"/>
      <c r="H5577" s="1"/>
      <c r="I5577" s="7"/>
      <c r="J5577" s="12"/>
      <c r="K5577" s="13"/>
      <c r="L5577" s="14"/>
      <c r="M5577" s="15"/>
      <c r="N5577" s="15"/>
      <c r="O5577" s="16"/>
      <c r="Q5577" s="16"/>
    </row>
    <row r="5578" spans="1:17" x14ac:dyDescent="0.3">
      <c r="A5578" s="5"/>
      <c r="B5578" s="6"/>
      <c r="C5578" s="7"/>
      <c r="D5578" s="10"/>
      <c r="F5578" s="1"/>
      <c r="G5578" s="1"/>
      <c r="H5578" s="1"/>
      <c r="I5578" s="7"/>
      <c r="J5578" s="12"/>
      <c r="K5578" s="13"/>
      <c r="L5578" s="14"/>
      <c r="M5578" s="15"/>
      <c r="N5578" s="15"/>
      <c r="O5578" s="16"/>
      <c r="Q5578" s="16"/>
    </row>
    <row r="5579" spans="1:17" x14ac:dyDescent="0.3">
      <c r="A5579" s="5"/>
      <c r="B5579" s="6"/>
      <c r="C5579" s="7"/>
      <c r="D5579" s="10"/>
      <c r="F5579" s="1"/>
      <c r="G5579" s="1"/>
      <c r="H5579" s="1"/>
      <c r="I5579" s="7"/>
      <c r="J5579" s="12"/>
      <c r="K5579" s="13"/>
      <c r="L5579" s="14"/>
      <c r="M5579" s="15"/>
      <c r="N5579" s="15"/>
      <c r="O5579" s="16"/>
      <c r="Q5579" s="16"/>
    </row>
    <row r="5580" spans="1:17" x14ac:dyDescent="0.3">
      <c r="A5580" s="5"/>
      <c r="B5580" s="6"/>
      <c r="C5580" s="7"/>
      <c r="D5580" s="10"/>
      <c r="F5580" s="1"/>
      <c r="G5580" s="1"/>
      <c r="H5580" s="1"/>
      <c r="I5580" s="7"/>
      <c r="J5580" s="12"/>
      <c r="K5580" s="13"/>
      <c r="L5580" s="14"/>
      <c r="M5580" s="15"/>
      <c r="N5580" s="15"/>
      <c r="O5580" s="16"/>
      <c r="Q5580" s="16"/>
    </row>
    <row r="5581" spans="1:17" x14ac:dyDescent="0.3">
      <c r="A5581" s="5"/>
      <c r="B5581" s="6"/>
      <c r="C5581" s="7"/>
      <c r="D5581" s="10"/>
      <c r="F5581" s="1"/>
      <c r="G5581" s="1"/>
      <c r="H5581" s="1"/>
      <c r="I5581" s="7"/>
      <c r="J5581" s="12"/>
      <c r="K5581" s="13"/>
      <c r="L5581" s="14"/>
      <c r="M5581" s="15"/>
      <c r="N5581" s="15"/>
      <c r="O5581" s="16"/>
      <c r="Q5581" s="16"/>
    </row>
    <row r="5582" spans="1:17" x14ac:dyDescent="0.3">
      <c r="A5582" s="5"/>
      <c r="B5582" s="6"/>
      <c r="C5582" s="7"/>
      <c r="D5582" s="10"/>
      <c r="F5582" s="1"/>
      <c r="G5582" s="1"/>
      <c r="H5582" s="1"/>
      <c r="I5582" s="7"/>
      <c r="J5582" s="12"/>
      <c r="K5582" s="13"/>
      <c r="L5582" s="14"/>
      <c r="M5582" s="15"/>
      <c r="N5582" s="15"/>
      <c r="O5582" s="16"/>
      <c r="Q5582" s="16"/>
    </row>
    <row r="5583" spans="1:17" x14ac:dyDescent="0.3">
      <c r="A5583" s="5"/>
      <c r="B5583" s="6"/>
      <c r="C5583" s="7"/>
      <c r="D5583" s="10"/>
      <c r="F5583" s="1"/>
      <c r="G5583" s="1"/>
      <c r="H5583" s="1"/>
      <c r="I5583" s="7"/>
      <c r="J5583" s="12"/>
      <c r="K5583" s="13"/>
      <c r="L5583" s="14"/>
      <c r="M5583" s="15"/>
      <c r="N5583" s="15"/>
      <c r="O5583" s="16"/>
      <c r="Q5583" s="16"/>
    </row>
    <row r="5584" spans="1:17" x14ac:dyDescent="0.3">
      <c r="A5584" s="5"/>
      <c r="B5584" s="6"/>
      <c r="C5584" s="7"/>
      <c r="D5584" s="10"/>
      <c r="F5584" s="1"/>
      <c r="G5584" s="1"/>
      <c r="H5584" s="1"/>
      <c r="I5584" s="7"/>
      <c r="J5584" s="12"/>
      <c r="K5584" s="13"/>
      <c r="L5584" s="14"/>
      <c r="M5584" s="15"/>
      <c r="N5584" s="15"/>
      <c r="O5584" s="16"/>
      <c r="Q5584" s="16"/>
    </row>
    <row r="5585" spans="1:17" x14ac:dyDescent="0.3">
      <c r="A5585" s="5"/>
      <c r="B5585" s="6"/>
      <c r="C5585" s="7"/>
      <c r="D5585" s="10"/>
      <c r="F5585" s="1"/>
      <c r="G5585" s="1"/>
      <c r="H5585" s="1"/>
      <c r="I5585" s="7"/>
      <c r="J5585" s="12"/>
      <c r="K5585" s="13"/>
      <c r="L5585" s="14"/>
      <c r="M5585" s="15"/>
      <c r="N5585" s="15"/>
      <c r="O5585" s="16"/>
      <c r="Q5585" s="16"/>
    </row>
    <row r="5586" spans="1:17" x14ac:dyDescent="0.3">
      <c r="A5586" s="5"/>
      <c r="B5586" s="6"/>
      <c r="C5586" s="7"/>
      <c r="D5586" s="10"/>
      <c r="F5586" s="1"/>
      <c r="G5586" s="1"/>
      <c r="H5586" s="1"/>
      <c r="I5586" s="7"/>
      <c r="J5586" s="12"/>
      <c r="K5586" s="13"/>
      <c r="L5586" s="14"/>
      <c r="M5586" s="15"/>
      <c r="N5586" s="15"/>
      <c r="O5586" s="16"/>
      <c r="Q5586" s="16"/>
    </row>
    <row r="5587" spans="1:17" x14ac:dyDescent="0.3">
      <c r="A5587" s="5"/>
      <c r="B5587" s="6"/>
      <c r="C5587" s="7"/>
      <c r="D5587" s="10"/>
      <c r="F5587" s="1"/>
      <c r="G5587" s="1"/>
      <c r="H5587" s="1"/>
      <c r="I5587" s="7"/>
      <c r="J5587" s="12"/>
      <c r="K5587" s="13"/>
      <c r="L5587" s="14"/>
      <c r="M5587" s="15"/>
      <c r="N5587" s="15"/>
      <c r="O5587" s="16"/>
      <c r="Q5587" s="16"/>
    </row>
    <row r="5588" spans="1:17" x14ac:dyDescent="0.3">
      <c r="A5588" s="5"/>
      <c r="B5588" s="6"/>
      <c r="C5588" s="7"/>
      <c r="D5588" s="10"/>
      <c r="F5588" s="1"/>
      <c r="G5588" s="1"/>
      <c r="H5588" s="1"/>
      <c r="I5588" s="7"/>
      <c r="J5588" s="12"/>
      <c r="K5588" s="13"/>
      <c r="L5588" s="14"/>
      <c r="M5588" s="15"/>
      <c r="N5588" s="15"/>
      <c r="O5588" s="16"/>
      <c r="Q5588" s="16"/>
    </row>
    <row r="5589" spans="1:17" x14ac:dyDescent="0.3">
      <c r="A5589" s="5"/>
      <c r="B5589" s="6"/>
      <c r="C5589" s="7"/>
      <c r="D5589" s="10"/>
      <c r="F5589" s="1"/>
      <c r="G5589" s="1"/>
      <c r="H5589" s="1"/>
      <c r="I5589" s="7"/>
      <c r="J5589" s="12"/>
      <c r="K5589" s="13"/>
      <c r="L5589" s="14"/>
      <c r="M5589" s="15"/>
      <c r="N5589" s="15"/>
      <c r="O5589" s="16"/>
      <c r="Q5589" s="16"/>
    </row>
    <row r="5590" spans="1:17" x14ac:dyDescent="0.3">
      <c r="A5590" s="5"/>
      <c r="B5590" s="6"/>
      <c r="C5590" s="7"/>
      <c r="D5590" s="10"/>
      <c r="F5590" s="1"/>
      <c r="G5590" s="1"/>
      <c r="H5590" s="1"/>
      <c r="I5590" s="7"/>
      <c r="J5590" s="12"/>
      <c r="K5590" s="13"/>
      <c r="L5590" s="14"/>
      <c r="M5590" s="15"/>
      <c r="N5590" s="15"/>
      <c r="O5590" s="16"/>
      <c r="Q5590" s="16"/>
    </row>
    <row r="5591" spans="1:17" x14ac:dyDescent="0.3">
      <c r="A5591" s="5"/>
      <c r="B5591" s="6"/>
      <c r="C5591" s="7"/>
      <c r="D5591" s="10"/>
      <c r="F5591" s="1"/>
      <c r="G5591" s="1"/>
      <c r="H5591" s="1"/>
      <c r="I5591" s="7"/>
      <c r="J5591" s="12"/>
      <c r="K5591" s="13"/>
      <c r="L5591" s="14"/>
      <c r="M5591" s="15"/>
      <c r="N5591" s="15"/>
      <c r="O5591" s="16"/>
      <c r="Q5591" s="16"/>
    </row>
    <row r="5592" spans="1:17" x14ac:dyDescent="0.3">
      <c r="A5592" s="5"/>
      <c r="B5592" s="6"/>
      <c r="C5592" s="7"/>
      <c r="D5592" s="10"/>
      <c r="F5592" s="1"/>
      <c r="G5592" s="1"/>
      <c r="H5592" s="1"/>
      <c r="I5592" s="7"/>
      <c r="J5592" s="12"/>
      <c r="K5592" s="13"/>
      <c r="L5592" s="14"/>
      <c r="M5592" s="15"/>
      <c r="N5592" s="15"/>
      <c r="O5592" s="16"/>
      <c r="Q5592" s="16"/>
    </row>
    <row r="5593" spans="1:17" x14ac:dyDescent="0.3">
      <c r="A5593" s="5"/>
      <c r="B5593" s="6"/>
      <c r="C5593" s="7"/>
      <c r="D5593" s="10"/>
      <c r="F5593" s="1"/>
      <c r="G5593" s="1"/>
      <c r="H5593" s="1"/>
      <c r="I5593" s="7"/>
      <c r="J5593" s="12"/>
      <c r="K5593" s="13"/>
      <c r="L5593" s="14"/>
      <c r="M5593" s="15"/>
      <c r="N5593" s="15"/>
      <c r="O5593" s="16"/>
      <c r="Q5593" s="16"/>
    </row>
    <row r="5594" spans="1:17" x14ac:dyDescent="0.3">
      <c r="A5594" s="5"/>
      <c r="B5594" s="6"/>
      <c r="C5594" s="7"/>
      <c r="D5594" s="10"/>
      <c r="F5594" s="1"/>
      <c r="G5594" s="1"/>
      <c r="H5594" s="1"/>
      <c r="I5594" s="7"/>
      <c r="J5594" s="12"/>
      <c r="K5594" s="13"/>
      <c r="L5594" s="14"/>
      <c r="M5594" s="15"/>
      <c r="N5594" s="15"/>
      <c r="O5594" s="16"/>
      <c r="Q5594" s="16"/>
    </row>
    <row r="5595" spans="1:17" x14ac:dyDescent="0.3">
      <c r="A5595" s="5"/>
      <c r="B5595" s="6"/>
      <c r="C5595" s="7"/>
      <c r="D5595" s="10"/>
      <c r="F5595" s="1"/>
      <c r="G5595" s="1"/>
      <c r="H5595" s="1"/>
      <c r="I5595" s="7"/>
      <c r="J5595" s="12"/>
      <c r="K5595" s="13"/>
      <c r="L5595" s="14"/>
      <c r="M5595" s="15"/>
      <c r="N5595" s="15"/>
      <c r="O5595" s="16"/>
      <c r="Q5595" s="16"/>
    </row>
    <row r="5596" spans="1:17" x14ac:dyDescent="0.3">
      <c r="A5596" s="5"/>
      <c r="B5596" s="6"/>
      <c r="C5596" s="7"/>
      <c r="D5596" s="10"/>
      <c r="F5596" s="1"/>
      <c r="G5596" s="1"/>
      <c r="H5596" s="1"/>
      <c r="I5596" s="7"/>
      <c r="J5596" s="12"/>
      <c r="K5596" s="13"/>
      <c r="L5596" s="14"/>
      <c r="M5596" s="15"/>
      <c r="N5596" s="15"/>
      <c r="O5596" s="16"/>
      <c r="Q5596" s="16"/>
    </row>
    <row r="5597" spans="1:17" x14ac:dyDescent="0.3">
      <c r="A5597" s="5"/>
      <c r="B5597" s="6"/>
      <c r="C5597" s="7"/>
      <c r="D5597" s="10"/>
      <c r="F5597" s="1"/>
      <c r="G5597" s="1"/>
      <c r="H5597" s="1"/>
      <c r="I5597" s="7"/>
      <c r="J5597" s="12"/>
      <c r="K5597" s="13"/>
      <c r="L5597" s="14"/>
      <c r="M5597" s="15"/>
      <c r="N5597" s="15"/>
      <c r="O5597" s="16"/>
      <c r="Q5597" s="16"/>
    </row>
    <row r="5598" spans="1:17" x14ac:dyDescent="0.3">
      <c r="A5598" s="5"/>
      <c r="B5598" s="6"/>
      <c r="C5598" s="7"/>
      <c r="D5598" s="10"/>
      <c r="F5598" s="1"/>
      <c r="G5598" s="1"/>
      <c r="H5598" s="1"/>
      <c r="I5598" s="7"/>
      <c r="J5598" s="12"/>
      <c r="K5598" s="13"/>
      <c r="L5598" s="14"/>
      <c r="M5598" s="15"/>
      <c r="N5598" s="15"/>
      <c r="O5598" s="16"/>
      <c r="Q5598" s="16"/>
    </row>
    <row r="5599" spans="1:17" x14ac:dyDescent="0.3">
      <c r="A5599" s="5"/>
      <c r="B5599" s="6"/>
      <c r="C5599" s="7"/>
      <c r="D5599" s="10"/>
      <c r="F5599" s="1"/>
      <c r="G5599" s="1"/>
      <c r="H5599" s="1"/>
      <c r="I5599" s="7"/>
      <c r="J5599" s="12"/>
      <c r="K5599" s="13"/>
      <c r="L5599" s="14"/>
      <c r="M5599" s="15"/>
      <c r="N5599" s="15"/>
      <c r="O5599" s="16"/>
      <c r="Q5599" s="16"/>
    </row>
    <row r="5600" spans="1:17" x14ac:dyDescent="0.3">
      <c r="A5600" s="5"/>
      <c r="B5600" s="6"/>
      <c r="C5600" s="7"/>
      <c r="D5600" s="10"/>
      <c r="F5600" s="1"/>
      <c r="G5600" s="1"/>
      <c r="H5600" s="1"/>
      <c r="I5600" s="7"/>
      <c r="J5600" s="12"/>
      <c r="K5600" s="13"/>
      <c r="L5600" s="14"/>
      <c r="M5600" s="15"/>
      <c r="N5600" s="15"/>
      <c r="O5600" s="16"/>
      <c r="Q5600" s="16"/>
    </row>
    <row r="5601" spans="1:17" x14ac:dyDescent="0.3">
      <c r="A5601" s="5"/>
      <c r="B5601" s="6"/>
      <c r="C5601" s="7"/>
      <c r="D5601" s="10"/>
      <c r="F5601" s="1"/>
      <c r="G5601" s="1"/>
      <c r="H5601" s="1"/>
      <c r="I5601" s="7"/>
      <c r="J5601" s="12"/>
      <c r="K5601" s="13"/>
      <c r="L5601" s="14"/>
      <c r="M5601" s="15"/>
      <c r="N5601" s="15"/>
      <c r="O5601" s="16"/>
      <c r="Q5601" s="16"/>
    </row>
    <row r="5602" spans="1:17" x14ac:dyDescent="0.3">
      <c r="A5602" s="5"/>
      <c r="B5602" s="6"/>
      <c r="C5602" s="7"/>
      <c r="D5602" s="10"/>
      <c r="F5602" s="1"/>
      <c r="G5602" s="1"/>
      <c r="H5602" s="1"/>
      <c r="I5602" s="7"/>
      <c r="J5602" s="12"/>
      <c r="K5602" s="13"/>
      <c r="L5602" s="14"/>
      <c r="M5602" s="15"/>
      <c r="N5602" s="15"/>
      <c r="O5602" s="16"/>
      <c r="Q5602" s="16"/>
    </row>
    <row r="5603" spans="1:17" x14ac:dyDescent="0.3">
      <c r="A5603" s="5"/>
      <c r="B5603" s="6"/>
      <c r="C5603" s="7"/>
      <c r="D5603" s="10"/>
      <c r="F5603" s="1"/>
      <c r="G5603" s="1"/>
      <c r="H5603" s="1"/>
      <c r="I5603" s="7"/>
      <c r="J5603" s="12"/>
      <c r="K5603" s="13"/>
      <c r="L5603" s="14"/>
      <c r="M5603" s="15"/>
      <c r="N5603" s="15"/>
      <c r="O5603" s="16"/>
      <c r="Q5603" s="16"/>
    </row>
    <row r="5604" spans="1:17" x14ac:dyDescent="0.3">
      <c r="A5604" s="5"/>
      <c r="B5604" s="6"/>
      <c r="C5604" s="7"/>
      <c r="D5604" s="10"/>
      <c r="F5604" s="1"/>
      <c r="G5604" s="1"/>
      <c r="H5604" s="1"/>
      <c r="I5604" s="7"/>
      <c r="J5604" s="12"/>
      <c r="K5604" s="13"/>
      <c r="L5604" s="14"/>
      <c r="M5604" s="15"/>
      <c r="N5604" s="15"/>
      <c r="O5604" s="16"/>
      <c r="Q5604" s="16"/>
    </row>
    <row r="5605" spans="1:17" x14ac:dyDescent="0.3">
      <c r="A5605" s="5"/>
      <c r="B5605" s="6"/>
      <c r="C5605" s="7"/>
      <c r="D5605" s="10"/>
      <c r="F5605" s="1"/>
      <c r="G5605" s="1"/>
      <c r="H5605" s="1"/>
      <c r="I5605" s="7"/>
      <c r="J5605" s="12"/>
      <c r="K5605" s="13"/>
      <c r="L5605" s="14"/>
      <c r="M5605" s="15"/>
      <c r="N5605" s="15"/>
      <c r="O5605" s="16"/>
      <c r="Q5605" s="16"/>
    </row>
    <row r="5606" spans="1:17" x14ac:dyDescent="0.3">
      <c r="A5606" s="5"/>
      <c r="B5606" s="6"/>
      <c r="C5606" s="7"/>
      <c r="D5606" s="10"/>
      <c r="F5606" s="1"/>
      <c r="G5606" s="1"/>
      <c r="H5606" s="1"/>
      <c r="I5606" s="7"/>
      <c r="J5606" s="12"/>
      <c r="K5606" s="13"/>
      <c r="L5606" s="14"/>
      <c r="M5606" s="15"/>
      <c r="N5606" s="15"/>
      <c r="O5606" s="16"/>
      <c r="Q5606" s="16"/>
    </row>
    <row r="5607" spans="1:17" x14ac:dyDescent="0.3">
      <c r="A5607" s="5"/>
      <c r="B5607" s="6"/>
      <c r="C5607" s="7"/>
      <c r="D5607" s="10"/>
      <c r="F5607" s="1"/>
      <c r="G5607" s="1"/>
      <c r="H5607" s="1"/>
      <c r="I5607" s="7"/>
      <c r="J5607" s="12"/>
      <c r="K5607" s="13"/>
      <c r="L5607" s="14"/>
      <c r="M5607" s="15"/>
      <c r="N5607" s="15"/>
      <c r="O5607" s="16"/>
      <c r="Q5607" s="16"/>
    </row>
    <row r="5608" spans="1:17" x14ac:dyDescent="0.3">
      <c r="A5608" s="5"/>
      <c r="B5608" s="6"/>
      <c r="C5608" s="7"/>
      <c r="D5608" s="10"/>
      <c r="F5608" s="1"/>
      <c r="G5608" s="1"/>
      <c r="H5608" s="1"/>
      <c r="I5608" s="7"/>
      <c r="J5608" s="12"/>
      <c r="K5608" s="13"/>
      <c r="L5608" s="14"/>
      <c r="M5608" s="15"/>
      <c r="N5608" s="15"/>
      <c r="O5608" s="16"/>
      <c r="Q5608" s="16"/>
    </row>
    <row r="5609" spans="1:17" x14ac:dyDescent="0.3">
      <c r="A5609" s="5"/>
      <c r="B5609" s="6"/>
      <c r="C5609" s="7"/>
      <c r="D5609" s="10"/>
      <c r="F5609" s="1"/>
      <c r="G5609" s="1"/>
      <c r="H5609" s="1"/>
      <c r="I5609" s="7"/>
      <c r="J5609" s="12"/>
      <c r="K5609" s="13"/>
      <c r="L5609" s="14"/>
      <c r="M5609" s="15"/>
      <c r="N5609" s="15"/>
      <c r="O5609" s="16"/>
      <c r="Q5609" s="16"/>
    </row>
    <row r="5610" spans="1:17" x14ac:dyDescent="0.3">
      <c r="A5610" s="5"/>
      <c r="B5610" s="6"/>
      <c r="C5610" s="7"/>
      <c r="D5610" s="10"/>
      <c r="F5610" s="1"/>
      <c r="G5610" s="1"/>
      <c r="H5610" s="1"/>
      <c r="I5610" s="7"/>
      <c r="J5610" s="12"/>
      <c r="K5610" s="13"/>
      <c r="L5610" s="14"/>
      <c r="M5610" s="15"/>
      <c r="N5610" s="15"/>
      <c r="O5610" s="16"/>
      <c r="Q5610" s="16"/>
    </row>
    <row r="5611" spans="1:17" x14ac:dyDescent="0.3">
      <c r="A5611" s="5"/>
      <c r="B5611" s="6"/>
      <c r="C5611" s="7"/>
      <c r="D5611" s="10"/>
      <c r="F5611" s="1"/>
      <c r="G5611" s="1"/>
      <c r="H5611" s="1"/>
      <c r="I5611" s="7"/>
      <c r="J5611" s="12"/>
      <c r="K5611" s="13"/>
      <c r="L5611" s="14"/>
      <c r="M5611" s="15"/>
      <c r="N5611" s="15"/>
      <c r="O5611" s="16"/>
      <c r="Q5611" s="16"/>
    </row>
    <row r="5612" spans="1:17" x14ac:dyDescent="0.3">
      <c r="A5612" s="5"/>
      <c r="B5612" s="6"/>
      <c r="C5612" s="7"/>
      <c r="D5612" s="10"/>
      <c r="F5612" s="1"/>
      <c r="G5612" s="1"/>
      <c r="H5612" s="1"/>
      <c r="I5612" s="7"/>
      <c r="J5612" s="12"/>
      <c r="K5612" s="13"/>
      <c r="L5612" s="14"/>
      <c r="M5612" s="15"/>
      <c r="N5612" s="15"/>
      <c r="O5612" s="16"/>
      <c r="Q5612" s="16"/>
    </row>
    <row r="5613" spans="1:17" x14ac:dyDescent="0.3">
      <c r="A5613" s="5"/>
      <c r="B5613" s="6"/>
      <c r="C5613" s="7"/>
      <c r="D5613" s="10"/>
      <c r="F5613" s="1"/>
      <c r="G5613" s="1"/>
      <c r="H5613" s="1"/>
      <c r="I5613" s="7"/>
      <c r="J5613" s="12"/>
      <c r="K5613" s="13"/>
      <c r="L5613" s="14"/>
      <c r="M5613" s="15"/>
      <c r="N5613" s="15"/>
      <c r="O5613" s="16"/>
      <c r="Q5613" s="16"/>
    </row>
    <row r="5614" spans="1:17" x14ac:dyDescent="0.3">
      <c r="A5614" s="5"/>
      <c r="B5614" s="6"/>
      <c r="C5614" s="7"/>
      <c r="D5614" s="10"/>
      <c r="F5614" s="1"/>
      <c r="G5614" s="1"/>
      <c r="H5614" s="1"/>
      <c r="I5614" s="7"/>
      <c r="J5614" s="12"/>
      <c r="K5614" s="13"/>
      <c r="L5614" s="14"/>
      <c r="M5614" s="15"/>
      <c r="N5614" s="15"/>
      <c r="O5614" s="16"/>
      <c r="Q5614" s="16"/>
    </row>
    <row r="5615" spans="1:17" x14ac:dyDescent="0.3">
      <c r="A5615" s="5"/>
      <c r="B5615" s="6"/>
      <c r="C5615" s="7"/>
      <c r="D5615" s="10"/>
      <c r="F5615" s="1"/>
      <c r="G5615" s="1"/>
      <c r="H5615" s="1"/>
      <c r="I5615" s="7"/>
      <c r="J5615" s="12"/>
      <c r="K5615" s="13"/>
      <c r="L5615" s="14"/>
      <c r="M5615" s="15"/>
      <c r="N5615" s="15"/>
      <c r="O5615" s="16"/>
      <c r="Q5615" s="16"/>
    </row>
    <row r="5616" spans="1:17" x14ac:dyDescent="0.3">
      <c r="A5616" s="5"/>
      <c r="B5616" s="6"/>
      <c r="C5616" s="7"/>
      <c r="D5616" s="10"/>
      <c r="F5616" s="1"/>
      <c r="G5616" s="1"/>
      <c r="H5616" s="1"/>
      <c r="I5616" s="7"/>
      <c r="J5616" s="12"/>
      <c r="K5616" s="13"/>
      <c r="L5616" s="14"/>
      <c r="M5616" s="15"/>
      <c r="N5616" s="15"/>
      <c r="O5616" s="16"/>
      <c r="Q5616" s="16"/>
    </row>
    <row r="5617" spans="1:17" x14ac:dyDescent="0.3">
      <c r="A5617" s="5"/>
      <c r="B5617" s="6"/>
      <c r="C5617" s="7"/>
      <c r="D5617" s="10"/>
      <c r="F5617" s="1"/>
      <c r="G5617" s="1"/>
      <c r="H5617" s="1"/>
      <c r="I5617" s="7"/>
      <c r="J5617" s="12"/>
      <c r="K5617" s="13"/>
      <c r="L5617" s="14"/>
      <c r="M5617" s="15"/>
      <c r="N5617" s="15"/>
      <c r="O5617" s="16"/>
      <c r="Q5617" s="16"/>
    </row>
    <row r="5618" spans="1:17" x14ac:dyDescent="0.3">
      <c r="A5618" s="5"/>
      <c r="B5618" s="6"/>
      <c r="C5618" s="7"/>
      <c r="D5618" s="10"/>
      <c r="F5618" s="1"/>
      <c r="G5618" s="1"/>
      <c r="H5618" s="1"/>
      <c r="I5618" s="7"/>
      <c r="J5618" s="12"/>
      <c r="K5618" s="13"/>
      <c r="L5618" s="14"/>
      <c r="M5618" s="15"/>
      <c r="N5618" s="15"/>
      <c r="O5618" s="16"/>
      <c r="Q5618" s="16"/>
    </row>
    <row r="5619" spans="1:17" x14ac:dyDescent="0.3">
      <c r="A5619" s="5"/>
      <c r="B5619" s="6"/>
      <c r="C5619" s="7"/>
      <c r="D5619" s="10"/>
      <c r="F5619" s="1"/>
      <c r="G5619" s="1"/>
      <c r="H5619" s="1"/>
      <c r="I5619" s="7"/>
      <c r="J5619" s="12"/>
      <c r="K5619" s="13"/>
      <c r="L5619" s="14"/>
      <c r="M5619" s="15"/>
      <c r="N5619" s="15"/>
      <c r="O5619" s="16"/>
      <c r="Q5619" s="16"/>
    </row>
    <row r="5620" spans="1:17" x14ac:dyDescent="0.3">
      <c r="A5620" s="5"/>
      <c r="B5620" s="6"/>
      <c r="C5620" s="7"/>
      <c r="D5620" s="10"/>
      <c r="F5620" s="1"/>
      <c r="G5620" s="1"/>
      <c r="H5620" s="1"/>
      <c r="I5620" s="7"/>
      <c r="J5620" s="12"/>
      <c r="K5620" s="13"/>
      <c r="L5620" s="14"/>
      <c r="M5620" s="15"/>
      <c r="N5620" s="15"/>
      <c r="O5620" s="16"/>
      <c r="Q5620" s="16"/>
    </row>
    <row r="5621" spans="1:17" x14ac:dyDescent="0.3">
      <c r="A5621" s="5"/>
      <c r="B5621" s="6"/>
      <c r="C5621" s="7"/>
      <c r="D5621" s="10"/>
      <c r="F5621" s="1"/>
      <c r="G5621" s="1"/>
      <c r="H5621" s="1"/>
      <c r="I5621" s="7"/>
      <c r="J5621" s="12"/>
      <c r="K5621" s="13"/>
      <c r="L5621" s="14"/>
      <c r="M5621" s="15"/>
      <c r="N5621" s="15"/>
      <c r="O5621" s="16"/>
      <c r="Q5621" s="16"/>
    </row>
    <row r="5622" spans="1:17" x14ac:dyDescent="0.3">
      <c r="A5622" s="5"/>
      <c r="B5622" s="6"/>
      <c r="C5622" s="7"/>
      <c r="D5622" s="10"/>
      <c r="F5622" s="1"/>
      <c r="G5622" s="1"/>
      <c r="H5622" s="1"/>
      <c r="I5622" s="7"/>
      <c r="J5622" s="12"/>
      <c r="K5622" s="13"/>
      <c r="L5622" s="14"/>
      <c r="M5622" s="15"/>
      <c r="N5622" s="15"/>
      <c r="O5622" s="16"/>
      <c r="Q5622" s="16"/>
    </row>
    <row r="5623" spans="1:17" x14ac:dyDescent="0.3">
      <c r="A5623" s="5"/>
      <c r="B5623" s="6"/>
      <c r="C5623" s="7"/>
      <c r="D5623" s="10"/>
      <c r="F5623" s="1"/>
      <c r="G5623" s="1"/>
      <c r="H5623" s="1"/>
      <c r="I5623" s="7"/>
      <c r="J5623" s="12"/>
      <c r="K5623" s="13"/>
      <c r="L5623" s="14"/>
      <c r="M5623" s="15"/>
      <c r="N5623" s="15"/>
      <c r="O5623" s="16"/>
      <c r="Q5623" s="16"/>
    </row>
    <row r="5624" spans="1:17" x14ac:dyDescent="0.3">
      <c r="A5624" s="5"/>
      <c r="B5624" s="6"/>
      <c r="C5624" s="7"/>
      <c r="D5624" s="10"/>
      <c r="F5624" s="1"/>
      <c r="G5624" s="1"/>
      <c r="H5624" s="1"/>
      <c r="I5624" s="7"/>
      <c r="J5624" s="12"/>
      <c r="K5624" s="13"/>
      <c r="L5624" s="14"/>
      <c r="M5624" s="15"/>
      <c r="N5624" s="15"/>
      <c r="O5624" s="16"/>
      <c r="Q5624" s="16"/>
    </row>
    <row r="5625" spans="1:17" x14ac:dyDescent="0.3">
      <c r="A5625" s="5"/>
      <c r="B5625" s="6"/>
      <c r="C5625" s="7"/>
      <c r="D5625" s="10"/>
      <c r="F5625" s="1"/>
      <c r="G5625" s="1"/>
      <c r="H5625" s="1"/>
      <c r="I5625" s="7"/>
      <c r="J5625" s="12"/>
      <c r="K5625" s="13"/>
      <c r="L5625" s="14"/>
      <c r="M5625" s="15"/>
      <c r="N5625" s="15"/>
      <c r="O5625" s="16"/>
      <c r="Q5625" s="16"/>
    </row>
    <row r="5626" spans="1:17" x14ac:dyDescent="0.3">
      <c r="A5626" s="5"/>
      <c r="B5626" s="6"/>
      <c r="C5626" s="7"/>
      <c r="D5626" s="10"/>
      <c r="F5626" s="1"/>
      <c r="G5626" s="1"/>
      <c r="H5626" s="1"/>
      <c r="I5626" s="7"/>
      <c r="J5626" s="12"/>
      <c r="K5626" s="13"/>
      <c r="L5626" s="14"/>
      <c r="M5626" s="15"/>
      <c r="N5626" s="15"/>
      <c r="O5626" s="16"/>
      <c r="Q5626" s="16"/>
    </row>
    <row r="5627" spans="1:17" x14ac:dyDescent="0.3">
      <c r="A5627" s="5"/>
      <c r="B5627" s="6"/>
      <c r="C5627" s="7"/>
      <c r="D5627" s="10"/>
      <c r="F5627" s="1"/>
      <c r="G5627" s="1"/>
      <c r="H5627" s="1"/>
      <c r="I5627" s="7"/>
      <c r="J5627" s="12"/>
      <c r="K5627" s="13"/>
      <c r="L5627" s="14"/>
      <c r="M5627" s="15"/>
      <c r="N5627" s="15"/>
      <c r="O5627" s="16"/>
      <c r="Q5627" s="16"/>
    </row>
    <row r="5628" spans="1:17" x14ac:dyDescent="0.3">
      <c r="A5628" s="5"/>
      <c r="B5628" s="6"/>
      <c r="C5628" s="7"/>
      <c r="D5628" s="10"/>
      <c r="F5628" s="1"/>
      <c r="G5628" s="1"/>
      <c r="H5628" s="1"/>
      <c r="I5628" s="7"/>
      <c r="J5628" s="12"/>
      <c r="K5628" s="13"/>
      <c r="L5628" s="14"/>
      <c r="M5628" s="15"/>
      <c r="N5628" s="15"/>
      <c r="O5628" s="16"/>
      <c r="Q5628" s="16"/>
    </row>
    <row r="5629" spans="1:17" x14ac:dyDescent="0.3">
      <c r="A5629" s="5"/>
      <c r="B5629" s="6"/>
      <c r="C5629" s="7"/>
      <c r="D5629" s="10"/>
      <c r="F5629" s="1"/>
      <c r="G5629" s="1"/>
      <c r="H5629" s="1"/>
      <c r="I5629" s="7"/>
      <c r="J5629" s="12"/>
      <c r="K5629" s="13"/>
      <c r="L5629" s="14"/>
      <c r="M5629" s="15"/>
      <c r="N5629" s="15"/>
      <c r="O5629" s="16"/>
      <c r="Q5629" s="16"/>
    </row>
    <row r="5630" spans="1:17" x14ac:dyDescent="0.3">
      <c r="A5630" s="5"/>
      <c r="B5630" s="6"/>
      <c r="C5630" s="7"/>
      <c r="D5630" s="10"/>
      <c r="F5630" s="1"/>
      <c r="G5630" s="1"/>
      <c r="H5630" s="1"/>
      <c r="I5630" s="7"/>
      <c r="J5630" s="12"/>
      <c r="K5630" s="13"/>
      <c r="L5630" s="14"/>
      <c r="M5630" s="15"/>
      <c r="N5630" s="15"/>
      <c r="O5630" s="16"/>
      <c r="Q5630" s="16"/>
    </row>
    <row r="5631" spans="1:17" x14ac:dyDescent="0.3">
      <c r="A5631" s="5"/>
      <c r="B5631" s="6"/>
      <c r="C5631" s="7"/>
      <c r="D5631" s="10"/>
      <c r="F5631" s="1"/>
      <c r="G5631" s="1"/>
      <c r="H5631" s="1"/>
      <c r="I5631" s="7"/>
      <c r="J5631" s="12"/>
      <c r="K5631" s="13"/>
      <c r="L5631" s="14"/>
      <c r="M5631" s="15"/>
      <c r="N5631" s="15"/>
      <c r="O5631" s="16"/>
      <c r="Q5631" s="16"/>
    </row>
    <row r="5632" spans="1:17" x14ac:dyDescent="0.3">
      <c r="A5632" s="5"/>
      <c r="B5632" s="6"/>
      <c r="C5632" s="7"/>
      <c r="D5632" s="10"/>
      <c r="F5632" s="1"/>
      <c r="G5632" s="1"/>
      <c r="H5632" s="1"/>
      <c r="I5632" s="7"/>
      <c r="J5632" s="12"/>
      <c r="K5632" s="13"/>
      <c r="L5632" s="14"/>
      <c r="M5632" s="15"/>
      <c r="N5632" s="15"/>
      <c r="O5632" s="16"/>
      <c r="Q5632" s="16"/>
    </row>
    <row r="5633" spans="1:17" x14ac:dyDescent="0.3">
      <c r="A5633" s="5"/>
      <c r="B5633" s="6"/>
      <c r="C5633" s="7"/>
      <c r="D5633" s="10"/>
      <c r="F5633" s="1"/>
      <c r="G5633" s="1"/>
      <c r="H5633" s="1"/>
      <c r="I5633" s="7"/>
      <c r="J5633" s="12"/>
      <c r="K5633" s="13"/>
      <c r="L5633" s="14"/>
      <c r="M5633" s="15"/>
      <c r="N5633" s="15"/>
      <c r="O5633" s="16"/>
      <c r="Q5633" s="16"/>
    </row>
    <row r="5634" spans="1:17" x14ac:dyDescent="0.3">
      <c r="A5634" s="5"/>
      <c r="B5634" s="6"/>
      <c r="C5634" s="7"/>
      <c r="D5634" s="10"/>
      <c r="F5634" s="1"/>
      <c r="G5634" s="1"/>
      <c r="H5634" s="1"/>
      <c r="I5634" s="7"/>
      <c r="J5634" s="12"/>
      <c r="K5634" s="13"/>
      <c r="L5634" s="14"/>
      <c r="M5634" s="15"/>
      <c r="N5634" s="15"/>
      <c r="O5634" s="16"/>
      <c r="Q5634" s="16"/>
    </row>
    <row r="5635" spans="1:17" x14ac:dyDescent="0.3">
      <c r="A5635" s="5"/>
      <c r="B5635" s="6"/>
      <c r="C5635" s="7"/>
      <c r="D5635" s="10"/>
      <c r="F5635" s="1"/>
      <c r="G5635" s="1"/>
      <c r="H5635" s="1"/>
      <c r="I5635" s="7"/>
      <c r="J5635" s="12"/>
      <c r="K5635" s="13"/>
      <c r="L5635" s="14"/>
      <c r="M5635" s="15"/>
      <c r="N5635" s="15"/>
      <c r="O5635" s="16"/>
      <c r="Q5635" s="16"/>
    </row>
    <row r="5636" spans="1:17" x14ac:dyDescent="0.3">
      <c r="A5636" s="5"/>
      <c r="B5636" s="6"/>
      <c r="C5636" s="7"/>
      <c r="D5636" s="10"/>
      <c r="F5636" s="1"/>
      <c r="G5636" s="1"/>
      <c r="H5636" s="1"/>
      <c r="I5636" s="7"/>
      <c r="J5636" s="12"/>
      <c r="K5636" s="13"/>
      <c r="L5636" s="14"/>
      <c r="M5636" s="15"/>
      <c r="N5636" s="15"/>
      <c r="O5636" s="16"/>
      <c r="Q5636" s="16"/>
    </row>
    <row r="5637" spans="1:17" x14ac:dyDescent="0.3">
      <c r="A5637" s="5"/>
      <c r="B5637" s="6"/>
      <c r="C5637" s="7"/>
      <c r="D5637" s="10"/>
      <c r="F5637" s="1"/>
      <c r="G5637" s="1"/>
      <c r="H5637" s="1"/>
      <c r="I5637" s="7"/>
      <c r="J5637" s="12"/>
      <c r="K5637" s="13"/>
      <c r="L5637" s="14"/>
      <c r="M5637" s="15"/>
      <c r="N5637" s="15"/>
      <c r="O5637" s="16"/>
      <c r="Q5637" s="16"/>
    </row>
    <row r="5638" spans="1:17" x14ac:dyDescent="0.3">
      <c r="A5638" s="5"/>
      <c r="B5638" s="6"/>
      <c r="C5638" s="7"/>
      <c r="D5638" s="10"/>
      <c r="F5638" s="1"/>
      <c r="G5638" s="1"/>
      <c r="H5638" s="1"/>
      <c r="I5638" s="7"/>
      <c r="J5638" s="12"/>
      <c r="K5638" s="13"/>
      <c r="L5638" s="14"/>
      <c r="M5638" s="15"/>
      <c r="N5638" s="15"/>
      <c r="O5638" s="16"/>
      <c r="Q5638" s="16"/>
    </row>
    <row r="5639" spans="1:17" x14ac:dyDescent="0.3">
      <c r="A5639" s="5"/>
      <c r="B5639" s="6"/>
      <c r="C5639" s="7"/>
      <c r="D5639" s="10"/>
      <c r="F5639" s="1"/>
      <c r="G5639" s="1"/>
      <c r="H5639" s="1"/>
      <c r="I5639" s="7"/>
      <c r="J5639" s="12"/>
      <c r="K5639" s="13"/>
      <c r="L5639" s="14"/>
      <c r="M5639" s="15"/>
      <c r="N5639" s="15"/>
      <c r="O5639" s="16"/>
      <c r="Q5639" s="16"/>
    </row>
    <row r="5640" spans="1:17" x14ac:dyDescent="0.3">
      <c r="A5640" s="5"/>
      <c r="B5640" s="6"/>
      <c r="C5640" s="7"/>
      <c r="D5640" s="10"/>
      <c r="F5640" s="1"/>
      <c r="G5640" s="1"/>
      <c r="H5640" s="1"/>
      <c r="I5640" s="7"/>
      <c r="J5640" s="12"/>
      <c r="K5640" s="13"/>
      <c r="L5640" s="14"/>
      <c r="M5640" s="15"/>
      <c r="N5640" s="15"/>
      <c r="O5640" s="16"/>
      <c r="Q5640" s="16"/>
    </row>
    <row r="5641" spans="1:17" x14ac:dyDescent="0.3">
      <c r="A5641" s="5"/>
      <c r="B5641" s="6"/>
      <c r="C5641" s="7"/>
      <c r="D5641" s="10"/>
      <c r="F5641" s="1"/>
      <c r="G5641" s="1"/>
      <c r="H5641" s="1"/>
      <c r="I5641" s="7"/>
      <c r="J5641" s="12"/>
      <c r="K5641" s="13"/>
      <c r="L5641" s="14"/>
      <c r="M5641" s="15"/>
      <c r="N5641" s="15"/>
      <c r="O5641" s="16"/>
      <c r="Q5641" s="16"/>
    </row>
    <row r="5642" spans="1:17" x14ac:dyDescent="0.3">
      <c r="A5642" s="5"/>
      <c r="B5642" s="6"/>
      <c r="C5642" s="7"/>
      <c r="D5642" s="10"/>
      <c r="F5642" s="1"/>
      <c r="G5642" s="1"/>
      <c r="H5642" s="1"/>
      <c r="I5642" s="7"/>
      <c r="J5642" s="12"/>
      <c r="K5642" s="13"/>
      <c r="L5642" s="14"/>
      <c r="M5642" s="15"/>
      <c r="N5642" s="15"/>
      <c r="O5642" s="16"/>
      <c r="Q5642" s="16"/>
    </row>
    <row r="5643" spans="1:17" x14ac:dyDescent="0.3">
      <c r="A5643" s="5"/>
      <c r="B5643" s="6"/>
      <c r="C5643" s="7"/>
      <c r="D5643" s="10"/>
      <c r="F5643" s="1"/>
      <c r="G5643" s="1"/>
      <c r="H5643" s="1"/>
      <c r="I5643" s="7"/>
      <c r="J5643" s="12"/>
      <c r="K5643" s="13"/>
      <c r="L5643" s="14"/>
      <c r="M5643" s="15"/>
      <c r="N5643" s="15"/>
      <c r="O5643" s="16"/>
      <c r="Q5643" s="16"/>
    </row>
    <row r="5644" spans="1:17" x14ac:dyDescent="0.3">
      <c r="A5644" s="5"/>
      <c r="B5644" s="6"/>
      <c r="C5644" s="7"/>
      <c r="D5644" s="10"/>
      <c r="F5644" s="1"/>
      <c r="G5644" s="1"/>
      <c r="H5644" s="1"/>
      <c r="I5644" s="7"/>
      <c r="J5644" s="12"/>
      <c r="K5644" s="13"/>
      <c r="L5644" s="14"/>
      <c r="M5644" s="15"/>
      <c r="N5644" s="15"/>
      <c r="O5644" s="16"/>
      <c r="Q5644" s="16"/>
    </row>
    <row r="5645" spans="1:17" x14ac:dyDescent="0.3">
      <c r="A5645" s="5"/>
      <c r="B5645" s="6"/>
      <c r="C5645" s="7"/>
      <c r="D5645" s="10"/>
      <c r="F5645" s="1"/>
      <c r="G5645" s="1"/>
      <c r="H5645" s="1"/>
      <c r="I5645" s="7"/>
      <c r="J5645" s="12"/>
      <c r="K5645" s="13"/>
      <c r="L5645" s="14"/>
      <c r="M5645" s="15"/>
      <c r="N5645" s="15"/>
      <c r="O5645" s="16"/>
      <c r="Q5645" s="16"/>
    </row>
    <row r="5646" spans="1:17" x14ac:dyDescent="0.3">
      <c r="A5646" s="5"/>
      <c r="B5646" s="6"/>
      <c r="C5646" s="7"/>
      <c r="D5646" s="10"/>
      <c r="F5646" s="1"/>
      <c r="G5646" s="1"/>
      <c r="H5646" s="1"/>
      <c r="I5646" s="7"/>
      <c r="J5646" s="12"/>
      <c r="K5646" s="13"/>
      <c r="L5646" s="14"/>
      <c r="M5646" s="15"/>
      <c r="N5646" s="15"/>
      <c r="O5646" s="16"/>
      <c r="Q5646" s="16"/>
    </row>
    <row r="5647" spans="1:17" x14ac:dyDescent="0.3">
      <c r="A5647" s="5"/>
      <c r="B5647" s="6"/>
      <c r="C5647" s="7"/>
      <c r="D5647" s="10"/>
      <c r="F5647" s="1"/>
      <c r="G5647" s="1"/>
      <c r="H5647" s="1"/>
      <c r="I5647" s="7"/>
      <c r="J5647" s="12"/>
      <c r="K5647" s="13"/>
      <c r="L5647" s="14"/>
      <c r="M5647" s="15"/>
      <c r="N5647" s="15"/>
      <c r="O5647" s="16"/>
      <c r="Q5647" s="16"/>
    </row>
    <row r="5648" spans="1:17" x14ac:dyDescent="0.3">
      <c r="A5648" s="5"/>
      <c r="B5648" s="6"/>
      <c r="C5648" s="7"/>
      <c r="D5648" s="10"/>
      <c r="F5648" s="1"/>
      <c r="G5648" s="1"/>
      <c r="H5648" s="1"/>
      <c r="I5648" s="7"/>
      <c r="J5648" s="12"/>
      <c r="K5648" s="13"/>
      <c r="L5648" s="14"/>
      <c r="M5648" s="15"/>
      <c r="N5648" s="15"/>
      <c r="O5648" s="16"/>
      <c r="Q5648" s="16"/>
    </row>
    <row r="5649" spans="1:17" x14ac:dyDescent="0.3">
      <c r="A5649" s="5"/>
      <c r="B5649" s="6"/>
      <c r="C5649" s="7"/>
      <c r="D5649" s="10"/>
      <c r="F5649" s="1"/>
      <c r="G5649" s="1"/>
      <c r="H5649" s="1"/>
      <c r="I5649" s="7"/>
      <c r="J5649" s="12"/>
      <c r="K5649" s="13"/>
      <c r="L5649" s="14"/>
      <c r="M5649" s="15"/>
      <c r="N5649" s="15"/>
      <c r="O5649" s="16"/>
      <c r="Q5649" s="16"/>
    </row>
    <row r="5650" spans="1:17" x14ac:dyDescent="0.3">
      <c r="A5650" s="5"/>
      <c r="B5650" s="6"/>
      <c r="C5650" s="7"/>
      <c r="D5650" s="10"/>
      <c r="F5650" s="1"/>
      <c r="G5650" s="1"/>
      <c r="H5650" s="1"/>
      <c r="I5650" s="7"/>
      <c r="J5650" s="12"/>
      <c r="K5650" s="13"/>
      <c r="L5650" s="14"/>
      <c r="M5650" s="15"/>
      <c r="N5650" s="15"/>
      <c r="O5650" s="16"/>
      <c r="Q5650" s="16"/>
    </row>
    <row r="5651" spans="1:17" x14ac:dyDescent="0.3">
      <c r="A5651" s="5"/>
      <c r="B5651" s="6"/>
      <c r="C5651" s="7"/>
      <c r="D5651" s="10"/>
      <c r="F5651" s="1"/>
      <c r="G5651" s="1"/>
      <c r="H5651" s="1"/>
      <c r="I5651" s="7"/>
      <c r="J5651" s="12"/>
      <c r="K5651" s="13"/>
      <c r="L5651" s="14"/>
      <c r="M5651" s="15"/>
      <c r="N5651" s="15"/>
      <c r="O5651" s="16"/>
      <c r="Q5651" s="16"/>
    </row>
    <row r="5652" spans="1:17" x14ac:dyDescent="0.3">
      <c r="A5652" s="5"/>
      <c r="B5652" s="6"/>
      <c r="C5652" s="7"/>
      <c r="D5652" s="10"/>
      <c r="F5652" s="1"/>
      <c r="G5652" s="1"/>
      <c r="H5652" s="1"/>
      <c r="I5652" s="7"/>
      <c r="J5652" s="12"/>
      <c r="K5652" s="13"/>
      <c r="L5652" s="14"/>
      <c r="M5652" s="15"/>
      <c r="N5652" s="15"/>
      <c r="O5652" s="16"/>
      <c r="Q5652" s="16"/>
    </row>
    <row r="5653" spans="1:17" x14ac:dyDescent="0.3">
      <c r="A5653" s="5"/>
      <c r="B5653" s="6"/>
      <c r="C5653" s="7"/>
      <c r="D5653" s="10"/>
      <c r="F5653" s="1"/>
      <c r="G5653" s="1"/>
      <c r="H5653" s="1"/>
      <c r="I5653" s="7"/>
      <c r="J5653" s="12"/>
      <c r="K5653" s="13"/>
      <c r="L5653" s="14"/>
      <c r="M5653" s="15"/>
      <c r="N5653" s="15"/>
      <c r="O5653" s="16"/>
      <c r="Q5653" s="16"/>
    </row>
    <row r="5654" spans="1:17" x14ac:dyDescent="0.3">
      <c r="A5654" s="5"/>
      <c r="B5654" s="6"/>
      <c r="C5654" s="7"/>
      <c r="D5654" s="10"/>
      <c r="F5654" s="1"/>
      <c r="G5654" s="1"/>
      <c r="H5654" s="1"/>
      <c r="I5654" s="7"/>
      <c r="J5654" s="12"/>
      <c r="K5654" s="13"/>
      <c r="L5654" s="14"/>
      <c r="M5654" s="15"/>
      <c r="N5654" s="15"/>
      <c r="O5654" s="16"/>
      <c r="Q5654" s="16"/>
    </row>
    <row r="5655" spans="1:17" x14ac:dyDescent="0.3">
      <c r="A5655" s="5"/>
      <c r="B5655" s="6"/>
      <c r="C5655" s="7"/>
      <c r="D5655" s="10"/>
      <c r="F5655" s="1"/>
      <c r="G5655" s="1"/>
      <c r="H5655" s="1"/>
      <c r="I5655" s="7"/>
      <c r="J5655" s="12"/>
      <c r="K5655" s="13"/>
      <c r="L5655" s="14"/>
      <c r="M5655" s="15"/>
      <c r="N5655" s="15"/>
      <c r="O5655" s="16"/>
      <c r="Q5655" s="16"/>
    </row>
    <row r="5656" spans="1:17" x14ac:dyDescent="0.3">
      <c r="A5656" s="5"/>
      <c r="B5656" s="6"/>
      <c r="C5656" s="7"/>
      <c r="D5656" s="10"/>
      <c r="F5656" s="1"/>
      <c r="G5656" s="1"/>
      <c r="H5656" s="1"/>
      <c r="I5656" s="7"/>
      <c r="J5656" s="12"/>
      <c r="K5656" s="13"/>
      <c r="L5656" s="14"/>
      <c r="M5656" s="15"/>
      <c r="N5656" s="15"/>
      <c r="O5656" s="16"/>
      <c r="Q5656" s="16"/>
    </row>
    <row r="5657" spans="1:17" x14ac:dyDescent="0.3">
      <c r="A5657" s="5"/>
      <c r="B5657" s="6"/>
      <c r="C5657" s="7"/>
      <c r="D5657" s="10"/>
      <c r="F5657" s="1"/>
      <c r="G5657" s="1"/>
      <c r="H5657" s="1"/>
      <c r="I5657" s="7"/>
      <c r="J5657" s="12"/>
      <c r="K5657" s="13"/>
      <c r="L5657" s="14"/>
      <c r="M5657" s="15"/>
      <c r="N5657" s="15"/>
      <c r="O5657" s="16"/>
      <c r="Q5657" s="16"/>
    </row>
    <row r="5658" spans="1:17" x14ac:dyDescent="0.3">
      <c r="A5658" s="5"/>
      <c r="B5658" s="6"/>
      <c r="C5658" s="7"/>
      <c r="D5658" s="10"/>
      <c r="F5658" s="1"/>
      <c r="G5658" s="1"/>
      <c r="H5658" s="1"/>
      <c r="I5658" s="7"/>
      <c r="J5658" s="12"/>
      <c r="K5658" s="13"/>
      <c r="L5658" s="14"/>
      <c r="M5658" s="15"/>
      <c r="N5658" s="15"/>
      <c r="O5658" s="16"/>
      <c r="Q5658" s="16"/>
    </row>
    <row r="5659" spans="1:17" x14ac:dyDescent="0.3">
      <c r="A5659" s="5"/>
      <c r="B5659" s="6"/>
      <c r="C5659" s="7"/>
      <c r="D5659" s="10"/>
      <c r="F5659" s="1"/>
      <c r="G5659" s="1"/>
      <c r="H5659" s="1"/>
      <c r="I5659" s="7"/>
      <c r="J5659" s="12"/>
      <c r="K5659" s="13"/>
      <c r="L5659" s="14"/>
      <c r="M5659" s="15"/>
      <c r="N5659" s="15"/>
      <c r="O5659" s="16"/>
      <c r="Q5659" s="16"/>
    </row>
    <row r="5660" spans="1:17" x14ac:dyDescent="0.3">
      <c r="A5660" s="5"/>
      <c r="B5660" s="6"/>
      <c r="C5660" s="7"/>
      <c r="D5660" s="10"/>
      <c r="F5660" s="1"/>
      <c r="G5660" s="1"/>
      <c r="H5660" s="1"/>
      <c r="I5660" s="7"/>
      <c r="J5660" s="12"/>
      <c r="K5660" s="13"/>
      <c r="L5660" s="14"/>
      <c r="M5660" s="15"/>
      <c r="N5660" s="15"/>
      <c r="O5660" s="16"/>
      <c r="Q5660" s="16"/>
    </row>
    <row r="5661" spans="1:17" x14ac:dyDescent="0.3">
      <c r="A5661" s="5"/>
      <c r="B5661" s="6"/>
      <c r="C5661" s="7"/>
      <c r="D5661" s="10"/>
      <c r="F5661" s="1"/>
      <c r="G5661" s="1"/>
      <c r="H5661" s="1"/>
      <c r="I5661" s="7"/>
      <c r="J5661" s="12"/>
      <c r="K5661" s="13"/>
      <c r="L5661" s="14"/>
      <c r="M5661" s="15"/>
      <c r="N5661" s="15"/>
      <c r="O5661" s="16"/>
      <c r="Q5661" s="16"/>
    </row>
    <row r="5662" spans="1:17" x14ac:dyDescent="0.3">
      <c r="A5662" s="5"/>
      <c r="B5662" s="6"/>
      <c r="C5662" s="7"/>
      <c r="D5662" s="10"/>
      <c r="F5662" s="1"/>
      <c r="G5662" s="1"/>
      <c r="H5662" s="1"/>
      <c r="I5662" s="7"/>
      <c r="J5662" s="12"/>
      <c r="K5662" s="13"/>
      <c r="L5662" s="14"/>
      <c r="M5662" s="15"/>
      <c r="N5662" s="15"/>
      <c r="O5662" s="16"/>
      <c r="Q5662" s="16"/>
    </row>
    <row r="5663" spans="1:17" x14ac:dyDescent="0.3">
      <c r="A5663" s="5"/>
      <c r="B5663" s="6"/>
      <c r="C5663" s="7"/>
      <c r="D5663" s="10"/>
      <c r="F5663" s="1"/>
      <c r="G5663" s="1"/>
      <c r="H5663" s="1"/>
      <c r="I5663" s="7"/>
      <c r="J5663" s="12"/>
      <c r="K5663" s="13"/>
      <c r="L5663" s="14"/>
      <c r="M5663" s="15"/>
      <c r="N5663" s="15"/>
      <c r="O5663" s="16"/>
      <c r="Q5663" s="16"/>
    </row>
    <row r="5664" spans="1:17" x14ac:dyDescent="0.3">
      <c r="A5664" s="5"/>
      <c r="B5664" s="6"/>
      <c r="C5664" s="7"/>
      <c r="D5664" s="10"/>
      <c r="F5664" s="1"/>
      <c r="G5664" s="1"/>
      <c r="H5664" s="1"/>
      <c r="I5664" s="7"/>
      <c r="J5664" s="12"/>
      <c r="K5664" s="13"/>
      <c r="L5664" s="14"/>
      <c r="M5664" s="15"/>
      <c r="N5664" s="15"/>
      <c r="O5664" s="16"/>
      <c r="Q5664" s="16"/>
    </row>
    <row r="5665" spans="1:17" x14ac:dyDescent="0.3">
      <c r="A5665" s="5"/>
      <c r="B5665" s="6"/>
      <c r="C5665" s="7"/>
      <c r="D5665" s="10"/>
      <c r="F5665" s="1"/>
      <c r="G5665" s="1"/>
      <c r="H5665" s="1"/>
      <c r="I5665" s="7"/>
      <c r="J5665" s="12"/>
      <c r="K5665" s="13"/>
      <c r="L5665" s="14"/>
      <c r="M5665" s="15"/>
      <c r="N5665" s="15"/>
      <c r="O5665" s="16"/>
      <c r="Q5665" s="16"/>
    </row>
    <row r="5666" spans="1:17" x14ac:dyDescent="0.3">
      <c r="A5666" s="5"/>
      <c r="B5666" s="6"/>
      <c r="C5666" s="7"/>
      <c r="D5666" s="10"/>
      <c r="F5666" s="1"/>
      <c r="G5666" s="1"/>
      <c r="H5666" s="1"/>
      <c r="I5666" s="7"/>
      <c r="J5666" s="12"/>
      <c r="K5666" s="13"/>
      <c r="L5666" s="14"/>
      <c r="M5666" s="15"/>
      <c r="N5666" s="15"/>
      <c r="O5666" s="16"/>
      <c r="Q5666" s="16"/>
    </row>
    <row r="5667" spans="1:17" x14ac:dyDescent="0.3">
      <c r="A5667" s="5"/>
      <c r="B5667" s="6"/>
      <c r="C5667" s="7"/>
      <c r="D5667" s="10"/>
      <c r="F5667" s="1"/>
      <c r="G5667" s="1"/>
      <c r="H5667" s="1"/>
      <c r="I5667" s="7"/>
      <c r="J5667" s="12"/>
      <c r="K5667" s="13"/>
      <c r="L5667" s="14"/>
      <c r="M5667" s="15"/>
      <c r="N5667" s="15"/>
      <c r="O5667" s="16"/>
      <c r="Q5667" s="16"/>
    </row>
    <row r="5668" spans="1:17" x14ac:dyDescent="0.3">
      <c r="A5668" s="5"/>
      <c r="B5668" s="6"/>
      <c r="C5668" s="7"/>
      <c r="D5668" s="10"/>
      <c r="F5668" s="1"/>
      <c r="G5668" s="1"/>
      <c r="H5668" s="1"/>
      <c r="I5668" s="7"/>
      <c r="J5668" s="12"/>
      <c r="K5668" s="13"/>
      <c r="L5668" s="14"/>
      <c r="M5668" s="15"/>
      <c r="N5668" s="15"/>
      <c r="O5668" s="16"/>
      <c r="Q5668" s="16"/>
    </row>
    <row r="5669" spans="1:17" x14ac:dyDescent="0.3">
      <c r="A5669" s="5"/>
      <c r="B5669" s="6"/>
      <c r="C5669" s="7"/>
      <c r="D5669" s="10"/>
      <c r="F5669" s="1"/>
      <c r="G5669" s="1"/>
      <c r="H5669" s="1"/>
      <c r="I5669" s="7"/>
      <c r="J5669" s="12"/>
      <c r="K5669" s="13"/>
      <c r="L5669" s="14"/>
      <c r="M5669" s="15"/>
      <c r="N5669" s="15"/>
      <c r="O5669" s="16"/>
      <c r="Q5669" s="16"/>
    </row>
    <row r="5670" spans="1:17" x14ac:dyDescent="0.3">
      <c r="A5670" s="5"/>
      <c r="B5670" s="6"/>
      <c r="C5670" s="7"/>
      <c r="D5670" s="10"/>
      <c r="F5670" s="1"/>
      <c r="G5670" s="1"/>
      <c r="H5670" s="1"/>
      <c r="I5670" s="7"/>
      <c r="J5670" s="12"/>
      <c r="K5670" s="13"/>
      <c r="L5670" s="14"/>
      <c r="M5670" s="15"/>
      <c r="N5670" s="15"/>
      <c r="O5670" s="16"/>
      <c r="Q5670" s="16"/>
    </row>
    <row r="5671" spans="1:17" x14ac:dyDescent="0.3">
      <c r="A5671" s="5"/>
      <c r="B5671" s="6"/>
      <c r="C5671" s="7"/>
      <c r="D5671" s="10"/>
      <c r="F5671" s="1"/>
      <c r="G5671" s="1"/>
      <c r="H5671" s="1"/>
      <c r="I5671" s="7"/>
      <c r="J5671" s="12"/>
      <c r="K5671" s="13"/>
      <c r="L5671" s="14"/>
      <c r="M5671" s="15"/>
      <c r="N5671" s="15"/>
      <c r="O5671" s="16"/>
      <c r="Q5671" s="16"/>
    </row>
    <row r="5672" spans="1:17" x14ac:dyDescent="0.3">
      <c r="A5672" s="5"/>
      <c r="B5672" s="6"/>
      <c r="C5672" s="7"/>
      <c r="D5672" s="10"/>
      <c r="F5672" s="1"/>
      <c r="G5672" s="1"/>
      <c r="H5672" s="1"/>
      <c r="I5672" s="7"/>
      <c r="J5672" s="12"/>
      <c r="K5672" s="13"/>
      <c r="L5672" s="14"/>
      <c r="M5672" s="15"/>
      <c r="N5672" s="15"/>
      <c r="O5672" s="16"/>
      <c r="Q5672" s="16"/>
    </row>
    <row r="5673" spans="1:17" x14ac:dyDescent="0.3">
      <c r="A5673" s="5"/>
      <c r="B5673" s="6"/>
      <c r="C5673" s="7"/>
      <c r="D5673" s="10"/>
      <c r="F5673" s="1"/>
      <c r="G5673" s="1"/>
      <c r="H5673" s="1"/>
      <c r="I5673" s="7"/>
      <c r="J5673" s="12"/>
      <c r="K5673" s="13"/>
      <c r="L5673" s="14"/>
      <c r="M5673" s="15"/>
      <c r="N5673" s="15"/>
      <c r="O5673" s="16"/>
      <c r="Q5673" s="16"/>
    </row>
    <row r="5674" spans="1:17" x14ac:dyDescent="0.3">
      <c r="A5674" s="5"/>
      <c r="B5674" s="6"/>
      <c r="C5674" s="7"/>
      <c r="D5674" s="10"/>
      <c r="F5674" s="1"/>
      <c r="G5674" s="1"/>
      <c r="H5674" s="1"/>
      <c r="I5674" s="7"/>
      <c r="J5674" s="12"/>
      <c r="K5674" s="13"/>
      <c r="L5674" s="14"/>
      <c r="M5674" s="15"/>
      <c r="N5674" s="15"/>
      <c r="O5674" s="16"/>
      <c r="Q5674" s="16"/>
    </row>
    <row r="5675" spans="1:17" x14ac:dyDescent="0.3">
      <c r="A5675" s="5"/>
      <c r="B5675" s="6"/>
      <c r="C5675" s="7"/>
      <c r="D5675" s="10"/>
      <c r="F5675" s="1"/>
      <c r="G5675" s="1"/>
      <c r="H5675" s="1"/>
      <c r="I5675" s="7"/>
      <c r="J5675" s="12"/>
      <c r="K5675" s="13"/>
      <c r="L5675" s="14"/>
      <c r="M5675" s="15"/>
      <c r="N5675" s="15"/>
      <c r="O5675" s="16"/>
      <c r="Q5675" s="16"/>
    </row>
    <row r="5676" spans="1:17" x14ac:dyDescent="0.3">
      <c r="A5676" s="5"/>
      <c r="B5676" s="6"/>
      <c r="C5676" s="7"/>
      <c r="D5676" s="10"/>
      <c r="F5676" s="1"/>
      <c r="G5676" s="1"/>
      <c r="H5676" s="1"/>
      <c r="I5676" s="7"/>
      <c r="J5676" s="12"/>
      <c r="K5676" s="13"/>
      <c r="L5676" s="14"/>
      <c r="M5676" s="15"/>
      <c r="N5676" s="15"/>
      <c r="O5676" s="16"/>
      <c r="Q5676" s="16"/>
    </row>
    <row r="5677" spans="1:17" x14ac:dyDescent="0.3">
      <c r="A5677" s="5"/>
      <c r="B5677" s="6"/>
      <c r="C5677" s="7"/>
      <c r="D5677" s="10"/>
      <c r="F5677" s="1"/>
      <c r="G5677" s="1"/>
      <c r="H5677" s="1"/>
      <c r="I5677" s="7"/>
      <c r="J5677" s="12"/>
      <c r="K5677" s="13"/>
      <c r="L5677" s="14"/>
      <c r="M5677" s="15"/>
      <c r="N5677" s="15"/>
      <c r="O5677" s="16"/>
      <c r="Q5677" s="16"/>
    </row>
    <row r="5678" spans="1:17" x14ac:dyDescent="0.3">
      <c r="A5678" s="5"/>
      <c r="B5678" s="6"/>
      <c r="C5678" s="7"/>
      <c r="D5678" s="10"/>
      <c r="F5678" s="1"/>
      <c r="G5678" s="1"/>
      <c r="H5678" s="1"/>
      <c r="I5678" s="7"/>
      <c r="J5678" s="12"/>
      <c r="K5678" s="13"/>
      <c r="L5678" s="14"/>
      <c r="M5678" s="15"/>
      <c r="N5678" s="15"/>
      <c r="O5678" s="16"/>
      <c r="Q5678" s="16"/>
    </row>
    <row r="5679" spans="1:17" x14ac:dyDescent="0.3">
      <c r="A5679" s="5"/>
      <c r="B5679" s="6"/>
      <c r="C5679" s="7"/>
      <c r="D5679" s="10"/>
      <c r="F5679" s="1"/>
      <c r="G5679" s="1"/>
      <c r="H5679" s="1"/>
      <c r="I5679" s="7"/>
      <c r="J5679" s="12"/>
      <c r="K5679" s="13"/>
      <c r="L5679" s="14"/>
      <c r="M5679" s="15"/>
      <c r="N5679" s="15"/>
      <c r="O5679" s="16"/>
      <c r="Q5679" s="16"/>
    </row>
    <row r="5680" spans="1:17" x14ac:dyDescent="0.3">
      <c r="A5680" s="5"/>
      <c r="B5680" s="6"/>
      <c r="C5680" s="7"/>
      <c r="D5680" s="10"/>
      <c r="F5680" s="1"/>
      <c r="G5680" s="1"/>
      <c r="H5680" s="1"/>
      <c r="I5680" s="7"/>
      <c r="J5680" s="12"/>
      <c r="K5680" s="13"/>
      <c r="L5680" s="14"/>
      <c r="M5680" s="15"/>
      <c r="N5680" s="15"/>
      <c r="O5680" s="16"/>
      <c r="Q5680" s="16"/>
    </row>
    <row r="5681" spans="1:17" x14ac:dyDescent="0.3">
      <c r="A5681" s="5"/>
      <c r="B5681" s="6"/>
      <c r="C5681" s="7"/>
      <c r="D5681" s="10"/>
      <c r="F5681" s="1"/>
      <c r="G5681" s="1"/>
      <c r="H5681" s="1"/>
      <c r="I5681" s="7"/>
      <c r="J5681" s="12"/>
      <c r="K5681" s="13"/>
      <c r="L5681" s="14"/>
      <c r="M5681" s="15"/>
      <c r="N5681" s="15"/>
      <c r="O5681" s="16"/>
      <c r="Q5681" s="16"/>
    </row>
    <row r="5682" spans="1:17" x14ac:dyDescent="0.3">
      <c r="A5682" s="5"/>
      <c r="B5682" s="6"/>
      <c r="C5682" s="7"/>
      <c r="D5682" s="10"/>
      <c r="F5682" s="1"/>
      <c r="G5682" s="1"/>
      <c r="H5682" s="1"/>
      <c r="I5682" s="7"/>
      <c r="J5682" s="12"/>
      <c r="K5682" s="13"/>
      <c r="L5682" s="14"/>
      <c r="M5682" s="15"/>
      <c r="N5682" s="15"/>
      <c r="O5682" s="16"/>
      <c r="Q5682" s="16"/>
    </row>
    <row r="5683" spans="1:17" x14ac:dyDescent="0.3">
      <c r="A5683" s="5"/>
      <c r="B5683" s="6"/>
      <c r="C5683" s="7"/>
      <c r="D5683" s="10"/>
      <c r="F5683" s="1"/>
      <c r="G5683" s="1"/>
      <c r="H5683" s="1"/>
      <c r="I5683" s="7"/>
      <c r="J5683" s="12"/>
      <c r="K5683" s="13"/>
      <c r="L5683" s="14"/>
      <c r="M5683" s="15"/>
      <c r="N5683" s="15"/>
      <c r="O5683" s="16"/>
      <c r="Q5683" s="16"/>
    </row>
    <row r="5684" spans="1:17" x14ac:dyDescent="0.3">
      <c r="A5684" s="5"/>
      <c r="B5684" s="6"/>
      <c r="C5684" s="7"/>
      <c r="D5684" s="10"/>
      <c r="F5684" s="1"/>
      <c r="G5684" s="1"/>
      <c r="H5684" s="1"/>
      <c r="I5684" s="7"/>
      <c r="J5684" s="12"/>
      <c r="K5684" s="13"/>
      <c r="L5684" s="14"/>
      <c r="M5684" s="15"/>
      <c r="N5684" s="15"/>
      <c r="O5684" s="16"/>
      <c r="Q5684" s="16"/>
    </row>
    <row r="5685" spans="1:17" x14ac:dyDescent="0.3">
      <c r="A5685" s="5"/>
      <c r="B5685" s="6"/>
      <c r="C5685" s="7"/>
      <c r="D5685" s="10"/>
      <c r="F5685" s="1"/>
      <c r="G5685" s="1"/>
      <c r="H5685" s="1"/>
      <c r="I5685" s="7"/>
      <c r="J5685" s="12"/>
      <c r="K5685" s="13"/>
      <c r="L5685" s="14"/>
      <c r="M5685" s="15"/>
      <c r="N5685" s="15"/>
      <c r="O5685" s="16"/>
      <c r="Q5685" s="16"/>
    </row>
    <row r="5686" spans="1:17" x14ac:dyDescent="0.3">
      <c r="A5686" s="5"/>
      <c r="B5686" s="6"/>
      <c r="C5686" s="7"/>
      <c r="D5686" s="10"/>
      <c r="F5686" s="1"/>
      <c r="G5686" s="1"/>
      <c r="H5686" s="1"/>
      <c r="I5686" s="7"/>
      <c r="J5686" s="12"/>
      <c r="K5686" s="13"/>
      <c r="L5686" s="14"/>
      <c r="M5686" s="15"/>
      <c r="N5686" s="15"/>
      <c r="O5686" s="16"/>
      <c r="Q5686" s="16"/>
    </row>
    <row r="5687" spans="1:17" x14ac:dyDescent="0.3">
      <c r="A5687" s="5"/>
      <c r="B5687" s="6"/>
      <c r="C5687" s="7"/>
      <c r="D5687" s="10"/>
      <c r="F5687" s="1"/>
      <c r="G5687" s="1"/>
      <c r="H5687" s="1"/>
      <c r="I5687" s="7"/>
      <c r="J5687" s="12"/>
      <c r="K5687" s="13"/>
      <c r="L5687" s="14"/>
      <c r="M5687" s="15"/>
      <c r="N5687" s="15"/>
      <c r="O5687" s="16"/>
      <c r="Q5687" s="16"/>
    </row>
    <row r="5688" spans="1:17" x14ac:dyDescent="0.3">
      <c r="A5688" s="5"/>
      <c r="B5688" s="6"/>
      <c r="C5688" s="7"/>
      <c r="D5688" s="10"/>
      <c r="F5688" s="1"/>
      <c r="G5688" s="1"/>
      <c r="H5688" s="1"/>
      <c r="I5688" s="7"/>
      <c r="J5688" s="12"/>
      <c r="K5688" s="13"/>
      <c r="L5688" s="14"/>
      <c r="M5688" s="15"/>
      <c r="N5688" s="15"/>
      <c r="O5688" s="16"/>
      <c r="Q5688" s="16"/>
    </row>
    <row r="5689" spans="1:17" x14ac:dyDescent="0.3">
      <c r="A5689" s="5"/>
      <c r="B5689" s="6"/>
      <c r="C5689" s="7"/>
      <c r="D5689" s="10"/>
      <c r="F5689" s="1"/>
      <c r="G5689" s="1"/>
      <c r="H5689" s="1"/>
      <c r="I5689" s="7"/>
      <c r="J5689" s="12"/>
      <c r="K5689" s="13"/>
      <c r="L5689" s="14"/>
      <c r="M5689" s="15"/>
      <c r="N5689" s="15"/>
      <c r="O5689" s="16"/>
      <c r="Q5689" s="16"/>
    </row>
    <row r="5690" spans="1:17" x14ac:dyDescent="0.3">
      <c r="A5690" s="5"/>
      <c r="B5690" s="6"/>
      <c r="C5690" s="7"/>
      <c r="D5690" s="10"/>
      <c r="F5690" s="1"/>
      <c r="G5690" s="1"/>
      <c r="H5690" s="1"/>
      <c r="I5690" s="7"/>
      <c r="J5690" s="12"/>
      <c r="K5690" s="13"/>
      <c r="L5690" s="14"/>
      <c r="M5690" s="15"/>
      <c r="N5690" s="15"/>
      <c r="O5690" s="16"/>
      <c r="Q5690" s="16"/>
    </row>
    <row r="5691" spans="1:17" x14ac:dyDescent="0.3">
      <c r="A5691" s="5"/>
      <c r="B5691" s="6"/>
      <c r="C5691" s="7"/>
      <c r="D5691" s="10"/>
      <c r="F5691" s="1"/>
      <c r="G5691" s="1"/>
      <c r="H5691" s="1"/>
      <c r="I5691" s="7"/>
      <c r="J5691" s="12"/>
      <c r="K5691" s="13"/>
      <c r="L5691" s="14"/>
      <c r="M5691" s="15"/>
      <c r="N5691" s="15"/>
      <c r="O5691" s="16"/>
      <c r="Q5691" s="16"/>
    </row>
    <row r="5692" spans="1:17" x14ac:dyDescent="0.3">
      <c r="A5692" s="5"/>
      <c r="B5692" s="6"/>
      <c r="C5692" s="7"/>
      <c r="D5692" s="10"/>
      <c r="F5692" s="1"/>
      <c r="G5692" s="1"/>
      <c r="H5692" s="1"/>
      <c r="I5692" s="7"/>
      <c r="J5692" s="12"/>
      <c r="K5692" s="13"/>
      <c r="L5692" s="14"/>
      <c r="M5692" s="15"/>
      <c r="N5692" s="15"/>
      <c r="O5692" s="16"/>
      <c r="Q5692" s="16"/>
    </row>
    <row r="5693" spans="1:17" x14ac:dyDescent="0.3">
      <c r="A5693" s="5"/>
      <c r="B5693" s="6"/>
      <c r="C5693" s="7"/>
      <c r="D5693" s="10"/>
      <c r="F5693" s="1"/>
      <c r="G5693" s="1"/>
      <c r="H5693" s="1"/>
      <c r="I5693" s="7"/>
      <c r="J5693" s="12"/>
      <c r="K5693" s="13"/>
      <c r="L5693" s="14"/>
      <c r="M5693" s="15"/>
      <c r="N5693" s="15"/>
      <c r="O5693" s="16"/>
      <c r="Q5693" s="16"/>
    </row>
    <row r="5694" spans="1:17" x14ac:dyDescent="0.3">
      <c r="A5694" s="5"/>
      <c r="B5694" s="6"/>
      <c r="C5694" s="7"/>
      <c r="D5694" s="10"/>
      <c r="F5694" s="1"/>
      <c r="G5694" s="1"/>
      <c r="H5694" s="1"/>
      <c r="I5694" s="7"/>
      <c r="J5694" s="12"/>
      <c r="K5694" s="13"/>
      <c r="L5694" s="14"/>
      <c r="M5694" s="15"/>
      <c r="N5694" s="15"/>
      <c r="O5694" s="16"/>
      <c r="Q5694" s="16"/>
    </row>
    <row r="5695" spans="1:17" x14ac:dyDescent="0.3">
      <c r="A5695" s="5"/>
      <c r="B5695" s="6"/>
      <c r="C5695" s="7"/>
      <c r="D5695" s="10"/>
      <c r="F5695" s="1"/>
      <c r="G5695" s="1"/>
      <c r="H5695" s="1"/>
      <c r="I5695" s="7"/>
      <c r="J5695" s="12"/>
      <c r="K5695" s="13"/>
      <c r="L5695" s="14"/>
      <c r="M5695" s="15"/>
      <c r="N5695" s="15"/>
      <c r="O5695" s="16"/>
      <c r="Q5695" s="16"/>
    </row>
    <row r="5696" spans="1:17" x14ac:dyDescent="0.3">
      <c r="A5696" s="5"/>
      <c r="B5696" s="6"/>
      <c r="C5696" s="7"/>
      <c r="D5696" s="10"/>
      <c r="F5696" s="1"/>
      <c r="G5696" s="1"/>
      <c r="H5696" s="1"/>
      <c r="I5696" s="7"/>
      <c r="J5696" s="12"/>
      <c r="K5696" s="13"/>
      <c r="L5696" s="14"/>
      <c r="M5696" s="15"/>
      <c r="N5696" s="15"/>
      <c r="O5696" s="16"/>
      <c r="Q5696" s="16"/>
    </row>
    <row r="5697" spans="1:17" x14ac:dyDescent="0.3">
      <c r="A5697" s="5"/>
      <c r="B5697" s="6"/>
      <c r="C5697" s="7"/>
      <c r="D5697" s="10"/>
      <c r="F5697" s="1"/>
      <c r="G5697" s="1"/>
      <c r="H5697" s="1"/>
      <c r="I5697" s="7"/>
      <c r="J5697" s="12"/>
      <c r="K5697" s="13"/>
      <c r="L5697" s="14"/>
      <c r="M5697" s="15"/>
      <c r="N5697" s="15"/>
      <c r="O5697" s="16"/>
      <c r="Q5697" s="16"/>
    </row>
    <row r="5698" spans="1:17" x14ac:dyDescent="0.3">
      <c r="A5698" s="5"/>
      <c r="B5698" s="6"/>
      <c r="C5698" s="7"/>
      <c r="D5698" s="10"/>
      <c r="F5698" s="1"/>
      <c r="G5698" s="1"/>
      <c r="H5698" s="1"/>
      <c r="I5698" s="7"/>
      <c r="J5698" s="12"/>
      <c r="K5698" s="13"/>
      <c r="L5698" s="14"/>
      <c r="M5698" s="15"/>
      <c r="N5698" s="15"/>
      <c r="O5698" s="16"/>
      <c r="Q5698" s="16"/>
    </row>
    <row r="5699" spans="1:17" x14ac:dyDescent="0.3">
      <c r="A5699" s="5"/>
      <c r="B5699" s="6"/>
      <c r="C5699" s="7"/>
      <c r="D5699" s="10"/>
      <c r="F5699" s="1"/>
      <c r="G5699" s="1"/>
      <c r="H5699" s="1"/>
      <c r="I5699" s="7"/>
      <c r="J5699" s="12"/>
      <c r="K5699" s="13"/>
      <c r="L5699" s="14"/>
      <c r="M5699" s="15"/>
      <c r="N5699" s="15"/>
      <c r="O5699" s="16"/>
      <c r="Q5699" s="16"/>
    </row>
    <row r="5700" spans="1:17" x14ac:dyDescent="0.3">
      <c r="A5700" s="5"/>
      <c r="B5700" s="6"/>
      <c r="C5700" s="7"/>
      <c r="D5700" s="10"/>
      <c r="F5700" s="1"/>
      <c r="G5700" s="1"/>
      <c r="H5700" s="1"/>
      <c r="I5700" s="7"/>
      <c r="J5700" s="12"/>
      <c r="K5700" s="13"/>
      <c r="L5700" s="14"/>
      <c r="M5700" s="15"/>
      <c r="N5700" s="15"/>
      <c r="O5700" s="16"/>
      <c r="Q5700" s="16"/>
    </row>
    <row r="5701" spans="1:17" x14ac:dyDescent="0.3">
      <c r="A5701" s="5"/>
      <c r="B5701" s="6"/>
      <c r="C5701" s="7"/>
      <c r="D5701" s="10"/>
      <c r="F5701" s="1"/>
      <c r="G5701" s="1"/>
      <c r="H5701" s="1"/>
      <c r="I5701" s="7"/>
      <c r="J5701" s="12"/>
      <c r="K5701" s="13"/>
      <c r="L5701" s="14"/>
      <c r="M5701" s="15"/>
      <c r="N5701" s="15"/>
      <c r="O5701" s="16"/>
      <c r="Q5701" s="16"/>
    </row>
    <row r="5702" spans="1:17" x14ac:dyDescent="0.3">
      <c r="A5702" s="5"/>
      <c r="B5702" s="6"/>
      <c r="C5702" s="7"/>
      <c r="D5702" s="10"/>
      <c r="F5702" s="1"/>
      <c r="G5702" s="1"/>
      <c r="H5702" s="1"/>
      <c r="I5702" s="7"/>
      <c r="J5702" s="12"/>
      <c r="K5702" s="13"/>
      <c r="L5702" s="14"/>
      <c r="M5702" s="15"/>
      <c r="N5702" s="15"/>
      <c r="O5702" s="16"/>
      <c r="Q5702" s="16"/>
    </row>
    <row r="5703" spans="1:17" x14ac:dyDescent="0.3">
      <c r="A5703" s="5"/>
      <c r="B5703" s="6"/>
      <c r="C5703" s="7"/>
      <c r="D5703" s="10"/>
      <c r="F5703" s="1"/>
      <c r="G5703" s="1"/>
      <c r="H5703" s="1"/>
      <c r="I5703" s="7"/>
      <c r="J5703" s="12"/>
      <c r="K5703" s="13"/>
      <c r="L5703" s="14"/>
      <c r="M5703" s="15"/>
      <c r="N5703" s="15"/>
      <c r="O5703" s="16"/>
      <c r="Q5703" s="16"/>
    </row>
    <row r="5704" spans="1:17" x14ac:dyDescent="0.3">
      <c r="A5704" s="5"/>
      <c r="B5704" s="6"/>
      <c r="C5704" s="7"/>
      <c r="D5704" s="10"/>
      <c r="F5704" s="1"/>
      <c r="G5704" s="1"/>
      <c r="H5704" s="1"/>
      <c r="I5704" s="7"/>
      <c r="J5704" s="12"/>
      <c r="K5704" s="13"/>
      <c r="L5704" s="14"/>
      <c r="M5704" s="15"/>
      <c r="N5704" s="15"/>
      <c r="O5704" s="16"/>
      <c r="Q5704" s="16"/>
    </row>
    <row r="5705" spans="1:17" x14ac:dyDescent="0.3">
      <c r="A5705" s="5"/>
      <c r="B5705" s="6"/>
      <c r="C5705" s="7"/>
      <c r="D5705" s="10"/>
      <c r="F5705" s="1"/>
      <c r="G5705" s="1"/>
      <c r="H5705" s="1"/>
      <c r="I5705" s="7"/>
      <c r="J5705" s="12"/>
      <c r="K5705" s="13"/>
      <c r="L5705" s="14"/>
      <c r="M5705" s="15"/>
      <c r="N5705" s="15"/>
      <c r="O5705" s="16"/>
      <c r="Q5705" s="16"/>
    </row>
    <row r="5706" spans="1:17" x14ac:dyDescent="0.3">
      <c r="A5706" s="5"/>
      <c r="B5706" s="6"/>
      <c r="C5706" s="7"/>
      <c r="D5706" s="10"/>
      <c r="F5706" s="1"/>
      <c r="G5706" s="1"/>
      <c r="H5706" s="1"/>
      <c r="I5706" s="7"/>
      <c r="J5706" s="12"/>
      <c r="K5706" s="13"/>
      <c r="L5706" s="14"/>
      <c r="M5706" s="15"/>
      <c r="N5706" s="15"/>
      <c r="O5706" s="16"/>
      <c r="Q5706" s="16"/>
    </row>
    <row r="5707" spans="1:17" x14ac:dyDescent="0.3">
      <c r="A5707" s="5"/>
      <c r="B5707" s="6"/>
      <c r="C5707" s="7"/>
      <c r="D5707" s="10"/>
      <c r="F5707" s="1"/>
      <c r="G5707" s="1"/>
      <c r="H5707" s="1"/>
      <c r="I5707" s="7"/>
      <c r="J5707" s="12"/>
      <c r="K5707" s="13"/>
      <c r="L5707" s="14"/>
      <c r="M5707" s="15"/>
      <c r="N5707" s="15"/>
      <c r="O5707" s="16"/>
      <c r="Q5707" s="16"/>
    </row>
    <row r="5708" spans="1:17" x14ac:dyDescent="0.3">
      <c r="A5708" s="5"/>
      <c r="B5708" s="6"/>
      <c r="C5708" s="7"/>
      <c r="D5708" s="10"/>
      <c r="F5708" s="1"/>
      <c r="G5708" s="1"/>
      <c r="H5708" s="1"/>
      <c r="I5708" s="7"/>
      <c r="J5708" s="12"/>
      <c r="K5708" s="13"/>
      <c r="L5708" s="14"/>
      <c r="M5708" s="15"/>
      <c r="N5708" s="15"/>
      <c r="O5708" s="16"/>
      <c r="Q5708" s="16"/>
    </row>
    <row r="5709" spans="1:17" x14ac:dyDescent="0.3">
      <c r="A5709" s="5"/>
      <c r="B5709" s="6"/>
      <c r="C5709" s="7"/>
      <c r="D5709" s="10"/>
      <c r="F5709" s="1"/>
      <c r="G5709" s="1"/>
      <c r="H5709" s="1"/>
      <c r="I5709" s="7"/>
      <c r="J5709" s="12"/>
      <c r="K5709" s="13"/>
      <c r="L5709" s="14"/>
      <c r="M5709" s="15"/>
      <c r="N5709" s="15"/>
      <c r="O5709" s="16"/>
      <c r="Q5709" s="16"/>
    </row>
    <row r="5710" spans="1:17" x14ac:dyDescent="0.3">
      <c r="A5710" s="5"/>
      <c r="B5710" s="6"/>
      <c r="C5710" s="7"/>
      <c r="D5710" s="10"/>
      <c r="F5710" s="1"/>
      <c r="G5710" s="1"/>
      <c r="H5710" s="1"/>
      <c r="I5710" s="7"/>
      <c r="J5710" s="12"/>
      <c r="K5710" s="13"/>
      <c r="L5710" s="14"/>
      <c r="M5710" s="15"/>
      <c r="N5710" s="15"/>
      <c r="O5710" s="16"/>
      <c r="Q5710" s="16"/>
    </row>
    <row r="5711" spans="1:17" x14ac:dyDescent="0.3">
      <c r="A5711" s="5"/>
      <c r="B5711" s="6"/>
      <c r="C5711" s="7"/>
      <c r="D5711" s="10"/>
      <c r="F5711" s="1"/>
      <c r="G5711" s="1"/>
      <c r="H5711" s="1"/>
      <c r="I5711" s="7"/>
      <c r="J5711" s="12"/>
      <c r="K5711" s="13"/>
      <c r="L5711" s="14"/>
      <c r="M5711" s="15"/>
      <c r="N5711" s="15"/>
      <c r="O5711" s="16"/>
      <c r="Q5711" s="16"/>
    </row>
    <row r="5712" spans="1:17" x14ac:dyDescent="0.3">
      <c r="A5712" s="5"/>
      <c r="B5712" s="6"/>
      <c r="C5712" s="7"/>
      <c r="D5712" s="10"/>
      <c r="F5712" s="1"/>
      <c r="G5712" s="1"/>
      <c r="H5712" s="1"/>
      <c r="I5712" s="7"/>
      <c r="J5712" s="12"/>
      <c r="K5712" s="13"/>
      <c r="L5712" s="14"/>
      <c r="M5712" s="15"/>
      <c r="N5712" s="15"/>
      <c r="O5712" s="16"/>
      <c r="Q5712" s="16"/>
    </row>
    <row r="5713" spans="1:17" x14ac:dyDescent="0.3">
      <c r="A5713" s="5"/>
      <c r="B5713" s="6"/>
      <c r="C5713" s="7"/>
      <c r="D5713" s="10"/>
      <c r="F5713" s="1"/>
      <c r="G5713" s="1"/>
      <c r="H5713" s="1"/>
      <c r="I5713" s="7"/>
      <c r="J5713" s="12"/>
      <c r="K5713" s="13"/>
      <c r="L5713" s="14"/>
      <c r="M5713" s="15"/>
      <c r="N5713" s="15"/>
      <c r="O5713" s="16"/>
      <c r="Q5713" s="16"/>
    </row>
    <row r="5714" spans="1:17" x14ac:dyDescent="0.3">
      <c r="A5714" s="5"/>
      <c r="B5714" s="6"/>
      <c r="C5714" s="7"/>
      <c r="D5714" s="10"/>
      <c r="F5714" s="1"/>
      <c r="G5714" s="1"/>
      <c r="H5714" s="1"/>
      <c r="I5714" s="7"/>
      <c r="J5714" s="12"/>
      <c r="K5714" s="13"/>
      <c r="L5714" s="14"/>
      <c r="M5714" s="15"/>
      <c r="N5714" s="15"/>
      <c r="O5714" s="16"/>
      <c r="Q5714" s="16"/>
    </row>
    <row r="5715" spans="1:17" x14ac:dyDescent="0.3">
      <c r="A5715" s="5"/>
      <c r="B5715" s="6"/>
      <c r="C5715" s="7"/>
      <c r="D5715" s="10"/>
      <c r="F5715" s="1"/>
      <c r="G5715" s="1"/>
      <c r="H5715" s="1"/>
      <c r="I5715" s="7"/>
      <c r="J5715" s="12"/>
      <c r="K5715" s="13"/>
      <c r="L5715" s="14"/>
      <c r="M5715" s="15"/>
      <c r="N5715" s="15"/>
      <c r="O5715" s="16"/>
      <c r="Q5715" s="16"/>
    </row>
    <row r="5716" spans="1:17" x14ac:dyDescent="0.3">
      <c r="A5716" s="5"/>
      <c r="B5716" s="6"/>
      <c r="C5716" s="7"/>
      <c r="D5716" s="10"/>
      <c r="F5716" s="1"/>
      <c r="G5716" s="1"/>
      <c r="H5716" s="1"/>
      <c r="I5716" s="7"/>
      <c r="J5716" s="12"/>
      <c r="K5716" s="13"/>
      <c r="L5716" s="14"/>
      <c r="M5716" s="15"/>
      <c r="N5716" s="15"/>
      <c r="O5716" s="16"/>
      <c r="Q5716" s="16"/>
    </row>
    <row r="5717" spans="1:17" x14ac:dyDescent="0.3">
      <c r="A5717" s="5"/>
      <c r="B5717" s="6"/>
      <c r="C5717" s="7"/>
      <c r="D5717" s="10"/>
      <c r="F5717" s="1"/>
      <c r="G5717" s="1"/>
      <c r="H5717" s="1"/>
      <c r="I5717" s="7"/>
      <c r="J5717" s="12"/>
      <c r="K5717" s="13"/>
      <c r="L5717" s="14"/>
      <c r="M5717" s="15"/>
      <c r="N5717" s="15"/>
      <c r="O5717" s="16"/>
      <c r="Q5717" s="16"/>
    </row>
    <row r="5718" spans="1:17" x14ac:dyDescent="0.3">
      <c r="A5718" s="5"/>
      <c r="B5718" s="6"/>
      <c r="C5718" s="7"/>
      <c r="D5718" s="10"/>
      <c r="F5718" s="1"/>
      <c r="G5718" s="1"/>
      <c r="H5718" s="1"/>
      <c r="I5718" s="7"/>
      <c r="J5718" s="12"/>
      <c r="K5718" s="13"/>
      <c r="L5718" s="14"/>
      <c r="M5718" s="15"/>
      <c r="N5718" s="15"/>
      <c r="O5718" s="16"/>
      <c r="Q5718" s="16"/>
    </row>
    <row r="5719" spans="1:17" x14ac:dyDescent="0.3">
      <c r="A5719" s="5"/>
      <c r="B5719" s="6"/>
      <c r="C5719" s="7"/>
      <c r="D5719" s="10"/>
      <c r="F5719" s="1"/>
      <c r="G5719" s="1"/>
      <c r="H5719" s="1"/>
      <c r="I5719" s="7"/>
      <c r="J5719" s="12"/>
      <c r="K5719" s="13"/>
      <c r="L5719" s="14"/>
      <c r="M5719" s="15"/>
      <c r="N5719" s="15"/>
      <c r="O5719" s="16"/>
      <c r="Q5719" s="16"/>
    </row>
    <row r="5720" spans="1:17" x14ac:dyDescent="0.3">
      <c r="A5720" s="5"/>
      <c r="B5720" s="6"/>
      <c r="C5720" s="7"/>
      <c r="D5720" s="10"/>
      <c r="F5720" s="1"/>
      <c r="G5720" s="1"/>
      <c r="H5720" s="1"/>
      <c r="I5720" s="7"/>
      <c r="J5720" s="12"/>
      <c r="K5720" s="13"/>
      <c r="L5720" s="14"/>
      <c r="M5720" s="15"/>
      <c r="N5720" s="15"/>
      <c r="O5720" s="16"/>
      <c r="Q5720" s="16"/>
    </row>
    <row r="5721" spans="1:17" x14ac:dyDescent="0.3">
      <c r="A5721" s="5"/>
      <c r="B5721" s="6"/>
      <c r="C5721" s="7"/>
      <c r="D5721" s="10"/>
      <c r="F5721" s="1"/>
      <c r="G5721" s="1"/>
      <c r="H5721" s="1"/>
      <c r="I5721" s="7"/>
      <c r="J5721" s="12"/>
      <c r="K5721" s="13"/>
      <c r="L5721" s="14"/>
      <c r="M5721" s="15"/>
      <c r="N5721" s="15"/>
      <c r="O5721" s="16"/>
      <c r="Q5721" s="16"/>
    </row>
    <row r="5722" spans="1:17" x14ac:dyDescent="0.3">
      <c r="A5722" s="5"/>
      <c r="B5722" s="6"/>
      <c r="C5722" s="7"/>
      <c r="D5722" s="10"/>
      <c r="F5722" s="1"/>
      <c r="G5722" s="1"/>
      <c r="H5722" s="1"/>
      <c r="I5722" s="7"/>
      <c r="J5722" s="12"/>
      <c r="K5722" s="13"/>
      <c r="L5722" s="14"/>
      <c r="M5722" s="15"/>
      <c r="N5722" s="15"/>
      <c r="O5722" s="16"/>
      <c r="Q5722" s="16"/>
    </row>
    <row r="5723" spans="1:17" x14ac:dyDescent="0.3">
      <c r="A5723" s="5"/>
      <c r="B5723" s="6"/>
      <c r="C5723" s="7"/>
      <c r="D5723" s="10"/>
      <c r="F5723" s="1"/>
      <c r="G5723" s="1"/>
      <c r="H5723" s="1"/>
      <c r="I5723" s="7"/>
      <c r="J5723" s="12"/>
      <c r="K5723" s="13"/>
      <c r="L5723" s="14"/>
      <c r="M5723" s="15"/>
      <c r="N5723" s="15"/>
      <c r="O5723" s="16"/>
      <c r="Q5723" s="16"/>
    </row>
    <row r="5724" spans="1:17" x14ac:dyDescent="0.3">
      <c r="A5724" s="5"/>
      <c r="B5724" s="6"/>
      <c r="C5724" s="7"/>
      <c r="D5724" s="10"/>
      <c r="F5724" s="1"/>
      <c r="G5724" s="1"/>
      <c r="H5724" s="1"/>
      <c r="I5724" s="7"/>
      <c r="J5724" s="12"/>
      <c r="K5724" s="13"/>
      <c r="L5724" s="14"/>
      <c r="M5724" s="15"/>
      <c r="N5724" s="15"/>
      <c r="O5724" s="16"/>
      <c r="Q5724" s="16"/>
    </row>
    <row r="5725" spans="1:17" x14ac:dyDescent="0.3">
      <c r="A5725" s="5"/>
      <c r="B5725" s="6"/>
      <c r="C5725" s="7"/>
      <c r="D5725" s="10"/>
      <c r="F5725" s="1"/>
      <c r="G5725" s="1"/>
      <c r="H5725" s="1"/>
      <c r="I5725" s="7"/>
      <c r="J5725" s="12"/>
      <c r="K5725" s="13"/>
      <c r="L5725" s="14"/>
      <c r="M5725" s="15"/>
      <c r="N5725" s="15"/>
      <c r="O5725" s="16"/>
      <c r="Q5725" s="16"/>
    </row>
    <row r="5726" spans="1:17" x14ac:dyDescent="0.3">
      <c r="A5726" s="5"/>
      <c r="B5726" s="6"/>
      <c r="C5726" s="7"/>
      <c r="D5726" s="10"/>
      <c r="F5726" s="1"/>
      <c r="G5726" s="1"/>
      <c r="H5726" s="1"/>
      <c r="I5726" s="7"/>
      <c r="J5726" s="12"/>
      <c r="K5726" s="13"/>
      <c r="L5726" s="14"/>
      <c r="M5726" s="15"/>
      <c r="N5726" s="15"/>
      <c r="O5726" s="16"/>
      <c r="Q5726" s="16"/>
    </row>
    <row r="5727" spans="1:17" x14ac:dyDescent="0.3">
      <c r="A5727" s="5"/>
      <c r="B5727" s="6"/>
      <c r="C5727" s="7"/>
      <c r="D5727" s="10"/>
      <c r="F5727" s="1"/>
      <c r="G5727" s="1"/>
      <c r="H5727" s="1"/>
      <c r="I5727" s="7"/>
      <c r="J5727" s="12"/>
      <c r="K5727" s="13"/>
      <c r="L5727" s="14"/>
      <c r="M5727" s="15"/>
      <c r="N5727" s="15"/>
      <c r="O5727" s="16"/>
      <c r="Q5727" s="16"/>
    </row>
    <row r="5728" spans="1:17" x14ac:dyDescent="0.3">
      <c r="A5728" s="5"/>
      <c r="B5728" s="6"/>
      <c r="C5728" s="7"/>
      <c r="D5728" s="10"/>
      <c r="F5728" s="1"/>
      <c r="G5728" s="1"/>
      <c r="H5728" s="1"/>
      <c r="I5728" s="7"/>
      <c r="J5728" s="12"/>
      <c r="K5728" s="13"/>
      <c r="L5728" s="14"/>
      <c r="M5728" s="15"/>
      <c r="N5728" s="15"/>
      <c r="O5728" s="16"/>
      <c r="Q5728" s="16"/>
    </row>
    <row r="5729" spans="1:17" x14ac:dyDescent="0.3">
      <c r="A5729" s="5"/>
      <c r="B5729" s="6"/>
      <c r="C5729" s="7"/>
      <c r="D5729" s="10"/>
      <c r="F5729" s="1"/>
      <c r="G5729" s="1"/>
      <c r="H5729" s="1"/>
      <c r="I5729" s="7"/>
      <c r="J5729" s="12"/>
      <c r="K5729" s="13"/>
      <c r="L5729" s="14"/>
      <c r="M5729" s="15"/>
      <c r="N5729" s="15"/>
      <c r="O5729" s="16"/>
      <c r="Q5729" s="16"/>
    </row>
    <row r="5730" spans="1:17" x14ac:dyDescent="0.3">
      <c r="A5730" s="5"/>
      <c r="B5730" s="6"/>
      <c r="C5730" s="7"/>
      <c r="D5730" s="10"/>
      <c r="F5730" s="1"/>
      <c r="G5730" s="1"/>
      <c r="H5730" s="1"/>
      <c r="I5730" s="7"/>
      <c r="J5730" s="12"/>
      <c r="K5730" s="13"/>
      <c r="L5730" s="14"/>
      <c r="M5730" s="15"/>
      <c r="N5730" s="15"/>
      <c r="O5730" s="16"/>
      <c r="Q5730" s="16"/>
    </row>
    <row r="5731" spans="1:17" x14ac:dyDescent="0.3">
      <c r="A5731" s="5"/>
      <c r="B5731" s="6"/>
      <c r="C5731" s="7"/>
      <c r="D5731" s="10"/>
      <c r="F5731" s="1"/>
      <c r="G5731" s="1"/>
      <c r="H5731" s="1"/>
      <c r="I5731" s="7"/>
      <c r="J5731" s="12"/>
      <c r="K5731" s="13"/>
      <c r="L5731" s="14"/>
      <c r="M5731" s="15"/>
      <c r="N5731" s="15"/>
      <c r="O5731" s="16"/>
      <c r="Q5731" s="16"/>
    </row>
    <row r="5732" spans="1:17" x14ac:dyDescent="0.3">
      <c r="A5732" s="5"/>
      <c r="B5732" s="6"/>
      <c r="C5732" s="7"/>
      <c r="D5732" s="10"/>
      <c r="F5732" s="1"/>
      <c r="G5732" s="1"/>
      <c r="H5732" s="1"/>
      <c r="I5732" s="7"/>
      <c r="J5732" s="12"/>
      <c r="K5732" s="13"/>
      <c r="L5732" s="14"/>
      <c r="M5732" s="15"/>
      <c r="N5732" s="15"/>
      <c r="O5732" s="16"/>
      <c r="Q5732" s="16"/>
    </row>
    <row r="5733" spans="1:17" x14ac:dyDescent="0.3">
      <c r="A5733" s="5"/>
      <c r="B5733" s="6"/>
      <c r="C5733" s="7"/>
      <c r="D5733" s="10"/>
      <c r="F5733" s="1"/>
      <c r="G5733" s="1"/>
      <c r="H5733" s="1"/>
      <c r="I5733" s="7"/>
      <c r="J5733" s="12"/>
      <c r="K5733" s="13"/>
      <c r="L5733" s="14"/>
      <c r="M5733" s="15"/>
      <c r="N5733" s="15"/>
      <c r="O5733" s="16"/>
      <c r="Q5733" s="16"/>
    </row>
    <row r="5734" spans="1:17" x14ac:dyDescent="0.3">
      <c r="A5734" s="5"/>
      <c r="B5734" s="6"/>
      <c r="C5734" s="7"/>
      <c r="D5734" s="10"/>
      <c r="F5734" s="1"/>
      <c r="G5734" s="1"/>
      <c r="H5734" s="1"/>
      <c r="I5734" s="7"/>
      <c r="J5734" s="12"/>
      <c r="K5734" s="13"/>
      <c r="L5734" s="14"/>
      <c r="M5734" s="15"/>
      <c r="N5734" s="15"/>
      <c r="O5734" s="16"/>
      <c r="Q5734" s="16"/>
    </row>
    <row r="5735" spans="1:17" x14ac:dyDescent="0.3">
      <c r="A5735" s="5"/>
      <c r="B5735" s="6"/>
      <c r="C5735" s="7"/>
      <c r="D5735" s="10"/>
      <c r="F5735" s="1"/>
      <c r="G5735" s="1"/>
      <c r="H5735" s="1"/>
      <c r="I5735" s="7"/>
      <c r="J5735" s="12"/>
      <c r="K5735" s="13"/>
      <c r="L5735" s="14"/>
      <c r="M5735" s="15"/>
      <c r="N5735" s="15"/>
      <c r="O5735" s="16"/>
      <c r="Q5735" s="16"/>
    </row>
    <row r="5736" spans="1:17" x14ac:dyDescent="0.3">
      <c r="A5736" s="5"/>
      <c r="B5736" s="6"/>
      <c r="C5736" s="7"/>
      <c r="D5736" s="10"/>
      <c r="F5736" s="1"/>
      <c r="G5736" s="1"/>
      <c r="H5736" s="1"/>
      <c r="I5736" s="7"/>
      <c r="J5736" s="12"/>
      <c r="K5736" s="13"/>
      <c r="L5736" s="14"/>
      <c r="M5736" s="15"/>
      <c r="N5736" s="15"/>
      <c r="O5736" s="16"/>
      <c r="Q5736" s="16"/>
    </row>
    <row r="5737" spans="1:17" x14ac:dyDescent="0.3">
      <c r="A5737" s="5"/>
      <c r="B5737" s="6"/>
      <c r="C5737" s="7"/>
      <c r="D5737" s="10"/>
      <c r="F5737" s="1"/>
      <c r="G5737" s="1"/>
      <c r="H5737" s="1"/>
      <c r="I5737" s="7"/>
      <c r="J5737" s="12"/>
      <c r="K5737" s="13"/>
      <c r="L5737" s="14"/>
      <c r="M5737" s="15"/>
      <c r="N5737" s="15"/>
      <c r="O5737" s="16"/>
      <c r="Q5737" s="16"/>
    </row>
    <row r="5738" spans="1:17" x14ac:dyDescent="0.3">
      <c r="A5738" s="5"/>
      <c r="B5738" s="6"/>
      <c r="C5738" s="7"/>
      <c r="D5738" s="10"/>
      <c r="F5738" s="1"/>
      <c r="G5738" s="1"/>
      <c r="H5738" s="1"/>
      <c r="I5738" s="7"/>
      <c r="J5738" s="12"/>
      <c r="K5738" s="13"/>
      <c r="L5738" s="14"/>
      <c r="M5738" s="15"/>
      <c r="N5738" s="15"/>
      <c r="O5738" s="16"/>
      <c r="Q5738" s="16"/>
    </row>
    <row r="5739" spans="1:17" x14ac:dyDescent="0.3">
      <c r="A5739" s="5"/>
      <c r="B5739" s="6"/>
      <c r="C5739" s="7"/>
      <c r="D5739" s="10"/>
      <c r="F5739" s="1"/>
      <c r="G5739" s="1"/>
      <c r="H5739" s="1"/>
      <c r="I5739" s="7"/>
      <c r="J5739" s="12"/>
      <c r="K5739" s="13"/>
      <c r="L5739" s="14"/>
      <c r="M5739" s="15"/>
      <c r="N5739" s="15"/>
      <c r="O5739" s="16"/>
      <c r="Q5739" s="16"/>
    </row>
    <row r="5740" spans="1:17" x14ac:dyDescent="0.3">
      <c r="A5740" s="5"/>
      <c r="B5740" s="6"/>
      <c r="C5740" s="7"/>
      <c r="D5740" s="10"/>
      <c r="F5740" s="1"/>
      <c r="G5740" s="1"/>
      <c r="H5740" s="1"/>
      <c r="I5740" s="7"/>
      <c r="J5740" s="12"/>
      <c r="K5740" s="13"/>
      <c r="L5740" s="14"/>
      <c r="M5740" s="15"/>
      <c r="N5740" s="15"/>
      <c r="O5740" s="16"/>
      <c r="Q5740" s="16"/>
    </row>
    <row r="5741" spans="1:17" x14ac:dyDescent="0.3">
      <c r="A5741" s="5"/>
      <c r="B5741" s="6"/>
      <c r="C5741" s="7"/>
      <c r="D5741" s="10"/>
      <c r="F5741" s="1"/>
      <c r="G5741" s="1"/>
      <c r="H5741" s="1"/>
      <c r="I5741" s="7"/>
      <c r="J5741" s="12"/>
      <c r="K5741" s="13"/>
      <c r="L5741" s="14"/>
      <c r="M5741" s="15"/>
      <c r="N5741" s="15"/>
      <c r="O5741" s="16"/>
      <c r="Q5741" s="16"/>
    </row>
    <row r="5742" spans="1:17" x14ac:dyDescent="0.3">
      <c r="A5742" s="5"/>
      <c r="B5742" s="6"/>
      <c r="C5742" s="7"/>
      <c r="D5742" s="10"/>
      <c r="F5742" s="1"/>
      <c r="G5742" s="1"/>
      <c r="H5742" s="1"/>
      <c r="I5742" s="7"/>
      <c r="J5742" s="12"/>
      <c r="K5742" s="13"/>
      <c r="L5742" s="14"/>
      <c r="M5742" s="15"/>
      <c r="N5742" s="15"/>
      <c r="O5742" s="16"/>
      <c r="Q5742" s="16"/>
    </row>
    <row r="5743" spans="1:17" x14ac:dyDescent="0.3">
      <c r="A5743" s="5"/>
      <c r="B5743" s="6"/>
      <c r="C5743" s="7"/>
      <c r="D5743" s="10"/>
      <c r="F5743" s="1"/>
      <c r="G5743" s="1"/>
      <c r="H5743" s="1"/>
      <c r="I5743" s="7"/>
      <c r="J5743" s="12"/>
      <c r="K5743" s="13"/>
      <c r="L5743" s="14"/>
      <c r="M5743" s="15"/>
      <c r="N5743" s="15"/>
      <c r="O5743" s="16"/>
      <c r="Q5743" s="16"/>
    </row>
    <row r="5744" spans="1:17" x14ac:dyDescent="0.3">
      <c r="A5744" s="5"/>
      <c r="B5744" s="6"/>
      <c r="C5744" s="7"/>
      <c r="D5744" s="10"/>
      <c r="F5744" s="1"/>
      <c r="G5744" s="1"/>
      <c r="H5744" s="1"/>
      <c r="I5744" s="7"/>
      <c r="J5744" s="12"/>
      <c r="K5744" s="13"/>
      <c r="L5744" s="14"/>
      <c r="M5744" s="15"/>
      <c r="N5744" s="15"/>
      <c r="O5744" s="16"/>
      <c r="Q5744" s="16"/>
    </row>
    <row r="5745" spans="1:17" x14ac:dyDescent="0.3">
      <c r="A5745" s="5"/>
      <c r="B5745" s="6"/>
      <c r="C5745" s="7"/>
      <c r="D5745" s="10"/>
      <c r="F5745" s="1"/>
      <c r="G5745" s="1"/>
      <c r="H5745" s="1"/>
      <c r="I5745" s="7"/>
      <c r="J5745" s="12"/>
      <c r="K5745" s="13"/>
      <c r="L5745" s="14"/>
      <c r="M5745" s="15"/>
      <c r="N5745" s="15"/>
      <c r="O5745" s="16"/>
      <c r="Q5745" s="16"/>
    </row>
    <row r="5746" spans="1:17" x14ac:dyDescent="0.3">
      <c r="A5746" s="5"/>
      <c r="B5746" s="6"/>
      <c r="C5746" s="7"/>
      <c r="D5746" s="10"/>
      <c r="F5746" s="1"/>
      <c r="G5746" s="1"/>
      <c r="H5746" s="1"/>
      <c r="I5746" s="7"/>
      <c r="J5746" s="12"/>
      <c r="K5746" s="13"/>
      <c r="L5746" s="14"/>
      <c r="M5746" s="15"/>
      <c r="N5746" s="15"/>
      <c r="O5746" s="16"/>
      <c r="Q5746" s="16"/>
    </row>
    <row r="5747" spans="1:17" x14ac:dyDescent="0.3">
      <c r="A5747" s="5"/>
      <c r="B5747" s="6"/>
      <c r="C5747" s="7"/>
      <c r="D5747" s="10"/>
      <c r="F5747" s="1"/>
      <c r="G5747" s="1"/>
      <c r="H5747" s="1"/>
      <c r="I5747" s="7"/>
      <c r="J5747" s="12"/>
      <c r="K5747" s="13"/>
      <c r="L5747" s="14"/>
      <c r="M5747" s="15"/>
      <c r="N5747" s="15"/>
      <c r="O5747" s="16"/>
      <c r="Q5747" s="16"/>
    </row>
    <row r="5748" spans="1:17" x14ac:dyDescent="0.3">
      <c r="A5748" s="5"/>
      <c r="B5748" s="6"/>
      <c r="C5748" s="7"/>
      <c r="D5748" s="10"/>
      <c r="F5748" s="1"/>
      <c r="G5748" s="1"/>
      <c r="H5748" s="1"/>
      <c r="I5748" s="7"/>
      <c r="J5748" s="12"/>
      <c r="K5748" s="13"/>
      <c r="L5748" s="14"/>
      <c r="M5748" s="15"/>
      <c r="N5748" s="15"/>
      <c r="O5748" s="16"/>
      <c r="Q5748" s="16"/>
    </row>
    <row r="5749" spans="1:17" x14ac:dyDescent="0.3">
      <c r="A5749" s="5"/>
      <c r="B5749" s="6"/>
      <c r="C5749" s="7"/>
      <c r="D5749" s="10"/>
      <c r="F5749" s="1"/>
      <c r="G5749" s="1"/>
      <c r="H5749" s="1"/>
      <c r="I5749" s="7"/>
      <c r="J5749" s="12"/>
      <c r="K5749" s="13"/>
      <c r="L5749" s="14"/>
      <c r="M5749" s="15"/>
      <c r="N5749" s="15"/>
      <c r="O5749" s="16"/>
      <c r="Q5749" s="16"/>
    </row>
    <row r="5750" spans="1:17" x14ac:dyDescent="0.3">
      <c r="A5750" s="5"/>
      <c r="B5750" s="6"/>
      <c r="C5750" s="7"/>
      <c r="D5750" s="10"/>
      <c r="F5750" s="1"/>
      <c r="G5750" s="1"/>
      <c r="H5750" s="1"/>
      <c r="I5750" s="7"/>
      <c r="J5750" s="12"/>
      <c r="K5750" s="13"/>
      <c r="L5750" s="14"/>
      <c r="M5750" s="15"/>
      <c r="N5750" s="15"/>
      <c r="O5750" s="16"/>
      <c r="Q5750" s="16"/>
    </row>
    <row r="5751" spans="1:17" x14ac:dyDescent="0.3">
      <c r="A5751" s="5"/>
      <c r="B5751" s="6"/>
      <c r="C5751" s="7"/>
      <c r="D5751" s="10"/>
      <c r="F5751" s="1"/>
      <c r="G5751" s="1"/>
      <c r="H5751" s="1"/>
      <c r="I5751" s="7"/>
      <c r="J5751" s="12"/>
      <c r="K5751" s="13"/>
      <c r="L5751" s="14"/>
      <c r="M5751" s="15"/>
      <c r="N5751" s="15"/>
      <c r="O5751" s="16"/>
      <c r="Q5751" s="16"/>
    </row>
    <row r="5752" spans="1:17" x14ac:dyDescent="0.3">
      <c r="A5752" s="5"/>
      <c r="B5752" s="6"/>
      <c r="C5752" s="7"/>
      <c r="D5752" s="10"/>
      <c r="F5752" s="1"/>
      <c r="G5752" s="1"/>
      <c r="H5752" s="1"/>
      <c r="I5752" s="7"/>
      <c r="J5752" s="12"/>
      <c r="K5752" s="13"/>
      <c r="L5752" s="14"/>
      <c r="M5752" s="15"/>
      <c r="N5752" s="15"/>
      <c r="O5752" s="16"/>
      <c r="Q5752" s="16"/>
    </row>
    <row r="5753" spans="1:17" x14ac:dyDescent="0.3">
      <c r="A5753" s="5"/>
      <c r="B5753" s="6"/>
      <c r="C5753" s="7"/>
      <c r="D5753" s="10"/>
      <c r="F5753" s="1"/>
      <c r="G5753" s="1"/>
      <c r="H5753" s="1"/>
      <c r="I5753" s="7"/>
      <c r="J5753" s="12"/>
      <c r="K5753" s="13"/>
      <c r="L5753" s="14"/>
      <c r="M5753" s="15"/>
      <c r="N5753" s="15"/>
      <c r="O5753" s="16"/>
      <c r="Q5753" s="16"/>
    </row>
    <row r="5754" spans="1:17" x14ac:dyDescent="0.3">
      <c r="A5754" s="5"/>
      <c r="B5754" s="6"/>
      <c r="C5754" s="7"/>
      <c r="D5754" s="10"/>
      <c r="F5754" s="1"/>
      <c r="G5754" s="1"/>
      <c r="H5754" s="1"/>
      <c r="I5754" s="7"/>
      <c r="J5754" s="12"/>
      <c r="K5754" s="13"/>
      <c r="L5754" s="14"/>
      <c r="M5754" s="15"/>
      <c r="N5754" s="15"/>
      <c r="O5754" s="16"/>
      <c r="Q5754" s="16"/>
    </row>
    <row r="5755" spans="1:17" x14ac:dyDescent="0.3">
      <c r="A5755" s="5"/>
      <c r="B5755" s="6"/>
      <c r="C5755" s="7"/>
      <c r="D5755" s="10"/>
      <c r="F5755" s="1"/>
      <c r="G5755" s="1"/>
      <c r="H5755" s="1"/>
      <c r="I5755" s="7"/>
      <c r="J5755" s="12"/>
      <c r="K5755" s="13"/>
      <c r="L5755" s="14"/>
      <c r="M5755" s="15"/>
      <c r="N5755" s="15"/>
      <c r="O5755" s="16"/>
      <c r="Q5755" s="16"/>
    </row>
    <row r="5756" spans="1:17" x14ac:dyDescent="0.3">
      <c r="A5756" s="5"/>
      <c r="B5756" s="6"/>
      <c r="C5756" s="7"/>
      <c r="D5756" s="10"/>
      <c r="F5756" s="1"/>
      <c r="G5756" s="1"/>
      <c r="H5756" s="1"/>
      <c r="I5756" s="7"/>
      <c r="J5756" s="12"/>
      <c r="K5756" s="13"/>
      <c r="L5756" s="14"/>
      <c r="M5756" s="15"/>
      <c r="N5756" s="15"/>
      <c r="O5756" s="16"/>
      <c r="Q5756" s="16"/>
    </row>
    <row r="5757" spans="1:17" x14ac:dyDescent="0.3">
      <c r="A5757" s="5"/>
      <c r="B5757" s="6"/>
      <c r="C5757" s="7"/>
      <c r="D5757" s="10"/>
      <c r="F5757" s="1"/>
      <c r="G5757" s="1"/>
      <c r="H5757" s="1"/>
      <c r="I5757" s="7"/>
      <c r="J5757" s="12"/>
      <c r="K5757" s="13"/>
      <c r="L5757" s="14"/>
      <c r="M5757" s="15"/>
      <c r="N5757" s="15"/>
      <c r="O5757" s="16"/>
      <c r="Q5757" s="16"/>
    </row>
    <row r="5758" spans="1:17" x14ac:dyDescent="0.3">
      <c r="A5758" s="5"/>
      <c r="B5758" s="6"/>
      <c r="C5758" s="7"/>
      <c r="D5758" s="10"/>
      <c r="F5758" s="1"/>
      <c r="G5758" s="1"/>
      <c r="H5758" s="1"/>
      <c r="I5758" s="7"/>
      <c r="J5758" s="12"/>
      <c r="K5758" s="13"/>
      <c r="L5758" s="14"/>
      <c r="M5758" s="15"/>
      <c r="N5758" s="15"/>
      <c r="O5758" s="16"/>
      <c r="Q5758" s="16"/>
    </row>
    <row r="5759" spans="1:17" x14ac:dyDescent="0.3">
      <c r="A5759" s="5"/>
      <c r="B5759" s="6"/>
      <c r="C5759" s="7"/>
      <c r="D5759" s="10"/>
      <c r="F5759" s="1"/>
      <c r="G5759" s="1"/>
      <c r="H5759" s="1"/>
      <c r="I5759" s="7"/>
      <c r="J5759" s="12"/>
      <c r="K5759" s="13"/>
      <c r="L5759" s="14"/>
      <c r="M5759" s="15"/>
      <c r="N5759" s="15"/>
      <c r="O5759" s="16"/>
      <c r="Q5759" s="16"/>
    </row>
    <row r="5760" spans="1:17" x14ac:dyDescent="0.3">
      <c r="A5760" s="5"/>
      <c r="B5760" s="6"/>
      <c r="C5760" s="7"/>
      <c r="D5760" s="10"/>
      <c r="F5760" s="1"/>
      <c r="G5760" s="1"/>
      <c r="H5760" s="1"/>
      <c r="I5760" s="7"/>
      <c r="J5760" s="12"/>
      <c r="K5760" s="13"/>
      <c r="L5760" s="14"/>
      <c r="M5760" s="15"/>
      <c r="N5760" s="15"/>
      <c r="O5760" s="16"/>
      <c r="Q5760" s="16"/>
    </row>
    <row r="5761" spans="1:17" x14ac:dyDescent="0.3">
      <c r="A5761" s="5"/>
      <c r="B5761" s="6"/>
      <c r="C5761" s="7"/>
      <c r="D5761" s="10"/>
      <c r="F5761" s="1"/>
      <c r="G5761" s="1"/>
      <c r="H5761" s="1"/>
      <c r="I5761" s="7"/>
      <c r="J5761" s="12"/>
      <c r="K5761" s="13"/>
      <c r="L5761" s="14"/>
      <c r="M5761" s="15"/>
      <c r="N5761" s="15"/>
      <c r="O5761" s="16"/>
      <c r="Q5761" s="16"/>
    </row>
    <row r="5762" spans="1:17" x14ac:dyDescent="0.3">
      <c r="A5762" s="5"/>
      <c r="B5762" s="6"/>
      <c r="C5762" s="7"/>
      <c r="D5762" s="10"/>
      <c r="F5762" s="1"/>
      <c r="G5762" s="1"/>
      <c r="H5762" s="1"/>
      <c r="I5762" s="7"/>
      <c r="J5762" s="12"/>
      <c r="K5762" s="13"/>
      <c r="L5762" s="14"/>
      <c r="M5762" s="15"/>
      <c r="N5762" s="15"/>
      <c r="O5762" s="16"/>
      <c r="Q5762" s="16"/>
    </row>
    <row r="5763" spans="1:17" x14ac:dyDescent="0.3">
      <c r="A5763" s="5"/>
      <c r="B5763" s="6"/>
      <c r="C5763" s="7"/>
      <c r="D5763" s="10"/>
      <c r="F5763" s="1"/>
      <c r="G5763" s="1"/>
      <c r="H5763" s="1"/>
      <c r="I5763" s="7"/>
      <c r="J5763" s="12"/>
      <c r="K5763" s="13"/>
      <c r="L5763" s="14"/>
      <c r="M5763" s="15"/>
      <c r="N5763" s="15"/>
      <c r="O5763" s="16"/>
      <c r="Q5763" s="16"/>
    </row>
    <row r="5764" spans="1:17" x14ac:dyDescent="0.3">
      <c r="A5764" s="5"/>
      <c r="B5764" s="6"/>
      <c r="C5764" s="7"/>
      <c r="D5764" s="10"/>
      <c r="F5764" s="1"/>
      <c r="G5764" s="1"/>
      <c r="H5764" s="1"/>
      <c r="I5764" s="7"/>
      <c r="J5764" s="12"/>
      <c r="K5764" s="13"/>
      <c r="L5764" s="14"/>
      <c r="M5764" s="15"/>
      <c r="N5764" s="15"/>
      <c r="O5764" s="16"/>
      <c r="Q5764" s="16"/>
    </row>
    <row r="5765" spans="1:17" x14ac:dyDescent="0.3">
      <c r="A5765" s="5"/>
      <c r="B5765" s="6"/>
      <c r="C5765" s="7"/>
      <c r="D5765" s="10"/>
      <c r="F5765" s="1"/>
      <c r="G5765" s="1"/>
      <c r="H5765" s="1"/>
      <c r="I5765" s="7"/>
      <c r="J5765" s="12"/>
      <c r="K5765" s="13"/>
      <c r="L5765" s="14"/>
      <c r="M5765" s="15"/>
      <c r="N5765" s="15"/>
      <c r="O5765" s="16"/>
      <c r="Q5765" s="16"/>
    </row>
    <row r="5766" spans="1:17" x14ac:dyDescent="0.3">
      <c r="A5766" s="5"/>
      <c r="B5766" s="6"/>
      <c r="C5766" s="7"/>
      <c r="D5766" s="10"/>
      <c r="F5766" s="1"/>
      <c r="G5766" s="1"/>
      <c r="H5766" s="1"/>
      <c r="I5766" s="7"/>
      <c r="J5766" s="12"/>
      <c r="K5766" s="13"/>
      <c r="L5766" s="14"/>
      <c r="M5766" s="15"/>
      <c r="N5766" s="15"/>
      <c r="O5766" s="16"/>
      <c r="Q5766" s="16"/>
    </row>
    <row r="5767" spans="1:17" x14ac:dyDescent="0.3">
      <c r="A5767" s="5"/>
      <c r="B5767" s="6"/>
      <c r="C5767" s="7"/>
      <c r="D5767" s="10"/>
      <c r="F5767" s="1"/>
      <c r="G5767" s="1"/>
      <c r="H5767" s="1"/>
      <c r="I5767" s="7"/>
      <c r="J5767" s="12"/>
      <c r="K5767" s="13"/>
      <c r="L5767" s="14"/>
      <c r="M5767" s="15"/>
      <c r="N5767" s="15"/>
      <c r="O5767" s="16"/>
      <c r="Q5767" s="16"/>
    </row>
    <row r="5768" spans="1:17" x14ac:dyDescent="0.3">
      <c r="A5768" s="5"/>
      <c r="B5768" s="6"/>
      <c r="C5768" s="7"/>
      <c r="D5768" s="10"/>
      <c r="F5768" s="1"/>
      <c r="G5768" s="1"/>
      <c r="H5768" s="1"/>
      <c r="I5768" s="7"/>
      <c r="J5768" s="12"/>
      <c r="K5768" s="13"/>
      <c r="L5768" s="14"/>
      <c r="M5768" s="15"/>
      <c r="N5768" s="15"/>
      <c r="O5768" s="16"/>
      <c r="Q5768" s="16"/>
    </row>
    <row r="5769" spans="1:17" x14ac:dyDescent="0.3">
      <c r="A5769" s="5"/>
      <c r="B5769" s="6"/>
      <c r="C5769" s="7"/>
      <c r="D5769" s="10"/>
      <c r="F5769" s="1"/>
      <c r="G5769" s="1"/>
      <c r="H5769" s="1"/>
      <c r="I5769" s="7"/>
      <c r="J5769" s="12"/>
      <c r="K5769" s="13"/>
      <c r="L5769" s="14"/>
      <c r="M5769" s="15"/>
      <c r="N5769" s="15"/>
      <c r="O5769" s="16"/>
      <c r="Q5769" s="16"/>
    </row>
    <row r="5770" spans="1:17" x14ac:dyDescent="0.3">
      <c r="A5770" s="5"/>
      <c r="B5770" s="6"/>
      <c r="C5770" s="7"/>
      <c r="D5770" s="10"/>
      <c r="F5770" s="1"/>
      <c r="G5770" s="1"/>
      <c r="H5770" s="1"/>
      <c r="I5770" s="7"/>
      <c r="J5770" s="12"/>
      <c r="K5770" s="13"/>
      <c r="L5770" s="14"/>
      <c r="M5770" s="15"/>
      <c r="N5770" s="15"/>
      <c r="O5770" s="16"/>
      <c r="Q5770" s="16"/>
    </row>
    <row r="5771" spans="1:17" x14ac:dyDescent="0.3">
      <c r="A5771" s="5"/>
      <c r="B5771" s="6"/>
      <c r="C5771" s="7"/>
      <c r="D5771" s="10"/>
      <c r="F5771" s="1"/>
      <c r="G5771" s="1"/>
      <c r="H5771" s="1"/>
      <c r="I5771" s="7"/>
      <c r="J5771" s="12"/>
      <c r="K5771" s="13"/>
      <c r="L5771" s="14"/>
      <c r="M5771" s="15"/>
      <c r="N5771" s="15"/>
      <c r="O5771" s="16"/>
      <c r="Q5771" s="16"/>
    </row>
    <row r="5772" spans="1:17" x14ac:dyDescent="0.3">
      <c r="A5772" s="5"/>
      <c r="B5772" s="6"/>
      <c r="C5772" s="7"/>
      <c r="D5772" s="10"/>
      <c r="F5772" s="1"/>
      <c r="G5772" s="1"/>
      <c r="H5772" s="1"/>
      <c r="I5772" s="7"/>
      <c r="J5772" s="12"/>
      <c r="K5772" s="13"/>
      <c r="L5772" s="14"/>
      <c r="M5772" s="15"/>
      <c r="N5772" s="15"/>
      <c r="O5772" s="16"/>
      <c r="Q5772" s="16"/>
    </row>
    <row r="5773" spans="1:17" x14ac:dyDescent="0.3">
      <c r="A5773" s="5"/>
      <c r="B5773" s="6"/>
      <c r="C5773" s="7"/>
      <c r="D5773" s="10"/>
      <c r="F5773" s="1"/>
      <c r="G5773" s="1"/>
      <c r="H5773" s="1"/>
      <c r="I5773" s="7"/>
      <c r="J5773" s="12"/>
      <c r="K5773" s="13"/>
      <c r="L5773" s="14"/>
      <c r="M5773" s="15"/>
      <c r="N5773" s="15"/>
      <c r="O5773" s="16"/>
      <c r="Q5773" s="16"/>
    </row>
    <row r="5774" spans="1:17" x14ac:dyDescent="0.3">
      <c r="A5774" s="5"/>
      <c r="B5774" s="6"/>
      <c r="C5774" s="7"/>
      <c r="D5774" s="10"/>
      <c r="F5774" s="1"/>
      <c r="G5774" s="1"/>
      <c r="H5774" s="1"/>
      <c r="I5774" s="7"/>
      <c r="J5774" s="12"/>
      <c r="K5774" s="13"/>
      <c r="L5774" s="14"/>
      <c r="M5774" s="15"/>
      <c r="N5774" s="15"/>
      <c r="O5774" s="16"/>
      <c r="Q5774" s="16"/>
    </row>
    <row r="5775" spans="1:17" x14ac:dyDescent="0.3">
      <c r="A5775" s="5"/>
      <c r="B5775" s="6"/>
      <c r="C5775" s="7"/>
      <c r="D5775" s="10"/>
      <c r="F5775" s="1"/>
      <c r="G5775" s="1"/>
      <c r="H5775" s="1"/>
      <c r="I5775" s="7"/>
      <c r="J5775" s="12"/>
      <c r="K5775" s="13"/>
      <c r="L5775" s="14"/>
      <c r="M5775" s="15"/>
      <c r="N5775" s="15"/>
      <c r="O5775" s="16"/>
      <c r="Q5775" s="16"/>
    </row>
    <row r="5776" spans="1:17" x14ac:dyDescent="0.3">
      <c r="A5776" s="5"/>
      <c r="B5776" s="6"/>
      <c r="C5776" s="7"/>
      <c r="D5776" s="10"/>
      <c r="F5776" s="1"/>
      <c r="G5776" s="1"/>
      <c r="H5776" s="1"/>
      <c r="I5776" s="7"/>
      <c r="J5776" s="12"/>
      <c r="K5776" s="13"/>
      <c r="L5776" s="14"/>
      <c r="M5776" s="15"/>
      <c r="N5776" s="15"/>
      <c r="O5776" s="16"/>
      <c r="Q5776" s="16"/>
    </row>
    <row r="5777" spans="1:17" x14ac:dyDescent="0.3">
      <c r="A5777" s="5"/>
      <c r="B5777" s="6"/>
      <c r="C5777" s="7"/>
      <c r="D5777" s="10"/>
      <c r="F5777" s="1"/>
      <c r="G5777" s="1"/>
      <c r="H5777" s="1"/>
      <c r="I5777" s="7"/>
      <c r="J5777" s="12"/>
      <c r="K5777" s="13"/>
      <c r="L5777" s="14"/>
      <c r="M5777" s="15"/>
      <c r="N5777" s="15"/>
      <c r="O5777" s="16"/>
      <c r="Q5777" s="16"/>
    </row>
    <row r="5778" spans="1:17" x14ac:dyDescent="0.3">
      <c r="A5778" s="5"/>
      <c r="B5778" s="6"/>
      <c r="C5778" s="7"/>
      <c r="D5778" s="10"/>
      <c r="F5778" s="1"/>
      <c r="G5778" s="1"/>
      <c r="H5778" s="1"/>
      <c r="I5778" s="7"/>
      <c r="J5778" s="12"/>
      <c r="K5778" s="13"/>
      <c r="L5778" s="14"/>
      <c r="M5778" s="15"/>
      <c r="N5778" s="15"/>
      <c r="O5778" s="16"/>
      <c r="Q5778" s="16"/>
    </row>
    <row r="5779" spans="1:17" x14ac:dyDescent="0.3">
      <c r="A5779" s="5"/>
      <c r="B5779" s="6"/>
      <c r="C5779" s="7"/>
      <c r="D5779" s="10"/>
      <c r="F5779" s="1"/>
      <c r="G5779" s="1"/>
      <c r="H5779" s="1"/>
      <c r="I5779" s="7"/>
      <c r="J5779" s="12"/>
      <c r="K5779" s="13"/>
      <c r="L5779" s="14"/>
      <c r="M5779" s="15"/>
      <c r="N5779" s="15"/>
      <c r="O5779" s="16"/>
      <c r="Q5779" s="16"/>
    </row>
    <row r="5780" spans="1:17" x14ac:dyDescent="0.3">
      <c r="A5780" s="5"/>
      <c r="B5780" s="6"/>
      <c r="C5780" s="7"/>
      <c r="D5780" s="10"/>
      <c r="F5780" s="1"/>
      <c r="G5780" s="1"/>
      <c r="H5780" s="1"/>
      <c r="I5780" s="7"/>
      <c r="J5780" s="12"/>
      <c r="K5780" s="13"/>
      <c r="L5780" s="14"/>
      <c r="M5780" s="15"/>
      <c r="N5780" s="15"/>
      <c r="O5780" s="16"/>
      <c r="Q5780" s="16"/>
    </row>
    <row r="5781" spans="1:17" x14ac:dyDescent="0.3">
      <c r="A5781" s="5"/>
      <c r="B5781" s="6"/>
      <c r="C5781" s="7"/>
      <c r="D5781" s="10"/>
      <c r="F5781" s="1"/>
      <c r="G5781" s="1"/>
      <c r="H5781" s="1"/>
      <c r="I5781" s="7"/>
      <c r="J5781" s="12"/>
      <c r="K5781" s="13"/>
      <c r="L5781" s="14"/>
      <c r="M5781" s="15"/>
      <c r="N5781" s="15"/>
      <c r="O5781" s="16"/>
      <c r="Q5781" s="16"/>
    </row>
    <row r="5782" spans="1:17" x14ac:dyDescent="0.3">
      <c r="A5782" s="5"/>
      <c r="B5782" s="6"/>
      <c r="C5782" s="7"/>
      <c r="D5782" s="10"/>
      <c r="F5782" s="1"/>
      <c r="G5782" s="1"/>
      <c r="H5782" s="1"/>
      <c r="I5782" s="7"/>
      <c r="J5782" s="12"/>
      <c r="K5782" s="13"/>
      <c r="L5782" s="14"/>
      <c r="M5782" s="15"/>
      <c r="N5782" s="15"/>
      <c r="O5782" s="16"/>
      <c r="Q5782" s="16"/>
    </row>
    <row r="5783" spans="1:17" x14ac:dyDescent="0.3">
      <c r="A5783" s="5"/>
      <c r="B5783" s="6"/>
      <c r="C5783" s="7"/>
      <c r="D5783" s="10"/>
      <c r="F5783" s="1"/>
      <c r="G5783" s="1"/>
      <c r="H5783" s="1"/>
      <c r="I5783" s="7"/>
      <c r="J5783" s="12"/>
      <c r="K5783" s="13"/>
      <c r="L5783" s="14"/>
      <c r="M5783" s="15"/>
      <c r="N5783" s="15"/>
      <c r="O5783" s="16"/>
      <c r="Q5783" s="16"/>
    </row>
    <row r="5784" spans="1:17" x14ac:dyDescent="0.3">
      <c r="A5784" s="5"/>
      <c r="B5784" s="6"/>
      <c r="C5784" s="7"/>
      <c r="D5784" s="10"/>
      <c r="F5784" s="1"/>
      <c r="G5784" s="1"/>
      <c r="H5784" s="1"/>
      <c r="I5784" s="7"/>
      <c r="J5784" s="12"/>
      <c r="K5784" s="13"/>
      <c r="L5784" s="14"/>
      <c r="M5784" s="15"/>
      <c r="N5784" s="15"/>
      <c r="O5784" s="16"/>
      <c r="Q5784" s="16"/>
    </row>
    <row r="5785" spans="1:17" x14ac:dyDescent="0.3">
      <c r="A5785" s="5"/>
      <c r="B5785" s="6"/>
      <c r="C5785" s="7"/>
      <c r="D5785" s="10"/>
      <c r="F5785" s="1"/>
      <c r="G5785" s="1"/>
      <c r="H5785" s="1"/>
      <c r="I5785" s="7"/>
      <c r="J5785" s="12"/>
      <c r="K5785" s="13"/>
      <c r="L5785" s="14"/>
      <c r="M5785" s="15"/>
      <c r="N5785" s="15"/>
      <c r="O5785" s="16"/>
      <c r="Q5785" s="16"/>
    </row>
    <row r="5786" spans="1:17" x14ac:dyDescent="0.3">
      <c r="A5786" s="5"/>
      <c r="B5786" s="6"/>
      <c r="C5786" s="7"/>
      <c r="D5786" s="10"/>
      <c r="F5786" s="1"/>
      <c r="G5786" s="1"/>
      <c r="H5786" s="1"/>
      <c r="I5786" s="7"/>
      <c r="J5786" s="12"/>
      <c r="K5786" s="13"/>
      <c r="L5786" s="14"/>
      <c r="M5786" s="15"/>
      <c r="N5786" s="15"/>
      <c r="O5786" s="16"/>
      <c r="Q5786" s="16"/>
    </row>
    <row r="5787" spans="1:17" x14ac:dyDescent="0.3">
      <c r="A5787" s="5"/>
      <c r="B5787" s="6"/>
      <c r="C5787" s="7"/>
      <c r="D5787" s="10"/>
      <c r="F5787" s="1"/>
      <c r="G5787" s="1"/>
      <c r="H5787" s="1"/>
      <c r="I5787" s="7"/>
      <c r="J5787" s="12"/>
      <c r="K5787" s="13"/>
      <c r="L5787" s="14"/>
      <c r="M5787" s="15"/>
      <c r="N5787" s="15"/>
      <c r="O5787" s="16"/>
      <c r="Q5787" s="16"/>
    </row>
    <row r="5788" spans="1:17" x14ac:dyDescent="0.3">
      <c r="A5788" s="5"/>
      <c r="B5788" s="6"/>
      <c r="C5788" s="7"/>
      <c r="D5788" s="10"/>
      <c r="F5788" s="1"/>
      <c r="G5788" s="1"/>
      <c r="H5788" s="1"/>
      <c r="I5788" s="7"/>
      <c r="J5788" s="12"/>
      <c r="K5788" s="13"/>
      <c r="L5788" s="14"/>
      <c r="M5788" s="15"/>
      <c r="N5788" s="15"/>
      <c r="O5788" s="16"/>
      <c r="Q5788" s="16"/>
    </row>
    <row r="5789" spans="1:17" x14ac:dyDescent="0.3">
      <c r="A5789" s="5"/>
      <c r="B5789" s="6"/>
      <c r="C5789" s="7"/>
      <c r="D5789" s="10"/>
      <c r="F5789" s="1"/>
      <c r="G5789" s="1"/>
      <c r="H5789" s="1"/>
      <c r="I5789" s="7"/>
      <c r="J5789" s="12"/>
      <c r="K5789" s="13"/>
      <c r="L5789" s="14"/>
      <c r="M5789" s="15"/>
      <c r="N5789" s="15"/>
      <c r="O5789" s="16"/>
      <c r="Q5789" s="16"/>
    </row>
    <row r="5790" spans="1:17" x14ac:dyDescent="0.3">
      <c r="A5790" s="5"/>
      <c r="B5790" s="6"/>
      <c r="C5790" s="7"/>
      <c r="D5790" s="10"/>
      <c r="F5790" s="1"/>
      <c r="G5790" s="1"/>
      <c r="H5790" s="1"/>
      <c r="I5790" s="7"/>
      <c r="J5790" s="12"/>
      <c r="K5790" s="13"/>
      <c r="L5790" s="14"/>
      <c r="M5790" s="15"/>
      <c r="N5790" s="15"/>
      <c r="O5790" s="16"/>
      <c r="Q5790" s="16"/>
    </row>
    <row r="5791" spans="1:17" x14ac:dyDescent="0.3">
      <c r="A5791" s="5"/>
      <c r="B5791" s="6"/>
      <c r="C5791" s="7"/>
      <c r="D5791" s="10"/>
      <c r="F5791" s="1"/>
      <c r="G5791" s="1"/>
      <c r="H5791" s="1"/>
      <c r="I5791" s="7"/>
      <c r="J5791" s="12"/>
      <c r="K5791" s="13"/>
      <c r="L5791" s="14"/>
      <c r="M5791" s="15"/>
      <c r="N5791" s="15"/>
      <c r="O5791" s="16"/>
      <c r="Q5791" s="16"/>
    </row>
    <row r="5792" spans="1:17" x14ac:dyDescent="0.3">
      <c r="A5792" s="5"/>
      <c r="B5792" s="6"/>
      <c r="C5792" s="7"/>
      <c r="D5792" s="10"/>
      <c r="F5792" s="1"/>
      <c r="G5792" s="1"/>
      <c r="H5792" s="1"/>
      <c r="I5792" s="7"/>
      <c r="J5792" s="12"/>
      <c r="K5792" s="13"/>
      <c r="L5792" s="14"/>
      <c r="M5792" s="15"/>
      <c r="N5792" s="15"/>
      <c r="O5792" s="16"/>
      <c r="Q5792" s="16"/>
    </row>
    <row r="5793" spans="1:17" x14ac:dyDescent="0.3">
      <c r="A5793" s="5"/>
      <c r="B5793" s="6"/>
      <c r="C5793" s="7"/>
      <c r="D5793" s="10"/>
      <c r="F5793" s="1"/>
      <c r="G5793" s="1"/>
      <c r="H5793" s="1"/>
      <c r="I5793" s="7"/>
      <c r="J5793" s="12"/>
      <c r="K5793" s="13"/>
      <c r="L5793" s="14"/>
      <c r="M5793" s="15"/>
      <c r="N5793" s="15"/>
      <c r="O5793" s="16"/>
      <c r="Q5793" s="16"/>
    </row>
    <row r="5794" spans="1:17" x14ac:dyDescent="0.3">
      <c r="A5794" s="5"/>
      <c r="B5794" s="6"/>
      <c r="C5794" s="7"/>
      <c r="D5794" s="10"/>
      <c r="F5794" s="1"/>
      <c r="G5794" s="1"/>
      <c r="H5794" s="1"/>
      <c r="I5794" s="7"/>
      <c r="J5794" s="12"/>
      <c r="K5794" s="13"/>
      <c r="L5794" s="14"/>
      <c r="M5794" s="15"/>
      <c r="N5794" s="15"/>
      <c r="O5794" s="16"/>
      <c r="Q5794" s="16"/>
    </row>
    <row r="5795" spans="1:17" x14ac:dyDescent="0.3">
      <c r="A5795" s="5"/>
      <c r="B5795" s="6"/>
      <c r="C5795" s="7"/>
      <c r="D5795" s="10"/>
      <c r="F5795" s="1"/>
      <c r="G5795" s="1"/>
      <c r="H5795" s="1"/>
      <c r="I5795" s="7"/>
      <c r="J5795" s="12"/>
      <c r="K5795" s="13"/>
      <c r="L5795" s="14"/>
      <c r="M5795" s="15"/>
      <c r="N5795" s="15"/>
      <c r="O5795" s="16"/>
      <c r="Q5795" s="16"/>
    </row>
    <row r="5796" spans="1:17" x14ac:dyDescent="0.3">
      <c r="A5796" s="5"/>
      <c r="B5796" s="6"/>
      <c r="C5796" s="7"/>
      <c r="D5796" s="10"/>
      <c r="F5796" s="1"/>
      <c r="G5796" s="1"/>
      <c r="H5796" s="1"/>
      <c r="I5796" s="7"/>
      <c r="J5796" s="12"/>
      <c r="K5796" s="13"/>
      <c r="L5796" s="14"/>
      <c r="M5796" s="15"/>
      <c r="N5796" s="15"/>
      <c r="O5796" s="16"/>
      <c r="Q5796" s="16"/>
    </row>
    <row r="5797" spans="1:17" x14ac:dyDescent="0.3">
      <c r="A5797" s="5"/>
      <c r="B5797" s="6"/>
      <c r="C5797" s="7"/>
      <c r="D5797" s="10"/>
      <c r="F5797" s="1"/>
      <c r="G5797" s="1"/>
      <c r="H5797" s="1"/>
      <c r="I5797" s="7"/>
      <c r="J5797" s="12"/>
      <c r="K5797" s="13"/>
      <c r="L5797" s="14"/>
      <c r="M5797" s="15"/>
      <c r="N5797" s="15"/>
      <c r="O5797" s="16"/>
      <c r="Q5797" s="16"/>
    </row>
    <row r="5798" spans="1:17" x14ac:dyDescent="0.3">
      <c r="A5798" s="5"/>
      <c r="B5798" s="6"/>
      <c r="C5798" s="7"/>
      <c r="D5798" s="10"/>
      <c r="F5798" s="1"/>
      <c r="G5798" s="1"/>
      <c r="H5798" s="1"/>
      <c r="I5798" s="7"/>
      <c r="J5798" s="12"/>
      <c r="K5798" s="13"/>
      <c r="L5798" s="14"/>
      <c r="M5798" s="15"/>
      <c r="N5798" s="15"/>
      <c r="O5798" s="16"/>
      <c r="Q5798" s="16"/>
    </row>
    <row r="5799" spans="1:17" x14ac:dyDescent="0.3">
      <c r="A5799" s="5"/>
      <c r="B5799" s="6"/>
      <c r="C5799" s="7"/>
      <c r="D5799" s="10"/>
      <c r="F5799" s="1"/>
      <c r="G5799" s="1"/>
      <c r="H5799" s="1"/>
      <c r="I5799" s="7"/>
      <c r="J5799" s="12"/>
      <c r="K5799" s="13"/>
      <c r="L5799" s="14"/>
      <c r="M5799" s="15"/>
      <c r="N5799" s="15"/>
      <c r="O5799" s="16"/>
      <c r="Q5799" s="16"/>
    </row>
    <row r="5800" spans="1:17" x14ac:dyDescent="0.3">
      <c r="A5800" s="5"/>
      <c r="B5800" s="6"/>
      <c r="C5800" s="7"/>
      <c r="D5800" s="10"/>
      <c r="F5800" s="1"/>
      <c r="G5800" s="1"/>
      <c r="H5800" s="1"/>
      <c r="I5800" s="7"/>
      <c r="J5800" s="12"/>
      <c r="K5800" s="13"/>
      <c r="L5800" s="14"/>
      <c r="M5800" s="15"/>
      <c r="N5800" s="15"/>
      <c r="O5800" s="16"/>
      <c r="Q5800" s="16"/>
    </row>
    <row r="5801" spans="1:17" x14ac:dyDescent="0.3">
      <c r="A5801" s="5"/>
      <c r="B5801" s="6"/>
      <c r="C5801" s="7"/>
      <c r="D5801" s="10"/>
      <c r="F5801" s="1"/>
      <c r="G5801" s="1"/>
      <c r="H5801" s="1"/>
      <c r="I5801" s="7"/>
      <c r="J5801" s="12"/>
      <c r="K5801" s="13"/>
      <c r="L5801" s="14"/>
      <c r="M5801" s="15"/>
      <c r="N5801" s="15"/>
      <c r="O5801" s="16"/>
      <c r="Q5801" s="16"/>
    </row>
    <row r="5802" spans="1:17" x14ac:dyDescent="0.3">
      <c r="A5802" s="5"/>
      <c r="B5802" s="6"/>
      <c r="C5802" s="7"/>
      <c r="D5802" s="10"/>
      <c r="F5802" s="1"/>
      <c r="G5802" s="1"/>
      <c r="H5802" s="1"/>
      <c r="I5802" s="7"/>
      <c r="J5802" s="12"/>
      <c r="K5802" s="13"/>
      <c r="L5802" s="14"/>
      <c r="M5802" s="15"/>
      <c r="N5802" s="15"/>
      <c r="O5802" s="16"/>
      <c r="Q5802" s="16"/>
    </row>
    <row r="5803" spans="1:17" x14ac:dyDescent="0.3">
      <c r="A5803" s="5"/>
      <c r="B5803" s="6"/>
      <c r="C5803" s="7"/>
      <c r="D5803" s="10"/>
      <c r="F5803" s="1"/>
      <c r="G5803" s="1"/>
      <c r="H5803" s="1"/>
      <c r="I5803" s="7"/>
      <c r="J5803" s="12"/>
      <c r="K5803" s="13"/>
      <c r="L5803" s="14"/>
      <c r="M5803" s="15"/>
      <c r="N5803" s="15"/>
      <c r="O5803" s="16"/>
      <c r="Q5803" s="16"/>
    </row>
    <row r="5804" spans="1:17" x14ac:dyDescent="0.3">
      <c r="A5804" s="5"/>
      <c r="B5804" s="6"/>
      <c r="C5804" s="7"/>
      <c r="D5804" s="10"/>
      <c r="F5804" s="1"/>
      <c r="G5804" s="1"/>
      <c r="H5804" s="1"/>
      <c r="I5804" s="7"/>
      <c r="J5804" s="12"/>
      <c r="K5804" s="13"/>
      <c r="L5804" s="14"/>
      <c r="M5804" s="15"/>
      <c r="N5804" s="15"/>
      <c r="O5804" s="16"/>
      <c r="Q5804" s="16"/>
    </row>
    <row r="5805" spans="1:17" x14ac:dyDescent="0.3">
      <c r="A5805" s="5"/>
      <c r="B5805" s="6"/>
      <c r="C5805" s="7"/>
      <c r="D5805" s="10"/>
      <c r="F5805" s="1"/>
      <c r="G5805" s="1"/>
      <c r="H5805" s="1"/>
      <c r="I5805" s="7"/>
      <c r="J5805" s="12"/>
      <c r="K5805" s="13"/>
      <c r="L5805" s="14"/>
      <c r="M5805" s="15"/>
      <c r="N5805" s="15"/>
      <c r="O5805" s="16"/>
      <c r="Q5805" s="16"/>
    </row>
    <row r="5806" spans="1:17" x14ac:dyDescent="0.3">
      <c r="A5806" s="5"/>
      <c r="B5806" s="6"/>
      <c r="C5806" s="7"/>
      <c r="D5806" s="10"/>
      <c r="F5806" s="1"/>
      <c r="G5806" s="1"/>
      <c r="H5806" s="1"/>
      <c r="I5806" s="7"/>
      <c r="J5806" s="12"/>
      <c r="K5806" s="13"/>
      <c r="L5806" s="14"/>
      <c r="M5806" s="15"/>
      <c r="N5806" s="15"/>
      <c r="O5806" s="16"/>
      <c r="Q5806" s="16"/>
    </row>
    <row r="5807" spans="1:17" x14ac:dyDescent="0.3">
      <c r="A5807" s="5"/>
      <c r="B5807" s="6"/>
      <c r="C5807" s="7"/>
      <c r="D5807" s="10"/>
      <c r="F5807" s="1"/>
      <c r="G5807" s="1"/>
      <c r="H5807" s="1"/>
      <c r="I5807" s="7"/>
      <c r="J5807" s="12"/>
      <c r="K5807" s="13"/>
      <c r="L5807" s="14"/>
      <c r="M5807" s="15"/>
      <c r="N5807" s="15"/>
      <c r="O5807" s="16"/>
      <c r="Q5807" s="16"/>
    </row>
    <row r="5808" spans="1:17" x14ac:dyDescent="0.3">
      <c r="A5808" s="5"/>
      <c r="B5808" s="6"/>
      <c r="C5808" s="7"/>
      <c r="D5808" s="10"/>
      <c r="F5808" s="1"/>
      <c r="G5808" s="1"/>
      <c r="H5808" s="1"/>
      <c r="I5808" s="7"/>
      <c r="J5808" s="12"/>
      <c r="K5808" s="13"/>
      <c r="L5808" s="14"/>
      <c r="M5808" s="15"/>
      <c r="N5808" s="15"/>
      <c r="O5808" s="16"/>
      <c r="Q5808" s="16"/>
    </row>
    <row r="5809" spans="1:17" x14ac:dyDescent="0.3">
      <c r="A5809" s="5"/>
      <c r="B5809" s="6"/>
      <c r="C5809" s="7"/>
      <c r="D5809" s="10"/>
      <c r="F5809" s="1"/>
      <c r="G5809" s="1"/>
      <c r="H5809" s="1"/>
      <c r="I5809" s="7"/>
      <c r="J5809" s="12"/>
      <c r="K5809" s="13"/>
      <c r="L5809" s="14"/>
      <c r="M5809" s="15"/>
      <c r="N5809" s="15"/>
      <c r="O5809" s="16"/>
      <c r="Q5809" s="16"/>
    </row>
    <row r="5810" spans="1:17" x14ac:dyDescent="0.3">
      <c r="A5810" s="5"/>
      <c r="B5810" s="6"/>
      <c r="C5810" s="7"/>
      <c r="D5810" s="10"/>
      <c r="F5810" s="1"/>
      <c r="G5810" s="1"/>
      <c r="H5810" s="1"/>
      <c r="I5810" s="7"/>
      <c r="J5810" s="12"/>
      <c r="K5810" s="13"/>
      <c r="L5810" s="14"/>
      <c r="M5810" s="15"/>
      <c r="N5810" s="15"/>
      <c r="O5810" s="16"/>
      <c r="Q5810" s="16"/>
    </row>
    <row r="5811" spans="1:17" x14ac:dyDescent="0.3">
      <c r="A5811" s="5"/>
      <c r="B5811" s="6"/>
      <c r="C5811" s="7"/>
      <c r="D5811" s="10"/>
      <c r="F5811" s="1"/>
      <c r="G5811" s="1"/>
      <c r="H5811" s="1"/>
      <c r="I5811" s="7"/>
      <c r="J5811" s="12"/>
      <c r="K5811" s="13"/>
      <c r="L5811" s="14"/>
      <c r="M5811" s="15"/>
      <c r="N5811" s="15"/>
      <c r="O5811" s="16"/>
      <c r="Q5811" s="16"/>
    </row>
    <row r="5812" spans="1:17" x14ac:dyDescent="0.3">
      <c r="A5812" s="5"/>
      <c r="B5812" s="6"/>
      <c r="C5812" s="7"/>
      <c r="D5812" s="10"/>
      <c r="F5812" s="1"/>
      <c r="G5812" s="1"/>
      <c r="H5812" s="1"/>
      <c r="I5812" s="7"/>
      <c r="J5812" s="12"/>
      <c r="K5812" s="13"/>
      <c r="L5812" s="14"/>
      <c r="M5812" s="15"/>
      <c r="N5812" s="15"/>
      <c r="O5812" s="16"/>
      <c r="Q5812" s="16"/>
    </row>
    <row r="5813" spans="1:17" x14ac:dyDescent="0.3">
      <c r="A5813" s="5"/>
      <c r="B5813" s="6"/>
      <c r="C5813" s="7"/>
      <c r="D5813" s="10"/>
      <c r="F5813" s="1"/>
      <c r="G5813" s="1"/>
      <c r="H5813" s="1"/>
      <c r="I5813" s="7"/>
      <c r="J5813" s="12"/>
      <c r="K5813" s="13"/>
      <c r="L5813" s="14"/>
      <c r="M5813" s="15"/>
      <c r="N5813" s="15"/>
      <c r="O5813" s="16"/>
      <c r="Q5813" s="16"/>
    </row>
    <row r="5814" spans="1:17" x14ac:dyDescent="0.3">
      <c r="A5814" s="5"/>
      <c r="B5814" s="6"/>
      <c r="C5814" s="7"/>
      <c r="D5814" s="10"/>
      <c r="F5814" s="1"/>
      <c r="G5814" s="1"/>
      <c r="H5814" s="1"/>
      <c r="I5814" s="7"/>
      <c r="J5814" s="12"/>
      <c r="K5814" s="13"/>
      <c r="L5814" s="14"/>
      <c r="M5814" s="15"/>
      <c r="N5814" s="15"/>
      <c r="O5814" s="16"/>
      <c r="Q5814" s="16"/>
    </row>
    <row r="5815" spans="1:17" x14ac:dyDescent="0.3">
      <c r="A5815" s="5"/>
      <c r="B5815" s="6"/>
      <c r="C5815" s="7"/>
      <c r="D5815" s="10"/>
      <c r="F5815" s="1"/>
      <c r="G5815" s="1"/>
      <c r="H5815" s="1"/>
      <c r="I5815" s="7"/>
      <c r="J5815" s="12"/>
      <c r="K5815" s="13"/>
      <c r="L5815" s="14"/>
      <c r="M5815" s="15"/>
      <c r="N5815" s="15"/>
      <c r="O5815" s="16"/>
      <c r="Q5815" s="16"/>
    </row>
    <row r="5816" spans="1:17" x14ac:dyDescent="0.3">
      <c r="A5816" s="5"/>
      <c r="B5816" s="6"/>
      <c r="C5816" s="7"/>
      <c r="D5816" s="10"/>
      <c r="F5816" s="1"/>
      <c r="G5816" s="1"/>
      <c r="H5816" s="1"/>
      <c r="I5816" s="7"/>
      <c r="J5816" s="12"/>
      <c r="K5816" s="13"/>
      <c r="L5816" s="14"/>
      <c r="M5816" s="15"/>
      <c r="N5816" s="15"/>
      <c r="O5816" s="16"/>
      <c r="Q5816" s="16"/>
    </row>
    <row r="5817" spans="1:17" x14ac:dyDescent="0.3">
      <c r="A5817" s="5"/>
      <c r="B5817" s="6"/>
      <c r="C5817" s="7"/>
      <c r="D5817" s="10"/>
      <c r="F5817" s="1"/>
      <c r="G5817" s="1"/>
      <c r="H5817" s="1"/>
      <c r="I5817" s="7"/>
      <c r="J5817" s="12"/>
      <c r="K5817" s="13"/>
      <c r="L5817" s="14"/>
      <c r="M5817" s="15"/>
      <c r="N5817" s="15"/>
      <c r="O5817" s="16"/>
      <c r="Q5817" s="16"/>
    </row>
    <row r="5818" spans="1:17" x14ac:dyDescent="0.3">
      <c r="A5818" s="5"/>
      <c r="B5818" s="6"/>
      <c r="C5818" s="7"/>
      <c r="D5818" s="10"/>
      <c r="F5818" s="1"/>
      <c r="G5818" s="1"/>
      <c r="H5818" s="1"/>
      <c r="I5818" s="7"/>
      <c r="J5818" s="12"/>
      <c r="K5818" s="13"/>
      <c r="L5818" s="14"/>
      <c r="M5818" s="15"/>
      <c r="N5818" s="15"/>
      <c r="O5818" s="16"/>
      <c r="Q5818" s="16"/>
    </row>
    <row r="5819" spans="1:17" x14ac:dyDescent="0.3">
      <c r="A5819" s="5"/>
      <c r="B5819" s="6"/>
      <c r="C5819" s="7"/>
      <c r="D5819" s="10"/>
      <c r="F5819" s="1"/>
      <c r="G5819" s="1"/>
      <c r="H5819" s="1"/>
      <c r="I5819" s="7"/>
      <c r="J5819" s="12"/>
      <c r="K5819" s="13"/>
      <c r="L5819" s="14"/>
      <c r="M5819" s="15"/>
      <c r="N5819" s="15"/>
      <c r="O5819" s="16"/>
      <c r="Q5819" s="16"/>
    </row>
    <row r="5820" spans="1:17" x14ac:dyDescent="0.3">
      <c r="A5820" s="5"/>
      <c r="B5820" s="6"/>
      <c r="C5820" s="7"/>
      <c r="D5820" s="10"/>
      <c r="F5820" s="1"/>
      <c r="G5820" s="1"/>
      <c r="H5820" s="1"/>
      <c r="I5820" s="7"/>
      <c r="J5820" s="12"/>
      <c r="K5820" s="13"/>
      <c r="L5820" s="14"/>
      <c r="M5820" s="15"/>
      <c r="N5820" s="15"/>
      <c r="O5820" s="16"/>
      <c r="Q5820" s="16"/>
    </row>
    <row r="5821" spans="1:17" x14ac:dyDescent="0.3">
      <c r="A5821" s="5"/>
      <c r="B5821" s="6"/>
      <c r="C5821" s="7"/>
      <c r="D5821" s="10"/>
      <c r="F5821" s="1"/>
      <c r="G5821" s="1"/>
      <c r="H5821" s="1"/>
      <c r="I5821" s="7"/>
      <c r="J5821" s="12"/>
      <c r="K5821" s="13"/>
      <c r="L5821" s="14"/>
      <c r="M5821" s="15"/>
      <c r="N5821" s="15"/>
      <c r="O5821" s="16"/>
      <c r="Q5821" s="16"/>
    </row>
    <row r="5822" spans="1:17" x14ac:dyDescent="0.3">
      <c r="A5822" s="5"/>
      <c r="B5822" s="6"/>
      <c r="C5822" s="7"/>
      <c r="D5822" s="10"/>
      <c r="F5822" s="1"/>
      <c r="G5822" s="1"/>
      <c r="H5822" s="1"/>
      <c r="I5822" s="7"/>
      <c r="J5822" s="12"/>
      <c r="K5822" s="13"/>
      <c r="L5822" s="14"/>
      <c r="M5822" s="15"/>
      <c r="N5822" s="15"/>
      <c r="O5822" s="16"/>
      <c r="Q5822" s="16"/>
    </row>
    <row r="5823" spans="1:17" x14ac:dyDescent="0.3">
      <c r="A5823" s="5"/>
      <c r="B5823" s="6"/>
      <c r="C5823" s="7"/>
      <c r="D5823" s="10"/>
      <c r="F5823" s="1"/>
      <c r="G5823" s="1"/>
      <c r="H5823" s="1"/>
      <c r="I5823" s="7"/>
      <c r="J5823" s="12"/>
      <c r="K5823" s="13"/>
      <c r="L5823" s="14"/>
      <c r="M5823" s="15"/>
      <c r="N5823" s="15"/>
      <c r="O5823" s="16"/>
      <c r="Q5823" s="16"/>
    </row>
    <row r="5824" spans="1:17" x14ac:dyDescent="0.3">
      <c r="A5824" s="5"/>
      <c r="B5824" s="6"/>
      <c r="C5824" s="7"/>
      <c r="D5824" s="10"/>
      <c r="F5824" s="1"/>
      <c r="G5824" s="1"/>
      <c r="H5824" s="1"/>
      <c r="I5824" s="7"/>
      <c r="J5824" s="12"/>
      <c r="K5824" s="13"/>
      <c r="L5824" s="14"/>
      <c r="M5824" s="15"/>
      <c r="N5824" s="15"/>
      <c r="O5824" s="16"/>
      <c r="Q5824" s="16"/>
    </row>
    <row r="5825" spans="1:17" x14ac:dyDescent="0.3">
      <c r="A5825" s="5"/>
      <c r="B5825" s="6"/>
      <c r="C5825" s="7"/>
      <c r="D5825" s="10"/>
      <c r="F5825" s="1"/>
      <c r="G5825" s="1"/>
      <c r="H5825" s="1"/>
      <c r="I5825" s="7"/>
      <c r="J5825" s="12"/>
      <c r="K5825" s="13"/>
      <c r="L5825" s="14"/>
      <c r="M5825" s="15"/>
      <c r="N5825" s="15"/>
      <c r="O5825" s="16"/>
      <c r="Q5825" s="16"/>
    </row>
    <row r="5826" spans="1:17" x14ac:dyDescent="0.3">
      <c r="A5826" s="5"/>
      <c r="B5826" s="6"/>
      <c r="C5826" s="7"/>
      <c r="D5826" s="10"/>
      <c r="F5826" s="1"/>
      <c r="G5826" s="1"/>
      <c r="H5826" s="1"/>
      <c r="I5826" s="7"/>
      <c r="J5826" s="12"/>
      <c r="K5826" s="13"/>
      <c r="L5826" s="14"/>
      <c r="M5826" s="15"/>
      <c r="N5826" s="15"/>
      <c r="O5826" s="16"/>
      <c r="Q5826" s="16"/>
    </row>
    <row r="5827" spans="1:17" x14ac:dyDescent="0.3">
      <c r="A5827" s="5"/>
      <c r="B5827" s="6"/>
      <c r="C5827" s="7"/>
      <c r="D5827" s="10"/>
      <c r="F5827" s="1"/>
      <c r="G5827" s="1"/>
      <c r="H5827" s="1"/>
      <c r="I5827" s="7"/>
      <c r="J5827" s="12"/>
      <c r="K5827" s="13"/>
      <c r="L5827" s="14"/>
      <c r="M5827" s="15"/>
      <c r="N5827" s="15"/>
      <c r="O5827" s="16"/>
      <c r="Q5827" s="16"/>
    </row>
    <row r="5828" spans="1:17" x14ac:dyDescent="0.3">
      <c r="A5828" s="5"/>
      <c r="B5828" s="6"/>
      <c r="C5828" s="7"/>
      <c r="D5828" s="10"/>
      <c r="F5828" s="1"/>
      <c r="G5828" s="1"/>
      <c r="H5828" s="1"/>
      <c r="I5828" s="7"/>
      <c r="J5828" s="12"/>
      <c r="K5828" s="13"/>
      <c r="L5828" s="14"/>
      <c r="M5828" s="15"/>
      <c r="N5828" s="15"/>
      <c r="O5828" s="16"/>
      <c r="Q5828" s="16"/>
    </row>
    <row r="5829" spans="1:17" x14ac:dyDescent="0.3">
      <c r="A5829" s="5"/>
      <c r="B5829" s="6"/>
      <c r="C5829" s="7"/>
      <c r="D5829" s="10"/>
      <c r="F5829" s="1"/>
      <c r="G5829" s="1"/>
      <c r="H5829" s="1"/>
      <c r="I5829" s="7"/>
      <c r="J5829" s="12"/>
      <c r="K5829" s="13"/>
      <c r="L5829" s="14"/>
      <c r="M5829" s="15"/>
      <c r="N5829" s="15"/>
      <c r="O5829" s="16"/>
      <c r="Q5829" s="16"/>
    </row>
    <row r="5830" spans="1:17" x14ac:dyDescent="0.3">
      <c r="A5830" s="5"/>
      <c r="B5830" s="6"/>
      <c r="C5830" s="7"/>
      <c r="D5830" s="10"/>
      <c r="F5830" s="1"/>
      <c r="G5830" s="1"/>
      <c r="H5830" s="1"/>
      <c r="I5830" s="7"/>
      <c r="J5830" s="12"/>
      <c r="K5830" s="13"/>
      <c r="L5830" s="14"/>
      <c r="M5830" s="15"/>
      <c r="N5830" s="15"/>
      <c r="O5830" s="16"/>
      <c r="Q5830" s="16"/>
    </row>
    <row r="5831" spans="1:17" x14ac:dyDescent="0.3">
      <c r="A5831" s="5"/>
      <c r="B5831" s="6"/>
      <c r="C5831" s="7"/>
      <c r="D5831" s="10"/>
      <c r="F5831" s="1"/>
      <c r="G5831" s="1"/>
      <c r="H5831" s="1"/>
      <c r="I5831" s="7"/>
      <c r="J5831" s="12"/>
      <c r="K5831" s="13"/>
      <c r="L5831" s="14"/>
      <c r="M5831" s="15"/>
      <c r="N5831" s="15"/>
      <c r="O5831" s="16"/>
      <c r="Q5831" s="16"/>
    </row>
    <row r="5832" spans="1:17" x14ac:dyDescent="0.3">
      <c r="A5832" s="5"/>
      <c r="B5832" s="6"/>
      <c r="C5832" s="7"/>
      <c r="D5832" s="10"/>
      <c r="F5832" s="1"/>
      <c r="G5832" s="1"/>
      <c r="H5832" s="1"/>
      <c r="I5832" s="7"/>
      <c r="J5832" s="12"/>
      <c r="K5832" s="13"/>
      <c r="L5832" s="14"/>
      <c r="M5832" s="15"/>
      <c r="N5832" s="15"/>
      <c r="O5832" s="16"/>
      <c r="Q5832" s="16"/>
    </row>
    <row r="5833" spans="1:17" x14ac:dyDescent="0.3">
      <c r="A5833" s="5"/>
      <c r="B5833" s="6"/>
      <c r="C5833" s="7"/>
      <c r="D5833" s="10"/>
      <c r="F5833" s="1"/>
      <c r="G5833" s="1"/>
      <c r="H5833" s="1"/>
      <c r="I5833" s="7"/>
      <c r="J5833" s="12"/>
      <c r="K5833" s="13"/>
      <c r="L5833" s="14"/>
      <c r="M5833" s="15"/>
      <c r="N5833" s="15"/>
      <c r="O5833" s="16"/>
      <c r="Q5833" s="16"/>
    </row>
    <row r="5834" spans="1:17" x14ac:dyDescent="0.3">
      <c r="A5834" s="5"/>
      <c r="B5834" s="6"/>
      <c r="C5834" s="7"/>
      <c r="D5834" s="10"/>
      <c r="F5834" s="1"/>
      <c r="G5834" s="1"/>
      <c r="H5834" s="1"/>
      <c r="I5834" s="7"/>
      <c r="J5834" s="12"/>
      <c r="K5834" s="13"/>
      <c r="L5834" s="14"/>
      <c r="M5834" s="15"/>
      <c r="N5834" s="15"/>
      <c r="O5834" s="16"/>
      <c r="Q5834" s="16"/>
    </row>
    <row r="5835" spans="1:17" x14ac:dyDescent="0.3">
      <c r="A5835" s="5"/>
      <c r="B5835" s="6"/>
      <c r="C5835" s="7"/>
      <c r="D5835" s="10"/>
      <c r="F5835" s="1"/>
      <c r="G5835" s="1"/>
      <c r="H5835" s="1"/>
      <c r="I5835" s="7"/>
      <c r="J5835" s="12"/>
      <c r="K5835" s="13"/>
      <c r="L5835" s="14"/>
      <c r="M5835" s="15"/>
      <c r="N5835" s="15"/>
      <c r="O5835" s="16"/>
      <c r="Q5835" s="16"/>
    </row>
    <row r="5836" spans="1:17" x14ac:dyDescent="0.3">
      <c r="A5836" s="5"/>
      <c r="B5836" s="6"/>
      <c r="C5836" s="7"/>
      <c r="D5836" s="10"/>
      <c r="F5836" s="1"/>
      <c r="G5836" s="1"/>
      <c r="H5836" s="1"/>
      <c r="I5836" s="7"/>
      <c r="J5836" s="12"/>
      <c r="K5836" s="13"/>
      <c r="L5836" s="14"/>
      <c r="M5836" s="15"/>
      <c r="N5836" s="15"/>
      <c r="O5836" s="16"/>
      <c r="Q5836" s="16"/>
    </row>
    <row r="5837" spans="1:17" x14ac:dyDescent="0.3">
      <c r="A5837" s="5"/>
      <c r="B5837" s="6"/>
      <c r="C5837" s="7"/>
      <c r="D5837" s="10"/>
      <c r="F5837" s="1"/>
      <c r="G5837" s="1"/>
      <c r="H5837" s="1"/>
      <c r="I5837" s="7"/>
      <c r="J5837" s="12"/>
      <c r="K5837" s="13"/>
      <c r="L5837" s="14"/>
      <c r="M5837" s="15"/>
      <c r="N5837" s="15"/>
      <c r="O5837" s="16"/>
      <c r="Q5837" s="16"/>
    </row>
    <row r="5838" spans="1:17" x14ac:dyDescent="0.3">
      <c r="A5838" s="5"/>
      <c r="B5838" s="6"/>
      <c r="C5838" s="7"/>
      <c r="D5838" s="10"/>
      <c r="F5838" s="1"/>
      <c r="G5838" s="1"/>
      <c r="H5838" s="1"/>
      <c r="I5838" s="7"/>
      <c r="J5838" s="12"/>
      <c r="K5838" s="13"/>
      <c r="L5838" s="14"/>
      <c r="M5838" s="15"/>
      <c r="N5838" s="15"/>
      <c r="O5838" s="16"/>
      <c r="Q5838" s="16"/>
    </row>
    <row r="5839" spans="1:17" x14ac:dyDescent="0.3">
      <c r="A5839" s="5"/>
      <c r="B5839" s="6"/>
      <c r="C5839" s="7"/>
      <c r="D5839" s="10"/>
      <c r="F5839" s="1"/>
      <c r="G5839" s="1"/>
      <c r="H5839" s="1"/>
      <c r="I5839" s="7"/>
      <c r="J5839" s="12"/>
      <c r="K5839" s="13"/>
      <c r="L5839" s="14"/>
      <c r="M5839" s="15"/>
      <c r="N5839" s="15"/>
      <c r="O5839" s="16"/>
      <c r="Q5839" s="16"/>
    </row>
    <row r="5840" spans="1:17" x14ac:dyDescent="0.3">
      <c r="A5840" s="5"/>
      <c r="B5840" s="6"/>
      <c r="C5840" s="7"/>
      <c r="D5840" s="10"/>
      <c r="F5840" s="1"/>
      <c r="G5840" s="1"/>
      <c r="H5840" s="1"/>
      <c r="I5840" s="7"/>
      <c r="J5840" s="12"/>
      <c r="K5840" s="13"/>
      <c r="L5840" s="14"/>
      <c r="M5840" s="15"/>
      <c r="N5840" s="15"/>
      <c r="O5840" s="16"/>
      <c r="Q5840" s="16"/>
    </row>
    <row r="5841" spans="1:17" x14ac:dyDescent="0.3">
      <c r="A5841" s="5"/>
      <c r="B5841" s="6"/>
      <c r="C5841" s="7"/>
      <c r="D5841" s="10"/>
      <c r="F5841" s="1"/>
      <c r="G5841" s="1"/>
      <c r="H5841" s="1"/>
      <c r="I5841" s="7"/>
      <c r="J5841" s="12"/>
      <c r="K5841" s="13"/>
      <c r="L5841" s="14"/>
      <c r="M5841" s="15"/>
      <c r="N5841" s="15"/>
      <c r="O5841" s="16"/>
      <c r="Q5841" s="16"/>
    </row>
    <row r="5842" spans="1:17" x14ac:dyDescent="0.3">
      <c r="A5842" s="5"/>
      <c r="B5842" s="6"/>
      <c r="C5842" s="7"/>
      <c r="D5842" s="10"/>
      <c r="F5842" s="1"/>
      <c r="G5842" s="1"/>
      <c r="H5842" s="1"/>
      <c r="I5842" s="7"/>
      <c r="J5842" s="12"/>
      <c r="K5842" s="13"/>
      <c r="L5842" s="14"/>
      <c r="M5842" s="15"/>
      <c r="N5842" s="15"/>
      <c r="O5842" s="16"/>
      <c r="Q5842" s="16"/>
    </row>
    <row r="5843" spans="1:17" x14ac:dyDescent="0.3">
      <c r="A5843" s="5"/>
      <c r="B5843" s="6"/>
      <c r="C5843" s="7"/>
      <c r="D5843" s="10"/>
      <c r="F5843" s="1"/>
      <c r="G5843" s="1"/>
      <c r="H5843" s="1"/>
      <c r="I5843" s="7"/>
      <c r="J5843" s="12"/>
      <c r="K5843" s="13"/>
      <c r="L5843" s="14"/>
      <c r="M5843" s="15"/>
      <c r="N5843" s="15"/>
      <c r="O5843" s="16"/>
      <c r="Q5843" s="16"/>
    </row>
    <row r="5844" spans="1:17" x14ac:dyDescent="0.3">
      <c r="A5844" s="5"/>
      <c r="B5844" s="6"/>
      <c r="C5844" s="7"/>
      <c r="D5844" s="10"/>
      <c r="F5844" s="1"/>
      <c r="G5844" s="1"/>
      <c r="H5844" s="1"/>
      <c r="I5844" s="7"/>
      <c r="J5844" s="12"/>
      <c r="K5844" s="13"/>
      <c r="L5844" s="14"/>
      <c r="M5844" s="15"/>
      <c r="N5844" s="15"/>
      <c r="O5844" s="16"/>
      <c r="Q5844" s="16"/>
    </row>
    <row r="5845" spans="1:17" x14ac:dyDescent="0.3">
      <c r="A5845" s="5"/>
      <c r="B5845" s="6"/>
      <c r="C5845" s="7"/>
      <c r="D5845" s="10"/>
      <c r="F5845" s="1"/>
      <c r="G5845" s="1"/>
      <c r="H5845" s="1"/>
      <c r="I5845" s="7"/>
      <c r="J5845" s="12"/>
      <c r="K5845" s="13"/>
      <c r="L5845" s="14"/>
      <c r="M5845" s="15"/>
      <c r="N5845" s="15"/>
      <c r="O5845" s="16"/>
      <c r="Q5845" s="16"/>
    </row>
    <row r="5846" spans="1:17" x14ac:dyDescent="0.3">
      <c r="A5846" s="5"/>
      <c r="B5846" s="6"/>
      <c r="C5846" s="7"/>
      <c r="D5846" s="10"/>
      <c r="F5846" s="1"/>
      <c r="G5846" s="1"/>
      <c r="H5846" s="1"/>
      <c r="I5846" s="7"/>
      <c r="J5846" s="12"/>
      <c r="K5846" s="13"/>
      <c r="L5846" s="14"/>
      <c r="M5846" s="15"/>
      <c r="N5846" s="15"/>
      <c r="O5846" s="16"/>
      <c r="Q5846" s="16"/>
    </row>
    <row r="5847" spans="1:17" x14ac:dyDescent="0.3">
      <c r="A5847" s="5"/>
      <c r="B5847" s="6"/>
      <c r="C5847" s="7"/>
      <c r="D5847" s="10"/>
      <c r="F5847" s="1"/>
      <c r="G5847" s="1"/>
      <c r="H5847" s="1"/>
      <c r="I5847" s="7"/>
      <c r="J5847" s="12"/>
      <c r="K5847" s="13"/>
      <c r="L5847" s="14"/>
      <c r="M5847" s="15"/>
      <c r="N5847" s="15"/>
      <c r="O5847" s="16"/>
      <c r="Q5847" s="16"/>
    </row>
    <row r="5848" spans="1:17" x14ac:dyDescent="0.3">
      <c r="A5848" s="5"/>
      <c r="B5848" s="6"/>
      <c r="C5848" s="7"/>
      <c r="D5848" s="10"/>
      <c r="F5848" s="1"/>
      <c r="G5848" s="1"/>
      <c r="H5848" s="1"/>
      <c r="I5848" s="7"/>
      <c r="J5848" s="12"/>
      <c r="K5848" s="13"/>
      <c r="L5848" s="14"/>
      <c r="M5848" s="15"/>
      <c r="N5848" s="15"/>
      <c r="O5848" s="16"/>
      <c r="Q5848" s="16"/>
    </row>
    <row r="5849" spans="1:17" x14ac:dyDescent="0.3">
      <c r="A5849" s="5"/>
      <c r="B5849" s="6"/>
      <c r="C5849" s="7"/>
      <c r="D5849" s="10"/>
      <c r="F5849" s="1"/>
      <c r="G5849" s="1"/>
      <c r="H5849" s="1"/>
      <c r="I5849" s="7"/>
      <c r="J5849" s="12"/>
      <c r="K5849" s="13"/>
      <c r="L5849" s="14"/>
      <c r="M5849" s="15"/>
      <c r="N5849" s="15"/>
      <c r="O5849" s="16"/>
      <c r="Q5849" s="16"/>
    </row>
    <row r="5850" spans="1:17" x14ac:dyDescent="0.3">
      <c r="A5850" s="5"/>
      <c r="B5850" s="6"/>
      <c r="C5850" s="7"/>
      <c r="D5850" s="10"/>
      <c r="F5850" s="1"/>
      <c r="G5850" s="1"/>
      <c r="H5850" s="1"/>
      <c r="I5850" s="7"/>
      <c r="J5850" s="12"/>
      <c r="K5850" s="13"/>
      <c r="L5850" s="14"/>
      <c r="M5850" s="15"/>
      <c r="N5850" s="15"/>
      <c r="O5850" s="16"/>
      <c r="Q5850" s="16"/>
    </row>
    <row r="5851" spans="1:17" x14ac:dyDescent="0.3">
      <c r="A5851" s="5"/>
      <c r="B5851" s="6"/>
      <c r="C5851" s="7"/>
      <c r="D5851" s="10"/>
      <c r="F5851" s="1"/>
      <c r="G5851" s="1"/>
      <c r="H5851" s="1"/>
      <c r="I5851" s="7"/>
      <c r="J5851" s="12"/>
      <c r="K5851" s="13"/>
      <c r="L5851" s="14"/>
      <c r="M5851" s="15"/>
      <c r="N5851" s="15"/>
      <c r="O5851" s="16"/>
      <c r="Q5851" s="16"/>
    </row>
    <row r="5852" spans="1:17" x14ac:dyDescent="0.3">
      <c r="A5852" s="5"/>
      <c r="B5852" s="6"/>
      <c r="C5852" s="7"/>
      <c r="D5852" s="10"/>
      <c r="F5852" s="1"/>
      <c r="G5852" s="1"/>
      <c r="H5852" s="1"/>
      <c r="I5852" s="7"/>
      <c r="J5852" s="12"/>
      <c r="K5852" s="13"/>
      <c r="L5852" s="14"/>
      <c r="M5852" s="15"/>
      <c r="N5852" s="15"/>
      <c r="O5852" s="16"/>
      <c r="Q5852" s="16"/>
    </row>
    <row r="5853" spans="1:17" x14ac:dyDescent="0.3">
      <c r="A5853" s="5"/>
      <c r="B5853" s="6"/>
      <c r="C5853" s="7"/>
      <c r="D5853" s="10"/>
      <c r="F5853" s="1"/>
      <c r="G5853" s="1"/>
      <c r="H5853" s="1"/>
      <c r="I5853" s="7"/>
      <c r="J5853" s="12"/>
      <c r="K5853" s="13"/>
      <c r="L5853" s="14"/>
      <c r="M5853" s="15"/>
      <c r="N5853" s="15"/>
      <c r="O5853" s="16"/>
      <c r="Q5853" s="16"/>
    </row>
    <row r="5854" spans="1:17" x14ac:dyDescent="0.3">
      <c r="A5854" s="5"/>
      <c r="B5854" s="6"/>
      <c r="C5854" s="7"/>
      <c r="D5854" s="10"/>
      <c r="F5854" s="1"/>
      <c r="G5854" s="1"/>
      <c r="H5854" s="1"/>
      <c r="I5854" s="7"/>
      <c r="J5854" s="12"/>
      <c r="K5854" s="13"/>
      <c r="L5854" s="14"/>
      <c r="M5854" s="15"/>
      <c r="N5854" s="15"/>
      <c r="O5854" s="16"/>
      <c r="Q5854" s="16"/>
    </row>
    <row r="5855" spans="1:17" x14ac:dyDescent="0.3">
      <c r="A5855" s="5"/>
      <c r="B5855" s="6"/>
      <c r="C5855" s="7"/>
      <c r="D5855" s="10"/>
      <c r="F5855" s="1"/>
      <c r="G5855" s="1"/>
      <c r="H5855" s="1"/>
      <c r="I5855" s="7"/>
      <c r="J5855" s="12"/>
      <c r="K5855" s="13"/>
      <c r="L5855" s="14"/>
      <c r="M5855" s="15"/>
      <c r="N5855" s="15"/>
      <c r="O5855" s="16"/>
      <c r="Q5855" s="16"/>
    </row>
    <row r="5856" spans="1:17" x14ac:dyDescent="0.3">
      <c r="A5856" s="5"/>
      <c r="B5856" s="6"/>
      <c r="C5856" s="7"/>
      <c r="D5856" s="10"/>
      <c r="F5856" s="1"/>
      <c r="G5856" s="1"/>
      <c r="H5856" s="1"/>
      <c r="I5856" s="7"/>
      <c r="J5856" s="12"/>
      <c r="K5856" s="13"/>
      <c r="L5856" s="14"/>
      <c r="M5856" s="15"/>
      <c r="N5856" s="15"/>
      <c r="O5856" s="16"/>
      <c r="Q5856" s="16"/>
    </row>
    <row r="5857" spans="1:17" x14ac:dyDescent="0.3">
      <c r="A5857" s="5"/>
      <c r="B5857" s="6"/>
      <c r="C5857" s="7"/>
      <c r="D5857" s="10"/>
      <c r="F5857" s="1"/>
      <c r="G5857" s="1"/>
      <c r="H5857" s="1"/>
      <c r="I5857" s="7"/>
      <c r="J5857" s="12"/>
      <c r="K5857" s="13"/>
      <c r="L5857" s="14"/>
      <c r="M5857" s="15"/>
      <c r="N5857" s="15"/>
      <c r="O5857" s="16"/>
      <c r="Q5857" s="16"/>
    </row>
    <row r="5858" spans="1:17" x14ac:dyDescent="0.3">
      <c r="A5858" s="5"/>
      <c r="B5858" s="6"/>
      <c r="C5858" s="7"/>
      <c r="D5858" s="10"/>
      <c r="F5858" s="1"/>
      <c r="G5858" s="1"/>
      <c r="H5858" s="1"/>
      <c r="I5858" s="7"/>
      <c r="J5858" s="12"/>
      <c r="K5858" s="13"/>
      <c r="L5858" s="14"/>
      <c r="M5858" s="15"/>
      <c r="N5858" s="15"/>
      <c r="O5858" s="16"/>
      <c r="Q5858" s="16"/>
    </row>
    <row r="5859" spans="1:17" x14ac:dyDescent="0.3">
      <c r="A5859" s="5"/>
      <c r="B5859" s="6"/>
      <c r="C5859" s="7"/>
      <c r="D5859" s="10"/>
      <c r="F5859" s="1"/>
      <c r="G5859" s="1"/>
      <c r="H5859" s="1"/>
      <c r="I5859" s="7"/>
      <c r="J5859" s="12"/>
      <c r="K5859" s="13"/>
      <c r="L5859" s="14"/>
      <c r="M5859" s="15"/>
      <c r="N5859" s="15"/>
      <c r="O5859" s="16"/>
      <c r="Q5859" s="16"/>
    </row>
    <row r="5860" spans="1:17" x14ac:dyDescent="0.3">
      <c r="A5860" s="5"/>
      <c r="B5860" s="6"/>
      <c r="C5860" s="7"/>
      <c r="D5860" s="10"/>
      <c r="F5860" s="1"/>
      <c r="G5860" s="1"/>
      <c r="H5860" s="1"/>
      <c r="I5860" s="7"/>
      <c r="J5860" s="12"/>
      <c r="K5860" s="13"/>
      <c r="L5860" s="14"/>
      <c r="M5860" s="15"/>
      <c r="N5860" s="15"/>
      <c r="O5860" s="16"/>
      <c r="Q5860" s="16"/>
    </row>
    <row r="5861" spans="1:17" x14ac:dyDescent="0.3">
      <c r="A5861" s="5"/>
      <c r="B5861" s="6"/>
      <c r="C5861" s="7"/>
      <c r="D5861" s="10"/>
      <c r="F5861" s="1"/>
      <c r="G5861" s="1"/>
      <c r="H5861" s="1"/>
      <c r="I5861" s="7"/>
      <c r="J5861" s="12"/>
      <c r="K5861" s="13"/>
      <c r="L5861" s="14"/>
      <c r="M5861" s="15"/>
      <c r="N5861" s="15"/>
      <c r="O5861" s="16"/>
      <c r="Q5861" s="16"/>
    </row>
    <row r="5862" spans="1:17" x14ac:dyDescent="0.3">
      <c r="A5862" s="5"/>
      <c r="B5862" s="6"/>
      <c r="C5862" s="7"/>
      <c r="D5862" s="10"/>
      <c r="F5862" s="1"/>
      <c r="G5862" s="1"/>
      <c r="H5862" s="1"/>
      <c r="I5862" s="7"/>
      <c r="J5862" s="12"/>
      <c r="K5862" s="13"/>
      <c r="L5862" s="14"/>
      <c r="M5862" s="15"/>
      <c r="N5862" s="15"/>
      <c r="O5862" s="16"/>
      <c r="Q5862" s="16"/>
    </row>
    <row r="5863" spans="1:17" x14ac:dyDescent="0.3">
      <c r="A5863" s="5"/>
      <c r="B5863" s="6"/>
      <c r="C5863" s="7"/>
      <c r="D5863" s="10"/>
      <c r="F5863" s="1"/>
      <c r="G5863" s="1"/>
      <c r="H5863" s="1"/>
      <c r="I5863" s="7"/>
      <c r="J5863" s="12"/>
      <c r="K5863" s="13"/>
      <c r="L5863" s="14"/>
      <c r="M5863" s="15"/>
      <c r="N5863" s="15"/>
      <c r="O5863" s="16"/>
      <c r="Q5863" s="16"/>
    </row>
    <row r="5864" spans="1:17" x14ac:dyDescent="0.3">
      <c r="A5864" s="5"/>
      <c r="B5864" s="6"/>
      <c r="C5864" s="7"/>
      <c r="D5864" s="10"/>
      <c r="F5864" s="1"/>
      <c r="G5864" s="1"/>
      <c r="H5864" s="1"/>
      <c r="I5864" s="7"/>
      <c r="J5864" s="12"/>
      <c r="K5864" s="13"/>
      <c r="L5864" s="14"/>
      <c r="M5864" s="15"/>
      <c r="N5864" s="15"/>
      <c r="O5864" s="16"/>
      <c r="Q5864" s="16"/>
    </row>
    <row r="5865" spans="1:17" x14ac:dyDescent="0.3">
      <c r="A5865" s="5"/>
      <c r="B5865" s="6"/>
      <c r="C5865" s="7"/>
      <c r="D5865" s="10"/>
      <c r="F5865" s="1"/>
      <c r="G5865" s="1"/>
      <c r="H5865" s="1"/>
      <c r="I5865" s="7"/>
      <c r="J5865" s="12"/>
      <c r="K5865" s="13"/>
      <c r="L5865" s="14"/>
      <c r="M5865" s="15"/>
      <c r="N5865" s="15"/>
      <c r="O5865" s="16"/>
      <c r="Q5865" s="16"/>
    </row>
    <row r="5866" spans="1:17" x14ac:dyDescent="0.3">
      <c r="A5866" s="5"/>
      <c r="B5866" s="6"/>
      <c r="C5866" s="7"/>
      <c r="D5866" s="10"/>
      <c r="F5866" s="1"/>
      <c r="G5866" s="1"/>
      <c r="H5866" s="1"/>
      <c r="I5866" s="7"/>
      <c r="J5866" s="12"/>
      <c r="K5866" s="13"/>
      <c r="L5866" s="14"/>
      <c r="M5866" s="15"/>
      <c r="N5866" s="15"/>
      <c r="O5866" s="16"/>
      <c r="Q5866" s="16"/>
    </row>
    <row r="5867" spans="1:17" x14ac:dyDescent="0.3">
      <c r="A5867" s="5"/>
      <c r="B5867" s="6"/>
      <c r="C5867" s="7"/>
      <c r="D5867" s="10"/>
      <c r="F5867" s="1"/>
      <c r="G5867" s="1"/>
      <c r="H5867" s="1"/>
      <c r="I5867" s="7"/>
      <c r="J5867" s="12"/>
      <c r="K5867" s="13"/>
      <c r="L5867" s="14"/>
      <c r="M5867" s="15"/>
      <c r="N5867" s="15"/>
      <c r="O5867" s="16"/>
      <c r="Q5867" s="16"/>
    </row>
    <row r="5868" spans="1:17" x14ac:dyDescent="0.3">
      <c r="A5868" s="5"/>
      <c r="B5868" s="6"/>
      <c r="C5868" s="7"/>
      <c r="D5868" s="10"/>
      <c r="F5868" s="1"/>
      <c r="G5868" s="1"/>
      <c r="H5868" s="1"/>
      <c r="I5868" s="7"/>
      <c r="J5868" s="12"/>
      <c r="K5868" s="13"/>
      <c r="L5868" s="14"/>
      <c r="M5868" s="15"/>
      <c r="N5868" s="15"/>
      <c r="O5868" s="16"/>
      <c r="Q5868" s="16"/>
    </row>
    <row r="5869" spans="1:17" x14ac:dyDescent="0.3">
      <c r="A5869" s="5"/>
      <c r="B5869" s="6"/>
      <c r="C5869" s="7"/>
      <c r="D5869" s="10"/>
      <c r="F5869" s="1"/>
      <c r="G5869" s="1"/>
      <c r="H5869" s="1"/>
      <c r="I5869" s="7"/>
      <c r="J5869" s="12"/>
      <c r="K5869" s="13"/>
      <c r="L5869" s="14"/>
      <c r="M5869" s="15"/>
      <c r="N5869" s="15"/>
      <c r="O5869" s="16"/>
      <c r="Q5869" s="16"/>
    </row>
    <row r="5870" spans="1:17" x14ac:dyDescent="0.3">
      <c r="A5870" s="5"/>
      <c r="B5870" s="6"/>
      <c r="C5870" s="7"/>
      <c r="D5870" s="10"/>
      <c r="F5870" s="1"/>
      <c r="G5870" s="1"/>
      <c r="H5870" s="1"/>
      <c r="I5870" s="7"/>
      <c r="J5870" s="12"/>
      <c r="K5870" s="13"/>
      <c r="L5870" s="14"/>
      <c r="M5870" s="15"/>
      <c r="N5870" s="15"/>
      <c r="O5870" s="16"/>
      <c r="Q5870" s="16"/>
    </row>
    <row r="5871" spans="1:17" x14ac:dyDescent="0.3">
      <c r="A5871" s="5"/>
      <c r="B5871" s="6"/>
      <c r="C5871" s="7"/>
      <c r="D5871" s="10"/>
      <c r="F5871" s="1"/>
      <c r="G5871" s="1"/>
      <c r="H5871" s="1"/>
      <c r="I5871" s="7"/>
      <c r="J5871" s="12"/>
      <c r="K5871" s="13"/>
      <c r="L5871" s="14"/>
      <c r="M5871" s="15"/>
      <c r="N5871" s="15"/>
      <c r="O5871" s="16"/>
      <c r="Q5871" s="16"/>
    </row>
    <row r="5872" spans="1:17" x14ac:dyDescent="0.3">
      <c r="A5872" s="5"/>
      <c r="B5872" s="6"/>
      <c r="C5872" s="7"/>
      <c r="D5872" s="10"/>
      <c r="F5872" s="1"/>
      <c r="G5872" s="1"/>
      <c r="H5872" s="1"/>
      <c r="I5872" s="7"/>
      <c r="J5872" s="12"/>
      <c r="K5872" s="13"/>
      <c r="L5872" s="14"/>
      <c r="M5872" s="15"/>
      <c r="N5872" s="15"/>
      <c r="O5872" s="16"/>
      <c r="Q5872" s="16"/>
    </row>
    <row r="5873" spans="1:17" x14ac:dyDescent="0.3">
      <c r="A5873" s="5"/>
      <c r="B5873" s="6"/>
      <c r="C5873" s="7"/>
      <c r="D5873" s="10"/>
      <c r="F5873" s="1"/>
      <c r="G5873" s="1"/>
      <c r="H5873" s="1"/>
      <c r="I5873" s="7"/>
      <c r="J5873" s="12"/>
      <c r="K5873" s="13"/>
      <c r="L5873" s="14"/>
      <c r="M5873" s="15"/>
      <c r="N5873" s="15"/>
      <c r="O5873" s="16"/>
      <c r="Q5873" s="16"/>
    </row>
    <row r="5874" spans="1:17" x14ac:dyDescent="0.3">
      <c r="A5874" s="5"/>
      <c r="B5874" s="6"/>
      <c r="C5874" s="7"/>
      <c r="D5874" s="10"/>
      <c r="F5874" s="1"/>
      <c r="G5874" s="1"/>
      <c r="H5874" s="1"/>
      <c r="I5874" s="7"/>
      <c r="J5874" s="12"/>
      <c r="K5874" s="13"/>
      <c r="L5874" s="14"/>
      <c r="M5874" s="15"/>
      <c r="N5874" s="15"/>
      <c r="O5874" s="16"/>
      <c r="Q5874" s="16"/>
    </row>
    <row r="5875" spans="1:17" x14ac:dyDescent="0.3">
      <c r="A5875" s="5"/>
      <c r="B5875" s="6"/>
      <c r="C5875" s="7"/>
      <c r="D5875" s="10"/>
      <c r="F5875" s="1"/>
      <c r="G5875" s="1"/>
      <c r="H5875" s="1"/>
      <c r="I5875" s="7"/>
      <c r="J5875" s="12"/>
      <c r="K5875" s="13"/>
      <c r="L5875" s="14"/>
      <c r="M5875" s="15"/>
      <c r="N5875" s="15"/>
      <c r="O5875" s="16"/>
      <c r="Q5875" s="16"/>
    </row>
    <row r="5876" spans="1:17" x14ac:dyDescent="0.3">
      <c r="A5876" s="5"/>
      <c r="B5876" s="6"/>
      <c r="C5876" s="7"/>
      <c r="D5876" s="10"/>
      <c r="F5876" s="1"/>
      <c r="G5876" s="1"/>
      <c r="H5876" s="1"/>
      <c r="I5876" s="7"/>
      <c r="J5876" s="12"/>
      <c r="K5876" s="13"/>
      <c r="L5876" s="14"/>
      <c r="M5876" s="15"/>
      <c r="N5876" s="15"/>
      <c r="O5876" s="16"/>
      <c r="Q5876" s="16"/>
    </row>
    <row r="5877" spans="1:17" x14ac:dyDescent="0.3">
      <c r="A5877" s="5"/>
      <c r="B5877" s="6"/>
      <c r="C5877" s="7"/>
      <c r="D5877" s="10"/>
      <c r="F5877" s="1"/>
      <c r="G5877" s="1"/>
      <c r="H5877" s="1"/>
      <c r="I5877" s="7"/>
      <c r="J5877" s="12"/>
      <c r="K5877" s="13"/>
      <c r="L5877" s="14"/>
      <c r="M5877" s="15"/>
      <c r="N5877" s="15"/>
      <c r="O5877" s="16"/>
      <c r="Q5877" s="16"/>
    </row>
    <row r="5878" spans="1:17" x14ac:dyDescent="0.3">
      <c r="A5878" s="5"/>
      <c r="B5878" s="6"/>
      <c r="C5878" s="7"/>
      <c r="D5878" s="10"/>
      <c r="F5878" s="1"/>
      <c r="G5878" s="1"/>
      <c r="H5878" s="1"/>
      <c r="I5878" s="7"/>
      <c r="J5878" s="12"/>
      <c r="K5878" s="13"/>
      <c r="L5878" s="14"/>
      <c r="M5878" s="15"/>
      <c r="N5878" s="15"/>
      <c r="O5878" s="16"/>
      <c r="Q5878" s="16"/>
    </row>
    <row r="5879" spans="1:17" x14ac:dyDescent="0.3">
      <c r="A5879" s="5"/>
      <c r="B5879" s="6"/>
      <c r="C5879" s="7"/>
      <c r="D5879" s="10"/>
      <c r="F5879" s="1"/>
      <c r="G5879" s="1"/>
      <c r="H5879" s="1"/>
      <c r="I5879" s="7"/>
      <c r="J5879" s="12"/>
      <c r="K5879" s="13"/>
      <c r="L5879" s="14"/>
      <c r="M5879" s="15"/>
      <c r="N5879" s="15"/>
      <c r="O5879" s="16"/>
      <c r="Q5879" s="16"/>
    </row>
    <row r="5880" spans="1:17" x14ac:dyDescent="0.3">
      <c r="A5880" s="5"/>
      <c r="B5880" s="6"/>
      <c r="C5880" s="7"/>
      <c r="D5880" s="10"/>
      <c r="F5880" s="1"/>
      <c r="G5880" s="1"/>
      <c r="H5880" s="1"/>
      <c r="I5880" s="7"/>
      <c r="J5880" s="12"/>
      <c r="K5880" s="13"/>
      <c r="L5880" s="14"/>
      <c r="M5880" s="15"/>
      <c r="N5880" s="15"/>
      <c r="O5880" s="16"/>
      <c r="Q5880" s="16"/>
    </row>
    <row r="5881" spans="1:17" x14ac:dyDescent="0.3">
      <c r="A5881" s="5"/>
      <c r="B5881" s="6"/>
      <c r="C5881" s="7"/>
      <c r="D5881" s="10"/>
      <c r="F5881" s="1"/>
      <c r="G5881" s="1"/>
      <c r="H5881" s="1"/>
      <c r="I5881" s="7"/>
      <c r="J5881" s="12"/>
      <c r="K5881" s="13"/>
      <c r="L5881" s="14"/>
      <c r="M5881" s="15"/>
      <c r="N5881" s="15"/>
      <c r="O5881" s="16"/>
      <c r="Q5881" s="16"/>
    </row>
    <row r="5882" spans="1:17" x14ac:dyDescent="0.3">
      <c r="A5882" s="5"/>
      <c r="B5882" s="6"/>
      <c r="C5882" s="7"/>
      <c r="D5882" s="10"/>
      <c r="F5882" s="1"/>
      <c r="G5882" s="1"/>
      <c r="H5882" s="1"/>
      <c r="I5882" s="7"/>
      <c r="J5882" s="12"/>
      <c r="K5882" s="13"/>
      <c r="L5882" s="14"/>
      <c r="M5882" s="15"/>
      <c r="N5882" s="15"/>
      <c r="O5882" s="16"/>
      <c r="Q5882" s="16"/>
    </row>
    <row r="5883" spans="1:17" x14ac:dyDescent="0.3">
      <c r="A5883" s="5"/>
      <c r="B5883" s="6"/>
      <c r="C5883" s="7"/>
      <c r="D5883" s="10"/>
      <c r="F5883" s="1"/>
      <c r="G5883" s="1"/>
      <c r="H5883" s="1"/>
      <c r="I5883" s="7"/>
      <c r="J5883" s="12"/>
      <c r="K5883" s="13"/>
      <c r="L5883" s="14"/>
      <c r="M5883" s="15"/>
      <c r="N5883" s="15"/>
      <c r="O5883" s="16"/>
      <c r="Q5883" s="16"/>
    </row>
    <row r="5884" spans="1:17" x14ac:dyDescent="0.3">
      <c r="A5884" s="5"/>
      <c r="B5884" s="6"/>
      <c r="C5884" s="7"/>
      <c r="D5884" s="10"/>
      <c r="F5884" s="1"/>
      <c r="G5884" s="1"/>
      <c r="H5884" s="1"/>
      <c r="I5884" s="7"/>
      <c r="J5884" s="12"/>
      <c r="K5884" s="13"/>
      <c r="L5884" s="14"/>
      <c r="M5884" s="15"/>
      <c r="N5884" s="15"/>
      <c r="O5884" s="16"/>
      <c r="Q5884" s="16"/>
    </row>
    <row r="5885" spans="1:17" x14ac:dyDescent="0.3">
      <c r="A5885" s="5"/>
      <c r="B5885" s="6"/>
      <c r="C5885" s="7"/>
      <c r="D5885" s="10"/>
      <c r="F5885" s="1"/>
      <c r="G5885" s="1"/>
      <c r="H5885" s="1"/>
      <c r="I5885" s="7"/>
      <c r="J5885" s="12"/>
      <c r="K5885" s="13"/>
      <c r="L5885" s="14"/>
      <c r="M5885" s="15"/>
      <c r="N5885" s="15"/>
      <c r="O5885" s="16"/>
      <c r="Q5885" s="16"/>
    </row>
    <row r="5886" spans="1:17" x14ac:dyDescent="0.3">
      <c r="A5886" s="5"/>
      <c r="B5886" s="6"/>
      <c r="C5886" s="7"/>
      <c r="D5886" s="10"/>
      <c r="F5886" s="1"/>
      <c r="G5886" s="1"/>
      <c r="H5886" s="1"/>
      <c r="I5886" s="7"/>
      <c r="J5886" s="12"/>
      <c r="K5886" s="13"/>
      <c r="L5886" s="14"/>
      <c r="M5886" s="15"/>
      <c r="N5886" s="15"/>
      <c r="O5886" s="16"/>
      <c r="Q5886" s="16"/>
    </row>
    <row r="5887" spans="1:17" x14ac:dyDescent="0.3">
      <c r="A5887" s="5"/>
      <c r="B5887" s="6"/>
      <c r="C5887" s="7"/>
      <c r="D5887" s="10"/>
      <c r="F5887" s="1"/>
      <c r="G5887" s="1"/>
      <c r="H5887" s="1"/>
      <c r="I5887" s="7"/>
      <c r="J5887" s="12"/>
      <c r="K5887" s="13"/>
      <c r="L5887" s="14"/>
      <c r="M5887" s="15"/>
      <c r="N5887" s="15"/>
      <c r="O5887" s="16"/>
      <c r="Q5887" s="16"/>
    </row>
    <row r="5888" spans="1:17" x14ac:dyDescent="0.3">
      <c r="A5888" s="5"/>
      <c r="B5888" s="6"/>
      <c r="C5888" s="7"/>
      <c r="D5888" s="10"/>
      <c r="F5888" s="1"/>
      <c r="G5888" s="1"/>
      <c r="H5888" s="1"/>
      <c r="I5888" s="7"/>
      <c r="J5888" s="12"/>
      <c r="K5888" s="13"/>
      <c r="L5888" s="14"/>
      <c r="M5888" s="15"/>
      <c r="N5888" s="15"/>
      <c r="O5888" s="16"/>
      <c r="Q5888" s="16"/>
    </row>
    <row r="5889" spans="1:17" x14ac:dyDescent="0.3">
      <c r="A5889" s="5"/>
      <c r="B5889" s="6"/>
      <c r="C5889" s="7"/>
      <c r="D5889" s="10"/>
      <c r="F5889" s="1"/>
      <c r="G5889" s="1"/>
      <c r="H5889" s="1"/>
      <c r="I5889" s="7"/>
      <c r="J5889" s="12"/>
      <c r="K5889" s="13"/>
      <c r="L5889" s="14"/>
      <c r="M5889" s="15"/>
      <c r="N5889" s="15"/>
      <c r="O5889" s="16"/>
      <c r="Q5889" s="16"/>
    </row>
    <row r="5890" spans="1:17" x14ac:dyDescent="0.3">
      <c r="A5890" s="5"/>
      <c r="B5890" s="6"/>
      <c r="C5890" s="7"/>
      <c r="D5890" s="10"/>
      <c r="F5890" s="1"/>
      <c r="G5890" s="1"/>
      <c r="H5890" s="1"/>
      <c r="I5890" s="7"/>
      <c r="J5890" s="12"/>
      <c r="K5890" s="13"/>
      <c r="L5890" s="14"/>
      <c r="M5890" s="15"/>
      <c r="N5890" s="15"/>
      <c r="O5890" s="16"/>
      <c r="Q5890" s="16"/>
    </row>
    <row r="5891" spans="1:17" x14ac:dyDescent="0.3">
      <c r="A5891" s="5"/>
      <c r="B5891" s="6"/>
      <c r="C5891" s="7"/>
      <c r="D5891" s="10"/>
      <c r="F5891" s="1"/>
      <c r="G5891" s="1"/>
      <c r="H5891" s="1"/>
      <c r="I5891" s="7"/>
      <c r="J5891" s="12"/>
      <c r="K5891" s="13"/>
      <c r="L5891" s="14"/>
      <c r="M5891" s="15"/>
      <c r="N5891" s="15"/>
      <c r="O5891" s="16"/>
      <c r="Q5891" s="16"/>
    </row>
    <row r="5892" spans="1:17" x14ac:dyDescent="0.3">
      <c r="A5892" s="5"/>
      <c r="B5892" s="6"/>
      <c r="C5892" s="7"/>
      <c r="D5892" s="10"/>
      <c r="F5892" s="1"/>
      <c r="G5892" s="1"/>
      <c r="H5892" s="1"/>
      <c r="I5892" s="7"/>
      <c r="J5892" s="12"/>
      <c r="K5892" s="13"/>
      <c r="L5892" s="14"/>
      <c r="M5892" s="15"/>
      <c r="N5892" s="15"/>
      <c r="O5892" s="16"/>
      <c r="Q5892" s="16"/>
    </row>
    <row r="5893" spans="1:17" x14ac:dyDescent="0.3">
      <c r="A5893" s="5"/>
      <c r="B5893" s="6"/>
      <c r="C5893" s="7"/>
      <c r="D5893" s="10"/>
      <c r="F5893" s="1"/>
      <c r="G5893" s="1"/>
      <c r="H5893" s="1"/>
      <c r="I5893" s="7"/>
      <c r="J5893" s="12"/>
      <c r="K5893" s="13"/>
      <c r="L5893" s="14"/>
      <c r="M5893" s="15"/>
      <c r="N5893" s="15"/>
      <c r="O5893" s="16"/>
      <c r="Q5893" s="16"/>
    </row>
    <row r="5894" spans="1:17" x14ac:dyDescent="0.3">
      <c r="A5894" s="5"/>
      <c r="B5894" s="6"/>
      <c r="C5894" s="7"/>
      <c r="D5894" s="10"/>
      <c r="F5894" s="1"/>
      <c r="G5894" s="1"/>
      <c r="H5894" s="1"/>
      <c r="I5894" s="7"/>
      <c r="J5894" s="12"/>
      <c r="K5894" s="13"/>
      <c r="L5894" s="14"/>
      <c r="M5894" s="15"/>
      <c r="N5894" s="15"/>
      <c r="O5894" s="16"/>
      <c r="Q5894" s="16"/>
    </row>
    <row r="5895" spans="1:17" x14ac:dyDescent="0.3">
      <c r="A5895" s="5"/>
      <c r="B5895" s="6"/>
      <c r="C5895" s="7"/>
      <c r="D5895" s="10"/>
      <c r="F5895" s="1"/>
      <c r="G5895" s="1"/>
      <c r="H5895" s="1"/>
      <c r="I5895" s="7"/>
      <c r="J5895" s="12"/>
      <c r="K5895" s="13"/>
      <c r="L5895" s="14"/>
      <c r="M5895" s="15"/>
      <c r="N5895" s="15"/>
      <c r="O5895" s="16"/>
      <c r="Q5895" s="16"/>
    </row>
    <row r="5896" spans="1:17" x14ac:dyDescent="0.3">
      <c r="A5896" s="5"/>
      <c r="B5896" s="6"/>
      <c r="C5896" s="7"/>
      <c r="D5896" s="10"/>
      <c r="F5896" s="1"/>
      <c r="G5896" s="1"/>
      <c r="H5896" s="1"/>
      <c r="I5896" s="7"/>
      <c r="J5896" s="12"/>
      <c r="K5896" s="13"/>
      <c r="L5896" s="14"/>
      <c r="M5896" s="15"/>
      <c r="N5896" s="15"/>
      <c r="O5896" s="16"/>
      <c r="Q5896" s="16"/>
    </row>
    <row r="5897" spans="1:17" x14ac:dyDescent="0.3">
      <c r="A5897" s="5"/>
      <c r="B5897" s="6"/>
      <c r="C5897" s="7"/>
      <c r="D5897" s="10"/>
      <c r="F5897" s="1"/>
      <c r="G5897" s="1"/>
      <c r="H5897" s="1"/>
      <c r="I5897" s="7"/>
      <c r="J5897" s="12"/>
      <c r="K5897" s="13"/>
      <c r="L5897" s="14"/>
      <c r="M5897" s="15"/>
      <c r="N5897" s="15"/>
      <c r="O5897" s="16"/>
      <c r="Q5897" s="16"/>
    </row>
    <row r="5898" spans="1:17" x14ac:dyDescent="0.3">
      <c r="A5898" s="5"/>
      <c r="B5898" s="6"/>
      <c r="C5898" s="7"/>
      <c r="D5898" s="10"/>
      <c r="F5898" s="1"/>
      <c r="G5898" s="1"/>
      <c r="H5898" s="1"/>
      <c r="I5898" s="7"/>
      <c r="J5898" s="12"/>
      <c r="K5898" s="13"/>
      <c r="L5898" s="14"/>
      <c r="M5898" s="15"/>
      <c r="N5898" s="15"/>
      <c r="O5898" s="16"/>
      <c r="Q5898" s="16"/>
    </row>
    <row r="5899" spans="1:17" x14ac:dyDescent="0.3">
      <c r="A5899" s="5"/>
      <c r="B5899" s="6"/>
      <c r="C5899" s="7"/>
      <c r="D5899" s="10"/>
      <c r="F5899" s="1"/>
      <c r="G5899" s="1"/>
      <c r="H5899" s="1"/>
      <c r="I5899" s="7"/>
      <c r="J5899" s="12"/>
      <c r="K5899" s="13"/>
      <c r="L5899" s="14"/>
      <c r="M5899" s="15"/>
      <c r="N5899" s="15"/>
      <c r="O5899" s="16"/>
      <c r="Q5899" s="16"/>
    </row>
    <row r="5900" spans="1:17" x14ac:dyDescent="0.3">
      <c r="A5900" s="5"/>
      <c r="B5900" s="6"/>
      <c r="C5900" s="7"/>
      <c r="D5900" s="10"/>
      <c r="F5900" s="1"/>
      <c r="G5900" s="1"/>
      <c r="H5900" s="1"/>
      <c r="I5900" s="7"/>
      <c r="J5900" s="12"/>
      <c r="K5900" s="13"/>
      <c r="L5900" s="14"/>
      <c r="M5900" s="15"/>
      <c r="N5900" s="15"/>
      <c r="O5900" s="16"/>
      <c r="Q5900" s="16"/>
    </row>
    <row r="5901" spans="1:17" x14ac:dyDescent="0.3">
      <c r="A5901" s="5"/>
      <c r="B5901" s="6"/>
      <c r="C5901" s="7"/>
      <c r="D5901" s="10"/>
      <c r="F5901" s="1"/>
      <c r="G5901" s="1"/>
      <c r="H5901" s="1"/>
      <c r="I5901" s="7"/>
      <c r="J5901" s="12"/>
      <c r="K5901" s="13"/>
      <c r="L5901" s="14"/>
      <c r="M5901" s="15"/>
      <c r="N5901" s="15"/>
      <c r="O5901" s="16"/>
      <c r="Q5901" s="16"/>
    </row>
    <row r="5902" spans="1:17" x14ac:dyDescent="0.3">
      <c r="A5902" s="5"/>
      <c r="B5902" s="6"/>
      <c r="C5902" s="7"/>
      <c r="D5902" s="10"/>
      <c r="F5902" s="1"/>
      <c r="G5902" s="1"/>
      <c r="H5902" s="1"/>
      <c r="I5902" s="7"/>
      <c r="J5902" s="12"/>
      <c r="K5902" s="13"/>
      <c r="L5902" s="14"/>
      <c r="M5902" s="15"/>
      <c r="N5902" s="15"/>
      <c r="O5902" s="16"/>
      <c r="Q5902" s="16"/>
    </row>
    <row r="5903" spans="1:17" x14ac:dyDescent="0.3">
      <c r="A5903" s="5"/>
      <c r="B5903" s="6"/>
      <c r="C5903" s="7"/>
      <c r="D5903" s="10"/>
      <c r="F5903" s="1"/>
      <c r="G5903" s="1"/>
      <c r="H5903" s="1"/>
      <c r="I5903" s="7"/>
      <c r="J5903" s="12"/>
      <c r="K5903" s="13"/>
      <c r="L5903" s="14"/>
      <c r="M5903" s="15"/>
      <c r="N5903" s="15"/>
      <c r="O5903" s="16"/>
      <c r="Q5903" s="16"/>
    </row>
    <row r="5904" spans="1:17" x14ac:dyDescent="0.3">
      <c r="A5904" s="5"/>
      <c r="B5904" s="6"/>
      <c r="C5904" s="7"/>
      <c r="D5904" s="10"/>
      <c r="F5904" s="1"/>
      <c r="G5904" s="1"/>
      <c r="H5904" s="1"/>
      <c r="I5904" s="7"/>
      <c r="J5904" s="12"/>
      <c r="K5904" s="13"/>
      <c r="L5904" s="14"/>
      <c r="M5904" s="15"/>
      <c r="N5904" s="15"/>
      <c r="O5904" s="16"/>
      <c r="Q5904" s="16"/>
    </row>
    <row r="5905" spans="1:17" x14ac:dyDescent="0.3">
      <c r="A5905" s="5"/>
      <c r="B5905" s="6"/>
      <c r="C5905" s="7"/>
      <c r="D5905" s="10"/>
      <c r="F5905" s="1"/>
      <c r="G5905" s="1"/>
      <c r="H5905" s="1"/>
      <c r="I5905" s="7"/>
      <c r="J5905" s="12"/>
      <c r="K5905" s="13"/>
      <c r="L5905" s="14"/>
      <c r="M5905" s="15"/>
      <c r="N5905" s="15"/>
      <c r="O5905" s="16"/>
      <c r="Q5905" s="16"/>
    </row>
    <row r="5906" spans="1:17" x14ac:dyDescent="0.3">
      <c r="A5906" s="5"/>
      <c r="B5906" s="6"/>
      <c r="C5906" s="7"/>
      <c r="D5906" s="10"/>
      <c r="F5906" s="1"/>
      <c r="G5906" s="1"/>
      <c r="H5906" s="1"/>
      <c r="I5906" s="7"/>
      <c r="J5906" s="12"/>
      <c r="K5906" s="13"/>
      <c r="L5906" s="14"/>
      <c r="M5906" s="15"/>
      <c r="N5906" s="15"/>
      <c r="O5906" s="16"/>
      <c r="Q5906" s="16"/>
    </row>
    <row r="5907" spans="1:17" x14ac:dyDescent="0.3">
      <c r="A5907" s="5"/>
      <c r="B5907" s="6"/>
      <c r="C5907" s="7"/>
      <c r="D5907" s="10"/>
      <c r="F5907" s="1"/>
      <c r="G5907" s="1"/>
      <c r="H5907" s="1"/>
      <c r="I5907" s="7"/>
      <c r="J5907" s="12"/>
      <c r="K5907" s="13"/>
      <c r="L5907" s="14"/>
      <c r="M5907" s="15"/>
      <c r="N5907" s="15"/>
      <c r="O5907" s="16"/>
      <c r="Q5907" s="16"/>
    </row>
    <row r="5908" spans="1:17" x14ac:dyDescent="0.3">
      <c r="A5908" s="5"/>
      <c r="B5908" s="6"/>
      <c r="C5908" s="7"/>
      <c r="D5908" s="10"/>
      <c r="F5908" s="1"/>
      <c r="G5908" s="1"/>
      <c r="H5908" s="1"/>
      <c r="I5908" s="7"/>
      <c r="J5908" s="12"/>
      <c r="K5908" s="13"/>
      <c r="L5908" s="14"/>
      <c r="M5908" s="15"/>
      <c r="N5908" s="15"/>
      <c r="O5908" s="16"/>
      <c r="Q5908" s="16"/>
    </row>
    <row r="5909" spans="1:17" x14ac:dyDescent="0.3">
      <c r="A5909" s="5"/>
      <c r="B5909" s="6"/>
      <c r="C5909" s="7"/>
      <c r="D5909" s="10"/>
      <c r="F5909" s="1"/>
      <c r="G5909" s="1"/>
      <c r="H5909" s="1"/>
      <c r="I5909" s="7"/>
      <c r="J5909" s="12"/>
      <c r="K5909" s="13"/>
      <c r="L5909" s="14"/>
      <c r="M5909" s="15"/>
      <c r="N5909" s="15"/>
      <c r="O5909" s="16"/>
      <c r="Q5909" s="16"/>
    </row>
    <row r="5910" spans="1:17" x14ac:dyDescent="0.3">
      <c r="A5910" s="5"/>
      <c r="B5910" s="6"/>
      <c r="C5910" s="7"/>
      <c r="D5910" s="10"/>
      <c r="F5910" s="1"/>
      <c r="G5910" s="1"/>
      <c r="H5910" s="1"/>
      <c r="I5910" s="7"/>
      <c r="J5910" s="12"/>
      <c r="K5910" s="13"/>
      <c r="L5910" s="14"/>
      <c r="M5910" s="15"/>
      <c r="N5910" s="15"/>
      <c r="O5910" s="16"/>
      <c r="Q5910" s="16"/>
    </row>
    <row r="5911" spans="1:17" x14ac:dyDescent="0.3">
      <c r="A5911" s="5"/>
      <c r="B5911" s="6"/>
      <c r="C5911" s="7"/>
      <c r="D5911" s="10"/>
      <c r="F5911" s="1"/>
      <c r="G5911" s="1"/>
      <c r="H5911" s="1"/>
      <c r="I5911" s="7"/>
      <c r="J5911" s="12"/>
      <c r="K5911" s="13"/>
      <c r="L5911" s="14"/>
      <c r="M5911" s="15"/>
      <c r="N5911" s="15"/>
      <c r="O5911" s="16"/>
      <c r="Q5911" s="16"/>
    </row>
    <row r="5912" spans="1:17" x14ac:dyDescent="0.3">
      <c r="A5912" s="5"/>
      <c r="B5912" s="6"/>
      <c r="C5912" s="7"/>
      <c r="D5912" s="10"/>
      <c r="F5912" s="1"/>
      <c r="G5912" s="1"/>
      <c r="H5912" s="1"/>
      <c r="I5912" s="7"/>
      <c r="J5912" s="12"/>
      <c r="K5912" s="13"/>
      <c r="L5912" s="14"/>
      <c r="M5912" s="15"/>
      <c r="N5912" s="15"/>
      <c r="O5912" s="16"/>
      <c r="Q5912" s="16"/>
    </row>
    <row r="5913" spans="1:17" x14ac:dyDescent="0.3">
      <c r="A5913" s="5"/>
      <c r="B5913" s="6"/>
      <c r="C5913" s="7"/>
      <c r="D5913" s="10"/>
      <c r="F5913" s="1"/>
      <c r="G5913" s="1"/>
      <c r="H5913" s="1"/>
      <c r="I5913" s="7"/>
      <c r="J5913" s="12"/>
      <c r="K5913" s="13"/>
      <c r="L5913" s="14"/>
      <c r="M5913" s="15"/>
      <c r="N5913" s="15"/>
      <c r="O5913" s="16"/>
      <c r="Q5913" s="16"/>
    </row>
    <row r="5914" spans="1:17" x14ac:dyDescent="0.3">
      <c r="A5914" s="5"/>
      <c r="B5914" s="6"/>
      <c r="C5914" s="7"/>
      <c r="D5914" s="10"/>
      <c r="F5914" s="1"/>
      <c r="G5914" s="1"/>
      <c r="H5914" s="1"/>
      <c r="I5914" s="7"/>
      <c r="J5914" s="12"/>
      <c r="K5914" s="13"/>
      <c r="L5914" s="14"/>
      <c r="M5914" s="15"/>
      <c r="N5914" s="15"/>
      <c r="O5914" s="16"/>
      <c r="Q5914" s="16"/>
    </row>
    <row r="5915" spans="1:17" x14ac:dyDescent="0.3">
      <c r="A5915" s="5"/>
      <c r="B5915" s="6"/>
      <c r="C5915" s="7"/>
      <c r="D5915" s="10"/>
      <c r="F5915" s="1"/>
      <c r="G5915" s="1"/>
      <c r="H5915" s="1"/>
      <c r="I5915" s="7"/>
      <c r="J5915" s="12"/>
      <c r="K5915" s="13"/>
      <c r="L5915" s="14"/>
      <c r="M5915" s="15"/>
      <c r="N5915" s="15"/>
      <c r="O5915" s="16"/>
      <c r="Q5915" s="16"/>
    </row>
    <row r="5916" spans="1:17" x14ac:dyDescent="0.3">
      <c r="A5916" s="5"/>
      <c r="B5916" s="6"/>
      <c r="C5916" s="7"/>
      <c r="D5916" s="10"/>
      <c r="F5916" s="1"/>
      <c r="G5916" s="1"/>
      <c r="H5916" s="1"/>
      <c r="I5916" s="7"/>
      <c r="J5916" s="12"/>
      <c r="K5916" s="13"/>
      <c r="L5916" s="14"/>
      <c r="M5916" s="15"/>
      <c r="N5916" s="15"/>
      <c r="O5916" s="16"/>
      <c r="Q5916" s="16"/>
    </row>
    <row r="5917" spans="1:17" x14ac:dyDescent="0.3">
      <c r="A5917" s="5"/>
      <c r="B5917" s="6"/>
      <c r="C5917" s="7"/>
      <c r="D5917" s="10"/>
      <c r="F5917" s="1"/>
      <c r="G5917" s="1"/>
      <c r="H5917" s="1"/>
      <c r="I5917" s="7"/>
      <c r="J5917" s="12"/>
      <c r="K5917" s="13"/>
      <c r="L5917" s="14"/>
      <c r="M5917" s="15"/>
      <c r="N5917" s="15"/>
      <c r="O5917" s="16"/>
      <c r="Q5917" s="16"/>
    </row>
    <row r="5918" spans="1:17" x14ac:dyDescent="0.3">
      <c r="A5918" s="5"/>
      <c r="B5918" s="6"/>
      <c r="C5918" s="7"/>
      <c r="D5918" s="10"/>
      <c r="F5918" s="1"/>
      <c r="G5918" s="1"/>
      <c r="H5918" s="1"/>
      <c r="I5918" s="7"/>
      <c r="J5918" s="12"/>
      <c r="K5918" s="13"/>
      <c r="L5918" s="14"/>
      <c r="M5918" s="15"/>
      <c r="N5918" s="15"/>
      <c r="O5918" s="16"/>
      <c r="Q5918" s="16"/>
    </row>
    <row r="5919" spans="1:17" x14ac:dyDescent="0.3">
      <c r="A5919" s="5"/>
      <c r="B5919" s="6"/>
      <c r="C5919" s="7"/>
      <c r="D5919" s="10"/>
      <c r="F5919" s="1"/>
      <c r="G5919" s="1"/>
      <c r="H5919" s="1"/>
      <c r="I5919" s="7"/>
      <c r="J5919" s="12"/>
      <c r="K5919" s="13"/>
      <c r="L5919" s="14"/>
      <c r="M5919" s="15"/>
      <c r="N5919" s="15"/>
      <c r="O5919" s="16"/>
      <c r="Q5919" s="16"/>
    </row>
    <row r="5920" spans="1:17" x14ac:dyDescent="0.3">
      <c r="A5920" s="5"/>
      <c r="B5920" s="6"/>
      <c r="C5920" s="7"/>
      <c r="D5920" s="10"/>
      <c r="F5920" s="1"/>
      <c r="G5920" s="1"/>
      <c r="H5920" s="1"/>
      <c r="I5920" s="7"/>
      <c r="J5920" s="12"/>
      <c r="K5920" s="13"/>
      <c r="L5920" s="14"/>
      <c r="M5920" s="15"/>
      <c r="N5920" s="15"/>
      <c r="O5920" s="16"/>
      <c r="Q5920" s="16"/>
    </row>
    <row r="5921" spans="1:17" x14ac:dyDescent="0.3">
      <c r="A5921" s="5"/>
      <c r="B5921" s="6"/>
      <c r="C5921" s="7"/>
      <c r="D5921" s="10"/>
      <c r="F5921" s="1"/>
      <c r="G5921" s="1"/>
      <c r="H5921" s="1"/>
      <c r="I5921" s="7"/>
      <c r="J5921" s="12"/>
      <c r="K5921" s="13"/>
      <c r="L5921" s="14"/>
      <c r="M5921" s="15"/>
      <c r="N5921" s="15"/>
      <c r="O5921" s="16"/>
      <c r="Q5921" s="16"/>
    </row>
    <row r="5922" spans="1:17" x14ac:dyDescent="0.3">
      <c r="A5922" s="5"/>
      <c r="B5922" s="6"/>
      <c r="C5922" s="7"/>
      <c r="D5922" s="10"/>
      <c r="F5922" s="1"/>
      <c r="G5922" s="1"/>
      <c r="H5922" s="1"/>
      <c r="I5922" s="7"/>
      <c r="J5922" s="12"/>
      <c r="K5922" s="13"/>
      <c r="L5922" s="14"/>
      <c r="M5922" s="15"/>
      <c r="N5922" s="15"/>
      <c r="O5922" s="16"/>
      <c r="Q5922" s="16"/>
    </row>
    <row r="5923" spans="1:17" x14ac:dyDescent="0.3">
      <c r="A5923" s="5"/>
      <c r="B5923" s="6"/>
      <c r="C5923" s="7"/>
      <c r="D5923" s="10"/>
      <c r="F5923" s="1"/>
      <c r="G5923" s="1"/>
      <c r="H5923" s="1"/>
      <c r="I5923" s="7"/>
      <c r="J5923" s="12"/>
      <c r="K5923" s="13"/>
      <c r="L5923" s="14"/>
      <c r="M5923" s="15"/>
      <c r="N5923" s="15"/>
      <c r="O5923" s="16"/>
      <c r="Q5923" s="16"/>
    </row>
    <row r="5924" spans="1:17" x14ac:dyDescent="0.3">
      <c r="A5924" s="5"/>
      <c r="B5924" s="6"/>
      <c r="C5924" s="7"/>
      <c r="D5924" s="10"/>
      <c r="F5924" s="1"/>
      <c r="G5924" s="1"/>
      <c r="H5924" s="1"/>
      <c r="I5924" s="7"/>
      <c r="J5924" s="12"/>
      <c r="K5924" s="13"/>
      <c r="L5924" s="14"/>
      <c r="M5924" s="15"/>
      <c r="N5924" s="15"/>
      <c r="O5924" s="16"/>
      <c r="Q5924" s="16"/>
    </row>
    <row r="5925" spans="1:17" x14ac:dyDescent="0.3">
      <c r="A5925" s="5"/>
      <c r="B5925" s="6"/>
      <c r="C5925" s="7"/>
      <c r="D5925" s="10"/>
      <c r="F5925" s="1"/>
      <c r="G5925" s="1"/>
      <c r="H5925" s="1"/>
      <c r="I5925" s="7"/>
      <c r="J5925" s="12"/>
      <c r="K5925" s="13"/>
      <c r="L5925" s="14"/>
      <c r="M5925" s="15"/>
      <c r="N5925" s="15"/>
      <c r="O5925" s="16"/>
      <c r="Q5925" s="16"/>
    </row>
    <row r="5926" spans="1:17" x14ac:dyDescent="0.3">
      <c r="A5926" s="5"/>
      <c r="B5926" s="6"/>
      <c r="C5926" s="7"/>
      <c r="D5926" s="10"/>
      <c r="F5926" s="1"/>
      <c r="G5926" s="1"/>
      <c r="H5926" s="1"/>
      <c r="I5926" s="7"/>
      <c r="J5926" s="12"/>
      <c r="K5926" s="13"/>
      <c r="L5926" s="14"/>
      <c r="M5926" s="15"/>
      <c r="N5926" s="15"/>
      <c r="O5926" s="16"/>
      <c r="Q5926" s="16"/>
    </row>
    <row r="5927" spans="1:17" x14ac:dyDescent="0.3">
      <c r="A5927" s="5"/>
      <c r="B5927" s="6"/>
      <c r="C5927" s="7"/>
      <c r="D5927" s="10"/>
      <c r="F5927" s="1"/>
      <c r="G5927" s="1"/>
      <c r="H5927" s="1"/>
      <c r="I5927" s="7"/>
      <c r="J5927" s="12"/>
      <c r="K5927" s="13"/>
      <c r="L5927" s="14"/>
      <c r="M5927" s="15"/>
      <c r="N5927" s="15"/>
      <c r="O5927" s="16"/>
      <c r="Q5927" s="16"/>
    </row>
    <row r="5928" spans="1:17" x14ac:dyDescent="0.3">
      <c r="A5928" s="5"/>
      <c r="B5928" s="6"/>
      <c r="C5928" s="7"/>
      <c r="D5928" s="10"/>
      <c r="F5928" s="1"/>
      <c r="G5928" s="1"/>
      <c r="H5928" s="1"/>
      <c r="I5928" s="7"/>
      <c r="J5928" s="12"/>
      <c r="K5928" s="13"/>
      <c r="L5928" s="14"/>
      <c r="M5928" s="15"/>
      <c r="N5928" s="15"/>
      <c r="O5928" s="16"/>
      <c r="Q5928" s="16"/>
    </row>
    <row r="5929" spans="1:17" x14ac:dyDescent="0.3">
      <c r="A5929" s="5"/>
      <c r="B5929" s="6"/>
      <c r="C5929" s="7"/>
      <c r="D5929" s="10"/>
      <c r="F5929" s="1"/>
      <c r="G5929" s="1"/>
      <c r="H5929" s="1"/>
      <c r="I5929" s="7"/>
      <c r="J5929" s="12"/>
      <c r="K5929" s="13"/>
      <c r="L5929" s="14"/>
      <c r="M5929" s="15"/>
      <c r="N5929" s="15"/>
      <c r="O5929" s="16"/>
      <c r="Q5929" s="16"/>
    </row>
    <row r="5930" spans="1:17" x14ac:dyDescent="0.3">
      <c r="A5930" s="5"/>
      <c r="B5930" s="6"/>
      <c r="C5930" s="7"/>
      <c r="D5930" s="10"/>
      <c r="F5930" s="1"/>
      <c r="G5930" s="1"/>
      <c r="H5930" s="1"/>
      <c r="I5930" s="7"/>
      <c r="J5930" s="12"/>
      <c r="K5930" s="13"/>
      <c r="L5930" s="14"/>
      <c r="M5930" s="15"/>
      <c r="N5930" s="15"/>
      <c r="O5930" s="16"/>
      <c r="Q5930" s="16"/>
    </row>
    <row r="5931" spans="1:17" x14ac:dyDescent="0.3">
      <c r="A5931" s="5"/>
      <c r="B5931" s="6"/>
      <c r="C5931" s="7"/>
      <c r="D5931" s="10"/>
      <c r="F5931" s="1"/>
      <c r="G5931" s="1"/>
      <c r="H5931" s="1"/>
      <c r="I5931" s="7"/>
      <c r="J5931" s="12"/>
      <c r="K5931" s="13"/>
      <c r="L5931" s="14"/>
      <c r="M5931" s="15"/>
      <c r="N5931" s="15"/>
      <c r="O5931" s="16"/>
      <c r="Q5931" s="16"/>
    </row>
    <row r="5932" spans="1:17" x14ac:dyDescent="0.3">
      <c r="A5932" s="5"/>
      <c r="B5932" s="6"/>
      <c r="C5932" s="7"/>
      <c r="D5932" s="10"/>
      <c r="F5932" s="1"/>
      <c r="G5932" s="1"/>
      <c r="H5932" s="1"/>
      <c r="I5932" s="7"/>
      <c r="J5932" s="12"/>
      <c r="K5932" s="13"/>
      <c r="L5932" s="14"/>
      <c r="M5932" s="15"/>
      <c r="N5932" s="15"/>
      <c r="O5932" s="16"/>
      <c r="Q5932" s="16"/>
    </row>
    <row r="5933" spans="1:17" x14ac:dyDescent="0.3">
      <c r="A5933" s="5"/>
      <c r="B5933" s="6"/>
      <c r="C5933" s="7"/>
      <c r="D5933" s="10"/>
      <c r="F5933" s="1"/>
      <c r="G5933" s="1"/>
      <c r="H5933" s="1"/>
      <c r="I5933" s="7"/>
      <c r="J5933" s="12"/>
      <c r="K5933" s="13"/>
      <c r="L5933" s="14"/>
      <c r="M5933" s="15"/>
      <c r="N5933" s="15"/>
      <c r="O5933" s="16"/>
      <c r="Q5933" s="16"/>
    </row>
    <row r="5934" spans="1:17" x14ac:dyDescent="0.3">
      <c r="A5934" s="5"/>
      <c r="B5934" s="6"/>
      <c r="C5934" s="7"/>
      <c r="D5934" s="10"/>
      <c r="F5934" s="1"/>
      <c r="G5934" s="1"/>
      <c r="H5934" s="1"/>
      <c r="I5934" s="7"/>
      <c r="J5934" s="12"/>
      <c r="K5934" s="13"/>
      <c r="L5934" s="14"/>
      <c r="M5934" s="15"/>
      <c r="N5934" s="15"/>
      <c r="O5934" s="16"/>
      <c r="Q5934" s="16"/>
    </row>
    <row r="5935" spans="1:17" x14ac:dyDescent="0.3">
      <c r="A5935" s="5"/>
      <c r="B5935" s="6"/>
      <c r="C5935" s="7"/>
      <c r="D5935" s="10"/>
      <c r="F5935" s="1"/>
      <c r="G5935" s="1"/>
      <c r="H5935" s="1"/>
      <c r="I5935" s="7"/>
      <c r="J5935" s="12"/>
      <c r="K5935" s="13"/>
      <c r="L5935" s="14"/>
      <c r="M5935" s="15"/>
      <c r="N5935" s="15"/>
      <c r="O5935" s="16"/>
      <c r="Q5935" s="16"/>
    </row>
    <row r="5936" spans="1:17" x14ac:dyDescent="0.3">
      <c r="A5936" s="5"/>
      <c r="B5936" s="6"/>
      <c r="C5936" s="7"/>
      <c r="D5936" s="10"/>
      <c r="F5936" s="1"/>
      <c r="G5936" s="1"/>
      <c r="H5936" s="1"/>
      <c r="I5936" s="7"/>
      <c r="J5936" s="12"/>
      <c r="K5936" s="13"/>
      <c r="L5936" s="14"/>
      <c r="M5936" s="15"/>
      <c r="N5936" s="15"/>
      <c r="O5936" s="16"/>
      <c r="Q5936" s="16"/>
    </row>
    <row r="5937" spans="1:17" x14ac:dyDescent="0.3">
      <c r="A5937" s="5"/>
      <c r="B5937" s="6"/>
      <c r="C5937" s="7"/>
      <c r="D5937" s="10"/>
      <c r="F5937" s="1"/>
      <c r="G5937" s="1"/>
      <c r="H5937" s="1"/>
      <c r="I5937" s="7"/>
      <c r="J5937" s="12"/>
      <c r="K5937" s="13"/>
      <c r="L5937" s="14"/>
      <c r="M5937" s="15"/>
      <c r="N5937" s="15"/>
      <c r="O5937" s="16"/>
      <c r="Q5937" s="16"/>
    </row>
    <row r="5938" spans="1:17" x14ac:dyDescent="0.3">
      <c r="A5938" s="5"/>
      <c r="B5938" s="6"/>
      <c r="C5938" s="7"/>
      <c r="D5938" s="10"/>
      <c r="F5938" s="1"/>
      <c r="G5938" s="1"/>
      <c r="H5938" s="1"/>
      <c r="I5938" s="7"/>
      <c r="J5938" s="12"/>
      <c r="K5938" s="13"/>
      <c r="L5938" s="14"/>
      <c r="M5938" s="15"/>
      <c r="N5938" s="15"/>
      <c r="O5938" s="16"/>
      <c r="Q5938" s="16"/>
    </row>
    <row r="5939" spans="1:17" x14ac:dyDescent="0.3">
      <c r="A5939" s="5"/>
      <c r="B5939" s="6"/>
      <c r="C5939" s="7"/>
      <c r="D5939" s="10"/>
      <c r="F5939" s="1"/>
      <c r="G5939" s="1"/>
      <c r="H5939" s="1"/>
      <c r="I5939" s="7"/>
      <c r="J5939" s="12"/>
      <c r="K5939" s="13"/>
      <c r="L5939" s="14"/>
      <c r="M5939" s="15"/>
      <c r="N5939" s="15"/>
      <c r="O5939" s="16"/>
      <c r="Q5939" s="16"/>
    </row>
    <row r="5940" spans="1:17" x14ac:dyDescent="0.3">
      <c r="A5940" s="5"/>
      <c r="B5940" s="6"/>
      <c r="C5940" s="7"/>
      <c r="D5940" s="10"/>
      <c r="F5940" s="1"/>
      <c r="G5940" s="1"/>
      <c r="H5940" s="1"/>
      <c r="I5940" s="7"/>
      <c r="J5940" s="12"/>
      <c r="K5940" s="13"/>
      <c r="L5940" s="14"/>
      <c r="M5940" s="15"/>
      <c r="N5940" s="15"/>
      <c r="O5940" s="16"/>
      <c r="Q5940" s="16"/>
    </row>
    <row r="5941" spans="1:17" x14ac:dyDescent="0.3">
      <c r="A5941" s="5"/>
      <c r="B5941" s="6"/>
      <c r="C5941" s="7"/>
      <c r="D5941" s="10"/>
      <c r="F5941" s="1"/>
      <c r="G5941" s="1"/>
      <c r="H5941" s="1"/>
      <c r="I5941" s="7"/>
      <c r="J5941" s="12"/>
      <c r="K5941" s="13"/>
      <c r="L5941" s="14"/>
      <c r="M5941" s="15"/>
      <c r="N5941" s="15"/>
      <c r="O5941" s="16"/>
      <c r="Q5941" s="16"/>
    </row>
    <row r="5942" spans="1:17" x14ac:dyDescent="0.3">
      <c r="A5942" s="5"/>
      <c r="B5942" s="6"/>
      <c r="C5942" s="7"/>
      <c r="D5942" s="10"/>
      <c r="F5942" s="1"/>
      <c r="G5942" s="1"/>
      <c r="H5942" s="1"/>
      <c r="I5942" s="7"/>
      <c r="J5942" s="12"/>
      <c r="K5942" s="13"/>
      <c r="L5942" s="14"/>
      <c r="M5942" s="15"/>
      <c r="N5942" s="15"/>
      <c r="O5942" s="16"/>
      <c r="Q5942" s="16"/>
    </row>
    <row r="5943" spans="1:17" x14ac:dyDescent="0.3">
      <c r="A5943" s="5"/>
      <c r="B5943" s="6"/>
      <c r="C5943" s="7"/>
      <c r="D5943" s="10"/>
      <c r="F5943" s="1"/>
      <c r="G5943" s="1"/>
      <c r="H5943" s="1"/>
      <c r="I5943" s="7"/>
      <c r="J5943" s="12"/>
      <c r="K5943" s="13"/>
      <c r="L5943" s="14"/>
      <c r="M5943" s="15"/>
      <c r="N5943" s="15"/>
      <c r="O5943" s="16"/>
      <c r="Q5943" s="16"/>
    </row>
    <row r="5944" spans="1:17" x14ac:dyDescent="0.3">
      <c r="A5944" s="5"/>
      <c r="B5944" s="6"/>
      <c r="C5944" s="7"/>
      <c r="D5944" s="10"/>
      <c r="F5944" s="1"/>
      <c r="G5944" s="1"/>
      <c r="H5944" s="1"/>
      <c r="I5944" s="7"/>
      <c r="J5944" s="12"/>
      <c r="K5944" s="13"/>
      <c r="L5944" s="14"/>
      <c r="M5944" s="15"/>
      <c r="N5944" s="15"/>
      <c r="O5944" s="16"/>
      <c r="Q5944" s="16"/>
    </row>
    <row r="5945" spans="1:17" x14ac:dyDescent="0.3">
      <c r="A5945" s="5"/>
      <c r="B5945" s="6"/>
      <c r="C5945" s="7"/>
      <c r="D5945" s="10"/>
      <c r="F5945" s="1"/>
      <c r="G5945" s="1"/>
      <c r="H5945" s="1"/>
      <c r="I5945" s="7"/>
      <c r="J5945" s="12"/>
      <c r="K5945" s="13"/>
      <c r="L5945" s="14"/>
      <c r="M5945" s="15"/>
      <c r="N5945" s="15"/>
      <c r="O5945" s="16"/>
      <c r="Q5945" s="16"/>
    </row>
    <row r="5946" spans="1:17" x14ac:dyDescent="0.3">
      <c r="A5946" s="5"/>
      <c r="B5946" s="6"/>
      <c r="C5946" s="7"/>
      <c r="D5946" s="10"/>
      <c r="F5946" s="1"/>
      <c r="G5946" s="1"/>
      <c r="H5946" s="1"/>
      <c r="I5946" s="7"/>
      <c r="J5946" s="12"/>
      <c r="K5946" s="13"/>
      <c r="L5946" s="14"/>
      <c r="M5946" s="15"/>
      <c r="N5946" s="15"/>
      <c r="O5946" s="16"/>
      <c r="Q5946" s="16"/>
    </row>
    <row r="5947" spans="1:17" x14ac:dyDescent="0.3">
      <c r="A5947" s="5"/>
      <c r="B5947" s="6"/>
      <c r="C5947" s="7"/>
      <c r="D5947" s="10"/>
      <c r="F5947" s="1"/>
      <c r="G5947" s="1"/>
      <c r="H5947" s="1"/>
      <c r="I5947" s="7"/>
      <c r="J5947" s="12"/>
      <c r="K5947" s="13"/>
      <c r="L5947" s="14"/>
      <c r="M5947" s="15"/>
      <c r="N5947" s="15"/>
      <c r="O5947" s="16"/>
      <c r="Q5947" s="16"/>
    </row>
    <row r="5948" spans="1:17" x14ac:dyDescent="0.3">
      <c r="A5948" s="5"/>
      <c r="B5948" s="6"/>
      <c r="C5948" s="7"/>
      <c r="D5948" s="10"/>
      <c r="F5948" s="1"/>
      <c r="G5948" s="1"/>
      <c r="H5948" s="1"/>
      <c r="I5948" s="7"/>
      <c r="J5948" s="12"/>
      <c r="K5948" s="13"/>
      <c r="L5948" s="14"/>
      <c r="M5948" s="15"/>
      <c r="N5948" s="15"/>
      <c r="O5948" s="16"/>
      <c r="Q5948" s="16"/>
    </row>
    <row r="5949" spans="1:17" x14ac:dyDescent="0.3">
      <c r="A5949" s="5"/>
      <c r="B5949" s="6"/>
      <c r="C5949" s="7"/>
      <c r="D5949" s="10"/>
      <c r="F5949" s="1"/>
      <c r="G5949" s="1"/>
      <c r="H5949" s="1"/>
      <c r="I5949" s="7"/>
      <c r="J5949" s="12"/>
      <c r="K5949" s="13"/>
      <c r="L5949" s="14"/>
      <c r="M5949" s="15"/>
      <c r="N5949" s="15"/>
      <c r="O5949" s="16"/>
      <c r="Q5949" s="16"/>
    </row>
    <row r="5950" spans="1:17" x14ac:dyDescent="0.3">
      <c r="A5950" s="5"/>
      <c r="B5950" s="6"/>
      <c r="C5950" s="7"/>
      <c r="D5950" s="10"/>
      <c r="F5950" s="1"/>
      <c r="G5950" s="1"/>
      <c r="H5950" s="1"/>
      <c r="I5950" s="7"/>
      <c r="J5950" s="12"/>
      <c r="K5950" s="13"/>
      <c r="L5950" s="14"/>
      <c r="M5950" s="15"/>
      <c r="N5950" s="15"/>
      <c r="O5950" s="16"/>
      <c r="Q5950" s="16"/>
    </row>
    <row r="5951" spans="1:17" x14ac:dyDescent="0.3">
      <c r="A5951" s="5"/>
      <c r="B5951" s="6"/>
      <c r="C5951" s="7"/>
      <c r="D5951" s="10"/>
      <c r="F5951" s="1"/>
      <c r="G5951" s="1"/>
      <c r="H5951" s="1"/>
      <c r="I5951" s="7"/>
      <c r="J5951" s="12"/>
      <c r="K5951" s="13"/>
      <c r="L5951" s="14"/>
      <c r="M5951" s="15"/>
      <c r="N5951" s="15"/>
      <c r="O5951" s="16"/>
      <c r="Q5951" s="16"/>
    </row>
    <row r="5952" spans="1:17" x14ac:dyDescent="0.3">
      <c r="A5952" s="5"/>
      <c r="B5952" s="6"/>
      <c r="C5952" s="7"/>
      <c r="D5952" s="10"/>
      <c r="F5952" s="1"/>
      <c r="G5952" s="1"/>
      <c r="H5952" s="1"/>
      <c r="I5952" s="7"/>
      <c r="J5952" s="12"/>
      <c r="K5952" s="13"/>
      <c r="L5952" s="14"/>
      <c r="M5952" s="15"/>
      <c r="N5952" s="15"/>
      <c r="O5952" s="16"/>
      <c r="Q5952" s="16"/>
    </row>
    <row r="5953" spans="1:17" x14ac:dyDescent="0.3">
      <c r="A5953" s="5"/>
      <c r="B5953" s="6"/>
      <c r="C5953" s="7"/>
      <c r="D5953" s="10"/>
      <c r="F5953" s="1"/>
      <c r="G5953" s="1"/>
      <c r="H5953" s="1"/>
      <c r="I5953" s="7"/>
      <c r="J5953" s="12"/>
      <c r="K5953" s="13"/>
      <c r="L5953" s="14"/>
      <c r="M5953" s="15"/>
      <c r="N5953" s="15"/>
      <c r="O5953" s="16"/>
      <c r="Q5953" s="16"/>
    </row>
    <row r="5954" spans="1:17" x14ac:dyDescent="0.3">
      <c r="A5954" s="5"/>
      <c r="B5954" s="6"/>
      <c r="C5954" s="7"/>
      <c r="D5954" s="10"/>
      <c r="F5954" s="1"/>
      <c r="G5954" s="1"/>
      <c r="H5954" s="1"/>
      <c r="I5954" s="7"/>
      <c r="J5954" s="12"/>
      <c r="K5954" s="13"/>
      <c r="L5954" s="14"/>
      <c r="M5954" s="15"/>
      <c r="N5954" s="15"/>
      <c r="O5954" s="16"/>
      <c r="Q5954" s="16"/>
    </row>
    <row r="5955" spans="1:17" x14ac:dyDescent="0.3">
      <c r="A5955" s="5"/>
      <c r="B5955" s="6"/>
      <c r="C5955" s="7"/>
      <c r="D5955" s="10"/>
      <c r="F5955" s="1"/>
      <c r="G5955" s="1"/>
      <c r="H5955" s="1"/>
      <c r="I5955" s="7"/>
      <c r="J5955" s="12"/>
      <c r="K5955" s="13"/>
      <c r="L5955" s="14"/>
      <c r="M5955" s="15"/>
      <c r="N5955" s="15"/>
      <c r="O5955" s="16"/>
      <c r="Q5955" s="16"/>
    </row>
    <row r="5956" spans="1:17" x14ac:dyDescent="0.3">
      <c r="A5956" s="5"/>
      <c r="B5956" s="6"/>
      <c r="C5956" s="7"/>
      <c r="D5956" s="10"/>
      <c r="F5956" s="1"/>
      <c r="G5956" s="1"/>
      <c r="H5956" s="1"/>
      <c r="I5956" s="7"/>
      <c r="J5956" s="12"/>
      <c r="K5956" s="13"/>
      <c r="L5956" s="14"/>
      <c r="M5956" s="15"/>
      <c r="N5956" s="15"/>
      <c r="O5956" s="16"/>
      <c r="Q5956" s="16"/>
    </row>
    <row r="5957" spans="1:17" x14ac:dyDescent="0.3">
      <c r="A5957" s="5"/>
      <c r="B5957" s="6"/>
      <c r="C5957" s="7"/>
      <c r="D5957" s="10"/>
      <c r="F5957" s="1"/>
      <c r="G5957" s="1"/>
      <c r="H5957" s="1"/>
      <c r="I5957" s="7"/>
      <c r="J5957" s="12"/>
      <c r="K5957" s="13"/>
      <c r="L5957" s="14"/>
      <c r="M5957" s="15"/>
      <c r="N5957" s="15"/>
      <c r="O5957" s="16"/>
      <c r="Q5957" s="16"/>
    </row>
    <row r="5958" spans="1:17" x14ac:dyDescent="0.3">
      <c r="A5958" s="5"/>
      <c r="B5958" s="6"/>
      <c r="C5958" s="7"/>
      <c r="D5958" s="10"/>
      <c r="F5958" s="1"/>
      <c r="G5958" s="1"/>
      <c r="H5958" s="1"/>
      <c r="I5958" s="7"/>
      <c r="J5958" s="12"/>
      <c r="K5958" s="13"/>
      <c r="L5958" s="14"/>
      <c r="M5958" s="15"/>
      <c r="N5958" s="15"/>
      <c r="O5958" s="16"/>
      <c r="Q5958" s="16"/>
    </row>
    <row r="5959" spans="1:17" x14ac:dyDescent="0.3">
      <c r="A5959" s="5"/>
      <c r="B5959" s="6"/>
      <c r="C5959" s="7"/>
      <c r="D5959" s="10"/>
      <c r="F5959" s="1"/>
      <c r="G5959" s="1"/>
      <c r="H5959" s="1"/>
      <c r="I5959" s="7"/>
      <c r="J5959" s="12"/>
      <c r="K5959" s="13"/>
      <c r="L5959" s="14"/>
      <c r="M5959" s="15"/>
      <c r="N5959" s="15"/>
      <c r="O5959" s="16"/>
      <c r="Q5959" s="16"/>
    </row>
    <row r="5960" spans="1:17" x14ac:dyDescent="0.3">
      <c r="A5960" s="5"/>
      <c r="B5960" s="6"/>
      <c r="C5960" s="7"/>
      <c r="D5960" s="10"/>
      <c r="F5960" s="1"/>
      <c r="G5960" s="1"/>
      <c r="H5960" s="1"/>
      <c r="I5960" s="7"/>
      <c r="J5960" s="12"/>
      <c r="K5960" s="13"/>
      <c r="L5960" s="14"/>
      <c r="M5960" s="15"/>
      <c r="N5960" s="15"/>
      <c r="O5960" s="16"/>
      <c r="Q5960" s="16"/>
    </row>
    <row r="5961" spans="1:17" x14ac:dyDescent="0.3">
      <c r="A5961" s="5"/>
      <c r="B5961" s="6"/>
      <c r="C5961" s="7"/>
      <c r="D5961" s="10"/>
      <c r="F5961" s="1"/>
      <c r="G5961" s="1"/>
      <c r="H5961" s="1"/>
      <c r="I5961" s="7"/>
      <c r="J5961" s="12"/>
      <c r="K5961" s="13"/>
      <c r="L5961" s="14"/>
      <c r="M5961" s="15"/>
      <c r="N5961" s="15"/>
      <c r="O5961" s="16"/>
      <c r="Q5961" s="16"/>
    </row>
    <row r="5962" spans="1:17" x14ac:dyDescent="0.3">
      <c r="A5962" s="5"/>
      <c r="B5962" s="6"/>
      <c r="C5962" s="7"/>
      <c r="D5962" s="10"/>
      <c r="F5962" s="1"/>
      <c r="G5962" s="1"/>
      <c r="H5962" s="1"/>
      <c r="I5962" s="7"/>
      <c r="J5962" s="12"/>
      <c r="K5962" s="13"/>
      <c r="L5962" s="14"/>
      <c r="M5962" s="15"/>
      <c r="N5962" s="15"/>
      <c r="O5962" s="16"/>
      <c r="Q5962" s="16"/>
    </row>
    <row r="5963" spans="1:17" x14ac:dyDescent="0.3">
      <c r="A5963" s="5"/>
      <c r="B5963" s="6"/>
      <c r="C5963" s="7"/>
      <c r="D5963" s="10"/>
      <c r="F5963" s="1"/>
      <c r="G5963" s="1"/>
      <c r="H5963" s="1"/>
      <c r="I5963" s="7"/>
      <c r="J5963" s="12"/>
      <c r="K5963" s="13"/>
      <c r="L5963" s="14"/>
      <c r="M5963" s="15"/>
      <c r="N5963" s="15"/>
      <c r="O5963" s="16"/>
      <c r="Q5963" s="16"/>
    </row>
    <row r="5964" spans="1:17" x14ac:dyDescent="0.3">
      <c r="A5964" s="5"/>
      <c r="B5964" s="6"/>
      <c r="C5964" s="7"/>
      <c r="D5964" s="10"/>
      <c r="F5964" s="1"/>
      <c r="G5964" s="1"/>
      <c r="H5964" s="1"/>
      <c r="I5964" s="7"/>
      <c r="J5964" s="12"/>
      <c r="K5964" s="13"/>
      <c r="L5964" s="14"/>
      <c r="M5964" s="15"/>
      <c r="N5964" s="15"/>
      <c r="O5964" s="16"/>
      <c r="Q5964" s="16"/>
    </row>
    <row r="5965" spans="1:17" x14ac:dyDescent="0.3">
      <c r="A5965" s="5"/>
      <c r="B5965" s="6"/>
      <c r="C5965" s="7"/>
      <c r="D5965" s="10"/>
      <c r="F5965" s="1"/>
      <c r="G5965" s="1"/>
      <c r="H5965" s="1"/>
      <c r="I5965" s="7"/>
      <c r="J5965" s="12"/>
      <c r="K5965" s="13"/>
      <c r="L5965" s="14"/>
      <c r="M5965" s="15"/>
      <c r="N5965" s="15"/>
      <c r="O5965" s="16"/>
      <c r="Q5965" s="16"/>
    </row>
    <row r="5966" spans="1:17" x14ac:dyDescent="0.3">
      <c r="A5966" s="5"/>
      <c r="B5966" s="6"/>
      <c r="C5966" s="7"/>
      <c r="D5966" s="10"/>
      <c r="F5966" s="1"/>
      <c r="G5966" s="1"/>
      <c r="H5966" s="1"/>
      <c r="I5966" s="7"/>
      <c r="J5966" s="12"/>
      <c r="K5966" s="13"/>
      <c r="L5966" s="14"/>
      <c r="M5966" s="15"/>
      <c r="N5966" s="15"/>
      <c r="O5966" s="16"/>
      <c r="Q5966" s="16"/>
    </row>
    <row r="5967" spans="1:17" x14ac:dyDescent="0.3">
      <c r="A5967" s="5"/>
      <c r="B5967" s="6"/>
      <c r="C5967" s="7"/>
      <c r="D5967" s="10"/>
      <c r="F5967" s="1"/>
      <c r="G5967" s="1"/>
      <c r="H5967" s="1"/>
      <c r="I5967" s="7"/>
      <c r="J5967" s="12"/>
      <c r="K5967" s="13"/>
      <c r="L5967" s="14"/>
      <c r="M5967" s="15"/>
      <c r="N5967" s="15"/>
      <c r="O5967" s="16"/>
      <c r="Q5967" s="16"/>
    </row>
    <row r="5968" spans="1:17" x14ac:dyDescent="0.3">
      <c r="A5968" s="5"/>
      <c r="B5968" s="6"/>
      <c r="C5968" s="7"/>
      <c r="D5968" s="10"/>
      <c r="F5968" s="1"/>
      <c r="G5968" s="1"/>
      <c r="H5968" s="1"/>
      <c r="I5968" s="7"/>
      <c r="J5968" s="12"/>
      <c r="K5968" s="13"/>
      <c r="L5968" s="14"/>
      <c r="M5968" s="15"/>
      <c r="N5968" s="15"/>
      <c r="O5968" s="16"/>
      <c r="Q5968" s="16"/>
    </row>
    <row r="5969" spans="1:17" x14ac:dyDescent="0.3">
      <c r="A5969" s="5"/>
      <c r="B5969" s="6"/>
      <c r="C5969" s="7"/>
      <c r="D5969" s="10"/>
      <c r="F5969" s="1"/>
      <c r="G5969" s="1"/>
      <c r="H5969" s="1"/>
      <c r="I5969" s="7"/>
      <c r="J5969" s="12"/>
      <c r="K5969" s="13"/>
      <c r="L5969" s="14"/>
      <c r="M5969" s="15"/>
      <c r="N5969" s="15"/>
      <c r="O5969" s="16"/>
      <c r="Q5969" s="16"/>
    </row>
    <row r="5970" spans="1:17" x14ac:dyDescent="0.3">
      <c r="A5970" s="5"/>
      <c r="B5970" s="6"/>
      <c r="C5970" s="7"/>
      <c r="D5970" s="10"/>
      <c r="F5970" s="1"/>
      <c r="G5970" s="1"/>
      <c r="H5970" s="1"/>
      <c r="I5970" s="7"/>
      <c r="J5970" s="12"/>
      <c r="K5970" s="13"/>
      <c r="L5970" s="14"/>
      <c r="M5970" s="15"/>
      <c r="N5970" s="15"/>
      <c r="O5970" s="16"/>
      <c r="Q5970" s="16"/>
    </row>
    <row r="5971" spans="1:17" x14ac:dyDescent="0.3">
      <c r="A5971" s="5"/>
      <c r="B5971" s="6"/>
      <c r="C5971" s="7"/>
      <c r="D5971" s="10"/>
      <c r="F5971" s="1"/>
      <c r="G5971" s="1"/>
      <c r="H5971" s="1"/>
      <c r="I5971" s="7"/>
      <c r="J5971" s="12"/>
      <c r="K5971" s="13"/>
      <c r="L5971" s="14"/>
      <c r="M5971" s="15"/>
      <c r="N5971" s="15"/>
      <c r="O5971" s="16"/>
      <c r="Q5971" s="16"/>
    </row>
    <row r="5972" spans="1:17" x14ac:dyDescent="0.3">
      <c r="A5972" s="5"/>
      <c r="B5972" s="6"/>
      <c r="C5972" s="7"/>
      <c r="D5972" s="10"/>
      <c r="F5972" s="1"/>
      <c r="G5972" s="1"/>
      <c r="H5972" s="1"/>
      <c r="I5972" s="7"/>
      <c r="J5972" s="12"/>
      <c r="K5972" s="13"/>
      <c r="L5972" s="14"/>
      <c r="M5972" s="15"/>
      <c r="N5972" s="15"/>
      <c r="O5972" s="16"/>
      <c r="Q5972" s="16"/>
    </row>
    <row r="5973" spans="1:17" x14ac:dyDescent="0.3">
      <c r="A5973" s="5"/>
      <c r="B5973" s="6"/>
      <c r="C5973" s="7"/>
      <c r="D5973" s="10"/>
      <c r="F5973" s="1"/>
      <c r="G5973" s="1"/>
      <c r="H5973" s="1"/>
      <c r="I5973" s="7"/>
      <c r="J5973" s="12"/>
      <c r="K5973" s="13"/>
      <c r="L5973" s="14"/>
      <c r="M5973" s="15"/>
      <c r="N5973" s="15"/>
      <c r="O5973" s="16"/>
      <c r="Q5973" s="16"/>
    </row>
    <row r="5974" spans="1:17" x14ac:dyDescent="0.3">
      <c r="A5974" s="5"/>
      <c r="B5974" s="6"/>
      <c r="C5974" s="7"/>
      <c r="D5974" s="10"/>
      <c r="F5974" s="1"/>
      <c r="G5974" s="1"/>
      <c r="H5974" s="1"/>
      <c r="I5974" s="7"/>
      <c r="J5974" s="12"/>
      <c r="K5974" s="13"/>
      <c r="L5974" s="14"/>
      <c r="M5974" s="15"/>
      <c r="N5974" s="15"/>
      <c r="O5974" s="16"/>
      <c r="Q5974" s="16"/>
    </row>
    <row r="5975" spans="1:17" x14ac:dyDescent="0.3">
      <c r="A5975" s="5"/>
      <c r="B5975" s="6"/>
      <c r="C5975" s="7"/>
      <c r="D5975" s="10"/>
      <c r="F5975" s="1"/>
      <c r="G5975" s="1"/>
      <c r="H5975" s="1"/>
      <c r="I5975" s="7"/>
      <c r="J5975" s="12"/>
      <c r="K5975" s="13"/>
      <c r="L5975" s="14"/>
      <c r="M5975" s="15"/>
      <c r="N5975" s="15"/>
      <c r="O5975" s="16"/>
      <c r="Q5975" s="16"/>
    </row>
    <row r="5976" spans="1:17" x14ac:dyDescent="0.3">
      <c r="A5976" s="5"/>
      <c r="B5976" s="6"/>
      <c r="C5976" s="7"/>
      <c r="D5976" s="10"/>
      <c r="F5976" s="1"/>
      <c r="G5976" s="1"/>
      <c r="H5976" s="1"/>
      <c r="I5976" s="7"/>
      <c r="J5976" s="12"/>
      <c r="K5976" s="13"/>
      <c r="L5976" s="14"/>
      <c r="M5976" s="15"/>
      <c r="N5976" s="15"/>
      <c r="O5976" s="16"/>
      <c r="Q5976" s="16"/>
    </row>
    <row r="5977" spans="1:17" x14ac:dyDescent="0.3">
      <c r="A5977" s="5"/>
      <c r="B5977" s="6"/>
      <c r="C5977" s="7"/>
      <c r="D5977" s="10"/>
      <c r="F5977" s="1"/>
      <c r="G5977" s="1"/>
      <c r="H5977" s="1"/>
      <c r="I5977" s="7"/>
      <c r="J5977" s="12"/>
      <c r="K5977" s="13"/>
      <c r="L5977" s="14"/>
      <c r="M5977" s="15"/>
      <c r="N5977" s="15"/>
      <c r="O5977" s="16"/>
      <c r="Q5977" s="16"/>
    </row>
    <row r="5978" spans="1:17" x14ac:dyDescent="0.3">
      <c r="A5978" s="5"/>
      <c r="B5978" s="6"/>
      <c r="C5978" s="7"/>
      <c r="D5978" s="10"/>
      <c r="F5978" s="1"/>
      <c r="G5978" s="1"/>
      <c r="H5978" s="1"/>
      <c r="I5978" s="7"/>
      <c r="J5978" s="12"/>
      <c r="K5978" s="13"/>
      <c r="L5978" s="14"/>
      <c r="M5978" s="15"/>
      <c r="N5978" s="15"/>
      <c r="O5978" s="16"/>
      <c r="Q5978" s="16"/>
    </row>
    <row r="5979" spans="1:17" x14ac:dyDescent="0.3">
      <c r="A5979" s="5"/>
      <c r="B5979" s="6"/>
      <c r="C5979" s="7"/>
      <c r="D5979" s="10"/>
      <c r="F5979" s="1"/>
      <c r="G5979" s="1"/>
      <c r="H5979" s="1"/>
      <c r="I5979" s="7"/>
      <c r="J5979" s="12"/>
      <c r="K5979" s="13"/>
      <c r="L5979" s="14"/>
      <c r="M5979" s="15"/>
      <c r="N5979" s="15"/>
      <c r="O5979" s="16"/>
      <c r="Q5979" s="16"/>
    </row>
    <row r="5980" spans="1:17" x14ac:dyDescent="0.3">
      <c r="A5980" s="5"/>
      <c r="B5980" s="6"/>
      <c r="C5980" s="7"/>
      <c r="D5980" s="10"/>
      <c r="F5980" s="1"/>
      <c r="G5980" s="1"/>
      <c r="H5980" s="1"/>
      <c r="I5980" s="7"/>
      <c r="J5980" s="12"/>
      <c r="K5980" s="13"/>
      <c r="L5980" s="14"/>
      <c r="M5980" s="15"/>
      <c r="N5980" s="15"/>
      <c r="O5980" s="16"/>
      <c r="Q5980" s="16"/>
    </row>
    <row r="5981" spans="1:17" x14ac:dyDescent="0.3">
      <c r="A5981" s="5"/>
      <c r="B5981" s="6"/>
      <c r="C5981" s="7"/>
      <c r="D5981" s="10"/>
      <c r="F5981" s="1"/>
      <c r="G5981" s="1"/>
      <c r="H5981" s="1"/>
      <c r="I5981" s="7"/>
      <c r="J5981" s="12"/>
      <c r="K5981" s="13"/>
      <c r="L5981" s="14"/>
      <c r="M5981" s="15"/>
      <c r="N5981" s="15"/>
      <c r="O5981" s="16"/>
      <c r="Q5981" s="16"/>
    </row>
    <row r="5982" spans="1:17" x14ac:dyDescent="0.3">
      <c r="A5982" s="5"/>
      <c r="B5982" s="6"/>
      <c r="C5982" s="7"/>
      <c r="D5982" s="10"/>
      <c r="F5982" s="1"/>
      <c r="G5982" s="1"/>
      <c r="H5982" s="1"/>
      <c r="I5982" s="7"/>
      <c r="J5982" s="12"/>
      <c r="K5982" s="13"/>
      <c r="L5982" s="14"/>
      <c r="M5982" s="15"/>
      <c r="N5982" s="15"/>
      <c r="O5982" s="16"/>
      <c r="Q5982" s="16"/>
    </row>
    <row r="5983" spans="1:17" x14ac:dyDescent="0.3">
      <c r="A5983" s="5"/>
      <c r="B5983" s="6"/>
      <c r="C5983" s="7"/>
      <c r="D5983" s="10"/>
      <c r="F5983" s="1"/>
      <c r="G5983" s="1"/>
      <c r="H5983" s="1"/>
      <c r="I5983" s="7"/>
      <c r="J5983" s="12"/>
      <c r="K5983" s="13"/>
      <c r="L5983" s="14"/>
      <c r="M5983" s="15"/>
      <c r="N5983" s="15"/>
      <c r="O5983" s="16"/>
      <c r="Q5983" s="16"/>
    </row>
    <row r="5984" spans="1:17" x14ac:dyDescent="0.3">
      <c r="A5984" s="5"/>
      <c r="B5984" s="6"/>
      <c r="C5984" s="7"/>
      <c r="D5984" s="10"/>
      <c r="F5984" s="1"/>
      <c r="G5984" s="1"/>
      <c r="H5984" s="1"/>
      <c r="I5984" s="7"/>
      <c r="J5984" s="12"/>
      <c r="K5984" s="13"/>
      <c r="L5984" s="14"/>
      <c r="M5984" s="15"/>
      <c r="N5984" s="15"/>
      <c r="O5984" s="16"/>
      <c r="Q5984" s="16"/>
    </row>
    <row r="5985" spans="1:17" x14ac:dyDescent="0.3">
      <c r="A5985" s="5"/>
      <c r="B5985" s="6"/>
      <c r="C5985" s="7"/>
      <c r="D5985" s="10"/>
      <c r="F5985" s="1"/>
      <c r="G5985" s="1"/>
      <c r="H5985" s="1"/>
      <c r="I5985" s="7"/>
      <c r="J5985" s="12"/>
      <c r="K5985" s="13"/>
      <c r="L5985" s="14"/>
      <c r="M5985" s="15"/>
      <c r="N5985" s="15"/>
      <c r="O5985" s="16"/>
      <c r="Q5985" s="16"/>
    </row>
    <row r="5986" spans="1:17" x14ac:dyDescent="0.3">
      <c r="A5986" s="5"/>
      <c r="B5986" s="6"/>
      <c r="C5986" s="7"/>
      <c r="D5986" s="10"/>
      <c r="F5986" s="1"/>
      <c r="G5986" s="1"/>
      <c r="H5986" s="1"/>
      <c r="I5986" s="7"/>
      <c r="J5986" s="12"/>
      <c r="K5986" s="13"/>
      <c r="L5986" s="14"/>
      <c r="M5986" s="15"/>
      <c r="N5986" s="15"/>
      <c r="O5986" s="16"/>
      <c r="Q5986" s="16"/>
    </row>
    <row r="5987" spans="1:17" x14ac:dyDescent="0.3">
      <c r="A5987" s="5"/>
      <c r="B5987" s="6"/>
      <c r="C5987" s="7"/>
      <c r="D5987" s="10"/>
      <c r="F5987" s="1"/>
      <c r="G5987" s="1"/>
      <c r="H5987" s="1"/>
      <c r="I5987" s="7"/>
      <c r="J5987" s="12"/>
      <c r="K5987" s="13"/>
      <c r="L5987" s="14"/>
      <c r="M5987" s="15"/>
      <c r="N5987" s="15"/>
      <c r="O5987" s="16"/>
      <c r="Q5987" s="16"/>
    </row>
    <row r="5988" spans="1:17" x14ac:dyDescent="0.3">
      <c r="A5988" s="5"/>
      <c r="B5988" s="6"/>
      <c r="C5988" s="7"/>
      <c r="D5988" s="10"/>
      <c r="F5988" s="1"/>
      <c r="G5988" s="1"/>
      <c r="H5988" s="1"/>
      <c r="I5988" s="7"/>
      <c r="J5988" s="12"/>
      <c r="K5988" s="13"/>
      <c r="L5988" s="14"/>
      <c r="M5988" s="15"/>
      <c r="N5988" s="15"/>
      <c r="O5988" s="16"/>
      <c r="Q5988" s="16"/>
    </row>
    <row r="5989" spans="1:17" x14ac:dyDescent="0.3">
      <c r="A5989" s="5"/>
      <c r="B5989" s="6"/>
      <c r="C5989" s="7"/>
      <c r="D5989" s="10"/>
      <c r="F5989" s="1"/>
      <c r="G5989" s="1"/>
      <c r="H5989" s="1"/>
      <c r="I5989" s="7"/>
      <c r="J5989" s="12"/>
      <c r="K5989" s="13"/>
      <c r="L5989" s="14"/>
      <c r="M5989" s="15"/>
      <c r="N5989" s="15"/>
      <c r="O5989" s="16"/>
      <c r="Q5989" s="16"/>
    </row>
    <row r="5990" spans="1:17" x14ac:dyDescent="0.3">
      <c r="A5990" s="5"/>
      <c r="B5990" s="6"/>
      <c r="C5990" s="7"/>
      <c r="D5990" s="10"/>
      <c r="F5990" s="1"/>
      <c r="G5990" s="1"/>
      <c r="H5990" s="1"/>
      <c r="I5990" s="7"/>
      <c r="J5990" s="12"/>
      <c r="K5990" s="13"/>
      <c r="L5990" s="14"/>
      <c r="M5990" s="15"/>
      <c r="N5990" s="15"/>
      <c r="O5990" s="16"/>
      <c r="Q5990" s="16"/>
    </row>
    <row r="5991" spans="1:17" x14ac:dyDescent="0.3">
      <c r="A5991" s="5"/>
      <c r="B5991" s="6"/>
      <c r="C5991" s="7"/>
      <c r="D5991" s="10"/>
      <c r="F5991" s="1"/>
      <c r="G5991" s="1"/>
      <c r="H5991" s="1"/>
      <c r="I5991" s="7"/>
      <c r="J5991" s="12"/>
      <c r="K5991" s="13"/>
      <c r="L5991" s="14"/>
      <c r="M5991" s="15"/>
      <c r="N5991" s="15"/>
      <c r="O5991" s="16"/>
      <c r="Q5991" s="16"/>
    </row>
    <row r="5992" spans="1:17" x14ac:dyDescent="0.3">
      <c r="A5992" s="5"/>
      <c r="B5992" s="6"/>
      <c r="C5992" s="7"/>
      <c r="D5992" s="10"/>
      <c r="F5992" s="1"/>
      <c r="G5992" s="1"/>
      <c r="H5992" s="1"/>
      <c r="I5992" s="7"/>
      <c r="J5992" s="12"/>
      <c r="K5992" s="13"/>
      <c r="L5992" s="14"/>
      <c r="M5992" s="15"/>
      <c r="N5992" s="15"/>
      <c r="O5992" s="16"/>
      <c r="Q5992" s="16"/>
    </row>
    <row r="5993" spans="1:17" x14ac:dyDescent="0.3">
      <c r="A5993" s="5"/>
      <c r="B5993" s="6"/>
      <c r="C5993" s="7"/>
      <c r="D5993" s="10"/>
      <c r="F5993" s="1"/>
      <c r="G5993" s="1"/>
      <c r="H5993" s="1"/>
      <c r="I5993" s="7"/>
      <c r="J5993" s="12"/>
      <c r="K5993" s="13"/>
      <c r="L5993" s="14"/>
      <c r="M5993" s="15"/>
      <c r="N5993" s="15"/>
      <c r="O5993" s="16"/>
      <c r="Q5993" s="16"/>
    </row>
    <row r="5994" spans="1:17" x14ac:dyDescent="0.3">
      <c r="A5994" s="5"/>
      <c r="B5994" s="6"/>
      <c r="C5994" s="7"/>
      <c r="D5994" s="10"/>
      <c r="F5994" s="1"/>
      <c r="G5994" s="1"/>
      <c r="H5994" s="1"/>
      <c r="I5994" s="7"/>
      <c r="J5994" s="12"/>
      <c r="K5994" s="13"/>
      <c r="L5994" s="14"/>
      <c r="M5994" s="15"/>
      <c r="N5994" s="15"/>
      <c r="O5994" s="16"/>
      <c r="Q5994" s="16"/>
    </row>
    <row r="5995" spans="1:17" x14ac:dyDescent="0.3">
      <c r="A5995" s="5"/>
      <c r="B5995" s="6"/>
      <c r="C5995" s="7"/>
      <c r="D5995" s="10"/>
      <c r="F5995" s="1"/>
      <c r="G5995" s="1"/>
      <c r="H5995" s="1"/>
      <c r="I5995" s="7"/>
      <c r="J5995" s="12"/>
      <c r="K5995" s="13"/>
      <c r="L5995" s="14"/>
      <c r="M5995" s="15"/>
      <c r="N5995" s="15"/>
      <c r="O5995" s="16"/>
      <c r="Q5995" s="16"/>
    </row>
    <row r="5996" spans="1:17" x14ac:dyDescent="0.3">
      <c r="A5996" s="5"/>
      <c r="B5996" s="6"/>
      <c r="C5996" s="7"/>
      <c r="D5996" s="10"/>
      <c r="F5996" s="1"/>
      <c r="G5996" s="1"/>
      <c r="H5996" s="1"/>
      <c r="I5996" s="7"/>
      <c r="J5996" s="12"/>
      <c r="K5996" s="13"/>
      <c r="L5996" s="14"/>
      <c r="M5996" s="15"/>
      <c r="N5996" s="15"/>
      <c r="O5996" s="16"/>
      <c r="Q5996" s="16"/>
    </row>
    <row r="5997" spans="1:17" x14ac:dyDescent="0.3">
      <c r="A5997" s="5"/>
      <c r="B5997" s="6"/>
      <c r="C5997" s="7"/>
      <c r="D5997" s="10"/>
      <c r="F5997" s="1"/>
      <c r="G5997" s="1"/>
      <c r="H5997" s="1"/>
      <c r="I5997" s="7"/>
      <c r="J5997" s="12"/>
      <c r="K5997" s="13"/>
      <c r="L5997" s="14"/>
      <c r="M5997" s="15"/>
      <c r="N5997" s="15"/>
      <c r="O5997" s="16"/>
      <c r="Q5997" s="16"/>
    </row>
    <row r="5998" spans="1:17" x14ac:dyDescent="0.3">
      <c r="A5998" s="5"/>
      <c r="B5998" s="6"/>
      <c r="C5998" s="7"/>
      <c r="D5998" s="10"/>
      <c r="F5998" s="1"/>
      <c r="G5998" s="1"/>
      <c r="H5998" s="1"/>
      <c r="I5998" s="7"/>
      <c r="J5998" s="12"/>
      <c r="K5998" s="13"/>
      <c r="L5998" s="14"/>
      <c r="M5998" s="15"/>
      <c r="N5998" s="15"/>
      <c r="O5998" s="16"/>
      <c r="Q5998" s="16"/>
    </row>
    <row r="5999" spans="1:17" x14ac:dyDescent="0.3">
      <c r="A5999" s="5"/>
      <c r="B5999" s="6"/>
      <c r="C5999" s="7"/>
      <c r="D5999" s="10"/>
      <c r="F5999" s="1"/>
      <c r="G5999" s="1"/>
      <c r="H5999" s="1"/>
      <c r="I5999" s="7"/>
      <c r="J5999" s="12"/>
      <c r="K5999" s="13"/>
      <c r="L5999" s="14"/>
      <c r="M5999" s="15"/>
      <c r="N5999" s="15"/>
      <c r="O5999" s="16"/>
      <c r="Q5999" s="16"/>
    </row>
    <row r="6000" spans="1:17" x14ac:dyDescent="0.3">
      <c r="A6000" s="5"/>
      <c r="B6000" s="6"/>
      <c r="C6000" s="7"/>
      <c r="D6000" s="10"/>
      <c r="F6000" s="1"/>
      <c r="G6000" s="1"/>
      <c r="H6000" s="1"/>
      <c r="I6000" s="7"/>
      <c r="J6000" s="12"/>
      <c r="K6000" s="13"/>
      <c r="L6000" s="14"/>
      <c r="M6000" s="15"/>
      <c r="N6000" s="15"/>
      <c r="O6000" s="16"/>
      <c r="Q6000" s="16"/>
    </row>
    <row r="6001" spans="1:17" x14ac:dyDescent="0.3">
      <c r="A6001" s="5"/>
      <c r="B6001" s="6"/>
      <c r="C6001" s="7"/>
      <c r="D6001" s="10"/>
      <c r="F6001" s="1"/>
      <c r="G6001" s="1"/>
      <c r="H6001" s="1"/>
      <c r="I6001" s="7"/>
      <c r="J6001" s="12"/>
      <c r="K6001" s="13"/>
      <c r="L6001" s="14"/>
      <c r="M6001" s="15"/>
      <c r="N6001" s="15"/>
      <c r="O6001" s="16"/>
      <c r="Q6001" s="16"/>
    </row>
    <row r="6002" spans="1:17" x14ac:dyDescent="0.3">
      <c r="A6002" s="5"/>
      <c r="B6002" s="6"/>
      <c r="C6002" s="7"/>
      <c r="D6002" s="10"/>
      <c r="F6002" s="1"/>
      <c r="G6002" s="1"/>
      <c r="H6002" s="1"/>
      <c r="I6002" s="7"/>
      <c r="J6002" s="12"/>
      <c r="K6002" s="13"/>
      <c r="L6002" s="14"/>
      <c r="M6002" s="15"/>
      <c r="N6002" s="15"/>
      <c r="O6002" s="16"/>
      <c r="Q6002" s="16"/>
    </row>
    <row r="6003" spans="1:17" x14ac:dyDescent="0.3">
      <c r="A6003" s="5"/>
      <c r="B6003" s="6"/>
      <c r="C6003" s="7"/>
      <c r="D6003" s="10"/>
      <c r="F6003" s="1"/>
      <c r="G6003" s="1"/>
      <c r="H6003" s="1"/>
      <c r="I6003" s="7"/>
      <c r="J6003" s="12"/>
      <c r="K6003" s="13"/>
      <c r="L6003" s="14"/>
      <c r="M6003" s="15"/>
      <c r="N6003" s="15"/>
      <c r="O6003" s="16"/>
      <c r="Q6003" s="16"/>
    </row>
    <row r="6004" spans="1:17" x14ac:dyDescent="0.3">
      <c r="A6004" s="5"/>
      <c r="B6004" s="6"/>
      <c r="C6004" s="7"/>
      <c r="D6004" s="10"/>
      <c r="F6004" s="1"/>
      <c r="G6004" s="1"/>
      <c r="H6004" s="1"/>
      <c r="I6004" s="7"/>
      <c r="J6004" s="12"/>
      <c r="K6004" s="13"/>
      <c r="L6004" s="14"/>
      <c r="M6004" s="15"/>
      <c r="N6004" s="15"/>
      <c r="O6004" s="16"/>
      <c r="Q6004" s="16"/>
    </row>
    <row r="6005" spans="1:17" x14ac:dyDescent="0.3">
      <c r="A6005" s="5"/>
      <c r="B6005" s="6"/>
      <c r="C6005" s="7"/>
      <c r="D6005" s="10"/>
      <c r="F6005" s="1"/>
      <c r="G6005" s="1"/>
      <c r="H6005" s="1"/>
      <c r="I6005" s="7"/>
      <c r="J6005" s="12"/>
      <c r="K6005" s="13"/>
      <c r="L6005" s="14"/>
      <c r="M6005" s="15"/>
      <c r="N6005" s="15"/>
      <c r="O6005" s="16"/>
      <c r="Q6005" s="16"/>
    </row>
    <row r="6006" spans="1:17" x14ac:dyDescent="0.3">
      <c r="A6006" s="5"/>
      <c r="B6006" s="6"/>
      <c r="C6006" s="7"/>
      <c r="D6006" s="10"/>
      <c r="F6006" s="1"/>
      <c r="G6006" s="1"/>
      <c r="H6006" s="1"/>
      <c r="I6006" s="7"/>
      <c r="J6006" s="12"/>
      <c r="K6006" s="13"/>
      <c r="L6006" s="14"/>
      <c r="M6006" s="15"/>
      <c r="N6006" s="15"/>
      <c r="O6006" s="16"/>
      <c r="Q6006" s="16"/>
    </row>
    <row r="6007" spans="1:17" x14ac:dyDescent="0.3">
      <c r="A6007" s="5"/>
      <c r="B6007" s="6"/>
      <c r="C6007" s="7"/>
      <c r="D6007" s="10"/>
      <c r="F6007" s="1"/>
      <c r="G6007" s="1"/>
      <c r="H6007" s="1"/>
      <c r="I6007" s="7"/>
      <c r="J6007" s="12"/>
      <c r="K6007" s="13"/>
      <c r="L6007" s="14"/>
      <c r="M6007" s="15"/>
      <c r="N6007" s="15"/>
      <c r="O6007" s="16"/>
      <c r="Q6007" s="16"/>
    </row>
    <row r="6008" spans="1:17" x14ac:dyDescent="0.3">
      <c r="A6008" s="5"/>
      <c r="B6008" s="6"/>
      <c r="C6008" s="7"/>
      <c r="D6008" s="10"/>
      <c r="F6008" s="1"/>
      <c r="G6008" s="1"/>
      <c r="H6008" s="1"/>
      <c r="I6008" s="7"/>
      <c r="J6008" s="12"/>
      <c r="K6008" s="13"/>
      <c r="L6008" s="14"/>
      <c r="M6008" s="15"/>
      <c r="N6008" s="15"/>
      <c r="O6008" s="16"/>
      <c r="Q6008" s="16"/>
    </row>
    <row r="6009" spans="1:17" x14ac:dyDescent="0.3">
      <c r="A6009" s="5"/>
      <c r="B6009" s="6"/>
      <c r="C6009" s="7"/>
      <c r="D6009" s="10"/>
      <c r="F6009" s="1"/>
      <c r="G6009" s="1"/>
      <c r="H6009" s="1"/>
      <c r="I6009" s="7"/>
      <c r="J6009" s="12"/>
      <c r="K6009" s="13"/>
      <c r="L6009" s="14"/>
      <c r="M6009" s="15"/>
      <c r="N6009" s="15"/>
      <c r="O6009" s="16"/>
      <c r="Q6009" s="16"/>
    </row>
    <row r="6010" spans="1:17" x14ac:dyDescent="0.3">
      <c r="A6010" s="5"/>
      <c r="B6010" s="6"/>
      <c r="C6010" s="7"/>
      <c r="D6010" s="10"/>
      <c r="F6010" s="1"/>
      <c r="G6010" s="1"/>
      <c r="H6010" s="1"/>
      <c r="I6010" s="7"/>
      <c r="J6010" s="12"/>
      <c r="K6010" s="13"/>
      <c r="L6010" s="14"/>
      <c r="M6010" s="15"/>
      <c r="N6010" s="15"/>
      <c r="O6010" s="16"/>
      <c r="Q6010" s="16"/>
    </row>
    <row r="6011" spans="1:17" x14ac:dyDescent="0.3">
      <c r="A6011" s="5"/>
      <c r="B6011" s="6"/>
      <c r="C6011" s="7"/>
      <c r="D6011" s="10"/>
      <c r="F6011" s="1"/>
      <c r="G6011" s="1"/>
      <c r="H6011" s="1"/>
      <c r="I6011" s="7"/>
      <c r="J6011" s="12"/>
      <c r="K6011" s="13"/>
      <c r="L6011" s="14"/>
      <c r="M6011" s="15"/>
      <c r="N6011" s="15"/>
      <c r="O6011" s="16"/>
      <c r="Q6011" s="16"/>
    </row>
    <row r="6012" spans="1:17" x14ac:dyDescent="0.3">
      <c r="A6012" s="5"/>
      <c r="B6012" s="6"/>
      <c r="C6012" s="7"/>
      <c r="D6012" s="10"/>
      <c r="F6012" s="1"/>
      <c r="G6012" s="1"/>
      <c r="H6012" s="1"/>
      <c r="I6012" s="7"/>
      <c r="J6012" s="12"/>
      <c r="K6012" s="13"/>
      <c r="L6012" s="14"/>
      <c r="M6012" s="15"/>
      <c r="N6012" s="15"/>
      <c r="O6012" s="16"/>
      <c r="Q6012" s="16"/>
    </row>
    <row r="6013" spans="1:17" x14ac:dyDescent="0.3">
      <c r="A6013" s="5"/>
      <c r="B6013" s="6"/>
      <c r="C6013" s="7"/>
      <c r="D6013" s="10"/>
      <c r="F6013" s="1"/>
      <c r="G6013" s="1"/>
      <c r="H6013" s="1"/>
      <c r="I6013" s="7"/>
      <c r="J6013" s="12"/>
      <c r="K6013" s="13"/>
      <c r="L6013" s="14"/>
      <c r="M6013" s="15"/>
      <c r="N6013" s="15"/>
      <c r="O6013" s="16"/>
      <c r="Q6013" s="16"/>
    </row>
    <row r="6014" spans="1:17" x14ac:dyDescent="0.3">
      <c r="A6014" s="5"/>
      <c r="B6014" s="6"/>
      <c r="C6014" s="7"/>
      <c r="D6014" s="10"/>
      <c r="F6014" s="1"/>
      <c r="G6014" s="1"/>
      <c r="H6014" s="1"/>
      <c r="I6014" s="7"/>
      <c r="J6014" s="12"/>
      <c r="K6014" s="13"/>
      <c r="L6014" s="14"/>
      <c r="M6014" s="15"/>
      <c r="N6014" s="15"/>
      <c r="O6014" s="16"/>
      <c r="Q6014" s="16"/>
    </row>
    <row r="6015" spans="1:17" x14ac:dyDescent="0.3">
      <c r="A6015" s="5"/>
      <c r="B6015" s="6"/>
      <c r="C6015" s="7"/>
      <c r="D6015" s="10"/>
      <c r="F6015" s="1"/>
      <c r="G6015" s="1"/>
      <c r="H6015" s="1"/>
      <c r="I6015" s="7"/>
      <c r="J6015" s="12"/>
      <c r="K6015" s="13"/>
      <c r="L6015" s="14"/>
      <c r="M6015" s="15"/>
      <c r="N6015" s="15"/>
      <c r="O6015" s="16"/>
      <c r="Q6015" s="16"/>
    </row>
    <row r="6016" spans="1:17" x14ac:dyDescent="0.3">
      <c r="A6016" s="5"/>
      <c r="B6016" s="6"/>
      <c r="C6016" s="7"/>
      <c r="D6016" s="10"/>
      <c r="F6016" s="1"/>
      <c r="G6016" s="1"/>
      <c r="H6016" s="1"/>
      <c r="I6016" s="7"/>
      <c r="J6016" s="12"/>
      <c r="K6016" s="13"/>
      <c r="L6016" s="14"/>
      <c r="M6016" s="15"/>
      <c r="N6016" s="15"/>
      <c r="O6016" s="16"/>
      <c r="Q6016" s="16"/>
    </row>
    <row r="6017" spans="1:17" x14ac:dyDescent="0.3">
      <c r="A6017" s="5"/>
      <c r="B6017" s="6"/>
      <c r="C6017" s="7"/>
      <c r="D6017" s="10"/>
      <c r="F6017" s="1"/>
      <c r="G6017" s="1"/>
      <c r="H6017" s="1"/>
      <c r="I6017" s="7"/>
      <c r="J6017" s="12"/>
      <c r="K6017" s="13"/>
      <c r="L6017" s="14"/>
      <c r="M6017" s="15"/>
      <c r="N6017" s="15"/>
      <c r="O6017" s="16"/>
      <c r="Q6017" s="16"/>
    </row>
    <row r="6018" spans="1:17" x14ac:dyDescent="0.3">
      <c r="A6018" s="5"/>
      <c r="B6018" s="6"/>
      <c r="C6018" s="7"/>
      <c r="D6018" s="10"/>
      <c r="F6018" s="1"/>
      <c r="G6018" s="1"/>
      <c r="H6018" s="1"/>
      <c r="I6018" s="7"/>
      <c r="J6018" s="12"/>
      <c r="K6018" s="13"/>
      <c r="L6018" s="14"/>
      <c r="M6018" s="15"/>
      <c r="N6018" s="15"/>
      <c r="O6018" s="16"/>
      <c r="Q6018" s="16"/>
    </row>
    <row r="6019" spans="1:17" x14ac:dyDescent="0.3">
      <c r="A6019" s="5"/>
      <c r="B6019" s="6"/>
      <c r="C6019" s="7"/>
      <c r="D6019" s="10"/>
      <c r="F6019" s="1"/>
      <c r="G6019" s="1"/>
      <c r="H6019" s="1"/>
      <c r="I6019" s="7"/>
      <c r="J6019" s="12"/>
      <c r="K6019" s="13"/>
      <c r="L6019" s="14"/>
      <c r="M6019" s="15"/>
      <c r="N6019" s="15"/>
      <c r="O6019" s="16"/>
      <c r="Q6019" s="16"/>
    </row>
    <row r="6020" spans="1:17" x14ac:dyDescent="0.3">
      <c r="A6020" s="5"/>
      <c r="B6020" s="6"/>
      <c r="C6020" s="7"/>
      <c r="D6020" s="10"/>
      <c r="F6020" s="1"/>
      <c r="G6020" s="1"/>
      <c r="H6020" s="1"/>
      <c r="I6020" s="7"/>
      <c r="J6020" s="12"/>
      <c r="K6020" s="13"/>
      <c r="L6020" s="14"/>
      <c r="M6020" s="15"/>
      <c r="N6020" s="15"/>
      <c r="O6020" s="16"/>
      <c r="Q6020" s="16"/>
    </row>
    <row r="6021" spans="1:17" x14ac:dyDescent="0.3">
      <c r="A6021" s="5"/>
      <c r="B6021" s="6"/>
      <c r="C6021" s="7"/>
      <c r="D6021" s="10"/>
      <c r="F6021" s="1"/>
      <c r="G6021" s="1"/>
      <c r="H6021" s="1"/>
      <c r="I6021" s="7"/>
      <c r="J6021" s="12"/>
      <c r="K6021" s="13"/>
      <c r="L6021" s="14"/>
      <c r="M6021" s="15"/>
      <c r="N6021" s="15"/>
      <c r="O6021" s="16"/>
      <c r="Q6021" s="16"/>
    </row>
    <row r="6022" spans="1:17" x14ac:dyDescent="0.3">
      <c r="A6022" s="5"/>
      <c r="B6022" s="6"/>
      <c r="C6022" s="7"/>
      <c r="D6022" s="10"/>
      <c r="F6022" s="1"/>
      <c r="G6022" s="1"/>
      <c r="H6022" s="1"/>
      <c r="I6022" s="7"/>
      <c r="J6022" s="12"/>
      <c r="K6022" s="13"/>
      <c r="L6022" s="14"/>
      <c r="M6022" s="15"/>
      <c r="N6022" s="15"/>
      <c r="O6022" s="16"/>
      <c r="Q6022" s="16"/>
    </row>
    <row r="6023" spans="1:17" x14ac:dyDescent="0.3">
      <c r="A6023" s="5"/>
      <c r="B6023" s="6"/>
      <c r="C6023" s="7"/>
      <c r="D6023" s="10"/>
      <c r="F6023" s="1"/>
      <c r="G6023" s="1"/>
      <c r="H6023" s="1"/>
      <c r="I6023" s="7"/>
      <c r="J6023" s="12"/>
      <c r="K6023" s="13"/>
      <c r="L6023" s="14"/>
      <c r="M6023" s="15"/>
      <c r="N6023" s="15"/>
      <c r="O6023" s="16"/>
      <c r="Q6023" s="16"/>
    </row>
    <row r="6024" spans="1:17" x14ac:dyDescent="0.3">
      <c r="A6024" s="5"/>
      <c r="B6024" s="6"/>
      <c r="C6024" s="7"/>
      <c r="D6024" s="10"/>
      <c r="F6024" s="1"/>
      <c r="G6024" s="1"/>
      <c r="H6024" s="1"/>
      <c r="I6024" s="7"/>
      <c r="J6024" s="12"/>
      <c r="K6024" s="13"/>
      <c r="L6024" s="14"/>
      <c r="M6024" s="15"/>
      <c r="N6024" s="15"/>
      <c r="O6024" s="16"/>
      <c r="Q6024" s="16"/>
    </row>
    <row r="6025" spans="1:17" x14ac:dyDescent="0.3">
      <c r="A6025" s="5"/>
      <c r="B6025" s="6"/>
      <c r="C6025" s="7"/>
      <c r="D6025" s="10"/>
      <c r="F6025" s="1"/>
      <c r="G6025" s="1"/>
      <c r="H6025" s="1"/>
      <c r="I6025" s="7"/>
      <c r="J6025" s="12"/>
      <c r="K6025" s="13"/>
      <c r="L6025" s="14"/>
      <c r="M6025" s="15"/>
      <c r="N6025" s="15"/>
      <c r="O6025" s="16"/>
      <c r="Q6025" s="16"/>
    </row>
    <row r="6026" spans="1:17" x14ac:dyDescent="0.3">
      <c r="A6026" s="5"/>
      <c r="B6026" s="6"/>
      <c r="C6026" s="7"/>
      <c r="D6026" s="10"/>
      <c r="F6026" s="1"/>
      <c r="G6026" s="1"/>
      <c r="H6026" s="1"/>
      <c r="I6026" s="7"/>
      <c r="J6026" s="12"/>
      <c r="K6026" s="13"/>
      <c r="L6026" s="14"/>
      <c r="M6026" s="15"/>
      <c r="N6026" s="15"/>
      <c r="O6026" s="16"/>
      <c r="Q6026" s="16"/>
    </row>
    <row r="6027" spans="1:17" x14ac:dyDescent="0.3">
      <c r="A6027" s="5"/>
      <c r="B6027" s="6"/>
      <c r="C6027" s="7"/>
      <c r="D6027" s="10"/>
      <c r="F6027" s="1"/>
      <c r="G6027" s="1"/>
      <c r="H6027" s="1"/>
      <c r="I6027" s="7"/>
      <c r="J6027" s="12"/>
      <c r="K6027" s="13"/>
      <c r="L6027" s="14"/>
      <c r="M6027" s="15"/>
      <c r="N6027" s="15"/>
      <c r="O6027" s="16"/>
      <c r="Q6027" s="16"/>
    </row>
    <row r="6028" spans="1:17" x14ac:dyDescent="0.3">
      <c r="A6028" s="5"/>
      <c r="B6028" s="6"/>
      <c r="C6028" s="7"/>
      <c r="D6028" s="10"/>
      <c r="F6028" s="1"/>
      <c r="G6028" s="1"/>
      <c r="H6028" s="1"/>
      <c r="I6028" s="7"/>
      <c r="J6028" s="12"/>
      <c r="K6028" s="13"/>
      <c r="L6028" s="14"/>
      <c r="M6028" s="15"/>
      <c r="N6028" s="15"/>
      <c r="O6028" s="16"/>
      <c r="Q6028" s="16"/>
    </row>
    <row r="6029" spans="1:17" x14ac:dyDescent="0.3">
      <c r="A6029" s="5"/>
      <c r="B6029" s="6"/>
      <c r="C6029" s="7"/>
      <c r="D6029" s="10"/>
      <c r="F6029" s="1"/>
      <c r="G6029" s="1"/>
      <c r="H6029" s="1"/>
      <c r="I6029" s="7"/>
      <c r="J6029" s="12"/>
      <c r="K6029" s="13"/>
      <c r="L6029" s="14"/>
      <c r="M6029" s="15"/>
      <c r="N6029" s="15"/>
      <c r="O6029" s="16"/>
      <c r="Q6029" s="16"/>
    </row>
    <row r="6030" spans="1:17" x14ac:dyDescent="0.3">
      <c r="A6030" s="5"/>
      <c r="B6030" s="6"/>
      <c r="C6030" s="7"/>
      <c r="D6030" s="10"/>
      <c r="F6030" s="1"/>
      <c r="G6030" s="1"/>
      <c r="H6030" s="1"/>
      <c r="I6030" s="7"/>
      <c r="J6030" s="12"/>
      <c r="K6030" s="13"/>
      <c r="L6030" s="14"/>
      <c r="M6030" s="15"/>
      <c r="N6030" s="15"/>
      <c r="O6030" s="16"/>
      <c r="Q6030" s="16"/>
    </row>
    <row r="6031" spans="1:17" x14ac:dyDescent="0.3">
      <c r="A6031" s="5"/>
      <c r="B6031" s="6"/>
      <c r="C6031" s="7"/>
      <c r="D6031" s="10"/>
      <c r="F6031" s="1"/>
      <c r="G6031" s="1"/>
      <c r="H6031" s="1"/>
      <c r="I6031" s="7"/>
      <c r="J6031" s="12"/>
      <c r="K6031" s="13"/>
      <c r="L6031" s="14"/>
      <c r="M6031" s="15"/>
      <c r="N6031" s="15"/>
      <c r="O6031" s="16"/>
      <c r="Q6031" s="16"/>
    </row>
    <row r="6032" spans="1:17" x14ac:dyDescent="0.3">
      <c r="A6032" s="5"/>
      <c r="B6032" s="6"/>
      <c r="C6032" s="7"/>
      <c r="D6032" s="10"/>
      <c r="F6032" s="1"/>
      <c r="G6032" s="1"/>
      <c r="H6032" s="1"/>
      <c r="I6032" s="7"/>
      <c r="J6032" s="12"/>
      <c r="K6032" s="13"/>
      <c r="L6032" s="14"/>
      <c r="M6032" s="15"/>
      <c r="N6032" s="15"/>
      <c r="O6032" s="16"/>
      <c r="Q6032" s="16"/>
    </row>
    <row r="6033" spans="1:17" x14ac:dyDescent="0.3">
      <c r="A6033" s="5"/>
      <c r="B6033" s="6"/>
      <c r="C6033" s="7"/>
      <c r="D6033" s="10"/>
      <c r="F6033" s="1"/>
      <c r="G6033" s="1"/>
      <c r="H6033" s="1"/>
      <c r="I6033" s="7"/>
      <c r="J6033" s="12"/>
      <c r="K6033" s="13"/>
      <c r="L6033" s="14"/>
      <c r="M6033" s="15"/>
      <c r="N6033" s="15"/>
      <c r="O6033" s="16"/>
      <c r="Q6033" s="16"/>
    </row>
    <row r="6034" spans="1:17" x14ac:dyDescent="0.3">
      <c r="A6034" s="5"/>
      <c r="B6034" s="6"/>
      <c r="C6034" s="7"/>
      <c r="D6034" s="10"/>
      <c r="F6034" s="1"/>
      <c r="G6034" s="1"/>
      <c r="H6034" s="1"/>
      <c r="I6034" s="7"/>
      <c r="J6034" s="12"/>
      <c r="K6034" s="13"/>
      <c r="L6034" s="14"/>
      <c r="M6034" s="15"/>
      <c r="N6034" s="15"/>
      <c r="O6034" s="16"/>
      <c r="Q6034" s="16"/>
    </row>
    <row r="6035" spans="1:17" x14ac:dyDescent="0.3">
      <c r="A6035" s="5"/>
      <c r="B6035" s="6"/>
      <c r="C6035" s="7"/>
      <c r="D6035" s="10"/>
      <c r="F6035" s="1"/>
      <c r="G6035" s="1"/>
      <c r="H6035" s="1"/>
      <c r="I6035" s="7"/>
      <c r="J6035" s="12"/>
      <c r="K6035" s="13"/>
      <c r="L6035" s="14"/>
      <c r="M6035" s="15"/>
      <c r="N6035" s="15"/>
      <c r="O6035" s="16"/>
      <c r="Q6035" s="16"/>
    </row>
    <row r="6036" spans="1:17" x14ac:dyDescent="0.3">
      <c r="A6036" s="5"/>
      <c r="B6036" s="6"/>
      <c r="C6036" s="7"/>
      <c r="D6036" s="10"/>
      <c r="F6036" s="1"/>
      <c r="G6036" s="1"/>
      <c r="H6036" s="1"/>
      <c r="I6036" s="7"/>
      <c r="J6036" s="12"/>
      <c r="K6036" s="13"/>
      <c r="L6036" s="14"/>
      <c r="M6036" s="15"/>
      <c r="N6036" s="15"/>
      <c r="O6036" s="16"/>
      <c r="Q6036" s="16"/>
    </row>
    <row r="6037" spans="1:17" x14ac:dyDescent="0.3">
      <c r="A6037" s="5"/>
      <c r="B6037" s="6"/>
      <c r="C6037" s="7"/>
      <c r="D6037" s="10"/>
      <c r="F6037" s="1"/>
      <c r="G6037" s="1"/>
      <c r="H6037" s="1"/>
      <c r="I6037" s="7"/>
      <c r="J6037" s="12"/>
      <c r="K6037" s="13"/>
      <c r="L6037" s="14"/>
      <c r="M6037" s="15"/>
      <c r="N6037" s="15"/>
      <c r="O6037" s="16"/>
      <c r="Q6037" s="16"/>
    </row>
    <row r="6038" spans="1:17" x14ac:dyDescent="0.3">
      <c r="A6038" s="5"/>
      <c r="B6038" s="6"/>
      <c r="C6038" s="7"/>
      <c r="D6038" s="10"/>
      <c r="F6038" s="1"/>
      <c r="G6038" s="1"/>
      <c r="H6038" s="1"/>
      <c r="I6038" s="7"/>
      <c r="J6038" s="12"/>
      <c r="K6038" s="13"/>
      <c r="L6038" s="14"/>
      <c r="M6038" s="15"/>
      <c r="N6038" s="15"/>
      <c r="O6038" s="16"/>
      <c r="Q6038" s="16"/>
    </row>
    <row r="6039" spans="1:17" x14ac:dyDescent="0.3">
      <c r="A6039" s="5"/>
      <c r="B6039" s="6"/>
      <c r="C6039" s="7"/>
      <c r="D6039" s="10"/>
      <c r="F6039" s="1"/>
      <c r="G6039" s="1"/>
      <c r="H6039" s="1"/>
      <c r="I6039" s="7"/>
      <c r="J6039" s="12"/>
      <c r="K6039" s="13"/>
      <c r="L6039" s="14"/>
      <c r="M6039" s="15"/>
      <c r="N6039" s="15"/>
      <c r="O6039" s="16"/>
      <c r="Q6039" s="16"/>
    </row>
    <row r="6040" spans="1:17" x14ac:dyDescent="0.3">
      <c r="A6040" s="5"/>
      <c r="B6040" s="6"/>
      <c r="C6040" s="7"/>
      <c r="D6040" s="10"/>
      <c r="F6040" s="1"/>
      <c r="G6040" s="1"/>
      <c r="H6040" s="1"/>
      <c r="I6040" s="7"/>
      <c r="J6040" s="12"/>
      <c r="K6040" s="13"/>
      <c r="L6040" s="14"/>
      <c r="M6040" s="15"/>
      <c r="N6040" s="15"/>
      <c r="O6040" s="16"/>
      <c r="Q6040" s="16"/>
    </row>
    <row r="6041" spans="1:17" x14ac:dyDescent="0.3">
      <c r="A6041" s="5"/>
      <c r="B6041" s="6"/>
      <c r="C6041" s="7"/>
      <c r="D6041" s="10"/>
      <c r="F6041" s="1"/>
      <c r="G6041" s="1"/>
      <c r="H6041" s="1"/>
      <c r="I6041" s="7"/>
      <c r="J6041" s="12"/>
      <c r="K6041" s="13"/>
      <c r="L6041" s="14"/>
      <c r="M6041" s="15"/>
      <c r="N6041" s="15"/>
      <c r="O6041" s="16"/>
      <c r="Q6041" s="16"/>
    </row>
    <row r="6042" spans="1:17" x14ac:dyDescent="0.3">
      <c r="A6042" s="5"/>
      <c r="B6042" s="6"/>
      <c r="C6042" s="7"/>
      <c r="D6042" s="10"/>
      <c r="F6042" s="1"/>
      <c r="G6042" s="1"/>
      <c r="H6042" s="1"/>
      <c r="I6042" s="7"/>
      <c r="J6042" s="12"/>
      <c r="K6042" s="13"/>
      <c r="L6042" s="14"/>
      <c r="M6042" s="15"/>
      <c r="N6042" s="15"/>
      <c r="O6042" s="16"/>
      <c r="Q6042" s="16"/>
    </row>
    <row r="6043" spans="1:17" x14ac:dyDescent="0.3">
      <c r="A6043" s="5"/>
      <c r="B6043" s="6"/>
      <c r="C6043" s="7"/>
      <c r="D6043" s="10"/>
      <c r="F6043" s="1"/>
      <c r="G6043" s="1"/>
      <c r="H6043" s="1"/>
      <c r="I6043" s="7"/>
      <c r="J6043" s="12"/>
      <c r="K6043" s="13"/>
      <c r="L6043" s="14"/>
      <c r="M6043" s="15"/>
      <c r="N6043" s="15"/>
      <c r="O6043" s="16"/>
      <c r="Q6043" s="16"/>
    </row>
    <row r="6044" spans="1:17" x14ac:dyDescent="0.3">
      <c r="A6044" s="5"/>
      <c r="B6044" s="6"/>
      <c r="C6044" s="7"/>
      <c r="D6044" s="10"/>
      <c r="F6044" s="1"/>
      <c r="G6044" s="1"/>
      <c r="H6044" s="1"/>
      <c r="I6044" s="7"/>
      <c r="J6044" s="12"/>
      <c r="K6044" s="13"/>
      <c r="L6044" s="14"/>
      <c r="M6044" s="15"/>
      <c r="N6044" s="15"/>
      <c r="O6044" s="16"/>
      <c r="Q6044" s="16"/>
    </row>
    <row r="6045" spans="1:17" x14ac:dyDescent="0.3">
      <c r="A6045" s="5"/>
      <c r="B6045" s="6"/>
      <c r="C6045" s="7"/>
      <c r="D6045" s="10"/>
      <c r="F6045" s="1"/>
      <c r="G6045" s="1"/>
      <c r="H6045" s="1"/>
      <c r="I6045" s="7"/>
      <c r="J6045" s="12"/>
      <c r="K6045" s="13"/>
      <c r="L6045" s="14"/>
      <c r="M6045" s="15"/>
      <c r="N6045" s="15"/>
      <c r="O6045" s="16"/>
      <c r="Q6045" s="16"/>
    </row>
    <row r="6046" spans="1:17" x14ac:dyDescent="0.3">
      <c r="A6046" s="5"/>
      <c r="B6046" s="6"/>
      <c r="C6046" s="7"/>
      <c r="D6046" s="10"/>
      <c r="F6046" s="1"/>
      <c r="G6046" s="1"/>
      <c r="H6046" s="1"/>
      <c r="I6046" s="7"/>
      <c r="J6046" s="12"/>
      <c r="K6046" s="13"/>
      <c r="L6046" s="14"/>
      <c r="M6046" s="15"/>
      <c r="N6046" s="15"/>
      <c r="O6046" s="16"/>
      <c r="Q6046" s="16"/>
    </row>
    <row r="6047" spans="1:17" x14ac:dyDescent="0.3">
      <c r="A6047" s="5"/>
      <c r="B6047" s="6"/>
      <c r="C6047" s="7"/>
      <c r="D6047" s="10"/>
      <c r="F6047" s="1"/>
      <c r="G6047" s="1"/>
      <c r="H6047" s="1"/>
      <c r="I6047" s="7"/>
      <c r="J6047" s="12"/>
      <c r="K6047" s="13"/>
      <c r="L6047" s="14"/>
      <c r="M6047" s="15"/>
      <c r="N6047" s="15"/>
      <c r="O6047" s="16"/>
      <c r="Q6047" s="16"/>
    </row>
    <row r="6048" spans="1:17" x14ac:dyDescent="0.3">
      <c r="A6048" s="5"/>
      <c r="B6048" s="6"/>
      <c r="C6048" s="7"/>
      <c r="D6048" s="10"/>
      <c r="F6048" s="1"/>
      <c r="G6048" s="1"/>
      <c r="H6048" s="1"/>
      <c r="I6048" s="7"/>
      <c r="J6048" s="12"/>
      <c r="K6048" s="13"/>
      <c r="L6048" s="14"/>
      <c r="M6048" s="15"/>
      <c r="N6048" s="15"/>
      <c r="O6048" s="16"/>
      <c r="Q6048" s="16"/>
    </row>
    <row r="6049" spans="1:17" x14ac:dyDescent="0.3">
      <c r="A6049" s="5"/>
      <c r="B6049" s="6"/>
      <c r="C6049" s="7"/>
      <c r="D6049" s="10"/>
      <c r="F6049" s="1"/>
      <c r="G6049" s="1"/>
      <c r="H6049" s="1"/>
      <c r="I6049" s="7"/>
      <c r="J6049" s="12"/>
      <c r="K6049" s="13"/>
      <c r="L6049" s="14"/>
      <c r="M6049" s="15"/>
      <c r="N6049" s="15"/>
      <c r="O6049" s="16"/>
      <c r="Q6049" s="16"/>
    </row>
    <row r="6050" spans="1:17" x14ac:dyDescent="0.3">
      <c r="A6050" s="5"/>
      <c r="B6050" s="6"/>
      <c r="C6050" s="7"/>
      <c r="D6050" s="10"/>
      <c r="F6050" s="1"/>
      <c r="G6050" s="1"/>
      <c r="H6050" s="1"/>
      <c r="I6050" s="7"/>
      <c r="J6050" s="12"/>
      <c r="K6050" s="13"/>
      <c r="L6050" s="14"/>
      <c r="M6050" s="15"/>
      <c r="N6050" s="15"/>
      <c r="O6050" s="16"/>
      <c r="Q6050" s="16"/>
    </row>
    <row r="6051" spans="1:17" x14ac:dyDescent="0.3">
      <c r="A6051" s="5"/>
      <c r="B6051" s="6"/>
      <c r="C6051" s="7"/>
      <c r="D6051" s="10"/>
      <c r="F6051" s="1"/>
      <c r="G6051" s="1"/>
      <c r="H6051" s="1"/>
      <c r="I6051" s="7"/>
      <c r="J6051" s="12"/>
      <c r="K6051" s="13"/>
      <c r="L6051" s="14"/>
      <c r="M6051" s="15"/>
      <c r="N6051" s="15"/>
      <c r="O6051" s="16"/>
      <c r="Q6051" s="16"/>
    </row>
    <row r="6052" spans="1:17" x14ac:dyDescent="0.3">
      <c r="A6052" s="5"/>
      <c r="B6052" s="6"/>
      <c r="C6052" s="7"/>
      <c r="D6052" s="10"/>
      <c r="F6052" s="1"/>
      <c r="G6052" s="1"/>
      <c r="H6052" s="1"/>
      <c r="I6052" s="7"/>
      <c r="J6052" s="12"/>
      <c r="K6052" s="13"/>
      <c r="L6052" s="14"/>
      <c r="M6052" s="15"/>
      <c r="N6052" s="15"/>
      <c r="O6052" s="16"/>
      <c r="Q6052" s="16"/>
    </row>
    <row r="6053" spans="1:17" x14ac:dyDescent="0.3">
      <c r="A6053" s="5"/>
      <c r="B6053" s="6"/>
      <c r="C6053" s="7"/>
      <c r="D6053" s="10"/>
      <c r="F6053" s="1"/>
      <c r="G6053" s="1"/>
      <c r="H6053" s="1"/>
      <c r="I6053" s="7"/>
      <c r="J6053" s="12"/>
      <c r="K6053" s="13"/>
      <c r="L6053" s="14"/>
      <c r="M6053" s="15"/>
      <c r="N6053" s="15"/>
      <c r="O6053" s="16"/>
      <c r="Q6053" s="16"/>
    </row>
    <row r="6054" spans="1:17" x14ac:dyDescent="0.3">
      <c r="A6054" s="5"/>
      <c r="B6054" s="6"/>
      <c r="C6054" s="7"/>
      <c r="D6054" s="10"/>
      <c r="F6054" s="1"/>
      <c r="G6054" s="1"/>
      <c r="H6054" s="1"/>
      <c r="I6054" s="7"/>
      <c r="J6054" s="12"/>
      <c r="K6054" s="13"/>
      <c r="L6054" s="14"/>
      <c r="M6054" s="15"/>
      <c r="N6054" s="15"/>
      <c r="O6054" s="16"/>
      <c r="Q6054" s="16"/>
    </row>
    <row r="6055" spans="1:17" x14ac:dyDescent="0.3">
      <c r="A6055" s="5"/>
      <c r="B6055" s="6"/>
      <c r="C6055" s="7"/>
      <c r="D6055" s="10"/>
      <c r="F6055" s="1"/>
      <c r="G6055" s="1"/>
      <c r="H6055" s="1"/>
      <c r="I6055" s="7"/>
      <c r="J6055" s="12"/>
      <c r="K6055" s="13"/>
      <c r="L6055" s="14"/>
      <c r="M6055" s="15"/>
      <c r="N6055" s="15"/>
      <c r="O6055" s="16"/>
      <c r="Q6055" s="16"/>
    </row>
    <row r="6056" spans="1:17" x14ac:dyDescent="0.3">
      <c r="A6056" s="5"/>
      <c r="B6056" s="6"/>
      <c r="C6056" s="7"/>
      <c r="D6056" s="10"/>
      <c r="F6056" s="1"/>
      <c r="G6056" s="1"/>
      <c r="H6056" s="1"/>
      <c r="I6056" s="7"/>
      <c r="J6056" s="12"/>
      <c r="K6056" s="13"/>
      <c r="L6056" s="14"/>
      <c r="M6056" s="15"/>
      <c r="N6056" s="15"/>
      <c r="O6056" s="16"/>
      <c r="Q6056" s="16"/>
    </row>
    <row r="6057" spans="1:17" x14ac:dyDescent="0.3">
      <c r="A6057" s="5"/>
      <c r="B6057" s="6"/>
      <c r="C6057" s="7"/>
      <c r="D6057" s="10"/>
      <c r="F6057" s="1"/>
      <c r="G6057" s="1"/>
      <c r="H6057" s="1"/>
      <c r="I6057" s="7"/>
      <c r="J6057" s="12"/>
      <c r="K6057" s="13"/>
      <c r="L6057" s="14"/>
      <c r="M6057" s="15"/>
      <c r="N6057" s="15"/>
      <c r="O6057" s="16"/>
      <c r="Q6057" s="16"/>
    </row>
    <row r="6058" spans="1:17" x14ac:dyDescent="0.3">
      <c r="A6058" s="5"/>
      <c r="B6058" s="6"/>
      <c r="C6058" s="7"/>
      <c r="D6058" s="10"/>
      <c r="F6058" s="1"/>
      <c r="G6058" s="1"/>
      <c r="H6058" s="1"/>
      <c r="I6058" s="7"/>
      <c r="J6058" s="12"/>
      <c r="K6058" s="13"/>
      <c r="L6058" s="14"/>
      <c r="M6058" s="15"/>
      <c r="N6058" s="15"/>
      <c r="O6058" s="16"/>
      <c r="Q6058" s="16"/>
    </row>
    <row r="6059" spans="1:17" x14ac:dyDescent="0.3">
      <c r="A6059" s="5"/>
      <c r="B6059" s="6"/>
      <c r="C6059" s="7"/>
      <c r="D6059" s="10"/>
      <c r="F6059" s="1"/>
      <c r="G6059" s="1"/>
      <c r="H6059" s="1"/>
      <c r="I6059" s="7"/>
      <c r="J6059" s="12"/>
      <c r="K6059" s="13"/>
      <c r="L6059" s="14"/>
      <c r="M6059" s="15"/>
      <c r="N6059" s="15"/>
      <c r="O6059" s="16"/>
      <c r="Q6059" s="16"/>
    </row>
    <row r="6060" spans="1:17" x14ac:dyDescent="0.3">
      <c r="A6060" s="5"/>
      <c r="B6060" s="6"/>
      <c r="C6060" s="7"/>
      <c r="D6060" s="10"/>
      <c r="F6060" s="1"/>
      <c r="G6060" s="1"/>
      <c r="H6060" s="1"/>
      <c r="I6060" s="7"/>
      <c r="J6060" s="12"/>
      <c r="K6060" s="13"/>
      <c r="L6060" s="14"/>
      <c r="M6060" s="15"/>
      <c r="N6060" s="15"/>
      <c r="O6060" s="16"/>
      <c r="Q6060" s="16"/>
    </row>
    <row r="6061" spans="1:17" x14ac:dyDescent="0.3">
      <c r="A6061" s="5"/>
      <c r="B6061" s="6"/>
      <c r="C6061" s="7"/>
      <c r="D6061" s="10"/>
      <c r="F6061" s="1"/>
      <c r="G6061" s="1"/>
      <c r="H6061" s="1"/>
      <c r="I6061" s="7"/>
      <c r="J6061" s="12"/>
      <c r="K6061" s="13"/>
      <c r="L6061" s="14"/>
      <c r="M6061" s="15"/>
      <c r="N6061" s="15"/>
      <c r="O6061" s="16"/>
      <c r="Q6061" s="16"/>
    </row>
    <row r="6062" spans="1:17" x14ac:dyDescent="0.3">
      <c r="A6062" s="5"/>
      <c r="B6062" s="6"/>
      <c r="C6062" s="7"/>
      <c r="D6062" s="10"/>
      <c r="F6062" s="1"/>
      <c r="G6062" s="1"/>
      <c r="H6062" s="1"/>
      <c r="I6062" s="7"/>
      <c r="J6062" s="12"/>
      <c r="K6062" s="13"/>
      <c r="L6062" s="14"/>
      <c r="M6062" s="15"/>
      <c r="N6062" s="15"/>
      <c r="O6062" s="16"/>
      <c r="Q6062" s="16"/>
    </row>
    <row r="6063" spans="1:17" x14ac:dyDescent="0.3">
      <c r="A6063" s="5"/>
      <c r="B6063" s="6"/>
      <c r="C6063" s="7"/>
      <c r="D6063" s="10"/>
      <c r="F6063" s="1"/>
      <c r="G6063" s="1"/>
      <c r="H6063" s="1"/>
      <c r="I6063" s="7"/>
      <c r="J6063" s="12"/>
      <c r="K6063" s="13"/>
      <c r="L6063" s="14"/>
      <c r="M6063" s="15"/>
      <c r="N6063" s="15"/>
      <c r="O6063" s="16"/>
      <c r="Q6063" s="16"/>
    </row>
    <row r="6064" spans="1:17" x14ac:dyDescent="0.3">
      <c r="A6064" s="5"/>
      <c r="B6064" s="6"/>
      <c r="C6064" s="7"/>
      <c r="D6064" s="10"/>
      <c r="F6064" s="1"/>
      <c r="G6064" s="1"/>
      <c r="H6064" s="1"/>
      <c r="I6064" s="7"/>
      <c r="J6064" s="12"/>
      <c r="K6064" s="13"/>
      <c r="L6064" s="14"/>
      <c r="M6064" s="15"/>
      <c r="N6064" s="15"/>
      <c r="O6064" s="16"/>
      <c r="Q6064" s="16"/>
    </row>
    <row r="65437" spans="1:19" s="40" customFormat="1" x14ac:dyDescent="0.3">
      <c r="A65437" s="19"/>
      <c r="B65437" s="20"/>
      <c r="C65437" s="18"/>
      <c r="D65437" s="8"/>
      <c r="E65437" s="9"/>
      <c r="G65437" s="19"/>
      <c r="H65437" s="19"/>
      <c r="I65437" s="18"/>
      <c r="J65437" s="19"/>
      <c r="K65437" s="17"/>
      <c r="L65437" s="41"/>
      <c r="M65437" s="17"/>
      <c r="N65437" s="17"/>
      <c r="O65437" s="17"/>
      <c r="P65437" s="17"/>
      <c r="Q65437" s="17"/>
      <c r="R65437" s="18"/>
      <c r="S65437" s="18"/>
    </row>
    <row r="65438" spans="1:19" s="40" customFormat="1" x14ac:dyDescent="0.3">
      <c r="A65438" s="19"/>
      <c r="B65438" s="20"/>
      <c r="C65438" s="18"/>
      <c r="D65438" s="8"/>
      <c r="E65438" s="39"/>
      <c r="G65438" s="19"/>
      <c r="H65438" s="19"/>
      <c r="I65438" s="18"/>
      <c r="J65438" s="19"/>
      <c r="K65438" s="17"/>
      <c r="L65438" s="41"/>
      <c r="M65438" s="17"/>
      <c r="N65438" s="17"/>
      <c r="O65438" s="17"/>
      <c r="P65438" s="17"/>
      <c r="Q65438" s="17"/>
      <c r="R65438" s="18"/>
      <c r="S65438" s="18"/>
    </row>
  </sheetData>
  <dataConsolidate/>
  <mergeCells count="3">
    <mergeCell ref="L111:M111"/>
    <mergeCell ref="L112:M112"/>
    <mergeCell ref="L113:M113"/>
  </mergeCells>
  <phoneticPr fontId="3" type="noConversion"/>
  <pageMargins left="0.75" right="0.75" top="1" bottom="1" header="0.5" footer="0.5"/>
  <pageSetup paperSize="9" scale="20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출하일보전송용260416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2026-04-16T02:44:11Z</dcterms:created>
  <dcterms:modified xsi:type="dcterms:W3CDTF">2026-04-16T02:44:36Z</dcterms:modified>
</cp:coreProperties>
</file>